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genieria_de_SistemasUPN\Ciclo_9_2026_1\MachineLearning\Semana_16\Nueva carpeta\"/>
    </mc:Choice>
  </mc:AlternateContent>
  <xr:revisionPtr revIDLastSave="0" documentId="13_ncr:1_{88BB0C47-1D1D-42B1-BE62-204DAA618951}" xr6:coauthVersionLast="47" xr6:coauthVersionMax="47" xr10:uidLastSave="{00000000-0000-0000-0000-000000000000}"/>
  <bookViews>
    <workbookView xWindow="-108" yWindow="-108" windowWidth="23256" windowHeight="12456" tabRatio="559" activeTab="2" xr2:uid="{00000000-000D-0000-FFFF-FFFF00000000}"/>
  </bookViews>
  <sheets>
    <sheet name="Volúmenes DIstribuidos " sheetId="1" r:id="rId1"/>
    <sheet name="Inventario" sheetId="2" r:id="rId2"/>
    <sheet name="Parametros Inventario" sheetId="3" r:id="rId3"/>
  </sheets>
  <definedNames>
    <definedName name="_xlnm._FilterDatabase" localSheetId="1" hidden="1">Inventario!$A$1:$E$5808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766" i="2" l="1"/>
  <c r="B5766" i="2"/>
  <c r="A5766" i="2"/>
  <c r="D5765" i="2"/>
  <c r="B5765" i="2"/>
  <c r="A5765" i="2"/>
  <c r="D5764" i="2"/>
  <c r="B5764" i="2"/>
  <c r="A5764" i="2"/>
  <c r="D5763" i="2"/>
  <c r="B5763" i="2"/>
  <c r="A5763" i="2"/>
  <c r="D5762" i="2"/>
  <c r="B5762" i="2"/>
  <c r="A5762" i="2"/>
  <c r="D5761" i="2"/>
  <c r="B5761" i="2"/>
  <c r="A5761" i="2"/>
  <c r="D5760" i="2"/>
  <c r="B5760" i="2"/>
  <c r="A5760" i="2"/>
  <c r="D5759" i="2"/>
  <c r="B5759" i="2"/>
  <c r="A5759" i="2"/>
  <c r="D5758" i="2"/>
  <c r="B5758" i="2"/>
  <c r="A5758" i="2"/>
  <c r="D5757" i="2"/>
  <c r="B5757" i="2"/>
  <c r="A5757" i="2"/>
  <c r="D5756" i="2"/>
  <c r="B5756" i="2"/>
  <c r="A5756" i="2"/>
  <c r="D5755" i="2"/>
  <c r="B5755" i="2"/>
  <c r="A5755" i="2"/>
  <c r="D5742" i="2"/>
  <c r="B5742" i="2"/>
  <c r="A5742" i="2"/>
  <c r="D5741" i="2"/>
  <c r="B5741" i="2"/>
  <c r="A5741" i="2"/>
  <c r="D5740" i="2"/>
  <c r="B5740" i="2"/>
  <c r="A5740" i="2"/>
  <c r="D5739" i="2"/>
  <c r="B5739" i="2"/>
  <c r="A5739" i="2"/>
  <c r="D5738" i="2"/>
  <c r="B5738" i="2"/>
  <c r="A5738" i="2"/>
  <c r="D5737" i="2"/>
  <c r="B5737" i="2"/>
  <c r="A5737" i="2"/>
  <c r="D5736" i="2"/>
  <c r="B5736" i="2"/>
  <c r="A5736" i="2"/>
  <c r="D5735" i="2"/>
  <c r="B5735" i="2"/>
  <c r="A5735" i="2"/>
  <c r="D5734" i="2"/>
  <c r="B5734" i="2"/>
  <c r="A5734" i="2"/>
  <c r="D5733" i="2"/>
  <c r="B5733" i="2"/>
  <c r="A5733" i="2"/>
  <c r="D5732" i="2"/>
  <c r="B5732" i="2"/>
  <c r="A5732" i="2"/>
  <c r="D5731" i="2"/>
  <c r="B5731" i="2"/>
  <c r="A5731" i="2"/>
  <c r="D5718" i="2"/>
  <c r="B5718" i="2"/>
  <c r="A5718" i="2"/>
  <c r="D5717" i="2"/>
  <c r="B5717" i="2"/>
  <c r="A5717" i="2"/>
  <c r="D5716" i="2"/>
  <c r="B5716" i="2"/>
  <c r="A5716" i="2"/>
  <c r="D5715" i="2"/>
  <c r="B5715" i="2"/>
  <c r="A5715" i="2"/>
  <c r="D5714" i="2"/>
  <c r="B5714" i="2"/>
  <c r="A5714" i="2"/>
  <c r="D5713" i="2"/>
  <c r="B5713" i="2"/>
  <c r="A5713" i="2"/>
  <c r="D5712" i="2"/>
  <c r="B5712" i="2"/>
  <c r="A5712" i="2"/>
  <c r="D5711" i="2"/>
  <c r="B5711" i="2"/>
  <c r="A5711" i="2"/>
  <c r="D5710" i="2"/>
  <c r="B5710" i="2"/>
  <c r="A5710" i="2"/>
  <c r="D5709" i="2"/>
  <c r="B5709" i="2"/>
  <c r="A5709" i="2"/>
  <c r="D5708" i="2"/>
  <c r="B5708" i="2"/>
  <c r="A5708" i="2"/>
  <c r="D5707" i="2"/>
  <c r="B5707" i="2"/>
  <c r="A5707" i="2"/>
  <c r="D5706" i="2"/>
  <c r="B5706" i="2"/>
  <c r="A5706" i="2"/>
  <c r="D5705" i="2"/>
  <c r="B5705" i="2"/>
  <c r="A5705" i="2"/>
  <c r="D5704" i="2"/>
  <c r="B5704" i="2"/>
  <c r="A5704" i="2"/>
  <c r="D5703" i="2"/>
  <c r="B5703" i="2"/>
  <c r="A5703" i="2"/>
  <c r="D5702" i="2"/>
  <c r="B5702" i="2"/>
  <c r="A5702" i="2"/>
  <c r="D5701" i="2"/>
  <c r="B5701" i="2"/>
  <c r="A5701" i="2"/>
  <c r="D5700" i="2"/>
  <c r="B5700" i="2"/>
  <c r="A5700" i="2"/>
  <c r="D5699" i="2"/>
  <c r="B5699" i="2"/>
  <c r="A5699" i="2"/>
  <c r="D5698" i="2"/>
  <c r="B5698" i="2"/>
  <c r="A5698" i="2"/>
  <c r="D5697" i="2"/>
  <c r="B5697" i="2"/>
  <c r="A5697" i="2"/>
  <c r="D5696" i="2"/>
  <c r="B5696" i="2"/>
  <c r="A5696" i="2"/>
  <c r="D5695" i="2"/>
  <c r="B5695" i="2"/>
  <c r="A5695" i="2"/>
  <c r="D5694" i="2"/>
  <c r="B5694" i="2"/>
  <c r="A5694" i="2"/>
  <c r="D5693" i="2"/>
  <c r="B5693" i="2"/>
  <c r="A5693" i="2"/>
  <c r="D5692" i="2"/>
  <c r="B5692" i="2"/>
  <c r="A5692" i="2"/>
  <c r="D5691" i="2"/>
  <c r="B5691" i="2"/>
  <c r="A5691" i="2"/>
  <c r="D5690" i="2"/>
  <c r="B5690" i="2"/>
  <c r="A5690" i="2"/>
  <c r="D5689" i="2"/>
  <c r="B5689" i="2"/>
  <c r="A5689" i="2"/>
  <c r="D5688" i="2"/>
  <c r="B5688" i="2"/>
  <c r="A5688" i="2"/>
  <c r="D5687" i="2"/>
  <c r="B5687" i="2"/>
  <c r="A5687" i="2"/>
  <c r="D5686" i="2"/>
  <c r="B5686" i="2"/>
  <c r="A5686" i="2"/>
  <c r="D5685" i="2"/>
  <c r="B5685" i="2"/>
  <c r="A5685" i="2"/>
  <c r="D5684" i="2"/>
  <c r="B5684" i="2"/>
  <c r="A5684" i="2"/>
  <c r="D5683" i="2"/>
  <c r="B5683" i="2"/>
  <c r="A5683" i="2"/>
  <c r="D5682" i="2"/>
  <c r="B5682" i="2"/>
  <c r="A5682" i="2"/>
  <c r="D5681" i="2"/>
  <c r="B5681" i="2"/>
  <c r="A5681" i="2"/>
  <c r="D5680" i="2"/>
  <c r="B5680" i="2"/>
  <c r="A5680" i="2"/>
  <c r="D5679" i="2"/>
  <c r="B5679" i="2"/>
  <c r="A5679" i="2"/>
  <c r="D5678" i="2"/>
  <c r="B5678" i="2"/>
  <c r="A5678" i="2"/>
  <c r="D5677" i="2"/>
  <c r="B5677" i="2"/>
  <c r="A5677" i="2"/>
  <c r="D5676" i="2"/>
  <c r="B5676" i="2"/>
  <c r="A5676" i="2"/>
  <c r="D5675" i="2"/>
  <c r="B5675" i="2"/>
  <c r="A5675" i="2"/>
  <c r="D5674" i="2"/>
  <c r="B5674" i="2"/>
  <c r="A5674" i="2"/>
  <c r="D5673" i="2"/>
  <c r="B5673" i="2"/>
  <c r="A5673" i="2"/>
  <c r="D5672" i="2"/>
  <c r="B5672" i="2"/>
  <c r="A5672" i="2"/>
  <c r="D5671" i="2"/>
  <c r="B5671" i="2"/>
  <c r="A5671" i="2"/>
  <c r="D5670" i="2"/>
  <c r="B5670" i="2"/>
  <c r="A5670" i="2"/>
  <c r="D5669" i="2"/>
  <c r="B5669" i="2"/>
  <c r="A5669" i="2"/>
  <c r="D5668" i="2"/>
  <c r="B5668" i="2"/>
  <c r="A5668" i="2"/>
  <c r="D5667" i="2"/>
  <c r="B5667" i="2"/>
  <c r="A5667" i="2"/>
  <c r="D5666" i="2"/>
  <c r="B5666" i="2"/>
  <c r="A5666" i="2"/>
  <c r="D5665" i="2"/>
  <c r="B5665" i="2"/>
  <c r="A5665" i="2"/>
  <c r="D5664" i="2"/>
  <c r="B5664" i="2"/>
  <c r="A5664" i="2"/>
  <c r="D5663" i="2"/>
  <c r="B5663" i="2"/>
  <c r="A5663" i="2"/>
  <c r="D5662" i="2"/>
  <c r="B5662" i="2"/>
  <c r="A5662" i="2"/>
  <c r="D5661" i="2"/>
  <c r="B5661" i="2"/>
  <c r="A5661" i="2"/>
  <c r="D5660" i="2"/>
  <c r="B5660" i="2"/>
  <c r="A5660" i="2"/>
  <c r="D5659" i="2"/>
  <c r="B5659" i="2"/>
  <c r="A5659" i="2"/>
  <c r="D5658" i="2"/>
  <c r="B5658" i="2"/>
  <c r="A5658" i="2"/>
  <c r="D5657" i="2"/>
  <c r="B5657" i="2"/>
  <c r="A5657" i="2"/>
  <c r="D5656" i="2"/>
  <c r="B5656" i="2"/>
  <c r="A5656" i="2"/>
  <c r="D5655" i="2"/>
  <c r="B5655" i="2"/>
  <c r="A5655" i="2"/>
  <c r="D5654" i="2"/>
  <c r="B5654" i="2"/>
  <c r="A5654" i="2"/>
  <c r="D5653" i="2"/>
  <c r="B5653" i="2"/>
  <c r="A5653" i="2"/>
  <c r="D5652" i="2"/>
  <c r="B5652" i="2"/>
  <c r="A5652" i="2"/>
  <c r="D5651" i="2"/>
  <c r="B5651" i="2"/>
  <c r="A5651" i="2"/>
  <c r="D5650" i="2"/>
  <c r="B5650" i="2"/>
  <c r="A5650" i="2"/>
  <c r="D5649" i="2"/>
  <c r="B5649" i="2"/>
  <c r="A5649" i="2"/>
  <c r="D5648" i="2"/>
  <c r="B5648" i="2"/>
  <c r="A5648" i="2"/>
  <c r="D5647" i="2"/>
  <c r="B5647" i="2"/>
  <c r="A5647" i="2"/>
  <c r="D5634" i="2"/>
  <c r="B5634" i="2"/>
  <c r="A5634" i="2"/>
  <c r="D5633" i="2"/>
  <c r="B5633" i="2"/>
  <c r="A5633" i="2"/>
  <c r="D5632" i="2"/>
  <c r="B5632" i="2"/>
  <c r="A5632" i="2"/>
  <c r="D5631" i="2"/>
  <c r="B5631" i="2"/>
  <c r="A5631" i="2"/>
  <c r="D5630" i="2"/>
  <c r="B5630" i="2"/>
  <c r="A5630" i="2"/>
  <c r="D5629" i="2"/>
  <c r="B5629" i="2"/>
  <c r="A5629" i="2"/>
  <c r="D5628" i="2"/>
  <c r="B5628" i="2"/>
  <c r="A5628" i="2"/>
  <c r="D5627" i="2"/>
  <c r="B5627" i="2"/>
  <c r="A5627" i="2"/>
  <c r="D5626" i="2"/>
  <c r="B5626" i="2"/>
  <c r="A5626" i="2"/>
  <c r="D5625" i="2"/>
  <c r="B5625" i="2"/>
  <c r="A5625" i="2"/>
  <c r="D5624" i="2"/>
  <c r="B5624" i="2"/>
  <c r="A5624" i="2"/>
  <c r="D5623" i="2"/>
  <c r="B5623" i="2"/>
  <c r="A5623" i="2"/>
  <c r="D5622" i="2"/>
  <c r="B5622" i="2"/>
  <c r="A5622" i="2"/>
  <c r="D5621" i="2"/>
  <c r="B5621" i="2"/>
  <c r="A5621" i="2"/>
  <c r="D5620" i="2"/>
  <c r="B5620" i="2"/>
  <c r="A5620" i="2"/>
  <c r="D5619" i="2"/>
  <c r="B5619" i="2"/>
  <c r="A5619" i="2"/>
  <c r="D5618" i="2"/>
  <c r="B5618" i="2"/>
  <c r="A5618" i="2"/>
  <c r="D5617" i="2"/>
  <c r="B5617" i="2"/>
  <c r="A5617" i="2"/>
  <c r="D5616" i="2"/>
  <c r="B5616" i="2"/>
  <c r="A5616" i="2"/>
  <c r="D5615" i="2"/>
  <c r="B5615" i="2"/>
  <c r="A5615" i="2"/>
  <c r="D5614" i="2"/>
  <c r="B5614" i="2"/>
  <c r="A5614" i="2"/>
  <c r="D5613" i="2"/>
  <c r="B5613" i="2"/>
  <c r="A5613" i="2"/>
  <c r="D5612" i="2"/>
  <c r="B5612" i="2"/>
  <c r="A5612" i="2"/>
  <c r="D5611" i="2"/>
  <c r="B5611" i="2"/>
  <c r="A5611" i="2"/>
  <c r="D5598" i="2"/>
  <c r="B5598" i="2"/>
  <c r="A5598" i="2"/>
  <c r="D5597" i="2"/>
  <c r="B5597" i="2"/>
  <c r="A5597" i="2"/>
  <c r="D5596" i="2"/>
  <c r="B5596" i="2"/>
  <c r="A5596" i="2"/>
  <c r="D5595" i="2"/>
  <c r="B5595" i="2"/>
  <c r="A5595" i="2"/>
  <c r="D5594" i="2"/>
  <c r="B5594" i="2"/>
  <c r="A5594" i="2"/>
  <c r="D5593" i="2"/>
  <c r="B5593" i="2"/>
  <c r="A5593" i="2"/>
  <c r="D5592" i="2"/>
  <c r="B5592" i="2"/>
  <c r="A5592" i="2"/>
  <c r="D5591" i="2"/>
  <c r="B5591" i="2"/>
  <c r="A5591" i="2"/>
  <c r="D5590" i="2"/>
  <c r="B5590" i="2"/>
  <c r="A5590" i="2"/>
  <c r="D5589" i="2"/>
  <c r="B5589" i="2"/>
  <c r="A5589" i="2"/>
  <c r="D5588" i="2"/>
  <c r="B5588" i="2"/>
  <c r="A5588" i="2"/>
  <c r="D5587" i="2"/>
  <c r="B5587" i="2"/>
  <c r="A5587" i="2"/>
  <c r="D5574" i="2"/>
  <c r="B5574" i="2"/>
  <c r="A5574" i="2"/>
  <c r="D5573" i="2"/>
  <c r="B5573" i="2"/>
  <c r="A5573" i="2"/>
  <c r="D5572" i="2"/>
  <c r="B5572" i="2"/>
  <c r="A5572" i="2"/>
  <c r="D5571" i="2"/>
  <c r="B5571" i="2"/>
  <c r="A5571" i="2"/>
  <c r="D5570" i="2"/>
  <c r="B5570" i="2"/>
  <c r="A5570" i="2"/>
  <c r="D5569" i="2"/>
  <c r="B5569" i="2"/>
  <c r="A5569" i="2"/>
  <c r="D5568" i="2"/>
  <c r="B5568" i="2"/>
  <c r="A5568" i="2"/>
  <c r="D5567" i="2"/>
  <c r="B5567" i="2"/>
  <c r="A5567" i="2"/>
  <c r="D5566" i="2"/>
  <c r="B5566" i="2"/>
  <c r="A5566" i="2"/>
  <c r="D5565" i="2"/>
  <c r="B5565" i="2"/>
  <c r="A5565" i="2"/>
  <c r="D5564" i="2"/>
  <c r="B5564" i="2"/>
  <c r="A5564" i="2"/>
  <c r="D5563" i="2"/>
  <c r="B5563" i="2"/>
  <c r="A5563" i="2"/>
  <c r="D5562" i="2"/>
  <c r="B5562" i="2"/>
  <c r="A5562" i="2"/>
  <c r="D5561" i="2"/>
  <c r="B5561" i="2"/>
  <c r="A5561" i="2"/>
  <c r="D5560" i="2"/>
  <c r="B5560" i="2"/>
  <c r="A5560" i="2"/>
  <c r="D5559" i="2"/>
  <c r="B5559" i="2"/>
  <c r="A5559" i="2"/>
  <c r="D5558" i="2"/>
  <c r="B5558" i="2"/>
  <c r="A5558" i="2"/>
  <c r="D5557" i="2"/>
  <c r="B5557" i="2"/>
  <c r="A5557" i="2"/>
  <c r="D5556" i="2"/>
  <c r="B5556" i="2"/>
  <c r="A5556" i="2"/>
  <c r="D5555" i="2"/>
  <c r="B5555" i="2"/>
  <c r="A5555" i="2"/>
  <c r="D5554" i="2"/>
  <c r="B5554" i="2"/>
  <c r="A5554" i="2"/>
  <c r="D5553" i="2"/>
  <c r="B5553" i="2"/>
  <c r="A5553" i="2"/>
  <c r="D5552" i="2"/>
  <c r="B5552" i="2"/>
  <c r="A5552" i="2"/>
  <c r="D5551" i="2"/>
  <c r="B5551" i="2"/>
  <c r="A5551" i="2"/>
  <c r="D5550" i="2"/>
  <c r="B5550" i="2"/>
  <c r="A5550" i="2"/>
  <c r="D5549" i="2"/>
  <c r="B5549" i="2"/>
  <c r="A5549" i="2"/>
  <c r="D5548" i="2"/>
  <c r="B5548" i="2"/>
  <c r="A5548" i="2"/>
  <c r="D5547" i="2"/>
  <c r="B5547" i="2"/>
  <c r="A5547" i="2"/>
  <c r="D5546" i="2"/>
  <c r="B5546" i="2"/>
  <c r="A5546" i="2"/>
  <c r="D5545" i="2"/>
  <c r="B5545" i="2"/>
  <c r="A5545" i="2"/>
  <c r="D5544" i="2"/>
  <c r="B5544" i="2"/>
  <c r="A5544" i="2"/>
  <c r="D5543" i="2"/>
  <c r="B5543" i="2"/>
  <c r="A5543" i="2"/>
  <c r="D5542" i="2"/>
  <c r="B5542" i="2"/>
  <c r="A5542" i="2"/>
  <c r="D5541" i="2"/>
  <c r="B5541" i="2"/>
  <c r="A5541" i="2"/>
  <c r="D5540" i="2"/>
  <c r="B5540" i="2"/>
  <c r="A5540" i="2"/>
  <c r="D5539" i="2"/>
  <c r="B5539" i="2"/>
  <c r="A5539" i="2"/>
  <c r="D5538" i="2"/>
  <c r="B5538" i="2"/>
  <c r="A5538" i="2"/>
  <c r="D5537" i="2"/>
  <c r="B5537" i="2"/>
  <c r="A5537" i="2"/>
  <c r="D5536" i="2"/>
  <c r="B5536" i="2"/>
  <c r="A5536" i="2"/>
  <c r="D5535" i="2"/>
  <c r="B5535" i="2"/>
  <c r="A5535" i="2"/>
  <c r="D5534" i="2"/>
  <c r="B5534" i="2"/>
  <c r="A5534" i="2"/>
  <c r="D5533" i="2"/>
  <c r="B5533" i="2"/>
  <c r="A5533" i="2"/>
  <c r="D5532" i="2"/>
  <c r="B5532" i="2"/>
  <c r="A5532" i="2"/>
  <c r="D5531" i="2"/>
  <c r="B5531" i="2"/>
  <c r="A5531" i="2"/>
  <c r="D5530" i="2"/>
  <c r="B5530" i="2"/>
  <c r="A5530" i="2"/>
  <c r="D5529" i="2"/>
  <c r="B5529" i="2"/>
  <c r="A5529" i="2"/>
  <c r="D5528" i="2"/>
  <c r="B5528" i="2"/>
  <c r="A5528" i="2"/>
  <c r="D5527" i="2"/>
  <c r="B5527" i="2"/>
  <c r="A5527" i="2"/>
  <c r="D5526" i="2"/>
  <c r="B5526" i="2"/>
  <c r="A5526" i="2"/>
  <c r="D5525" i="2"/>
  <c r="B5525" i="2"/>
  <c r="A5525" i="2"/>
  <c r="D5524" i="2"/>
  <c r="B5524" i="2"/>
  <c r="A5524" i="2"/>
  <c r="D5523" i="2"/>
  <c r="B5523" i="2"/>
  <c r="A5523" i="2"/>
  <c r="D5522" i="2"/>
  <c r="B5522" i="2"/>
  <c r="A5522" i="2"/>
  <c r="D5521" i="2"/>
  <c r="B5521" i="2"/>
  <c r="A5521" i="2"/>
  <c r="D5520" i="2"/>
  <c r="B5520" i="2"/>
  <c r="A5520" i="2"/>
  <c r="D5519" i="2"/>
  <c r="B5519" i="2"/>
  <c r="A5519" i="2"/>
  <c r="D5518" i="2"/>
  <c r="B5518" i="2"/>
  <c r="A5518" i="2"/>
  <c r="D5517" i="2"/>
  <c r="B5517" i="2"/>
  <c r="A5517" i="2"/>
  <c r="D5516" i="2"/>
  <c r="B5516" i="2"/>
  <c r="A5516" i="2"/>
  <c r="D5515" i="2"/>
  <c r="B5515" i="2"/>
  <c r="A5515" i="2"/>
  <c r="D5502" i="2"/>
  <c r="B5502" i="2"/>
  <c r="A5502" i="2"/>
  <c r="D5501" i="2"/>
  <c r="B5501" i="2"/>
  <c r="A5501" i="2"/>
  <c r="D5500" i="2"/>
  <c r="B5500" i="2"/>
  <c r="A5500" i="2"/>
  <c r="D5499" i="2"/>
  <c r="B5499" i="2"/>
  <c r="A5499" i="2"/>
  <c r="D5498" i="2"/>
  <c r="B5498" i="2"/>
  <c r="A5498" i="2"/>
  <c r="D5497" i="2"/>
  <c r="B5497" i="2"/>
  <c r="A5497" i="2"/>
  <c r="D5496" i="2"/>
  <c r="B5496" i="2"/>
  <c r="A5496" i="2"/>
  <c r="D5495" i="2"/>
  <c r="B5495" i="2"/>
  <c r="A5495" i="2"/>
  <c r="D5494" i="2"/>
  <c r="B5494" i="2"/>
  <c r="A5494" i="2"/>
  <c r="D5493" i="2"/>
  <c r="B5493" i="2"/>
  <c r="A5493" i="2"/>
  <c r="D5492" i="2"/>
  <c r="B5492" i="2"/>
  <c r="A5492" i="2"/>
  <c r="D5491" i="2"/>
  <c r="B5491" i="2"/>
  <c r="A5491" i="2"/>
  <c r="D5479" i="2"/>
  <c r="B5479" i="2"/>
  <c r="A5479" i="2"/>
  <c r="D5478" i="2"/>
  <c r="B5478" i="2"/>
  <c r="A5478" i="2"/>
  <c r="D5477" i="2"/>
  <c r="B5477" i="2"/>
  <c r="A5477" i="2"/>
  <c r="D5476" i="2"/>
  <c r="B5476" i="2"/>
  <c r="A5476" i="2"/>
  <c r="D5475" i="2"/>
  <c r="B5475" i="2"/>
  <c r="A5475" i="2"/>
  <c r="D5474" i="2"/>
  <c r="B5474" i="2"/>
  <c r="A5474" i="2"/>
  <c r="D5473" i="2"/>
  <c r="B5473" i="2"/>
  <c r="A5473" i="2"/>
  <c r="D5472" i="2"/>
  <c r="B5472" i="2"/>
  <c r="A5472" i="2"/>
  <c r="D5471" i="2"/>
  <c r="B5471" i="2"/>
  <c r="A5471" i="2"/>
  <c r="D5470" i="2"/>
  <c r="B5470" i="2"/>
  <c r="A5470" i="2"/>
  <c r="D5469" i="2"/>
  <c r="B5469" i="2"/>
  <c r="A5469" i="2"/>
  <c r="D5468" i="2"/>
  <c r="B5468" i="2"/>
  <c r="A5468" i="2"/>
  <c r="D5458" i="2"/>
  <c r="B5458" i="2"/>
  <c r="A5458" i="2"/>
  <c r="D5457" i="2"/>
  <c r="B5457" i="2"/>
  <c r="A5457" i="2"/>
  <c r="D5456" i="2"/>
  <c r="B5456" i="2"/>
  <c r="A5456" i="2"/>
  <c r="D5455" i="2"/>
  <c r="B5455" i="2"/>
  <c r="A5455" i="2"/>
  <c r="D5454" i="2"/>
  <c r="B5454" i="2"/>
  <c r="A5454" i="2"/>
  <c r="D5453" i="2"/>
  <c r="B5453" i="2"/>
  <c r="A5453" i="2"/>
  <c r="D5443" i="2"/>
  <c r="B5443" i="2"/>
  <c r="A5443" i="2"/>
  <c r="D5442" i="2"/>
  <c r="B5442" i="2"/>
  <c r="A5442" i="2"/>
  <c r="D5441" i="2"/>
  <c r="B5441" i="2"/>
  <c r="A5441" i="2"/>
  <c r="D5440" i="2"/>
  <c r="B5440" i="2"/>
  <c r="A5440" i="2"/>
  <c r="D5439" i="2"/>
  <c r="B5439" i="2"/>
  <c r="A5439" i="2"/>
  <c r="D5438" i="2"/>
  <c r="B5438" i="2"/>
  <c r="A5438" i="2"/>
  <c r="D5431" i="2"/>
  <c r="B5431" i="2"/>
  <c r="A5431" i="2"/>
  <c r="D5430" i="2"/>
  <c r="B5430" i="2"/>
  <c r="A5430" i="2"/>
  <c r="D5429" i="2"/>
  <c r="B5429" i="2"/>
  <c r="A5429" i="2"/>
  <c r="D5428" i="2"/>
  <c r="B5428" i="2"/>
  <c r="A5428" i="2"/>
  <c r="D5427" i="2"/>
  <c r="B5427" i="2"/>
  <c r="A5427" i="2"/>
  <c r="D5426" i="2"/>
  <c r="B5426" i="2"/>
  <c r="A5426" i="2"/>
  <c r="D5425" i="2"/>
  <c r="B5425" i="2"/>
  <c r="A5425" i="2"/>
  <c r="D5424" i="2"/>
  <c r="B5424" i="2"/>
  <c r="A5424" i="2"/>
  <c r="D5423" i="2"/>
  <c r="B5423" i="2"/>
  <c r="A5423" i="2"/>
  <c r="D5422" i="2"/>
  <c r="B5422" i="2"/>
  <c r="A5422" i="2"/>
  <c r="D5421" i="2"/>
  <c r="B5421" i="2"/>
  <c r="A5421" i="2"/>
  <c r="D5420" i="2"/>
  <c r="B5420" i="2"/>
  <c r="A5420" i="2"/>
  <c r="D5409" i="2"/>
  <c r="B5409" i="2"/>
  <c r="A5409" i="2"/>
  <c r="D5408" i="2"/>
  <c r="B5408" i="2"/>
  <c r="A5408" i="2"/>
  <c r="D5407" i="2"/>
  <c r="B5407" i="2"/>
  <c r="A5407" i="2"/>
  <c r="D5406" i="2"/>
  <c r="B5406" i="2"/>
  <c r="A5406" i="2"/>
  <c r="D5405" i="2"/>
  <c r="B5405" i="2"/>
  <c r="A5405" i="2"/>
  <c r="D5404" i="2"/>
  <c r="B5404" i="2"/>
  <c r="A5404" i="2"/>
  <c r="D5403" i="2"/>
  <c r="B5403" i="2"/>
  <c r="A5403" i="2"/>
  <c r="D5402" i="2"/>
  <c r="B5402" i="2"/>
  <c r="A5402" i="2"/>
  <c r="D5401" i="2"/>
  <c r="B5401" i="2"/>
  <c r="A5401" i="2"/>
  <c r="D5400" i="2"/>
  <c r="B5400" i="2"/>
  <c r="A5400" i="2"/>
  <c r="D5399" i="2"/>
  <c r="B5399" i="2"/>
  <c r="A5399" i="2"/>
  <c r="D5398" i="2"/>
  <c r="B5398" i="2"/>
  <c r="A5398" i="2"/>
  <c r="D5389" i="2"/>
  <c r="B5389" i="2"/>
  <c r="A5389" i="2"/>
  <c r="D5388" i="2"/>
  <c r="B5388" i="2"/>
  <c r="A5388" i="2"/>
  <c r="D5387" i="2"/>
  <c r="B5387" i="2"/>
  <c r="A5387" i="2"/>
  <c r="D5386" i="2"/>
  <c r="B5386" i="2"/>
  <c r="A5386" i="2"/>
  <c r="D5385" i="2"/>
  <c r="B5385" i="2"/>
  <c r="A5385" i="2"/>
  <c r="D5384" i="2"/>
  <c r="B5384" i="2"/>
  <c r="A5384" i="2"/>
  <c r="D5374" i="2"/>
  <c r="B5374" i="2"/>
  <c r="A5374" i="2"/>
  <c r="D5373" i="2"/>
  <c r="B5373" i="2"/>
  <c r="A5373" i="2"/>
  <c r="D5372" i="2"/>
  <c r="B5372" i="2"/>
  <c r="A5372" i="2"/>
  <c r="D5371" i="2"/>
  <c r="B5371" i="2"/>
  <c r="A5371" i="2"/>
  <c r="D5370" i="2"/>
  <c r="B5370" i="2"/>
  <c r="A5370" i="2"/>
  <c r="D5369" i="2"/>
  <c r="B5369" i="2"/>
  <c r="A5369" i="2"/>
  <c r="D5362" i="2"/>
  <c r="B5362" i="2"/>
  <c r="A5362" i="2"/>
  <c r="D5361" i="2"/>
  <c r="B5361" i="2"/>
  <c r="A5361" i="2"/>
  <c r="D5360" i="2"/>
  <c r="B5360" i="2"/>
  <c r="A5360" i="2"/>
  <c r="D5359" i="2"/>
  <c r="B5359" i="2"/>
  <c r="A5359" i="2"/>
  <c r="D5358" i="2"/>
  <c r="B5358" i="2"/>
  <c r="A5358" i="2"/>
  <c r="D5357" i="2"/>
  <c r="B5357" i="2"/>
  <c r="A5357" i="2"/>
  <c r="D5356" i="2"/>
  <c r="B5356" i="2"/>
  <c r="A5356" i="2"/>
  <c r="D5355" i="2"/>
  <c r="B5355" i="2"/>
  <c r="A5355" i="2"/>
  <c r="D5354" i="2"/>
  <c r="B5354" i="2"/>
  <c r="A5354" i="2"/>
  <c r="D5353" i="2"/>
  <c r="B5353" i="2"/>
  <c r="A5353" i="2"/>
  <c r="D5352" i="2"/>
  <c r="B5352" i="2"/>
  <c r="A5352" i="2"/>
  <c r="D5351" i="2"/>
  <c r="B5351" i="2"/>
  <c r="A5351" i="2"/>
  <c r="D5350" i="2"/>
  <c r="B5350" i="2"/>
  <c r="A5350" i="2"/>
  <c r="D5349" i="2"/>
  <c r="B5349" i="2"/>
  <c r="A5349" i="2"/>
  <c r="D5348" i="2"/>
  <c r="B5348" i="2"/>
  <c r="A5348" i="2"/>
  <c r="D5347" i="2"/>
  <c r="B5347" i="2"/>
  <c r="A5347" i="2"/>
  <c r="D5346" i="2"/>
  <c r="B5346" i="2"/>
  <c r="A5346" i="2"/>
  <c r="D5345" i="2"/>
  <c r="B5345" i="2"/>
  <c r="A5345" i="2"/>
  <c r="D5339" i="2"/>
  <c r="B5339" i="2"/>
  <c r="A5339" i="2"/>
  <c r="D5338" i="2"/>
  <c r="B5338" i="2"/>
  <c r="A5338" i="2"/>
  <c r="D5337" i="2"/>
  <c r="B5337" i="2"/>
  <c r="A5337" i="2"/>
  <c r="D5336" i="2"/>
  <c r="B5336" i="2"/>
  <c r="A5336" i="2"/>
  <c r="D5335" i="2"/>
  <c r="B5335" i="2"/>
  <c r="A5335" i="2"/>
  <c r="D5334" i="2"/>
  <c r="B5334" i="2"/>
  <c r="A5334" i="2"/>
  <c r="D5323" i="2"/>
  <c r="B5323" i="2"/>
  <c r="A5323" i="2"/>
  <c r="D5322" i="2"/>
  <c r="B5322" i="2"/>
  <c r="A5322" i="2"/>
  <c r="D5321" i="2"/>
  <c r="B5321" i="2"/>
  <c r="A5321" i="2"/>
  <c r="D5320" i="2"/>
  <c r="B5320" i="2"/>
  <c r="A5320" i="2"/>
  <c r="D5319" i="2"/>
  <c r="B5319" i="2"/>
  <c r="A5319" i="2"/>
  <c r="D5318" i="2"/>
  <c r="B5318" i="2"/>
  <c r="A5318" i="2"/>
  <c r="D5317" i="2"/>
  <c r="B5317" i="2"/>
  <c r="A5317" i="2"/>
  <c r="D5316" i="2"/>
  <c r="B5316" i="2"/>
  <c r="A5316" i="2"/>
  <c r="D5315" i="2"/>
  <c r="B5315" i="2"/>
  <c r="A5315" i="2"/>
  <c r="D5314" i="2"/>
  <c r="B5314" i="2"/>
  <c r="A5314" i="2"/>
  <c r="D5313" i="2"/>
  <c r="B5313" i="2"/>
  <c r="A5313" i="2"/>
  <c r="D5312" i="2"/>
  <c r="B5312" i="2"/>
  <c r="A5312" i="2"/>
  <c r="D5307" i="2"/>
  <c r="B5307" i="2"/>
  <c r="A5307" i="2"/>
  <c r="D5306" i="2"/>
  <c r="B5306" i="2"/>
  <c r="A5306" i="2"/>
  <c r="D5305" i="2"/>
  <c r="B5305" i="2"/>
  <c r="A5305" i="2"/>
  <c r="D5304" i="2"/>
  <c r="B5304" i="2"/>
  <c r="A5304" i="2"/>
  <c r="D5303" i="2"/>
  <c r="B5303" i="2"/>
  <c r="A5303" i="2"/>
  <c r="D5302" i="2"/>
  <c r="B5302" i="2"/>
  <c r="A5302" i="2"/>
  <c r="D5301" i="2"/>
  <c r="B5301" i="2"/>
  <c r="A5301" i="2"/>
  <c r="D5300" i="2"/>
  <c r="B5300" i="2"/>
  <c r="A5300" i="2"/>
  <c r="D5299" i="2"/>
  <c r="B5299" i="2"/>
  <c r="A5299" i="2"/>
  <c r="D5298" i="2"/>
  <c r="B5298" i="2"/>
  <c r="A5298" i="2"/>
  <c r="D5297" i="2"/>
  <c r="B5297" i="2"/>
  <c r="A5297" i="2"/>
  <c r="D5296" i="2"/>
  <c r="B5296" i="2"/>
  <c r="A5296" i="2"/>
  <c r="D5278" i="2"/>
  <c r="B5278" i="2"/>
  <c r="A5278" i="2"/>
  <c r="D5277" i="2"/>
  <c r="B5277" i="2"/>
  <c r="A5277" i="2"/>
  <c r="D5276" i="2"/>
  <c r="B5276" i="2"/>
  <c r="A5276" i="2"/>
  <c r="D5275" i="2"/>
  <c r="B5275" i="2"/>
  <c r="A5275" i="2"/>
  <c r="D5274" i="2"/>
  <c r="B5274" i="2"/>
  <c r="A5274" i="2"/>
  <c r="D5273" i="2"/>
  <c r="B5273" i="2"/>
  <c r="A5273" i="2"/>
  <c r="D5272" i="2"/>
  <c r="B5272" i="2"/>
  <c r="A5272" i="2"/>
  <c r="D5271" i="2"/>
  <c r="B5271" i="2"/>
  <c r="A5271" i="2"/>
  <c r="D5270" i="2"/>
  <c r="B5270" i="2"/>
  <c r="A5270" i="2"/>
  <c r="D5269" i="2"/>
  <c r="B5269" i="2"/>
  <c r="A5269" i="2"/>
  <c r="D5268" i="2"/>
  <c r="B5268" i="2"/>
  <c r="A5268" i="2"/>
  <c r="D5267" i="2"/>
  <c r="B5267" i="2"/>
  <c r="A5267" i="2"/>
  <c r="D5258" i="2"/>
  <c r="B5258" i="2"/>
  <c r="A5258" i="2"/>
  <c r="D5257" i="2"/>
  <c r="B5257" i="2"/>
  <c r="A5257" i="2"/>
  <c r="D5256" i="2"/>
  <c r="B5256" i="2"/>
  <c r="A5256" i="2"/>
  <c r="D5255" i="2"/>
  <c r="B5255" i="2"/>
  <c r="A5255" i="2"/>
  <c r="D5254" i="2"/>
  <c r="B5254" i="2"/>
  <c r="A5254" i="2"/>
  <c r="D5253" i="2"/>
  <c r="B5253" i="2"/>
  <c r="A5253" i="2"/>
  <c r="D5252" i="2"/>
  <c r="B5252" i="2"/>
  <c r="A5252" i="2"/>
  <c r="D5251" i="2"/>
  <c r="B5251" i="2"/>
  <c r="A5251" i="2"/>
  <c r="D5250" i="2"/>
  <c r="B5250" i="2"/>
  <c r="A5250" i="2"/>
  <c r="D5249" i="2"/>
  <c r="B5249" i="2"/>
  <c r="A5249" i="2"/>
  <c r="D5248" i="2"/>
  <c r="B5248" i="2"/>
  <c r="A5248" i="2"/>
  <c r="D5247" i="2"/>
  <c r="B5247" i="2"/>
  <c r="A5247" i="2"/>
  <c r="D5240" i="2"/>
  <c r="B5240" i="2"/>
  <c r="A5240" i="2"/>
  <c r="D5239" i="2"/>
  <c r="B5239" i="2"/>
  <c r="A5239" i="2"/>
  <c r="D5238" i="2"/>
  <c r="B5238" i="2"/>
  <c r="A5238" i="2"/>
  <c r="D5237" i="2"/>
  <c r="B5237" i="2"/>
  <c r="A5237" i="2"/>
  <c r="D5236" i="2"/>
  <c r="B5236" i="2"/>
  <c r="A5236" i="2"/>
  <c r="D5235" i="2"/>
  <c r="B5235" i="2"/>
  <c r="A5235" i="2"/>
  <c r="D5234" i="2"/>
  <c r="B5234" i="2"/>
  <c r="A5234" i="2"/>
  <c r="D5233" i="2"/>
  <c r="B5233" i="2"/>
  <c r="A5233" i="2"/>
  <c r="D5232" i="2"/>
  <c r="B5232" i="2"/>
  <c r="A5232" i="2"/>
  <c r="D5231" i="2"/>
  <c r="B5231" i="2"/>
  <c r="A5231" i="2"/>
  <c r="D5230" i="2"/>
  <c r="B5230" i="2"/>
  <c r="A5230" i="2"/>
  <c r="D5229" i="2"/>
  <c r="B5229" i="2"/>
  <c r="A5229" i="2"/>
  <c r="D5207" i="2"/>
  <c r="B5207" i="2"/>
  <c r="A5207" i="2"/>
  <c r="D5206" i="2"/>
  <c r="B5206" i="2"/>
  <c r="A5206" i="2"/>
  <c r="D5205" i="2"/>
  <c r="B5205" i="2"/>
  <c r="A5205" i="2"/>
  <c r="D5204" i="2"/>
  <c r="B5204" i="2"/>
  <c r="A5204" i="2"/>
  <c r="D5203" i="2"/>
  <c r="B5203" i="2"/>
  <c r="A5203" i="2"/>
  <c r="D5202" i="2"/>
  <c r="B5202" i="2"/>
  <c r="A5202" i="2"/>
  <c r="D5201" i="2"/>
  <c r="B5201" i="2"/>
  <c r="A5201" i="2"/>
  <c r="D5200" i="2"/>
  <c r="B5200" i="2"/>
  <c r="A5200" i="2"/>
  <c r="D5199" i="2"/>
  <c r="B5199" i="2"/>
  <c r="A5199" i="2"/>
  <c r="D5198" i="2"/>
  <c r="B5198" i="2"/>
  <c r="A5198" i="2"/>
  <c r="D5197" i="2"/>
  <c r="B5197" i="2"/>
  <c r="A5197" i="2"/>
  <c r="D5196" i="2"/>
  <c r="B5196" i="2"/>
  <c r="A5196" i="2"/>
  <c r="D5184" i="2"/>
  <c r="B5184" i="2"/>
  <c r="A5184" i="2"/>
  <c r="D5183" i="2"/>
  <c r="B5183" i="2"/>
  <c r="A5183" i="2"/>
  <c r="D5182" i="2"/>
  <c r="B5182" i="2"/>
  <c r="A5182" i="2"/>
  <c r="D5181" i="2"/>
  <c r="B5181" i="2"/>
  <c r="A5181" i="2"/>
  <c r="D5180" i="2"/>
  <c r="B5180" i="2"/>
  <c r="A5180" i="2"/>
  <c r="D5179" i="2"/>
  <c r="B5179" i="2"/>
  <c r="A5179" i="2"/>
  <c r="D5178" i="2"/>
  <c r="B5178" i="2"/>
  <c r="A5178" i="2"/>
  <c r="D5177" i="2"/>
  <c r="B5177" i="2"/>
  <c r="A5177" i="2"/>
  <c r="D5176" i="2"/>
  <c r="B5176" i="2"/>
  <c r="A5176" i="2"/>
  <c r="D5175" i="2"/>
  <c r="B5175" i="2"/>
  <c r="A5175" i="2"/>
  <c r="D5174" i="2"/>
  <c r="B5174" i="2"/>
  <c r="A5174" i="2"/>
  <c r="D5173" i="2"/>
  <c r="B5173" i="2"/>
  <c r="A5173" i="2"/>
  <c r="D5165" i="2"/>
  <c r="B5165" i="2"/>
  <c r="A5165" i="2"/>
  <c r="D5164" i="2"/>
  <c r="B5164" i="2"/>
  <c r="A5164" i="2"/>
  <c r="D5163" i="2"/>
  <c r="B5163" i="2"/>
  <c r="A5163" i="2"/>
  <c r="D5162" i="2"/>
  <c r="B5162" i="2"/>
  <c r="A5162" i="2"/>
  <c r="D5161" i="2"/>
  <c r="B5161" i="2"/>
  <c r="A5161" i="2"/>
  <c r="D5160" i="2"/>
  <c r="B5160" i="2"/>
  <c r="A5160" i="2"/>
  <c r="D5159" i="2"/>
  <c r="B5159" i="2"/>
  <c r="A5159" i="2"/>
  <c r="D5158" i="2"/>
  <c r="B5158" i="2"/>
  <c r="A5158" i="2"/>
  <c r="D5157" i="2"/>
  <c r="B5157" i="2"/>
  <c r="A5157" i="2"/>
  <c r="D5156" i="2"/>
  <c r="B5156" i="2"/>
  <c r="A5156" i="2"/>
  <c r="D5155" i="2"/>
  <c r="B5155" i="2"/>
  <c r="A5155" i="2"/>
  <c r="D5154" i="2"/>
  <c r="B5154" i="2"/>
  <c r="A5154" i="2"/>
  <c r="D5148" i="2"/>
  <c r="B5148" i="2"/>
  <c r="A5148" i="2"/>
  <c r="D5147" i="2"/>
  <c r="B5147" i="2"/>
  <c r="A5147" i="2"/>
  <c r="D5146" i="2"/>
  <c r="B5146" i="2"/>
  <c r="A5146" i="2"/>
  <c r="D5145" i="2"/>
  <c r="B5145" i="2"/>
  <c r="A5145" i="2"/>
  <c r="D5144" i="2"/>
  <c r="B5144" i="2"/>
  <c r="A5144" i="2"/>
  <c r="D5143" i="2"/>
  <c r="B5143" i="2"/>
  <c r="A5143" i="2"/>
  <c r="D5132" i="2"/>
  <c r="B5132" i="2"/>
  <c r="A5132" i="2"/>
  <c r="D5131" i="2"/>
  <c r="B5131" i="2"/>
  <c r="A5131" i="2"/>
  <c r="D5130" i="2"/>
  <c r="B5130" i="2"/>
  <c r="A5130" i="2"/>
  <c r="D5129" i="2"/>
  <c r="B5129" i="2"/>
  <c r="A5129" i="2"/>
  <c r="D5128" i="2"/>
  <c r="B5128" i="2"/>
  <c r="A5128" i="2"/>
  <c r="D5127" i="2"/>
  <c r="B5127" i="2"/>
  <c r="A5127" i="2"/>
  <c r="D5123" i="2"/>
  <c r="B5123" i="2"/>
  <c r="A5123" i="2"/>
  <c r="D5122" i="2"/>
  <c r="B5122" i="2"/>
  <c r="A5122" i="2"/>
  <c r="D5121" i="2"/>
  <c r="B5121" i="2"/>
  <c r="A5121" i="2"/>
  <c r="D5120" i="2"/>
  <c r="B5120" i="2"/>
  <c r="A5120" i="2"/>
  <c r="D5119" i="2"/>
  <c r="B5119" i="2"/>
  <c r="A5119" i="2"/>
  <c r="D5118" i="2"/>
  <c r="B5118" i="2"/>
  <c r="A5118" i="2"/>
  <c r="D5117" i="2"/>
  <c r="B5117" i="2"/>
  <c r="A5117" i="2"/>
  <c r="D5116" i="2"/>
  <c r="B5116" i="2"/>
  <c r="A5116" i="2"/>
  <c r="D5115" i="2"/>
  <c r="B5115" i="2"/>
  <c r="A5115" i="2"/>
  <c r="D5114" i="2"/>
  <c r="B5114" i="2"/>
  <c r="A5114" i="2"/>
  <c r="D5113" i="2"/>
  <c r="B5113" i="2"/>
  <c r="A5113" i="2"/>
  <c r="D5112" i="2"/>
  <c r="B5112" i="2"/>
  <c r="A5112" i="2"/>
  <c r="D5094" i="2"/>
  <c r="B5094" i="2"/>
  <c r="A5094" i="2"/>
  <c r="D5093" i="2"/>
  <c r="B5093" i="2"/>
  <c r="A5093" i="2"/>
  <c r="D5092" i="2"/>
  <c r="B5092" i="2"/>
  <c r="A5092" i="2"/>
  <c r="D5091" i="2"/>
  <c r="B5091" i="2"/>
  <c r="A5091" i="2"/>
  <c r="D5090" i="2"/>
  <c r="B5090" i="2"/>
  <c r="A5090" i="2"/>
  <c r="D5089" i="2"/>
  <c r="B5089" i="2"/>
  <c r="A5089" i="2"/>
  <c r="D5088" i="2"/>
  <c r="B5088" i="2"/>
  <c r="A5088" i="2"/>
  <c r="D5087" i="2"/>
  <c r="B5087" i="2"/>
  <c r="A5087" i="2"/>
  <c r="D5086" i="2"/>
  <c r="B5086" i="2"/>
  <c r="A5086" i="2"/>
  <c r="D5085" i="2"/>
  <c r="B5085" i="2"/>
  <c r="A5085" i="2"/>
  <c r="D5084" i="2"/>
  <c r="B5084" i="2"/>
  <c r="A5084" i="2"/>
  <c r="D5083" i="2"/>
  <c r="B5083" i="2"/>
  <c r="A5083" i="2"/>
  <c r="D5082" i="2"/>
  <c r="B5082" i="2"/>
  <c r="A5082" i="2"/>
  <c r="D5081" i="2"/>
  <c r="B5081" i="2"/>
  <c r="A5081" i="2"/>
  <c r="D5080" i="2"/>
  <c r="B5080" i="2"/>
  <c r="A5080" i="2"/>
  <c r="D5079" i="2"/>
  <c r="B5079" i="2"/>
  <c r="A5079" i="2"/>
  <c r="D5078" i="2"/>
  <c r="B5078" i="2"/>
  <c r="A5078" i="2"/>
  <c r="D5077" i="2"/>
  <c r="B5077" i="2"/>
  <c r="A5077" i="2"/>
  <c r="D5076" i="2"/>
  <c r="B5076" i="2"/>
  <c r="A5076" i="2"/>
  <c r="D5075" i="2"/>
  <c r="B5075" i="2"/>
  <c r="A5075" i="2"/>
  <c r="D5074" i="2"/>
  <c r="B5074" i="2"/>
  <c r="A5074" i="2"/>
  <c r="D5073" i="2"/>
  <c r="B5073" i="2"/>
  <c r="A5073" i="2"/>
  <c r="D5072" i="2"/>
  <c r="B5072" i="2"/>
  <c r="A5072" i="2"/>
  <c r="D5071" i="2"/>
  <c r="B5071" i="2"/>
  <c r="A5071" i="2"/>
  <c r="D5067" i="2"/>
  <c r="B5067" i="2"/>
  <c r="A5067" i="2"/>
  <c r="D5066" i="2"/>
  <c r="B5066" i="2"/>
  <c r="A5066" i="2"/>
  <c r="D5065" i="2"/>
  <c r="B5065" i="2"/>
  <c r="A5065" i="2"/>
  <c r="D5064" i="2"/>
  <c r="B5064" i="2"/>
  <c r="A5064" i="2"/>
  <c r="D5063" i="2"/>
  <c r="B5063" i="2"/>
  <c r="A5063" i="2"/>
  <c r="D5062" i="2"/>
  <c r="B5062" i="2"/>
  <c r="A5062" i="2"/>
  <c r="D5061" i="2"/>
  <c r="B5061" i="2"/>
  <c r="A5061" i="2"/>
  <c r="D5060" i="2"/>
  <c r="B5060" i="2"/>
  <c r="A5060" i="2"/>
  <c r="D5059" i="2"/>
  <c r="B5059" i="2"/>
  <c r="A5059" i="2"/>
  <c r="D5058" i="2"/>
  <c r="B5058" i="2"/>
  <c r="A5058" i="2"/>
  <c r="D5057" i="2"/>
  <c r="B5057" i="2"/>
  <c r="A5057" i="2"/>
  <c r="D5056" i="2"/>
  <c r="B5056" i="2"/>
  <c r="A5056" i="2"/>
  <c r="D5045" i="2"/>
  <c r="B5045" i="2"/>
  <c r="A5045" i="2"/>
  <c r="D5044" i="2"/>
  <c r="B5044" i="2"/>
  <c r="A5044" i="2"/>
  <c r="D5043" i="2"/>
  <c r="B5043" i="2"/>
  <c r="A5043" i="2"/>
  <c r="D5042" i="2"/>
  <c r="B5042" i="2"/>
  <c r="A5042" i="2"/>
  <c r="D5041" i="2"/>
  <c r="B5041" i="2"/>
  <c r="A5041" i="2"/>
  <c r="D5040" i="2"/>
  <c r="B5040" i="2"/>
  <c r="A5040" i="2"/>
  <c r="D5028" i="2"/>
  <c r="B5028" i="2"/>
  <c r="A5028" i="2"/>
  <c r="D5027" i="2"/>
  <c r="B5027" i="2"/>
  <c r="A5027" i="2"/>
  <c r="D5026" i="2"/>
  <c r="B5026" i="2"/>
  <c r="A5026" i="2"/>
  <c r="D5025" i="2"/>
  <c r="B5025" i="2"/>
  <c r="A5025" i="2"/>
  <c r="D5024" i="2"/>
  <c r="B5024" i="2"/>
  <c r="A5024" i="2"/>
  <c r="D5023" i="2"/>
  <c r="B5023" i="2"/>
  <c r="A5023" i="2"/>
  <c r="D5015" i="2"/>
  <c r="B5015" i="2"/>
  <c r="A5015" i="2"/>
  <c r="D5014" i="2"/>
  <c r="B5014" i="2"/>
  <c r="A5014" i="2"/>
  <c r="D5013" i="2"/>
  <c r="B5013" i="2"/>
  <c r="A5013" i="2"/>
  <c r="D5012" i="2"/>
  <c r="B5012" i="2"/>
  <c r="A5012" i="2"/>
  <c r="D5011" i="2"/>
  <c r="B5011" i="2"/>
  <c r="A5011" i="2"/>
  <c r="D5010" i="2"/>
  <c r="B5010" i="2"/>
  <c r="A5010" i="2"/>
  <c r="D5009" i="2"/>
  <c r="B5009" i="2"/>
  <c r="A5009" i="2"/>
  <c r="D5008" i="2"/>
  <c r="B5008" i="2"/>
  <c r="A5008" i="2"/>
  <c r="D5007" i="2"/>
  <c r="B5007" i="2"/>
  <c r="A5007" i="2"/>
  <c r="D5006" i="2"/>
  <c r="B5006" i="2"/>
  <c r="A5006" i="2"/>
  <c r="D5005" i="2"/>
  <c r="B5005" i="2"/>
  <c r="A5005" i="2"/>
  <c r="D5004" i="2"/>
  <c r="B5004" i="2"/>
  <c r="A5004" i="2"/>
  <c r="D4995" i="2"/>
  <c r="B4995" i="2"/>
  <c r="A4995" i="2"/>
  <c r="D4994" i="2"/>
  <c r="B4994" i="2"/>
  <c r="A4994" i="2"/>
  <c r="D4993" i="2"/>
  <c r="B4993" i="2"/>
  <c r="A4993" i="2"/>
  <c r="D4992" i="2"/>
  <c r="B4992" i="2"/>
  <c r="A4992" i="2"/>
  <c r="D4991" i="2"/>
  <c r="B4991" i="2"/>
  <c r="A4991" i="2"/>
  <c r="D4990" i="2"/>
  <c r="B4990" i="2"/>
  <c r="A4990" i="2"/>
  <c r="D4989" i="2"/>
  <c r="B4989" i="2"/>
  <c r="A4989" i="2"/>
  <c r="D4988" i="2"/>
  <c r="B4988" i="2"/>
  <c r="A4988" i="2"/>
  <c r="D4987" i="2"/>
  <c r="B4987" i="2"/>
  <c r="A4987" i="2"/>
  <c r="D4986" i="2"/>
  <c r="B4986" i="2"/>
  <c r="A4986" i="2"/>
  <c r="D4985" i="2"/>
  <c r="B4985" i="2"/>
  <c r="A4985" i="2"/>
  <c r="D4984" i="2"/>
  <c r="B4984" i="2"/>
  <c r="A4984" i="2"/>
  <c r="D4975" i="2"/>
  <c r="B4975" i="2"/>
  <c r="A4975" i="2"/>
  <c r="D4974" i="2"/>
  <c r="B4974" i="2"/>
  <c r="A4974" i="2"/>
  <c r="D4973" i="2"/>
  <c r="B4973" i="2"/>
  <c r="A4973" i="2"/>
  <c r="D4972" i="2"/>
  <c r="B4972" i="2"/>
  <c r="A4972" i="2"/>
  <c r="D4971" i="2"/>
  <c r="B4971" i="2"/>
  <c r="A4971" i="2"/>
  <c r="D4970" i="2"/>
  <c r="B4970" i="2"/>
  <c r="A4970" i="2"/>
  <c r="D4959" i="2"/>
  <c r="B4959" i="2"/>
  <c r="A4959" i="2"/>
  <c r="D4958" i="2"/>
  <c r="B4958" i="2"/>
  <c r="A4958" i="2"/>
  <c r="D4957" i="2"/>
  <c r="B4957" i="2"/>
  <c r="A4957" i="2"/>
  <c r="D4956" i="2"/>
  <c r="B4956" i="2"/>
  <c r="A4956" i="2"/>
  <c r="D4955" i="2"/>
  <c r="B4955" i="2"/>
  <c r="A4955" i="2"/>
  <c r="D4954" i="2"/>
  <c r="B4954" i="2"/>
  <c r="A4954" i="2"/>
  <c r="D4953" i="2"/>
  <c r="B4953" i="2"/>
  <c r="A4953" i="2"/>
  <c r="D4952" i="2"/>
  <c r="B4952" i="2"/>
  <c r="A4952" i="2"/>
  <c r="D4951" i="2"/>
  <c r="B4951" i="2"/>
  <c r="A4951" i="2"/>
  <c r="D4950" i="2"/>
  <c r="B4950" i="2"/>
  <c r="A4950" i="2"/>
  <c r="D4949" i="2"/>
  <c r="B4949" i="2"/>
  <c r="A4949" i="2"/>
  <c r="D4948" i="2"/>
  <c r="B4948" i="2"/>
  <c r="A4948" i="2"/>
  <c r="D4947" i="2"/>
  <c r="B4947" i="2"/>
  <c r="A4947" i="2"/>
  <c r="D4946" i="2"/>
  <c r="B4946" i="2"/>
  <c r="A4946" i="2"/>
  <c r="D4945" i="2"/>
  <c r="B4945" i="2"/>
  <c r="A4945" i="2"/>
  <c r="D4944" i="2"/>
  <c r="B4944" i="2"/>
  <c r="A4944" i="2"/>
  <c r="D4943" i="2"/>
  <c r="B4943" i="2"/>
  <c r="A4943" i="2"/>
  <c r="D4942" i="2"/>
  <c r="B4942" i="2"/>
  <c r="A4942" i="2"/>
  <c r="D4933" i="2"/>
  <c r="B4933" i="2"/>
  <c r="A4933" i="2"/>
  <c r="D4932" i="2"/>
  <c r="B4932" i="2"/>
  <c r="A4932" i="2"/>
  <c r="D4931" i="2"/>
  <c r="B4931" i="2"/>
  <c r="A4931" i="2"/>
  <c r="D4930" i="2"/>
  <c r="B4930" i="2"/>
  <c r="A4930" i="2"/>
  <c r="D4929" i="2"/>
  <c r="B4929" i="2"/>
  <c r="A4929" i="2"/>
  <c r="D4928" i="2"/>
  <c r="B4928" i="2"/>
  <c r="A4928" i="2"/>
  <c r="D4927" i="2"/>
  <c r="B4927" i="2"/>
  <c r="A4927" i="2"/>
  <c r="D4926" i="2"/>
  <c r="B4926" i="2"/>
  <c r="A4926" i="2"/>
  <c r="D4925" i="2"/>
  <c r="B4925" i="2"/>
  <c r="A4925" i="2"/>
  <c r="D4924" i="2"/>
  <c r="B4924" i="2"/>
  <c r="A4924" i="2"/>
  <c r="D4923" i="2"/>
  <c r="B4923" i="2"/>
  <c r="A4923" i="2"/>
  <c r="D4922" i="2"/>
  <c r="B4922" i="2"/>
  <c r="A4922" i="2"/>
  <c r="D4912" i="2"/>
  <c r="B4912" i="2"/>
  <c r="A4912" i="2"/>
  <c r="D4911" i="2"/>
  <c r="B4911" i="2"/>
  <c r="A4911" i="2"/>
  <c r="D4910" i="2"/>
  <c r="B4910" i="2"/>
  <c r="A4910" i="2"/>
  <c r="D4909" i="2"/>
  <c r="B4909" i="2"/>
  <c r="A4909" i="2"/>
  <c r="D4908" i="2"/>
  <c r="B4908" i="2"/>
  <c r="A4908" i="2"/>
  <c r="D4907" i="2"/>
  <c r="B4907" i="2"/>
  <c r="A4907" i="2"/>
  <c r="D4906" i="2"/>
  <c r="B4906" i="2"/>
  <c r="A4906" i="2"/>
  <c r="D4905" i="2"/>
  <c r="B4905" i="2"/>
  <c r="A4905" i="2"/>
  <c r="D4904" i="2"/>
  <c r="B4904" i="2"/>
  <c r="A4904" i="2"/>
  <c r="D4903" i="2"/>
  <c r="B4903" i="2"/>
  <c r="A4903" i="2"/>
  <c r="D4902" i="2"/>
  <c r="B4902" i="2"/>
  <c r="A4902" i="2"/>
  <c r="D4901" i="2"/>
  <c r="B4901" i="2"/>
  <c r="A4901" i="2"/>
  <c r="D4891" i="2"/>
  <c r="B4891" i="2"/>
  <c r="A4891" i="2"/>
  <c r="D4890" i="2"/>
  <c r="B4890" i="2"/>
  <c r="A4890" i="2"/>
  <c r="D4889" i="2"/>
  <c r="B4889" i="2"/>
  <c r="A4889" i="2"/>
  <c r="D4888" i="2"/>
  <c r="B4888" i="2"/>
  <c r="A4888" i="2"/>
  <c r="D4887" i="2"/>
  <c r="B4887" i="2"/>
  <c r="A4887" i="2"/>
  <c r="D4886" i="2"/>
  <c r="B4886" i="2"/>
  <c r="A4886" i="2"/>
  <c r="D4885" i="2"/>
  <c r="B4885" i="2"/>
  <c r="A4885" i="2"/>
  <c r="D4884" i="2"/>
  <c r="B4884" i="2"/>
  <c r="A4884" i="2"/>
  <c r="D4883" i="2"/>
  <c r="B4883" i="2"/>
  <c r="A4883" i="2"/>
  <c r="D4882" i="2"/>
  <c r="B4882" i="2"/>
  <c r="A4882" i="2"/>
  <c r="D4881" i="2"/>
  <c r="B4881" i="2"/>
  <c r="A4881" i="2"/>
  <c r="D4880" i="2"/>
  <c r="B4880" i="2"/>
  <c r="A4880" i="2"/>
  <c r="D4871" i="2"/>
  <c r="B4871" i="2"/>
  <c r="A4871" i="2"/>
  <c r="D4870" i="2"/>
  <c r="B4870" i="2"/>
  <c r="A4870" i="2"/>
  <c r="D4869" i="2"/>
  <c r="B4869" i="2"/>
  <c r="A4869" i="2"/>
  <c r="D4868" i="2"/>
  <c r="B4868" i="2"/>
  <c r="A4868" i="2"/>
  <c r="D4867" i="2"/>
  <c r="B4867" i="2"/>
  <c r="A4867" i="2"/>
  <c r="D4866" i="2"/>
  <c r="B4866" i="2"/>
  <c r="A4866" i="2"/>
  <c r="D4865" i="2"/>
  <c r="B4865" i="2"/>
  <c r="A4865" i="2"/>
  <c r="D4864" i="2"/>
  <c r="B4864" i="2"/>
  <c r="A4864" i="2"/>
  <c r="D4863" i="2"/>
  <c r="B4863" i="2"/>
  <c r="A4863" i="2"/>
  <c r="D4862" i="2"/>
  <c r="B4862" i="2"/>
  <c r="A4862" i="2"/>
  <c r="D4861" i="2"/>
  <c r="B4861" i="2"/>
  <c r="A4861" i="2"/>
  <c r="D4860" i="2"/>
  <c r="B4860" i="2"/>
  <c r="A4860" i="2"/>
  <c r="D4839" i="2"/>
  <c r="B4839" i="2"/>
  <c r="A4839" i="2"/>
  <c r="D4838" i="2"/>
  <c r="B4838" i="2"/>
  <c r="A4838" i="2"/>
  <c r="D4837" i="2"/>
  <c r="B4837" i="2"/>
  <c r="A4837" i="2"/>
  <c r="D4836" i="2"/>
  <c r="B4836" i="2"/>
  <c r="A4836" i="2"/>
  <c r="D4835" i="2"/>
  <c r="B4835" i="2"/>
  <c r="A4835" i="2"/>
  <c r="D4834" i="2"/>
  <c r="B4834" i="2"/>
  <c r="A4834" i="2"/>
  <c r="D4833" i="2"/>
  <c r="B4833" i="2"/>
  <c r="A4833" i="2"/>
  <c r="D4832" i="2"/>
  <c r="B4832" i="2"/>
  <c r="A4832" i="2"/>
  <c r="D4831" i="2"/>
  <c r="B4831" i="2"/>
  <c r="A4831" i="2"/>
  <c r="D4830" i="2"/>
  <c r="B4830" i="2"/>
  <c r="A4830" i="2"/>
  <c r="D4829" i="2"/>
  <c r="B4829" i="2"/>
  <c r="A4829" i="2"/>
  <c r="D4828" i="2"/>
  <c r="B4828" i="2"/>
  <c r="A4828" i="2"/>
  <c r="D4824" i="2"/>
  <c r="B4824" i="2"/>
  <c r="A4824" i="2"/>
  <c r="D4823" i="2"/>
  <c r="B4823" i="2"/>
  <c r="A4823" i="2"/>
  <c r="D4822" i="2"/>
  <c r="B4822" i="2"/>
  <c r="A4822" i="2"/>
  <c r="D4821" i="2"/>
  <c r="B4821" i="2"/>
  <c r="A4821" i="2"/>
  <c r="D4820" i="2"/>
  <c r="B4820" i="2"/>
  <c r="A4820" i="2"/>
  <c r="D4819" i="2"/>
  <c r="B4819" i="2"/>
  <c r="A4819" i="2"/>
  <c r="D4809" i="2"/>
  <c r="B4809" i="2"/>
  <c r="A4809" i="2"/>
  <c r="D4808" i="2"/>
  <c r="B4808" i="2"/>
  <c r="A4808" i="2"/>
  <c r="D4807" i="2"/>
  <c r="B4807" i="2"/>
  <c r="A4807" i="2"/>
  <c r="D4806" i="2"/>
  <c r="B4806" i="2"/>
  <c r="A4806" i="2"/>
  <c r="D4805" i="2"/>
  <c r="B4805" i="2"/>
  <c r="A4805" i="2"/>
  <c r="D4804" i="2"/>
  <c r="B4804" i="2"/>
  <c r="A4804" i="2"/>
  <c r="D4794" i="2"/>
  <c r="B4794" i="2"/>
  <c r="A4794" i="2"/>
  <c r="D4793" i="2"/>
  <c r="B4793" i="2"/>
  <c r="A4793" i="2"/>
  <c r="D4792" i="2"/>
  <c r="B4792" i="2"/>
  <c r="A4792" i="2"/>
  <c r="D4791" i="2"/>
  <c r="B4791" i="2"/>
  <c r="A4791" i="2"/>
  <c r="D4790" i="2"/>
  <c r="B4790" i="2"/>
  <c r="A4790" i="2"/>
  <c r="D4789" i="2"/>
  <c r="B4789" i="2"/>
  <c r="A4789" i="2"/>
  <c r="D4788" i="2"/>
  <c r="B4788" i="2"/>
  <c r="A4788" i="2"/>
  <c r="D4787" i="2"/>
  <c r="B4787" i="2"/>
  <c r="A4787" i="2"/>
  <c r="D4786" i="2"/>
  <c r="B4786" i="2"/>
  <c r="A4786" i="2"/>
  <c r="D4785" i="2"/>
  <c r="B4785" i="2"/>
  <c r="A4785" i="2"/>
  <c r="D4784" i="2"/>
  <c r="B4784" i="2"/>
  <c r="A4784" i="2"/>
  <c r="D4783" i="2"/>
  <c r="B4783" i="2"/>
  <c r="A4783" i="2"/>
  <c r="D4775" i="2"/>
  <c r="B4775" i="2"/>
  <c r="A4775" i="2"/>
  <c r="D4774" i="2"/>
  <c r="B4774" i="2"/>
  <c r="A4774" i="2"/>
  <c r="D4773" i="2"/>
  <c r="B4773" i="2"/>
  <c r="A4773" i="2"/>
  <c r="D4772" i="2"/>
  <c r="B4772" i="2"/>
  <c r="A4772" i="2"/>
  <c r="D4771" i="2"/>
  <c r="B4771" i="2"/>
  <c r="A4771" i="2"/>
  <c r="D4770" i="2"/>
  <c r="B4770" i="2"/>
  <c r="A4770" i="2"/>
  <c r="D4769" i="2"/>
  <c r="B4769" i="2"/>
  <c r="A4769" i="2"/>
  <c r="D4768" i="2"/>
  <c r="B4768" i="2"/>
  <c r="A4768" i="2"/>
  <c r="D4767" i="2"/>
  <c r="B4767" i="2"/>
  <c r="A4767" i="2"/>
  <c r="D4766" i="2"/>
  <c r="B4766" i="2"/>
  <c r="A4766" i="2"/>
  <c r="D4765" i="2"/>
  <c r="B4765" i="2"/>
  <c r="A4765" i="2"/>
  <c r="D4764" i="2"/>
  <c r="B4764" i="2"/>
  <c r="A4764" i="2"/>
  <c r="D4756" i="2"/>
  <c r="B4756" i="2"/>
  <c r="A4756" i="2"/>
  <c r="D4755" i="2"/>
  <c r="B4755" i="2"/>
  <c r="A4755" i="2"/>
  <c r="D4754" i="2"/>
  <c r="B4754" i="2"/>
  <c r="A4754" i="2"/>
  <c r="D4753" i="2"/>
  <c r="B4753" i="2"/>
  <c r="A4753" i="2"/>
  <c r="D4752" i="2"/>
  <c r="B4752" i="2"/>
  <c r="A4752" i="2"/>
  <c r="D4751" i="2"/>
  <c r="B4751" i="2"/>
  <c r="A4751" i="2"/>
  <c r="D4740" i="2"/>
  <c r="B4740" i="2"/>
  <c r="A4740" i="2"/>
  <c r="D4739" i="2"/>
  <c r="B4739" i="2"/>
  <c r="A4739" i="2"/>
  <c r="D4738" i="2"/>
  <c r="B4738" i="2"/>
  <c r="A4738" i="2"/>
  <c r="D4737" i="2"/>
  <c r="B4737" i="2"/>
  <c r="A4737" i="2"/>
  <c r="D4736" i="2"/>
  <c r="B4736" i="2"/>
  <c r="A4736" i="2"/>
  <c r="D4735" i="2"/>
  <c r="B4735" i="2"/>
  <c r="A4735" i="2"/>
  <c r="D4724" i="2"/>
  <c r="B4724" i="2"/>
  <c r="A4724" i="2"/>
  <c r="D4723" i="2"/>
  <c r="B4723" i="2"/>
  <c r="A4723" i="2"/>
  <c r="D4722" i="2"/>
  <c r="B4722" i="2"/>
  <c r="A4722" i="2"/>
  <c r="D4721" i="2"/>
  <c r="B4721" i="2"/>
  <c r="A4721" i="2"/>
  <c r="D4720" i="2"/>
  <c r="B4720" i="2"/>
  <c r="A4720" i="2"/>
  <c r="D4719" i="2"/>
  <c r="B4719" i="2"/>
  <c r="A4719" i="2"/>
  <c r="D4718" i="2"/>
  <c r="B4718" i="2"/>
  <c r="A4718" i="2"/>
  <c r="D4717" i="2"/>
  <c r="B4717" i="2"/>
  <c r="A4717" i="2"/>
  <c r="D4716" i="2"/>
  <c r="B4716" i="2"/>
  <c r="A4716" i="2"/>
  <c r="D4715" i="2"/>
  <c r="B4715" i="2"/>
  <c r="A4715" i="2"/>
  <c r="D4714" i="2"/>
  <c r="B4714" i="2"/>
  <c r="A4714" i="2"/>
  <c r="D4713" i="2"/>
  <c r="B4713" i="2"/>
  <c r="A4713" i="2"/>
  <c r="D4712" i="2"/>
  <c r="B4712" i="2"/>
  <c r="A4712" i="2"/>
  <c r="D4711" i="2"/>
  <c r="B4711" i="2"/>
  <c r="A4711" i="2"/>
  <c r="D4710" i="2"/>
  <c r="B4710" i="2"/>
  <c r="A4710" i="2"/>
  <c r="D4709" i="2"/>
  <c r="B4709" i="2"/>
  <c r="A4709" i="2"/>
  <c r="D4708" i="2"/>
  <c r="B4708" i="2"/>
  <c r="A4708" i="2"/>
  <c r="D4707" i="2"/>
  <c r="B4707" i="2"/>
  <c r="A4707" i="2"/>
  <c r="D4706" i="2"/>
  <c r="B4706" i="2"/>
  <c r="A4706" i="2"/>
  <c r="D4705" i="2"/>
  <c r="B4705" i="2"/>
  <c r="A4705" i="2"/>
  <c r="D4704" i="2"/>
  <c r="B4704" i="2"/>
  <c r="A4704" i="2"/>
  <c r="D4703" i="2"/>
  <c r="B4703" i="2"/>
  <c r="A4703" i="2"/>
  <c r="D4702" i="2"/>
  <c r="B4702" i="2"/>
  <c r="A4702" i="2"/>
  <c r="D4701" i="2"/>
  <c r="B4701" i="2"/>
  <c r="A4701" i="2"/>
  <c r="D4694" i="2"/>
  <c r="B4694" i="2"/>
  <c r="A4694" i="2"/>
  <c r="D4693" i="2"/>
  <c r="B4693" i="2"/>
  <c r="A4693" i="2"/>
  <c r="D4692" i="2"/>
  <c r="B4692" i="2"/>
  <c r="A4692" i="2"/>
  <c r="D4691" i="2"/>
  <c r="B4691" i="2"/>
  <c r="A4691" i="2"/>
  <c r="D4690" i="2"/>
  <c r="B4690" i="2"/>
  <c r="A4690" i="2"/>
  <c r="D4689" i="2"/>
  <c r="B4689" i="2"/>
  <c r="A4689" i="2"/>
  <c r="D4688" i="2"/>
  <c r="B4688" i="2"/>
  <c r="A4688" i="2"/>
  <c r="D4687" i="2"/>
  <c r="B4687" i="2"/>
  <c r="A4687" i="2"/>
  <c r="D4686" i="2"/>
  <c r="B4686" i="2"/>
  <c r="A4686" i="2"/>
  <c r="D4685" i="2"/>
  <c r="B4685" i="2"/>
  <c r="A4685" i="2"/>
  <c r="D4684" i="2"/>
  <c r="B4684" i="2"/>
  <c r="A4684" i="2"/>
  <c r="D4683" i="2"/>
  <c r="B4683" i="2"/>
  <c r="A4683" i="2"/>
  <c r="D4676" i="2"/>
  <c r="B4676" i="2"/>
  <c r="A4676" i="2"/>
  <c r="D4675" i="2"/>
  <c r="B4675" i="2"/>
  <c r="A4675" i="2"/>
  <c r="D4674" i="2"/>
  <c r="B4674" i="2"/>
  <c r="A4674" i="2"/>
  <c r="D4673" i="2"/>
  <c r="B4673" i="2"/>
  <c r="A4673" i="2"/>
  <c r="D4672" i="2"/>
  <c r="B4672" i="2"/>
  <c r="A4672" i="2"/>
  <c r="D4671" i="2"/>
  <c r="B4671" i="2"/>
  <c r="A4671" i="2"/>
  <c r="D4659" i="2"/>
  <c r="B4659" i="2"/>
  <c r="A4659" i="2"/>
  <c r="D4658" i="2"/>
  <c r="B4658" i="2"/>
  <c r="A4658" i="2"/>
  <c r="D4657" i="2"/>
  <c r="B4657" i="2"/>
  <c r="A4657" i="2"/>
  <c r="D4656" i="2"/>
  <c r="B4656" i="2"/>
  <c r="A4656" i="2"/>
  <c r="D4655" i="2"/>
  <c r="B4655" i="2"/>
  <c r="A4655" i="2"/>
  <c r="D4654" i="2"/>
  <c r="B4654" i="2"/>
  <c r="A4654" i="2"/>
  <c r="D4653" i="2"/>
  <c r="B4653" i="2"/>
  <c r="A4653" i="2"/>
  <c r="D4652" i="2"/>
  <c r="B4652" i="2"/>
  <c r="A4652" i="2"/>
  <c r="D4651" i="2"/>
  <c r="B4651" i="2"/>
  <c r="A4651" i="2"/>
  <c r="D4650" i="2"/>
  <c r="B4650" i="2"/>
  <c r="A4650" i="2"/>
  <c r="D4649" i="2"/>
  <c r="B4649" i="2"/>
  <c r="A4649" i="2"/>
  <c r="D4648" i="2"/>
  <c r="B4648" i="2"/>
  <c r="A4648" i="2"/>
  <c r="D4647" i="2"/>
  <c r="B4647" i="2"/>
  <c r="A4647" i="2"/>
  <c r="D4646" i="2"/>
  <c r="B4646" i="2"/>
  <c r="A4646" i="2"/>
  <c r="D4645" i="2"/>
  <c r="B4645" i="2"/>
  <c r="A4645" i="2"/>
  <c r="D4644" i="2"/>
  <c r="B4644" i="2"/>
  <c r="A4644" i="2"/>
  <c r="D4643" i="2"/>
  <c r="B4643" i="2"/>
  <c r="A4643" i="2"/>
  <c r="D4642" i="2"/>
  <c r="B4642" i="2"/>
  <c r="A4642" i="2"/>
  <c r="D4635" i="2"/>
  <c r="B4635" i="2"/>
  <c r="A4635" i="2"/>
  <c r="D4634" i="2"/>
  <c r="B4634" i="2"/>
  <c r="A4634" i="2"/>
  <c r="D4633" i="2"/>
  <c r="B4633" i="2"/>
  <c r="A4633" i="2"/>
  <c r="D4632" i="2"/>
  <c r="B4632" i="2"/>
  <c r="A4632" i="2"/>
  <c r="D4631" i="2"/>
  <c r="B4631" i="2"/>
  <c r="A4631" i="2"/>
  <c r="D4630" i="2"/>
  <c r="B4630" i="2"/>
  <c r="A4630" i="2"/>
  <c r="D4629" i="2"/>
  <c r="B4629" i="2"/>
  <c r="A4629" i="2"/>
  <c r="D4628" i="2"/>
  <c r="B4628" i="2"/>
  <c r="A4628" i="2"/>
  <c r="D4627" i="2"/>
  <c r="B4627" i="2"/>
  <c r="A4627" i="2"/>
  <c r="D4626" i="2"/>
  <c r="B4626" i="2"/>
  <c r="A4626" i="2"/>
  <c r="D4625" i="2"/>
  <c r="B4625" i="2"/>
  <c r="A4625" i="2"/>
  <c r="D4624" i="2"/>
  <c r="B4624" i="2"/>
  <c r="A4624" i="2"/>
  <c r="D4616" i="2"/>
  <c r="B4616" i="2"/>
  <c r="A4616" i="2"/>
  <c r="D4615" i="2"/>
  <c r="B4615" i="2"/>
  <c r="A4615" i="2"/>
  <c r="D4614" i="2"/>
  <c r="B4614" i="2"/>
  <c r="A4614" i="2"/>
  <c r="D4613" i="2"/>
  <c r="B4613" i="2"/>
  <c r="A4613" i="2"/>
  <c r="D4612" i="2"/>
  <c r="B4612" i="2"/>
  <c r="A4612" i="2"/>
  <c r="D4611" i="2"/>
  <c r="B4611" i="2"/>
  <c r="A4611" i="2"/>
  <c r="D4610" i="2"/>
  <c r="B4610" i="2"/>
  <c r="A4610" i="2"/>
  <c r="D4609" i="2"/>
  <c r="B4609" i="2"/>
  <c r="A4609" i="2"/>
  <c r="D4608" i="2"/>
  <c r="B4608" i="2"/>
  <c r="A4608" i="2"/>
  <c r="D4607" i="2"/>
  <c r="B4607" i="2"/>
  <c r="A4607" i="2"/>
  <c r="D4606" i="2"/>
  <c r="B4606" i="2"/>
  <c r="A4606" i="2"/>
  <c r="D4605" i="2"/>
  <c r="B4605" i="2"/>
  <c r="A4605" i="2"/>
  <c r="D4586" i="2"/>
  <c r="B4586" i="2"/>
  <c r="A4586" i="2"/>
  <c r="D4585" i="2"/>
  <c r="B4585" i="2"/>
  <c r="A4585" i="2"/>
  <c r="D4584" i="2"/>
  <c r="B4584" i="2"/>
  <c r="A4584" i="2"/>
  <c r="D4583" i="2"/>
  <c r="B4583" i="2"/>
  <c r="A4583" i="2"/>
  <c r="D4582" i="2"/>
  <c r="B4582" i="2"/>
  <c r="A4582" i="2"/>
  <c r="D4581" i="2"/>
  <c r="B4581" i="2"/>
  <c r="A4581" i="2"/>
  <c r="D4580" i="2"/>
  <c r="B4580" i="2"/>
  <c r="A4580" i="2"/>
  <c r="D4579" i="2"/>
  <c r="B4579" i="2"/>
  <c r="A4579" i="2"/>
  <c r="D4578" i="2"/>
  <c r="B4578" i="2"/>
  <c r="A4578" i="2"/>
  <c r="D4577" i="2"/>
  <c r="B4577" i="2"/>
  <c r="A4577" i="2"/>
  <c r="D4576" i="2"/>
  <c r="B4576" i="2"/>
  <c r="A4576" i="2"/>
  <c r="D4575" i="2"/>
  <c r="B4575" i="2"/>
  <c r="A4575" i="2"/>
  <c r="D4567" i="2"/>
  <c r="B4567" i="2"/>
  <c r="A4567" i="2"/>
  <c r="D4566" i="2"/>
  <c r="B4566" i="2"/>
  <c r="A4566" i="2"/>
  <c r="D4565" i="2"/>
  <c r="B4565" i="2"/>
  <c r="A4565" i="2"/>
  <c r="D4564" i="2"/>
  <c r="B4564" i="2"/>
  <c r="A4564" i="2"/>
  <c r="D4563" i="2"/>
  <c r="B4563" i="2"/>
  <c r="A4563" i="2"/>
  <c r="D4562" i="2"/>
  <c r="B4562" i="2"/>
  <c r="A4562" i="2"/>
  <c r="D4561" i="2"/>
  <c r="B4561" i="2"/>
  <c r="A4561" i="2"/>
  <c r="D4560" i="2"/>
  <c r="B4560" i="2"/>
  <c r="A4560" i="2"/>
  <c r="D4559" i="2"/>
  <c r="B4559" i="2"/>
  <c r="A4559" i="2"/>
  <c r="D4558" i="2"/>
  <c r="B4558" i="2"/>
  <c r="A4558" i="2"/>
  <c r="D4557" i="2"/>
  <c r="B4557" i="2"/>
  <c r="A4557" i="2"/>
  <c r="D4556" i="2"/>
  <c r="B4556" i="2"/>
  <c r="A4556" i="2"/>
  <c r="D4545" i="2"/>
  <c r="B4545" i="2"/>
  <c r="A4545" i="2"/>
  <c r="D4544" i="2"/>
  <c r="B4544" i="2"/>
  <c r="A4544" i="2"/>
  <c r="D4543" i="2"/>
  <c r="B4543" i="2"/>
  <c r="A4543" i="2"/>
  <c r="D4542" i="2"/>
  <c r="B4542" i="2"/>
  <c r="A4542" i="2"/>
  <c r="D4541" i="2"/>
  <c r="B4541" i="2"/>
  <c r="A4541" i="2"/>
  <c r="D4540" i="2"/>
  <c r="B4540" i="2"/>
  <c r="A4540" i="2"/>
  <c r="D4539" i="2"/>
  <c r="B4539" i="2"/>
  <c r="A4539" i="2"/>
  <c r="D4538" i="2"/>
  <c r="B4538" i="2"/>
  <c r="A4538" i="2"/>
  <c r="D4537" i="2"/>
  <c r="B4537" i="2"/>
  <c r="A4537" i="2"/>
  <c r="D4536" i="2"/>
  <c r="B4536" i="2"/>
  <c r="A4536" i="2"/>
  <c r="D4535" i="2"/>
  <c r="B4535" i="2"/>
  <c r="A4535" i="2"/>
  <c r="D4534" i="2"/>
  <c r="B4534" i="2"/>
  <c r="A4534" i="2"/>
  <c r="D4524" i="2"/>
  <c r="B4524" i="2"/>
  <c r="A4524" i="2"/>
  <c r="D4523" i="2"/>
  <c r="B4523" i="2"/>
  <c r="A4523" i="2"/>
  <c r="D4522" i="2"/>
  <c r="B4522" i="2"/>
  <c r="A4522" i="2"/>
  <c r="D4521" i="2"/>
  <c r="B4521" i="2"/>
  <c r="A4521" i="2"/>
  <c r="D4520" i="2"/>
  <c r="B4520" i="2"/>
  <c r="A4520" i="2"/>
  <c r="D4519" i="2"/>
  <c r="B4519" i="2"/>
  <c r="A4519" i="2"/>
  <c r="D4518" i="2"/>
  <c r="B4518" i="2"/>
  <c r="A4518" i="2"/>
  <c r="D4517" i="2"/>
  <c r="B4517" i="2"/>
  <c r="A4517" i="2"/>
  <c r="D4516" i="2"/>
  <c r="B4516" i="2"/>
  <c r="A4516" i="2"/>
  <c r="D4515" i="2"/>
  <c r="B4515" i="2"/>
  <c r="A4515" i="2"/>
  <c r="D4514" i="2"/>
  <c r="B4514" i="2"/>
  <c r="A4514" i="2"/>
  <c r="D4513" i="2"/>
  <c r="B4513" i="2"/>
  <c r="A4513" i="2"/>
  <c r="D4493" i="2"/>
  <c r="B4493" i="2"/>
  <c r="A4493" i="2"/>
  <c r="D4492" i="2"/>
  <c r="B4492" i="2"/>
  <c r="A4492" i="2"/>
  <c r="D4491" i="2"/>
  <c r="B4491" i="2"/>
  <c r="A4491" i="2"/>
  <c r="D4490" i="2"/>
  <c r="B4490" i="2"/>
  <c r="A4490" i="2"/>
  <c r="D4489" i="2"/>
  <c r="B4489" i="2"/>
  <c r="A4489" i="2"/>
  <c r="D4488" i="2"/>
  <c r="B4488" i="2"/>
  <c r="A4488" i="2"/>
  <c r="D4487" i="2"/>
  <c r="B4487" i="2"/>
  <c r="A4487" i="2"/>
  <c r="D4486" i="2"/>
  <c r="B4486" i="2"/>
  <c r="A4486" i="2"/>
  <c r="D4485" i="2"/>
  <c r="B4485" i="2"/>
  <c r="A4485" i="2"/>
  <c r="D4484" i="2"/>
  <c r="B4484" i="2"/>
  <c r="A4484" i="2"/>
  <c r="D4483" i="2"/>
  <c r="B4483" i="2"/>
  <c r="A4483" i="2"/>
  <c r="D4482" i="2"/>
  <c r="B4482" i="2"/>
  <c r="A4482" i="2"/>
  <c r="D4481" i="2"/>
  <c r="B4481" i="2"/>
  <c r="A4481" i="2"/>
  <c r="D4480" i="2"/>
  <c r="B4480" i="2"/>
  <c r="A4480" i="2"/>
  <c r="D4479" i="2"/>
  <c r="B4479" i="2"/>
  <c r="A4479" i="2"/>
  <c r="D4478" i="2"/>
  <c r="B4478" i="2"/>
  <c r="A4478" i="2"/>
  <c r="D4477" i="2"/>
  <c r="B4477" i="2"/>
  <c r="A4477" i="2"/>
  <c r="D4476" i="2"/>
  <c r="B4476" i="2"/>
  <c r="A4476" i="2"/>
  <c r="D4475" i="2"/>
  <c r="B4475" i="2"/>
  <c r="A4475" i="2"/>
  <c r="D4474" i="2"/>
  <c r="B4474" i="2"/>
  <c r="A4474" i="2"/>
  <c r="D4473" i="2"/>
  <c r="B4473" i="2"/>
  <c r="A4473" i="2"/>
  <c r="D4472" i="2"/>
  <c r="B4472" i="2"/>
  <c r="A4472" i="2"/>
  <c r="D4471" i="2"/>
  <c r="B4471" i="2"/>
  <c r="A4471" i="2"/>
  <c r="D4470" i="2"/>
  <c r="B4470" i="2"/>
  <c r="A4470" i="2"/>
  <c r="D4461" i="2"/>
  <c r="B4461" i="2"/>
  <c r="A4461" i="2"/>
  <c r="D4460" i="2"/>
  <c r="B4460" i="2"/>
  <c r="A4460" i="2"/>
  <c r="D4459" i="2"/>
  <c r="B4459" i="2"/>
  <c r="A4459" i="2"/>
  <c r="D4458" i="2"/>
  <c r="B4458" i="2"/>
  <c r="A4458" i="2"/>
  <c r="D4457" i="2"/>
  <c r="B4457" i="2"/>
  <c r="A4457" i="2"/>
  <c r="D4456" i="2"/>
  <c r="B4456" i="2"/>
  <c r="A4456" i="2"/>
  <c r="D4455" i="2"/>
  <c r="B4455" i="2"/>
  <c r="A4455" i="2"/>
  <c r="D4454" i="2"/>
  <c r="B4454" i="2"/>
  <c r="A4454" i="2"/>
  <c r="D4453" i="2"/>
  <c r="B4453" i="2"/>
  <c r="A4453" i="2"/>
  <c r="D4452" i="2"/>
  <c r="B4452" i="2"/>
  <c r="A4452" i="2"/>
  <c r="D4451" i="2"/>
  <c r="B4451" i="2"/>
  <c r="A4451" i="2"/>
  <c r="D4450" i="2"/>
  <c r="B4450" i="2"/>
  <c r="A4450" i="2"/>
  <c r="D4439" i="2"/>
  <c r="B4439" i="2"/>
  <c r="A4439" i="2"/>
  <c r="D4438" i="2"/>
  <c r="B4438" i="2"/>
  <c r="A4438" i="2"/>
  <c r="D4437" i="2"/>
  <c r="B4437" i="2"/>
  <c r="A4437" i="2"/>
  <c r="D4436" i="2"/>
  <c r="B4436" i="2"/>
  <c r="A4436" i="2"/>
  <c r="D4435" i="2"/>
  <c r="B4435" i="2"/>
  <c r="A4435" i="2"/>
  <c r="D4434" i="2"/>
  <c r="B4434" i="2"/>
  <c r="A4434" i="2"/>
  <c r="D4433" i="2"/>
  <c r="B4433" i="2"/>
  <c r="A4433" i="2"/>
  <c r="D4432" i="2"/>
  <c r="B4432" i="2"/>
  <c r="A4432" i="2"/>
  <c r="D4431" i="2"/>
  <c r="B4431" i="2"/>
  <c r="A4431" i="2"/>
  <c r="D4430" i="2"/>
  <c r="B4430" i="2"/>
  <c r="A4430" i="2"/>
  <c r="D4429" i="2"/>
  <c r="B4429" i="2"/>
  <c r="A4429" i="2"/>
  <c r="D4428" i="2"/>
  <c r="B4428" i="2"/>
  <c r="A4428" i="2"/>
  <c r="D4422" i="2"/>
  <c r="B4422" i="2"/>
  <c r="A4422" i="2"/>
  <c r="D4421" i="2"/>
  <c r="B4421" i="2"/>
  <c r="A4421" i="2"/>
  <c r="D4420" i="2"/>
  <c r="B4420" i="2"/>
  <c r="A4420" i="2"/>
  <c r="D4419" i="2"/>
  <c r="B4419" i="2"/>
  <c r="A4419" i="2"/>
  <c r="D4418" i="2"/>
  <c r="B4418" i="2"/>
  <c r="A4418" i="2"/>
  <c r="D4417" i="2"/>
  <c r="B4417" i="2"/>
  <c r="A4417" i="2"/>
  <c r="D4405" i="2"/>
  <c r="B4405" i="2"/>
  <c r="A4405" i="2"/>
  <c r="D4404" i="2"/>
  <c r="B4404" i="2"/>
  <c r="A4404" i="2"/>
  <c r="D4403" i="2"/>
  <c r="B4403" i="2"/>
  <c r="A4403" i="2"/>
  <c r="D4402" i="2"/>
  <c r="B4402" i="2"/>
  <c r="A4402" i="2"/>
  <c r="D4401" i="2"/>
  <c r="B4401" i="2"/>
  <c r="A4401" i="2"/>
  <c r="D4400" i="2"/>
  <c r="B4400" i="2"/>
  <c r="A4400" i="2"/>
  <c r="D4390" i="2"/>
  <c r="B4390" i="2"/>
  <c r="A4390" i="2"/>
  <c r="D4389" i="2"/>
  <c r="B4389" i="2"/>
  <c r="A4389" i="2"/>
  <c r="D4388" i="2"/>
  <c r="B4388" i="2"/>
  <c r="A4388" i="2"/>
  <c r="D4387" i="2"/>
  <c r="B4387" i="2"/>
  <c r="A4387" i="2"/>
  <c r="D4386" i="2"/>
  <c r="B4386" i="2"/>
  <c r="A4386" i="2"/>
  <c r="D4385" i="2"/>
  <c r="B4385" i="2"/>
  <c r="A4385" i="2"/>
  <c r="D4384" i="2"/>
  <c r="B4384" i="2"/>
  <c r="A4384" i="2"/>
  <c r="D4383" i="2"/>
  <c r="B4383" i="2"/>
  <c r="A4383" i="2"/>
  <c r="D4382" i="2"/>
  <c r="B4382" i="2"/>
  <c r="A4382" i="2"/>
  <c r="D4381" i="2"/>
  <c r="B4381" i="2"/>
  <c r="A4381" i="2"/>
  <c r="D4380" i="2"/>
  <c r="B4380" i="2"/>
  <c r="A4380" i="2"/>
  <c r="D4379" i="2"/>
  <c r="B4379" i="2"/>
  <c r="A4379" i="2"/>
  <c r="D4371" i="2"/>
  <c r="B4371" i="2"/>
  <c r="A4371" i="2"/>
  <c r="D4370" i="2"/>
  <c r="B4370" i="2"/>
  <c r="A4370" i="2"/>
  <c r="D4369" i="2"/>
  <c r="B4369" i="2"/>
  <c r="A4369" i="2"/>
  <c r="D4368" i="2"/>
  <c r="B4368" i="2"/>
  <c r="A4368" i="2"/>
  <c r="D4367" i="2"/>
  <c r="B4367" i="2"/>
  <c r="A4367" i="2"/>
  <c r="D4366" i="2"/>
  <c r="B4366" i="2"/>
  <c r="A4366" i="2"/>
  <c r="D4365" i="2"/>
  <c r="B4365" i="2"/>
  <c r="A4365" i="2"/>
  <c r="D4364" i="2"/>
  <c r="B4364" i="2"/>
  <c r="A4364" i="2"/>
  <c r="D4363" i="2"/>
  <c r="B4363" i="2"/>
  <c r="A4363" i="2"/>
  <c r="D4362" i="2"/>
  <c r="B4362" i="2"/>
  <c r="A4362" i="2"/>
  <c r="D4361" i="2"/>
  <c r="B4361" i="2"/>
  <c r="A4361" i="2"/>
  <c r="D4360" i="2"/>
  <c r="B4360" i="2"/>
  <c r="A4360" i="2"/>
  <c r="D4359" i="2"/>
  <c r="B4359" i="2"/>
  <c r="A4359" i="2"/>
  <c r="D4358" i="2"/>
  <c r="B4358" i="2"/>
  <c r="A4358" i="2"/>
  <c r="D4357" i="2"/>
  <c r="B4357" i="2"/>
  <c r="A4357" i="2"/>
  <c r="D4356" i="2"/>
  <c r="B4356" i="2"/>
  <c r="A4356" i="2"/>
  <c r="D4355" i="2"/>
  <c r="B4355" i="2"/>
  <c r="A4355" i="2"/>
  <c r="D4354" i="2"/>
  <c r="B4354" i="2"/>
  <c r="A4354" i="2"/>
  <c r="D4353" i="2"/>
  <c r="B4353" i="2"/>
  <c r="A4353" i="2"/>
  <c r="D4352" i="2"/>
  <c r="B4352" i="2"/>
  <c r="A4352" i="2"/>
  <c r="D4351" i="2"/>
  <c r="B4351" i="2"/>
  <c r="A4351" i="2"/>
  <c r="D4350" i="2"/>
  <c r="B4350" i="2"/>
  <c r="A4350" i="2"/>
  <c r="D4349" i="2"/>
  <c r="B4349" i="2"/>
  <c r="A4349" i="2"/>
  <c r="D4348" i="2"/>
  <c r="B4348" i="2"/>
  <c r="A4348" i="2"/>
  <c r="D4340" i="2"/>
  <c r="B4340" i="2"/>
  <c r="A4340" i="2"/>
  <c r="D4339" i="2"/>
  <c r="B4339" i="2"/>
  <c r="A4339" i="2"/>
  <c r="D4338" i="2"/>
  <c r="B4338" i="2"/>
  <c r="A4338" i="2"/>
  <c r="D4337" i="2"/>
  <c r="B4337" i="2"/>
  <c r="A4337" i="2"/>
  <c r="D4336" i="2"/>
  <c r="B4336" i="2"/>
  <c r="A4336" i="2"/>
  <c r="D4335" i="2"/>
  <c r="B4335" i="2"/>
  <c r="A4335" i="2"/>
  <c r="D4324" i="2"/>
  <c r="B4324" i="2"/>
  <c r="A4324" i="2"/>
  <c r="D4323" i="2"/>
  <c r="B4323" i="2"/>
  <c r="A4323" i="2"/>
  <c r="D4322" i="2"/>
  <c r="B4322" i="2"/>
  <c r="A4322" i="2"/>
  <c r="D4321" i="2"/>
  <c r="B4321" i="2"/>
  <c r="A4321" i="2"/>
  <c r="D4320" i="2"/>
  <c r="B4320" i="2"/>
  <c r="A4320" i="2"/>
  <c r="D4319" i="2"/>
  <c r="B4319" i="2"/>
  <c r="A4319" i="2"/>
  <c r="D4318" i="2"/>
  <c r="B4318" i="2"/>
  <c r="A4318" i="2"/>
  <c r="D4317" i="2"/>
  <c r="B4317" i="2"/>
  <c r="A4317" i="2"/>
  <c r="D4316" i="2"/>
  <c r="B4316" i="2"/>
  <c r="A4316" i="2"/>
  <c r="D4315" i="2"/>
  <c r="B4315" i="2"/>
  <c r="A4315" i="2"/>
  <c r="D4314" i="2"/>
  <c r="B4314" i="2"/>
  <c r="A4314" i="2"/>
  <c r="D4313" i="2"/>
  <c r="B4313" i="2"/>
  <c r="A4313" i="2"/>
  <c r="D4312" i="2"/>
  <c r="B4312" i="2"/>
  <c r="A4312" i="2"/>
  <c r="D4311" i="2"/>
  <c r="B4311" i="2"/>
  <c r="A4311" i="2"/>
  <c r="D4310" i="2"/>
  <c r="B4310" i="2"/>
  <c r="A4310" i="2"/>
  <c r="D4309" i="2"/>
  <c r="B4309" i="2"/>
  <c r="A4309" i="2"/>
  <c r="D4308" i="2"/>
  <c r="B4308" i="2"/>
  <c r="A4308" i="2"/>
  <c r="D4307" i="2"/>
  <c r="B4307" i="2"/>
  <c r="A4307" i="2"/>
  <c r="D4298" i="2"/>
  <c r="B4298" i="2"/>
  <c r="A4298" i="2"/>
  <c r="D4297" i="2"/>
  <c r="B4297" i="2"/>
  <c r="A4297" i="2"/>
  <c r="D4296" i="2"/>
  <c r="B4296" i="2"/>
  <c r="A4296" i="2"/>
  <c r="D4295" i="2"/>
  <c r="B4295" i="2"/>
  <c r="A4295" i="2"/>
  <c r="D4294" i="2"/>
  <c r="B4294" i="2"/>
  <c r="A4294" i="2"/>
  <c r="D4293" i="2"/>
  <c r="B4293" i="2"/>
  <c r="A4293" i="2"/>
  <c r="D4292" i="2"/>
  <c r="B4292" i="2"/>
  <c r="A4292" i="2"/>
  <c r="D4291" i="2"/>
  <c r="B4291" i="2"/>
  <c r="A4291" i="2"/>
  <c r="D4290" i="2"/>
  <c r="B4290" i="2"/>
  <c r="A4290" i="2"/>
  <c r="D4289" i="2"/>
  <c r="B4289" i="2"/>
  <c r="A4289" i="2"/>
  <c r="D4288" i="2"/>
  <c r="B4288" i="2"/>
  <c r="A4288" i="2"/>
  <c r="D4287" i="2"/>
  <c r="B4287" i="2"/>
  <c r="A4287" i="2"/>
  <c r="D4277" i="2"/>
  <c r="B4277" i="2"/>
  <c r="A4277" i="2"/>
  <c r="D4276" i="2"/>
  <c r="B4276" i="2"/>
  <c r="A4276" i="2"/>
  <c r="D4275" i="2"/>
  <c r="B4275" i="2"/>
  <c r="A4275" i="2"/>
  <c r="D4274" i="2"/>
  <c r="B4274" i="2"/>
  <c r="A4274" i="2"/>
  <c r="D4273" i="2"/>
  <c r="B4273" i="2"/>
  <c r="A4273" i="2"/>
  <c r="D4272" i="2"/>
  <c r="B4272" i="2"/>
  <c r="A4272" i="2"/>
  <c r="D4271" i="2"/>
  <c r="B4271" i="2"/>
  <c r="A4271" i="2"/>
  <c r="D4270" i="2"/>
  <c r="B4270" i="2"/>
  <c r="A4270" i="2"/>
  <c r="D4269" i="2"/>
  <c r="B4269" i="2"/>
  <c r="A4269" i="2"/>
  <c r="D4268" i="2"/>
  <c r="B4268" i="2"/>
  <c r="A4268" i="2"/>
  <c r="D4267" i="2"/>
  <c r="B4267" i="2"/>
  <c r="A4267" i="2"/>
  <c r="D4266" i="2"/>
  <c r="B4266" i="2"/>
  <c r="A4266" i="2"/>
  <c r="D4258" i="2"/>
  <c r="B4258" i="2"/>
  <c r="A4258" i="2"/>
  <c r="D4257" i="2"/>
  <c r="B4257" i="2"/>
  <c r="A4257" i="2"/>
  <c r="D4256" i="2"/>
  <c r="B4256" i="2"/>
  <c r="A4256" i="2"/>
  <c r="D4255" i="2"/>
  <c r="B4255" i="2"/>
  <c r="A4255" i="2"/>
  <c r="D4254" i="2"/>
  <c r="B4254" i="2"/>
  <c r="A4254" i="2"/>
  <c r="D4253" i="2"/>
  <c r="B4253" i="2"/>
  <c r="A4253" i="2"/>
  <c r="D4252" i="2"/>
  <c r="B4252" i="2"/>
  <c r="A4252" i="2"/>
  <c r="D4251" i="2"/>
  <c r="B4251" i="2"/>
  <c r="A4251" i="2"/>
  <c r="D4250" i="2"/>
  <c r="B4250" i="2"/>
  <c r="A4250" i="2"/>
  <c r="D4249" i="2"/>
  <c r="B4249" i="2"/>
  <c r="A4249" i="2"/>
  <c r="D4248" i="2"/>
  <c r="B4248" i="2"/>
  <c r="A4248" i="2"/>
  <c r="D4247" i="2"/>
  <c r="B4247" i="2"/>
  <c r="A4247" i="2"/>
  <c r="D4246" i="2"/>
  <c r="B4246" i="2"/>
  <c r="A4246" i="2"/>
  <c r="D4245" i="2"/>
  <c r="B4245" i="2"/>
  <c r="A4245" i="2"/>
  <c r="D4244" i="2"/>
  <c r="B4244" i="2"/>
  <c r="A4244" i="2"/>
  <c r="D4243" i="2"/>
  <c r="B4243" i="2"/>
  <c r="A4243" i="2"/>
  <c r="D4242" i="2"/>
  <c r="B4242" i="2"/>
  <c r="A4242" i="2"/>
  <c r="D4241" i="2"/>
  <c r="B4241" i="2"/>
  <c r="A4241" i="2"/>
  <c r="D4240" i="2"/>
  <c r="B4240" i="2"/>
  <c r="A4240" i="2"/>
  <c r="D4239" i="2"/>
  <c r="B4239" i="2"/>
  <c r="A4239" i="2"/>
  <c r="D4238" i="2"/>
  <c r="B4238" i="2"/>
  <c r="A4238" i="2"/>
  <c r="D4237" i="2"/>
  <c r="B4237" i="2"/>
  <c r="A4237" i="2"/>
  <c r="D4236" i="2"/>
  <c r="B4236" i="2"/>
  <c r="A4236" i="2"/>
  <c r="D4235" i="2"/>
  <c r="B4235" i="2"/>
  <c r="A4235" i="2"/>
  <c r="D4215" i="2"/>
  <c r="B4215" i="2"/>
  <c r="A4215" i="2"/>
  <c r="D4214" i="2"/>
  <c r="B4214" i="2"/>
  <c r="A4214" i="2"/>
  <c r="D4213" i="2"/>
  <c r="B4213" i="2"/>
  <c r="A4213" i="2"/>
  <c r="D4212" i="2"/>
  <c r="B4212" i="2"/>
  <c r="A4212" i="2"/>
  <c r="D4211" i="2"/>
  <c r="B4211" i="2"/>
  <c r="A4211" i="2"/>
  <c r="D4210" i="2"/>
  <c r="B4210" i="2"/>
  <c r="A4210" i="2"/>
  <c r="D4209" i="2"/>
  <c r="B4209" i="2"/>
  <c r="A4209" i="2"/>
  <c r="D4208" i="2"/>
  <c r="B4208" i="2"/>
  <c r="A4208" i="2"/>
  <c r="D4207" i="2"/>
  <c r="B4207" i="2"/>
  <c r="A4207" i="2"/>
  <c r="D4206" i="2"/>
  <c r="B4206" i="2"/>
  <c r="A4206" i="2"/>
  <c r="D4205" i="2"/>
  <c r="B4205" i="2"/>
  <c r="A4205" i="2"/>
  <c r="D4204" i="2"/>
  <c r="B4204" i="2"/>
  <c r="A4204" i="2"/>
  <c r="D4196" i="2"/>
  <c r="B4196" i="2"/>
  <c r="A4196" i="2"/>
  <c r="D4195" i="2"/>
  <c r="B4195" i="2"/>
  <c r="A4195" i="2"/>
  <c r="D4194" i="2"/>
  <c r="B4194" i="2"/>
  <c r="A4194" i="2"/>
  <c r="D4193" i="2"/>
  <c r="B4193" i="2"/>
  <c r="A4193" i="2"/>
  <c r="D4192" i="2"/>
  <c r="B4192" i="2"/>
  <c r="A4192" i="2"/>
  <c r="D4191" i="2"/>
  <c r="B4191" i="2"/>
  <c r="A4191" i="2"/>
  <c r="D4190" i="2"/>
  <c r="B4190" i="2"/>
  <c r="A4190" i="2"/>
  <c r="D4189" i="2"/>
  <c r="B4189" i="2"/>
  <c r="A4189" i="2"/>
  <c r="D4188" i="2"/>
  <c r="B4188" i="2"/>
  <c r="A4188" i="2"/>
  <c r="D4187" i="2"/>
  <c r="B4187" i="2"/>
  <c r="A4187" i="2"/>
  <c r="D4186" i="2"/>
  <c r="B4186" i="2"/>
  <c r="A4186" i="2"/>
  <c r="D4185" i="2"/>
  <c r="B4185" i="2"/>
  <c r="A4185" i="2"/>
  <c r="D4176" i="2"/>
  <c r="B4176" i="2"/>
  <c r="A4176" i="2"/>
  <c r="D4175" i="2"/>
  <c r="B4175" i="2"/>
  <c r="A4175" i="2"/>
  <c r="D4174" i="2"/>
  <c r="B4174" i="2"/>
  <c r="A4174" i="2"/>
  <c r="D4173" i="2"/>
  <c r="B4173" i="2"/>
  <c r="A4173" i="2"/>
  <c r="D4172" i="2"/>
  <c r="B4172" i="2"/>
  <c r="A4172" i="2"/>
  <c r="D4171" i="2"/>
  <c r="B4171" i="2"/>
  <c r="A4171" i="2"/>
  <c r="D4170" i="2"/>
  <c r="B4170" i="2"/>
  <c r="A4170" i="2"/>
  <c r="D4169" i="2"/>
  <c r="B4169" i="2"/>
  <c r="A4169" i="2"/>
  <c r="D4168" i="2"/>
  <c r="B4168" i="2"/>
  <c r="A4168" i="2"/>
  <c r="D4167" i="2"/>
  <c r="B4167" i="2"/>
  <c r="A4167" i="2"/>
  <c r="D4166" i="2"/>
  <c r="B4166" i="2"/>
  <c r="A4166" i="2"/>
  <c r="D4165" i="2"/>
  <c r="B4165" i="2"/>
  <c r="A4165" i="2"/>
  <c r="D4147" i="2"/>
  <c r="B4147" i="2"/>
  <c r="A4147" i="2"/>
  <c r="D4146" i="2"/>
  <c r="B4146" i="2"/>
  <c r="A4146" i="2"/>
  <c r="D4145" i="2"/>
  <c r="B4145" i="2"/>
  <c r="A4145" i="2"/>
  <c r="D4144" i="2"/>
  <c r="B4144" i="2"/>
  <c r="A4144" i="2"/>
  <c r="D4143" i="2"/>
  <c r="B4143" i="2"/>
  <c r="A4143" i="2"/>
  <c r="D4142" i="2"/>
  <c r="B4142" i="2"/>
  <c r="A4142" i="2"/>
  <c r="D4141" i="2"/>
  <c r="B4141" i="2"/>
  <c r="A4141" i="2"/>
  <c r="D4140" i="2"/>
  <c r="B4140" i="2"/>
  <c r="A4140" i="2"/>
  <c r="D4139" i="2"/>
  <c r="B4139" i="2"/>
  <c r="A4139" i="2"/>
  <c r="D4138" i="2"/>
  <c r="B4138" i="2"/>
  <c r="A4138" i="2"/>
  <c r="D4137" i="2"/>
  <c r="B4137" i="2"/>
  <c r="A4137" i="2"/>
  <c r="D4136" i="2"/>
  <c r="B4136" i="2"/>
  <c r="A4136" i="2"/>
  <c r="D4130" i="2"/>
  <c r="B4130" i="2"/>
  <c r="A4130" i="2"/>
  <c r="D4129" i="2"/>
  <c r="B4129" i="2"/>
  <c r="A4129" i="2"/>
  <c r="D4128" i="2"/>
  <c r="B4128" i="2"/>
  <c r="A4128" i="2"/>
  <c r="D4127" i="2"/>
  <c r="B4127" i="2"/>
  <c r="A4127" i="2"/>
  <c r="D4126" i="2"/>
  <c r="B4126" i="2"/>
  <c r="A4126" i="2"/>
  <c r="D4125" i="2"/>
  <c r="B4125" i="2"/>
  <c r="A4125" i="2"/>
  <c r="D4124" i="2"/>
  <c r="B4124" i="2"/>
  <c r="A4124" i="2"/>
  <c r="D4123" i="2"/>
  <c r="B4123" i="2"/>
  <c r="A4123" i="2"/>
  <c r="D4122" i="2"/>
  <c r="B4122" i="2"/>
  <c r="A4122" i="2"/>
  <c r="D4121" i="2"/>
  <c r="B4121" i="2"/>
  <c r="A4121" i="2"/>
  <c r="D4120" i="2"/>
  <c r="B4120" i="2"/>
  <c r="A4120" i="2"/>
  <c r="D4119" i="2"/>
  <c r="B4119" i="2"/>
  <c r="A4119" i="2"/>
  <c r="D4099" i="2"/>
  <c r="B4099" i="2"/>
  <c r="A4099" i="2"/>
  <c r="D4098" i="2"/>
  <c r="B4098" i="2"/>
  <c r="A4098" i="2"/>
  <c r="D4097" i="2"/>
  <c r="B4097" i="2"/>
  <c r="A4097" i="2"/>
  <c r="D4096" i="2"/>
  <c r="B4096" i="2"/>
  <c r="A4096" i="2"/>
  <c r="D4095" i="2"/>
  <c r="B4095" i="2"/>
  <c r="A4095" i="2"/>
  <c r="D4094" i="2"/>
  <c r="B4094" i="2"/>
  <c r="A4094" i="2"/>
  <c r="D4093" i="2"/>
  <c r="B4093" i="2"/>
  <c r="A4093" i="2"/>
  <c r="D4092" i="2"/>
  <c r="B4092" i="2"/>
  <c r="A4092" i="2"/>
  <c r="D4091" i="2"/>
  <c r="B4091" i="2"/>
  <c r="A4091" i="2"/>
  <c r="D4090" i="2"/>
  <c r="B4090" i="2"/>
  <c r="A4090" i="2"/>
  <c r="D4089" i="2"/>
  <c r="B4089" i="2"/>
  <c r="A4089" i="2"/>
  <c r="D4088" i="2"/>
  <c r="B4088" i="2"/>
  <c r="A4088" i="2"/>
  <c r="D4081" i="2"/>
  <c r="B4081" i="2"/>
  <c r="A4081" i="2"/>
  <c r="D4080" i="2"/>
  <c r="B4080" i="2"/>
  <c r="A4080" i="2"/>
  <c r="D4079" i="2"/>
  <c r="B4079" i="2"/>
  <c r="A4079" i="2"/>
  <c r="D4078" i="2"/>
  <c r="B4078" i="2"/>
  <c r="A4078" i="2"/>
  <c r="D4077" i="2"/>
  <c r="B4077" i="2"/>
  <c r="A4077" i="2"/>
  <c r="D4076" i="2"/>
  <c r="B4076" i="2"/>
  <c r="A4076" i="2"/>
  <c r="D4075" i="2"/>
  <c r="B4075" i="2"/>
  <c r="A4075" i="2"/>
  <c r="D4074" i="2"/>
  <c r="B4074" i="2"/>
  <c r="A4074" i="2"/>
  <c r="D4073" i="2"/>
  <c r="B4073" i="2"/>
  <c r="A4073" i="2"/>
  <c r="D4072" i="2"/>
  <c r="B4072" i="2"/>
  <c r="A4072" i="2"/>
  <c r="D4071" i="2"/>
  <c r="B4071" i="2"/>
  <c r="A4071" i="2"/>
  <c r="D4070" i="2"/>
  <c r="B4070" i="2"/>
  <c r="A4070" i="2"/>
  <c r="D4062" i="2"/>
  <c r="B4062" i="2"/>
  <c r="A4062" i="2"/>
  <c r="D4061" i="2"/>
  <c r="B4061" i="2"/>
  <c r="A4061" i="2"/>
  <c r="D4060" i="2"/>
  <c r="B4060" i="2"/>
  <c r="A4060" i="2"/>
  <c r="D4059" i="2"/>
  <c r="B4059" i="2"/>
  <c r="A4059" i="2"/>
  <c r="D4058" i="2"/>
  <c r="B4058" i="2"/>
  <c r="A4058" i="2"/>
  <c r="D4057" i="2"/>
  <c r="B4057" i="2"/>
  <c r="A4057" i="2"/>
  <c r="D4056" i="2"/>
  <c r="B4056" i="2"/>
  <c r="A4056" i="2"/>
  <c r="D4055" i="2"/>
  <c r="B4055" i="2"/>
  <c r="A4055" i="2"/>
  <c r="D4054" i="2"/>
  <c r="B4054" i="2"/>
  <c r="A4054" i="2"/>
  <c r="D4053" i="2"/>
  <c r="B4053" i="2"/>
  <c r="A4053" i="2"/>
  <c r="D4052" i="2"/>
  <c r="B4052" i="2"/>
  <c r="A4052" i="2"/>
  <c r="D4051" i="2"/>
  <c r="B4051" i="2"/>
  <c r="A4051" i="2"/>
  <c r="D4031" i="2"/>
  <c r="B4031" i="2"/>
  <c r="A4031" i="2"/>
  <c r="D4030" i="2"/>
  <c r="B4030" i="2"/>
  <c r="A4030" i="2"/>
  <c r="D4029" i="2"/>
  <c r="B4029" i="2"/>
  <c r="A4029" i="2"/>
  <c r="D4028" i="2"/>
  <c r="B4028" i="2"/>
  <c r="A4028" i="2"/>
  <c r="D4027" i="2"/>
  <c r="B4027" i="2"/>
  <c r="A4027" i="2"/>
  <c r="D4026" i="2"/>
  <c r="B4026" i="2"/>
  <c r="A4026" i="2"/>
  <c r="D4025" i="2"/>
  <c r="B4025" i="2"/>
  <c r="A4025" i="2"/>
  <c r="D4024" i="2"/>
  <c r="B4024" i="2"/>
  <c r="A4024" i="2"/>
  <c r="D4023" i="2"/>
  <c r="B4023" i="2"/>
  <c r="A4023" i="2"/>
  <c r="D4022" i="2"/>
  <c r="B4022" i="2"/>
  <c r="A4022" i="2"/>
  <c r="D4021" i="2"/>
  <c r="B4021" i="2"/>
  <c r="A4021" i="2"/>
  <c r="D4020" i="2"/>
  <c r="B4020" i="2"/>
  <c r="A4020" i="2"/>
  <c r="D4009" i="2"/>
  <c r="B4009" i="2"/>
  <c r="A4009" i="2"/>
  <c r="D4008" i="2"/>
  <c r="B4008" i="2"/>
  <c r="A4008" i="2"/>
  <c r="D4007" i="2"/>
  <c r="B4007" i="2"/>
  <c r="A4007" i="2"/>
  <c r="D4006" i="2"/>
  <c r="B4006" i="2"/>
  <c r="A4006" i="2"/>
  <c r="D4005" i="2"/>
  <c r="B4005" i="2"/>
  <c r="A4005" i="2"/>
  <c r="D4004" i="2"/>
  <c r="B4004" i="2"/>
  <c r="A4004" i="2"/>
  <c r="D4003" i="2"/>
  <c r="B4003" i="2"/>
  <c r="A4003" i="2"/>
  <c r="D4002" i="2"/>
  <c r="B4002" i="2"/>
  <c r="A4002" i="2"/>
  <c r="D4001" i="2"/>
  <c r="B4001" i="2"/>
  <c r="A4001" i="2"/>
  <c r="D4000" i="2"/>
  <c r="B4000" i="2"/>
  <c r="A4000" i="2"/>
  <c r="D3999" i="2"/>
  <c r="B3999" i="2"/>
  <c r="A3999" i="2"/>
  <c r="D3998" i="2"/>
  <c r="B3998" i="2"/>
  <c r="A3998" i="2"/>
  <c r="D3987" i="2"/>
  <c r="B3987" i="2"/>
  <c r="A3987" i="2"/>
  <c r="D3986" i="2"/>
  <c r="B3986" i="2"/>
  <c r="A3986" i="2"/>
  <c r="D3985" i="2"/>
  <c r="B3985" i="2"/>
  <c r="A3985" i="2"/>
  <c r="D3984" i="2"/>
  <c r="B3984" i="2"/>
  <c r="A3984" i="2"/>
  <c r="D3983" i="2"/>
  <c r="B3983" i="2"/>
  <c r="A3983" i="2"/>
  <c r="D3982" i="2"/>
  <c r="B3982" i="2"/>
  <c r="A3982" i="2"/>
  <c r="D3981" i="2"/>
  <c r="B3981" i="2"/>
  <c r="A3981" i="2"/>
  <c r="D3980" i="2"/>
  <c r="B3980" i="2"/>
  <c r="A3980" i="2"/>
  <c r="D3979" i="2"/>
  <c r="B3979" i="2"/>
  <c r="A3979" i="2"/>
  <c r="D3978" i="2"/>
  <c r="B3978" i="2"/>
  <c r="A3978" i="2"/>
  <c r="D3977" i="2"/>
  <c r="B3977" i="2"/>
  <c r="A3977" i="2"/>
  <c r="D3976" i="2"/>
  <c r="B3976" i="2"/>
  <c r="A3976" i="2"/>
  <c r="D3968" i="2"/>
  <c r="B3968" i="2"/>
  <c r="A3968" i="2"/>
  <c r="D3967" i="2"/>
  <c r="B3967" i="2"/>
  <c r="A3967" i="2"/>
  <c r="D3966" i="2"/>
  <c r="B3966" i="2"/>
  <c r="A3966" i="2"/>
  <c r="D3965" i="2"/>
  <c r="B3965" i="2"/>
  <c r="A3965" i="2"/>
  <c r="D3964" i="2"/>
  <c r="B3964" i="2"/>
  <c r="A3964" i="2"/>
  <c r="D3963" i="2"/>
  <c r="B3963" i="2"/>
  <c r="A3963" i="2"/>
  <c r="D3962" i="2"/>
  <c r="B3962" i="2"/>
  <c r="A3962" i="2"/>
  <c r="D3961" i="2"/>
  <c r="B3961" i="2"/>
  <c r="A3961" i="2"/>
  <c r="D3960" i="2"/>
  <c r="B3960" i="2"/>
  <c r="A3960" i="2"/>
  <c r="D3959" i="2"/>
  <c r="B3959" i="2"/>
  <c r="A3959" i="2"/>
  <c r="D3958" i="2"/>
  <c r="B3958" i="2"/>
  <c r="A3958" i="2"/>
  <c r="D3957" i="2"/>
  <c r="B3957" i="2"/>
  <c r="A3957" i="2"/>
  <c r="D3947" i="2"/>
  <c r="B3947" i="2"/>
  <c r="A3947" i="2"/>
  <c r="D3946" i="2"/>
  <c r="B3946" i="2"/>
  <c r="A3946" i="2"/>
  <c r="D3945" i="2"/>
  <c r="B3945" i="2"/>
  <c r="A3945" i="2"/>
  <c r="D3944" i="2"/>
  <c r="B3944" i="2"/>
  <c r="A3944" i="2"/>
  <c r="D3943" i="2"/>
  <c r="B3943" i="2"/>
  <c r="A3943" i="2"/>
  <c r="D3942" i="2"/>
  <c r="B3942" i="2"/>
  <c r="A3942" i="2"/>
  <c r="D3932" i="2"/>
  <c r="B3932" i="2"/>
  <c r="A3932" i="2"/>
  <c r="D3931" i="2"/>
  <c r="B3931" i="2"/>
  <c r="A3931" i="2"/>
  <c r="D3930" i="2"/>
  <c r="B3930" i="2"/>
  <c r="A3930" i="2"/>
  <c r="D3929" i="2"/>
  <c r="B3929" i="2"/>
  <c r="A3929" i="2"/>
  <c r="D3928" i="2"/>
  <c r="B3928" i="2"/>
  <c r="A3928" i="2"/>
  <c r="D3927" i="2"/>
  <c r="B3927" i="2"/>
  <c r="A3927" i="2"/>
  <c r="D3916" i="2"/>
  <c r="B3916" i="2"/>
  <c r="A3916" i="2"/>
  <c r="D3915" i="2"/>
  <c r="B3915" i="2"/>
  <c r="A3915" i="2"/>
  <c r="D3914" i="2"/>
  <c r="B3914" i="2"/>
  <c r="A3914" i="2"/>
  <c r="D3913" i="2"/>
  <c r="B3913" i="2"/>
  <c r="A3913" i="2"/>
  <c r="D3912" i="2"/>
  <c r="B3912" i="2"/>
  <c r="A3912" i="2"/>
  <c r="D3911" i="2"/>
  <c r="B3911" i="2"/>
  <c r="A3911" i="2"/>
  <c r="D3910" i="2"/>
  <c r="B3910" i="2"/>
  <c r="A3910" i="2"/>
  <c r="D3909" i="2"/>
  <c r="B3909" i="2"/>
  <c r="A3909" i="2"/>
  <c r="D3908" i="2"/>
  <c r="B3908" i="2"/>
  <c r="A3908" i="2"/>
  <c r="D3907" i="2"/>
  <c r="B3907" i="2"/>
  <c r="A3907" i="2"/>
  <c r="D3906" i="2"/>
  <c r="B3906" i="2"/>
  <c r="A3906" i="2"/>
  <c r="D3905" i="2"/>
  <c r="B3905" i="2"/>
  <c r="A3905" i="2"/>
  <c r="D3894" i="2"/>
  <c r="B3894" i="2"/>
  <c r="A3894" i="2"/>
  <c r="D3893" i="2"/>
  <c r="B3893" i="2"/>
  <c r="A3893" i="2"/>
  <c r="D3892" i="2"/>
  <c r="B3892" i="2"/>
  <c r="A3892" i="2"/>
  <c r="D3891" i="2"/>
  <c r="B3891" i="2"/>
  <c r="A3891" i="2"/>
  <c r="D3890" i="2"/>
  <c r="B3890" i="2"/>
  <c r="A3890" i="2"/>
  <c r="D3889" i="2"/>
  <c r="B3889" i="2"/>
  <c r="A3889" i="2"/>
  <c r="D3888" i="2"/>
  <c r="B3888" i="2"/>
  <c r="A3888" i="2"/>
  <c r="D3887" i="2"/>
  <c r="B3887" i="2"/>
  <c r="A3887" i="2"/>
  <c r="D3886" i="2"/>
  <c r="B3886" i="2"/>
  <c r="A3886" i="2"/>
  <c r="D3885" i="2"/>
  <c r="B3885" i="2"/>
  <c r="A3885" i="2"/>
  <c r="D3884" i="2"/>
  <c r="B3884" i="2"/>
  <c r="A3884" i="2"/>
  <c r="D3883" i="2"/>
  <c r="B3883" i="2"/>
  <c r="A3883" i="2"/>
  <c r="D3874" i="2"/>
  <c r="B3874" i="2"/>
  <c r="A3874" i="2"/>
  <c r="D3873" i="2"/>
  <c r="B3873" i="2"/>
  <c r="A3873" i="2"/>
  <c r="D3872" i="2"/>
  <c r="B3872" i="2"/>
  <c r="A3872" i="2"/>
  <c r="D3871" i="2"/>
  <c r="B3871" i="2"/>
  <c r="A3871" i="2"/>
  <c r="D3870" i="2"/>
  <c r="B3870" i="2"/>
  <c r="A3870" i="2"/>
  <c r="D3869" i="2"/>
  <c r="B3869" i="2"/>
  <c r="A3869" i="2"/>
  <c r="D3868" i="2"/>
  <c r="B3868" i="2"/>
  <c r="A3868" i="2"/>
  <c r="D3867" i="2"/>
  <c r="B3867" i="2"/>
  <c r="A3867" i="2"/>
  <c r="D3866" i="2"/>
  <c r="B3866" i="2"/>
  <c r="A3866" i="2"/>
  <c r="D3865" i="2"/>
  <c r="B3865" i="2"/>
  <c r="A3865" i="2"/>
  <c r="D3864" i="2"/>
  <c r="B3864" i="2"/>
  <c r="A3864" i="2"/>
  <c r="D3863" i="2"/>
  <c r="B3863" i="2"/>
  <c r="A3863" i="2"/>
  <c r="D3854" i="2"/>
  <c r="B3854" i="2"/>
  <c r="A3854" i="2"/>
  <c r="D3853" i="2"/>
  <c r="B3853" i="2"/>
  <c r="A3853" i="2"/>
  <c r="D3852" i="2"/>
  <c r="B3852" i="2"/>
  <c r="A3852" i="2"/>
  <c r="D3851" i="2"/>
  <c r="B3851" i="2"/>
  <c r="A3851" i="2"/>
  <c r="D3850" i="2"/>
  <c r="B3850" i="2"/>
  <c r="A3850" i="2"/>
  <c r="D3849" i="2"/>
  <c r="B3849" i="2"/>
  <c r="A3849" i="2"/>
  <c r="D3848" i="2"/>
  <c r="B3848" i="2"/>
  <c r="A3848" i="2"/>
  <c r="D3847" i="2"/>
  <c r="B3847" i="2"/>
  <c r="A3847" i="2"/>
  <c r="D3846" i="2"/>
  <c r="B3846" i="2"/>
  <c r="A3846" i="2"/>
  <c r="D3845" i="2"/>
  <c r="B3845" i="2"/>
  <c r="A3845" i="2"/>
  <c r="D3844" i="2"/>
  <c r="B3844" i="2"/>
  <c r="A3844" i="2"/>
  <c r="D3843" i="2"/>
  <c r="B3843" i="2"/>
  <c r="A3843" i="2"/>
  <c r="D3831" i="2"/>
  <c r="B3831" i="2"/>
  <c r="A3831" i="2"/>
  <c r="D3830" i="2"/>
  <c r="B3830" i="2"/>
  <c r="A3830" i="2"/>
  <c r="D3829" i="2"/>
  <c r="B3829" i="2"/>
  <c r="A3829" i="2"/>
  <c r="D3828" i="2"/>
  <c r="B3828" i="2"/>
  <c r="A3828" i="2"/>
  <c r="D3827" i="2"/>
  <c r="B3827" i="2"/>
  <c r="A3827" i="2"/>
  <c r="D3826" i="2"/>
  <c r="B3826" i="2"/>
  <c r="A3826" i="2"/>
  <c r="D3825" i="2"/>
  <c r="B3825" i="2"/>
  <c r="A3825" i="2"/>
  <c r="D3824" i="2"/>
  <c r="B3824" i="2"/>
  <c r="A3824" i="2"/>
  <c r="D3823" i="2"/>
  <c r="B3823" i="2"/>
  <c r="A3823" i="2"/>
  <c r="D3822" i="2"/>
  <c r="B3822" i="2"/>
  <c r="A3822" i="2"/>
  <c r="D3821" i="2"/>
  <c r="B3821" i="2"/>
  <c r="A3821" i="2"/>
  <c r="D3820" i="2"/>
  <c r="B3820" i="2"/>
  <c r="A3820" i="2"/>
  <c r="D3811" i="2"/>
  <c r="B3811" i="2"/>
  <c r="A3811" i="2"/>
  <c r="D3810" i="2"/>
  <c r="B3810" i="2"/>
  <c r="A3810" i="2"/>
  <c r="D3809" i="2"/>
  <c r="B3809" i="2"/>
  <c r="A3809" i="2"/>
  <c r="D3808" i="2"/>
  <c r="B3808" i="2"/>
  <c r="A3808" i="2"/>
  <c r="D3807" i="2"/>
  <c r="B3807" i="2"/>
  <c r="A3807" i="2"/>
  <c r="D3806" i="2"/>
  <c r="B3806" i="2"/>
  <c r="A3806" i="2"/>
  <c r="D3794" i="2"/>
  <c r="B3794" i="2"/>
  <c r="A3794" i="2"/>
  <c r="D3793" i="2"/>
  <c r="B3793" i="2"/>
  <c r="A3793" i="2"/>
  <c r="D3792" i="2"/>
  <c r="B3792" i="2"/>
  <c r="A3792" i="2"/>
  <c r="D3791" i="2"/>
  <c r="B3791" i="2"/>
  <c r="A3791" i="2"/>
  <c r="D3790" i="2"/>
  <c r="B3790" i="2"/>
  <c r="A3790" i="2"/>
  <c r="D3789" i="2"/>
  <c r="B3789" i="2"/>
  <c r="A3789" i="2"/>
  <c r="D3780" i="2"/>
  <c r="B3780" i="2"/>
  <c r="A3780" i="2"/>
  <c r="D3779" i="2"/>
  <c r="B3779" i="2"/>
  <c r="A3779" i="2"/>
  <c r="D3778" i="2"/>
  <c r="B3778" i="2"/>
  <c r="A3778" i="2"/>
  <c r="D3777" i="2"/>
  <c r="B3777" i="2"/>
  <c r="A3777" i="2"/>
  <c r="D3776" i="2"/>
  <c r="B3776" i="2"/>
  <c r="A3776" i="2"/>
  <c r="D3775" i="2"/>
  <c r="B3775" i="2"/>
  <c r="A3775" i="2"/>
  <c r="D3774" i="2"/>
  <c r="B3774" i="2"/>
  <c r="A3774" i="2"/>
  <c r="D3773" i="2"/>
  <c r="B3773" i="2"/>
  <c r="A3773" i="2"/>
  <c r="D3772" i="2"/>
  <c r="B3772" i="2"/>
  <c r="A3772" i="2"/>
  <c r="D3771" i="2"/>
  <c r="B3771" i="2"/>
  <c r="A3771" i="2"/>
  <c r="D3770" i="2"/>
  <c r="B3770" i="2"/>
  <c r="A3770" i="2"/>
  <c r="D3769" i="2"/>
  <c r="B3769" i="2"/>
  <c r="A3769" i="2"/>
  <c r="D3760" i="2"/>
  <c r="B3760" i="2"/>
  <c r="A3760" i="2"/>
  <c r="D3759" i="2"/>
  <c r="B3759" i="2"/>
  <c r="A3759" i="2"/>
  <c r="D3758" i="2"/>
  <c r="B3758" i="2"/>
  <c r="A3758" i="2"/>
  <c r="D3757" i="2"/>
  <c r="B3757" i="2"/>
  <c r="A3757" i="2"/>
  <c r="D3756" i="2"/>
  <c r="B3756" i="2"/>
  <c r="A3756" i="2"/>
  <c r="D3755" i="2"/>
  <c r="B3755" i="2"/>
  <c r="A3755" i="2"/>
  <c r="D3754" i="2"/>
  <c r="B3754" i="2"/>
  <c r="A3754" i="2"/>
  <c r="D3753" i="2"/>
  <c r="B3753" i="2"/>
  <c r="A3753" i="2"/>
  <c r="D3752" i="2"/>
  <c r="B3752" i="2"/>
  <c r="A3752" i="2"/>
  <c r="D3751" i="2"/>
  <c r="B3751" i="2"/>
  <c r="A3751" i="2"/>
  <c r="D3750" i="2"/>
  <c r="B3750" i="2"/>
  <c r="A3750" i="2"/>
  <c r="D3749" i="2"/>
  <c r="B3749" i="2"/>
  <c r="A3749" i="2"/>
  <c r="D3740" i="2"/>
  <c r="B3740" i="2"/>
  <c r="A3740" i="2"/>
  <c r="D3739" i="2"/>
  <c r="B3739" i="2"/>
  <c r="A3739" i="2"/>
  <c r="D3738" i="2"/>
  <c r="B3738" i="2"/>
  <c r="A3738" i="2"/>
  <c r="D3737" i="2"/>
  <c r="B3737" i="2"/>
  <c r="A3737" i="2"/>
  <c r="D3736" i="2"/>
  <c r="B3736" i="2"/>
  <c r="A3736" i="2"/>
  <c r="D3735" i="2"/>
  <c r="B3735" i="2"/>
  <c r="A3735" i="2"/>
  <c r="D3734" i="2"/>
  <c r="B3734" i="2"/>
  <c r="A3734" i="2"/>
  <c r="D3733" i="2"/>
  <c r="B3733" i="2"/>
  <c r="A3733" i="2"/>
  <c r="D3732" i="2"/>
  <c r="B3732" i="2"/>
  <c r="A3732" i="2"/>
  <c r="D3731" i="2"/>
  <c r="B3731" i="2"/>
  <c r="A3731" i="2"/>
  <c r="D3730" i="2"/>
  <c r="B3730" i="2"/>
  <c r="A3730" i="2"/>
  <c r="D3729" i="2"/>
  <c r="B3729" i="2"/>
  <c r="A3729" i="2"/>
  <c r="D3719" i="2"/>
  <c r="B3719" i="2"/>
  <c r="A3719" i="2"/>
  <c r="D3718" i="2"/>
  <c r="B3718" i="2"/>
  <c r="A3718" i="2"/>
  <c r="D3717" i="2"/>
  <c r="B3717" i="2"/>
  <c r="A3717" i="2"/>
  <c r="D3716" i="2"/>
  <c r="B3716" i="2"/>
  <c r="A3716" i="2"/>
  <c r="D3715" i="2"/>
  <c r="B3715" i="2"/>
  <c r="A3715" i="2"/>
  <c r="D3714" i="2"/>
  <c r="B3714" i="2"/>
  <c r="A3714" i="2"/>
  <c r="D3702" i="2"/>
  <c r="B3702" i="2"/>
  <c r="A3702" i="2"/>
  <c r="D3701" i="2"/>
  <c r="B3701" i="2"/>
  <c r="A3701" i="2"/>
  <c r="D3700" i="2"/>
  <c r="B3700" i="2"/>
  <c r="A3700" i="2"/>
  <c r="D3699" i="2"/>
  <c r="B3699" i="2"/>
  <c r="A3699" i="2"/>
  <c r="D3698" i="2"/>
  <c r="B3698" i="2"/>
  <c r="A3698" i="2"/>
  <c r="D3697" i="2"/>
  <c r="B3697" i="2"/>
  <c r="A3697" i="2"/>
  <c r="D3689" i="2"/>
  <c r="B3689" i="2"/>
  <c r="A3689" i="2"/>
  <c r="D3688" i="2"/>
  <c r="B3688" i="2"/>
  <c r="A3688" i="2"/>
  <c r="D3687" i="2"/>
  <c r="B3687" i="2"/>
  <c r="A3687" i="2"/>
  <c r="D3686" i="2"/>
  <c r="B3686" i="2"/>
  <c r="A3686" i="2"/>
  <c r="D3685" i="2"/>
  <c r="B3685" i="2"/>
  <c r="A3685" i="2"/>
  <c r="D3684" i="2"/>
  <c r="B3684" i="2"/>
  <c r="A3684" i="2"/>
  <c r="D3683" i="2"/>
  <c r="B3683" i="2"/>
  <c r="A3683" i="2"/>
  <c r="D3682" i="2"/>
  <c r="B3682" i="2"/>
  <c r="A3682" i="2"/>
  <c r="D3681" i="2"/>
  <c r="B3681" i="2"/>
  <c r="A3681" i="2"/>
  <c r="D3680" i="2"/>
  <c r="B3680" i="2"/>
  <c r="A3680" i="2"/>
  <c r="D3679" i="2"/>
  <c r="B3679" i="2"/>
  <c r="A3679" i="2"/>
  <c r="D3678" i="2"/>
  <c r="B3678" i="2"/>
  <c r="A3678" i="2"/>
  <c r="D3668" i="2"/>
  <c r="B3668" i="2"/>
  <c r="A3668" i="2"/>
  <c r="D3667" i="2"/>
  <c r="B3667" i="2"/>
  <c r="A3667" i="2"/>
  <c r="D3666" i="2"/>
  <c r="B3666" i="2"/>
  <c r="A3666" i="2"/>
  <c r="D3665" i="2"/>
  <c r="B3665" i="2"/>
  <c r="A3665" i="2"/>
  <c r="D3664" i="2"/>
  <c r="B3664" i="2"/>
  <c r="A3664" i="2"/>
  <c r="D3663" i="2"/>
  <c r="B3663" i="2"/>
  <c r="A3663" i="2"/>
  <c r="D3662" i="2"/>
  <c r="B3662" i="2"/>
  <c r="A3662" i="2"/>
  <c r="D3661" i="2"/>
  <c r="B3661" i="2"/>
  <c r="A3661" i="2"/>
  <c r="D3660" i="2"/>
  <c r="B3660" i="2"/>
  <c r="A3660" i="2"/>
  <c r="D3659" i="2"/>
  <c r="B3659" i="2"/>
  <c r="A3659" i="2"/>
  <c r="D3658" i="2"/>
  <c r="B3658" i="2"/>
  <c r="A3658" i="2"/>
  <c r="D3657" i="2"/>
  <c r="B3657" i="2"/>
  <c r="A3657" i="2"/>
  <c r="D3649" i="2"/>
  <c r="B3649" i="2"/>
  <c r="A3649" i="2"/>
  <c r="D3648" i="2"/>
  <c r="B3648" i="2"/>
  <c r="A3648" i="2"/>
  <c r="D3647" i="2"/>
  <c r="B3647" i="2"/>
  <c r="A3647" i="2"/>
  <c r="D3646" i="2"/>
  <c r="B3646" i="2"/>
  <c r="A3646" i="2"/>
  <c r="D3645" i="2"/>
  <c r="B3645" i="2"/>
  <c r="A3645" i="2"/>
  <c r="D3644" i="2"/>
  <c r="B3644" i="2"/>
  <c r="A3644" i="2"/>
  <c r="D3633" i="2"/>
  <c r="B3633" i="2"/>
  <c r="A3633" i="2"/>
  <c r="D3632" i="2"/>
  <c r="B3632" i="2"/>
  <c r="A3632" i="2"/>
  <c r="D3631" i="2"/>
  <c r="B3631" i="2"/>
  <c r="A3631" i="2"/>
  <c r="D3630" i="2"/>
  <c r="B3630" i="2"/>
  <c r="A3630" i="2"/>
  <c r="D3629" i="2"/>
  <c r="B3629" i="2"/>
  <c r="A3629" i="2"/>
  <c r="D3628" i="2"/>
  <c r="B3628" i="2"/>
  <c r="A3628" i="2"/>
  <c r="D3619" i="2"/>
  <c r="B3619" i="2"/>
  <c r="A3619" i="2"/>
  <c r="D3618" i="2"/>
  <c r="B3618" i="2"/>
  <c r="A3618" i="2"/>
  <c r="D3617" i="2"/>
  <c r="B3617" i="2"/>
  <c r="A3617" i="2"/>
  <c r="D3616" i="2"/>
  <c r="B3616" i="2"/>
  <c r="A3616" i="2"/>
  <c r="D3615" i="2"/>
  <c r="B3615" i="2"/>
  <c r="A3615" i="2"/>
  <c r="D3614" i="2"/>
  <c r="B3614" i="2"/>
  <c r="A3614" i="2"/>
  <c r="D3613" i="2"/>
  <c r="B3613" i="2"/>
  <c r="A3613" i="2"/>
  <c r="D3612" i="2"/>
  <c r="B3612" i="2"/>
  <c r="A3612" i="2"/>
  <c r="D3611" i="2"/>
  <c r="B3611" i="2"/>
  <c r="A3611" i="2"/>
  <c r="D3610" i="2"/>
  <c r="B3610" i="2"/>
  <c r="A3610" i="2"/>
  <c r="D3609" i="2"/>
  <c r="B3609" i="2"/>
  <c r="A3609" i="2"/>
  <c r="D3608" i="2"/>
  <c r="B3608" i="2"/>
  <c r="A3608" i="2"/>
  <c r="D3598" i="2"/>
  <c r="B3598" i="2"/>
  <c r="A3598" i="2"/>
  <c r="D3597" i="2"/>
  <c r="B3597" i="2"/>
  <c r="A3597" i="2"/>
  <c r="D3596" i="2"/>
  <c r="B3596" i="2"/>
  <c r="A3596" i="2"/>
  <c r="D3595" i="2"/>
  <c r="B3595" i="2"/>
  <c r="A3595" i="2"/>
  <c r="D3594" i="2"/>
  <c r="B3594" i="2"/>
  <c r="A3594" i="2"/>
  <c r="D3593" i="2"/>
  <c r="B3593" i="2"/>
  <c r="A3593" i="2"/>
  <c r="D3592" i="2"/>
  <c r="B3592" i="2"/>
  <c r="A3592" i="2"/>
  <c r="D3591" i="2"/>
  <c r="B3591" i="2"/>
  <c r="A3591" i="2"/>
  <c r="D3590" i="2"/>
  <c r="B3590" i="2"/>
  <c r="A3590" i="2"/>
  <c r="D3589" i="2"/>
  <c r="B3589" i="2"/>
  <c r="A3589" i="2"/>
  <c r="D3588" i="2"/>
  <c r="B3588" i="2"/>
  <c r="A3588" i="2"/>
  <c r="D3587" i="2"/>
  <c r="B3587" i="2"/>
  <c r="A3587" i="2"/>
  <c r="D3579" i="2"/>
  <c r="B3579" i="2"/>
  <c r="A3579" i="2"/>
  <c r="D3578" i="2"/>
  <c r="B3578" i="2"/>
  <c r="A3578" i="2"/>
  <c r="D3577" i="2"/>
  <c r="B3577" i="2"/>
  <c r="A3577" i="2"/>
  <c r="D3576" i="2"/>
  <c r="B3576" i="2"/>
  <c r="A3576" i="2"/>
  <c r="D3575" i="2"/>
  <c r="B3575" i="2"/>
  <c r="A3575" i="2"/>
  <c r="D3574" i="2"/>
  <c r="B3574" i="2"/>
  <c r="A3574" i="2"/>
  <c r="D3573" i="2"/>
  <c r="B3573" i="2"/>
  <c r="A3573" i="2"/>
  <c r="D3572" i="2"/>
  <c r="B3572" i="2"/>
  <c r="A3572" i="2"/>
  <c r="D3571" i="2"/>
  <c r="B3571" i="2"/>
  <c r="A3571" i="2"/>
  <c r="D3570" i="2"/>
  <c r="B3570" i="2"/>
  <c r="A3570" i="2"/>
  <c r="D3569" i="2"/>
  <c r="B3569" i="2"/>
  <c r="A3569" i="2"/>
  <c r="D3568" i="2"/>
  <c r="B3568" i="2"/>
  <c r="A3568" i="2"/>
  <c r="D3557" i="2"/>
  <c r="B3557" i="2"/>
  <c r="A3557" i="2"/>
  <c r="D3556" i="2"/>
  <c r="B3556" i="2"/>
  <c r="A3556" i="2"/>
  <c r="D3555" i="2"/>
  <c r="B3555" i="2"/>
  <c r="A3555" i="2"/>
  <c r="D3554" i="2"/>
  <c r="B3554" i="2"/>
  <c r="A3554" i="2"/>
  <c r="D3553" i="2"/>
  <c r="B3553" i="2"/>
  <c r="A3553" i="2"/>
  <c r="D3552" i="2"/>
  <c r="B3552" i="2"/>
  <c r="A3552" i="2"/>
  <c r="D3541" i="2"/>
  <c r="B3541" i="2"/>
  <c r="A3541" i="2"/>
  <c r="D3540" i="2"/>
  <c r="B3540" i="2"/>
  <c r="A3540" i="2"/>
  <c r="D3539" i="2"/>
  <c r="B3539" i="2"/>
  <c r="A3539" i="2"/>
  <c r="D3538" i="2"/>
  <c r="B3538" i="2"/>
  <c r="A3538" i="2"/>
  <c r="D3537" i="2"/>
  <c r="B3537" i="2"/>
  <c r="A3537" i="2"/>
  <c r="D3536" i="2"/>
  <c r="B3536" i="2"/>
  <c r="A3536" i="2"/>
  <c r="D3535" i="2"/>
  <c r="B3535" i="2"/>
  <c r="A3535" i="2"/>
  <c r="D3534" i="2"/>
  <c r="B3534" i="2"/>
  <c r="A3534" i="2"/>
  <c r="D3533" i="2"/>
  <c r="B3533" i="2"/>
  <c r="A3533" i="2"/>
  <c r="D3532" i="2"/>
  <c r="B3532" i="2"/>
  <c r="A3532" i="2"/>
  <c r="D3531" i="2"/>
  <c r="B3531" i="2"/>
  <c r="A3531" i="2"/>
  <c r="D3530" i="2"/>
  <c r="B3530" i="2"/>
  <c r="A3530" i="2"/>
  <c r="D3529" i="2"/>
  <c r="B3529" i="2"/>
  <c r="A3529" i="2"/>
  <c r="D3528" i="2"/>
  <c r="B3528" i="2"/>
  <c r="A3528" i="2"/>
  <c r="D3527" i="2"/>
  <c r="B3527" i="2"/>
  <c r="A3527" i="2"/>
  <c r="D3526" i="2"/>
  <c r="B3526" i="2"/>
  <c r="A3526" i="2"/>
  <c r="D3525" i="2"/>
  <c r="B3525" i="2"/>
  <c r="A3525" i="2"/>
  <c r="D3524" i="2"/>
  <c r="B3524" i="2"/>
  <c r="A3524" i="2"/>
  <c r="D3519" i="2"/>
  <c r="B3519" i="2"/>
  <c r="A3519" i="2"/>
  <c r="D3518" i="2"/>
  <c r="B3518" i="2"/>
  <c r="A3518" i="2"/>
  <c r="D3517" i="2"/>
  <c r="B3517" i="2"/>
  <c r="A3517" i="2"/>
  <c r="D3516" i="2"/>
  <c r="B3516" i="2"/>
  <c r="A3516" i="2"/>
  <c r="D3515" i="2"/>
  <c r="B3515" i="2"/>
  <c r="A3515" i="2"/>
  <c r="D3514" i="2"/>
  <c r="B3514" i="2"/>
  <c r="A3514" i="2"/>
  <c r="D3506" i="2"/>
  <c r="B3506" i="2"/>
  <c r="A3506" i="2"/>
  <c r="D3505" i="2"/>
  <c r="B3505" i="2"/>
  <c r="A3505" i="2"/>
  <c r="D3504" i="2"/>
  <c r="B3504" i="2"/>
  <c r="A3504" i="2"/>
  <c r="D3503" i="2"/>
  <c r="B3503" i="2"/>
  <c r="A3503" i="2"/>
  <c r="D3502" i="2"/>
  <c r="B3502" i="2"/>
  <c r="A3502" i="2"/>
  <c r="D3501" i="2"/>
  <c r="B3501" i="2"/>
  <c r="A3501" i="2"/>
  <c r="D3489" i="2"/>
  <c r="B3489" i="2"/>
  <c r="A3489" i="2"/>
  <c r="D3488" i="2"/>
  <c r="B3488" i="2"/>
  <c r="A3488" i="2"/>
  <c r="D3487" i="2"/>
  <c r="B3487" i="2"/>
  <c r="A3487" i="2"/>
  <c r="D3486" i="2"/>
  <c r="B3486" i="2"/>
  <c r="A3486" i="2"/>
  <c r="D3485" i="2"/>
  <c r="B3485" i="2"/>
  <c r="A3485" i="2"/>
  <c r="D3484" i="2"/>
  <c r="B3484" i="2"/>
  <c r="A3484" i="2"/>
  <c r="D3483" i="2"/>
  <c r="B3483" i="2"/>
  <c r="A3483" i="2"/>
  <c r="D3482" i="2"/>
  <c r="B3482" i="2"/>
  <c r="A3482" i="2"/>
  <c r="D3481" i="2"/>
  <c r="B3481" i="2"/>
  <c r="A3481" i="2"/>
  <c r="D3480" i="2"/>
  <c r="B3480" i="2"/>
  <c r="A3480" i="2"/>
  <c r="D3479" i="2"/>
  <c r="B3479" i="2"/>
  <c r="A3479" i="2"/>
  <c r="D3478" i="2"/>
  <c r="B3478" i="2"/>
  <c r="A3478" i="2"/>
  <c r="D3477" i="2"/>
  <c r="B3477" i="2"/>
  <c r="A3477" i="2"/>
  <c r="D3476" i="2"/>
  <c r="B3476" i="2"/>
  <c r="A3476" i="2"/>
  <c r="D3475" i="2"/>
  <c r="B3475" i="2"/>
  <c r="A3475" i="2"/>
  <c r="D3474" i="2"/>
  <c r="B3474" i="2"/>
  <c r="A3474" i="2"/>
  <c r="D3473" i="2"/>
  <c r="B3473" i="2"/>
  <c r="A3473" i="2"/>
  <c r="D3472" i="2"/>
  <c r="B3472" i="2"/>
  <c r="A3472" i="2"/>
  <c r="D3471" i="2"/>
  <c r="B3471" i="2"/>
  <c r="A3471" i="2"/>
  <c r="D3470" i="2"/>
  <c r="B3470" i="2"/>
  <c r="A3470" i="2"/>
  <c r="D3469" i="2"/>
  <c r="B3469" i="2"/>
  <c r="A3469" i="2"/>
  <c r="D3468" i="2"/>
  <c r="B3468" i="2"/>
  <c r="A3468" i="2"/>
  <c r="D3467" i="2"/>
  <c r="B3467" i="2"/>
  <c r="A3467" i="2"/>
  <c r="D3466" i="2"/>
  <c r="B3466" i="2"/>
  <c r="A3466" i="2"/>
  <c r="D3456" i="2"/>
  <c r="B3456" i="2"/>
  <c r="A3456" i="2"/>
  <c r="D3455" i="2"/>
  <c r="B3455" i="2"/>
  <c r="A3455" i="2"/>
  <c r="D3454" i="2"/>
  <c r="B3454" i="2"/>
  <c r="A3454" i="2"/>
  <c r="D3453" i="2"/>
  <c r="B3453" i="2"/>
  <c r="A3453" i="2"/>
  <c r="D3452" i="2"/>
  <c r="B3452" i="2"/>
  <c r="A3452" i="2"/>
  <c r="D3451" i="2"/>
  <c r="B3451" i="2"/>
  <c r="A3451" i="2"/>
  <c r="D3450" i="2"/>
  <c r="B3450" i="2"/>
  <c r="A3450" i="2"/>
  <c r="D3449" i="2"/>
  <c r="B3449" i="2"/>
  <c r="A3449" i="2"/>
  <c r="D3448" i="2"/>
  <c r="B3448" i="2"/>
  <c r="A3448" i="2"/>
  <c r="D3447" i="2"/>
  <c r="B3447" i="2"/>
  <c r="A3447" i="2"/>
  <c r="D3446" i="2"/>
  <c r="B3446" i="2"/>
  <c r="A3446" i="2"/>
  <c r="D3445" i="2"/>
  <c r="B3445" i="2"/>
  <c r="A3445" i="2"/>
  <c r="D3444" i="2"/>
  <c r="B3444" i="2"/>
  <c r="A3444" i="2"/>
  <c r="D3443" i="2"/>
  <c r="B3443" i="2"/>
  <c r="A3443" i="2"/>
  <c r="D3442" i="2"/>
  <c r="B3442" i="2"/>
  <c r="A3442" i="2"/>
  <c r="D3441" i="2"/>
  <c r="B3441" i="2"/>
  <c r="A3441" i="2"/>
  <c r="D3440" i="2"/>
  <c r="B3440" i="2"/>
  <c r="A3440" i="2"/>
  <c r="D3439" i="2"/>
  <c r="B3439" i="2"/>
  <c r="A3439" i="2"/>
  <c r="D3438" i="2"/>
  <c r="B3438" i="2"/>
  <c r="A3438" i="2"/>
  <c r="D3437" i="2"/>
  <c r="B3437" i="2"/>
  <c r="A3437" i="2"/>
  <c r="D3436" i="2"/>
  <c r="B3436" i="2"/>
  <c r="A3436" i="2"/>
  <c r="D3435" i="2"/>
  <c r="B3435" i="2"/>
  <c r="A3435" i="2"/>
  <c r="D3434" i="2"/>
  <c r="B3434" i="2"/>
  <c r="A3434" i="2"/>
  <c r="D3433" i="2"/>
  <c r="B3433" i="2"/>
  <c r="A3433" i="2"/>
  <c r="D3425" i="2"/>
  <c r="B3425" i="2"/>
  <c r="A3425" i="2"/>
  <c r="D3424" i="2"/>
  <c r="B3424" i="2"/>
  <c r="A3424" i="2"/>
  <c r="D3423" i="2"/>
  <c r="B3423" i="2"/>
  <c r="A3423" i="2"/>
  <c r="D3422" i="2"/>
  <c r="B3422" i="2"/>
  <c r="A3422" i="2"/>
  <c r="D3421" i="2"/>
  <c r="B3421" i="2"/>
  <c r="A3421" i="2"/>
  <c r="D3420" i="2"/>
  <c r="B3420" i="2"/>
  <c r="A3420" i="2"/>
  <c r="D3419" i="2"/>
  <c r="B3419" i="2"/>
  <c r="A3419" i="2"/>
  <c r="D3418" i="2"/>
  <c r="B3418" i="2"/>
  <c r="A3418" i="2"/>
  <c r="D3417" i="2"/>
  <c r="B3417" i="2"/>
  <c r="A3417" i="2"/>
  <c r="D3416" i="2"/>
  <c r="B3416" i="2"/>
  <c r="A3416" i="2"/>
  <c r="D3415" i="2"/>
  <c r="B3415" i="2"/>
  <c r="A3415" i="2"/>
  <c r="D3414" i="2"/>
  <c r="B3414" i="2"/>
  <c r="A3414" i="2"/>
  <c r="D3403" i="2"/>
  <c r="B3403" i="2"/>
  <c r="A3403" i="2"/>
  <c r="D3402" i="2"/>
  <c r="B3402" i="2"/>
  <c r="A3402" i="2"/>
  <c r="D3401" i="2"/>
  <c r="B3401" i="2"/>
  <c r="A3401" i="2"/>
  <c r="D3400" i="2"/>
  <c r="B3400" i="2"/>
  <c r="A3400" i="2"/>
  <c r="D3399" i="2"/>
  <c r="B3399" i="2"/>
  <c r="A3399" i="2"/>
  <c r="D3398" i="2"/>
  <c r="B3398" i="2"/>
  <c r="A3398" i="2"/>
  <c r="D3397" i="2"/>
  <c r="B3397" i="2"/>
  <c r="A3397" i="2"/>
  <c r="D3396" i="2"/>
  <c r="B3396" i="2"/>
  <c r="A3396" i="2"/>
  <c r="D3395" i="2"/>
  <c r="B3395" i="2"/>
  <c r="A3395" i="2"/>
  <c r="D3394" i="2"/>
  <c r="B3394" i="2"/>
  <c r="A3394" i="2"/>
  <c r="D3393" i="2"/>
  <c r="B3393" i="2"/>
  <c r="A3393" i="2"/>
  <c r="D3392" i="2"/>
  <c r="B3392" i="2"/>
  <c r="A3392" i="2"/>
  <c r="D3383" i="2"/>
  <c r="B3383" i="2"/>
  <c r="A3383" i="2"/>
  <c r="D3382" i="2"/>
  <c r="B3382" i="2"/>
  <c r="A3382" i="2"/>
  <c r="D3381" i="2"/>
  <c r="B3381" i="2"/>
  <c r="A3381" i="2"/>
  <c r="D3380" i="2"/>
  <c r="B3380" i="2"/>
  <c r="A3380" i="2"/>
  <c r="D3379" i="2"/>
  <c r="B3379" i="2"/>
  <c r="A3379" i="2"/>
  <c r="D3378" i="2"/>
  <c r="B3378" i="2"/>
  <c r="A3378" i="2"/>
  <c r="D3377" i="2"/>
  <c r="B3377" i="2"/>
  <c r="A3377" i="2"/>
  <c r="D3376" i="2"/>
  <c r="B3376" i="2"/>
  <c r="A3376" i="2"/>
  <c r="D3375" i="2"/>
  <c r="B3375" i="2"/>
  <c r="A3375" i="2"/>
  <c r="D3374" i="2"/>
  <c r="B3374" i="2"/>
  <c r="A3374" i="2"/>
  <c r="D3373" i="2"/>
  <c r="B3373" i="2"/>
  <c r="A3373" i="2"/>
  <c r="D3372" i="2"/>
  <c r="B3372" i="2"/>
  <c r="A3372" i="2"/>
  <c r="D3350" i="2"/>
  <c r="B3350" i="2"/>
  <c r="A3350" i="2"/>
  <c r="D3349" i="2"/>
  <c r="B3349" i="2"/>
  <c r="A3349" i="2"/>
  <c r="D3348" i="2"/>
  <c r="B3348" i="2"/>
  <c r="A3348" i="2"/>
  <c r="D3347" i="2"/>
  <c r="B3347" i="2"/>
  <c r="A3347" i="2"/>
  <c r="D3346" i="2"/>
  <c r="B3346" i="2"/>
  <c r="A3346" i="2"/>
  <c r="D3345" i="2"/>
  <c r="B3345" i="2"/>
  <c r="A3345" i="2"/>
  <c r="D3344" i="2"/>
  <c r="B3344" i="2"/>
  <c r="A3344" i="2"/>
  <c r="D3343" i="2"/>
  <c r="B3343" i="2"/>
  <c r="A3343" i="2"/>
  <c r="D3342" i="2"/>
  <c r="B3342" i="2"/>
  <c r="A3342" i="2"/>
  <c r="D3341" i="2"/>
  <c r="B3341" i="2"/>
  <c r="A3341" i="2"/>
  <c r="D3340" i="2"/>
  <c r="B3340" i="2"/>
  <c r="A3340" i="2"/>
  <c r="D3339" i="2"/>
  <c r="B3339" i="2"/>
  <c r="A3339" i="2"/>
  <c r="D3329" i="2"/>
  <c r="B3329" i="2"/>
  <c r="A3329" i="2"/>
  <c r="D3328" i="2"/>
  <c r="B3328" i="2"/>
  <c r="A3328" i="2"/>
  <c r="D3327" i="2"/>
  <c r="B3327" i="2"/>
  <c r="A3327" i="2"/>
  <c r="D3326" i="2"/>
  <c r="B3326" i="2"/>
  <c r="A3326" i="2"/>
  <c r="D3325" i="2"/>
  <c r="B3325" i="2"/>
  <c r="A3325" i="2"/>
  <c r="D3324" i="2"/>
  <c r="B3324" i="2"/>
  <c r="A3324" i="2"/>
  <c r="D3323" i="2"/>
  <c r="B3323" i="2"/>
  <c r="A3323" i="2"/>
  <c r="D3322" i="2"/>
  <c r="B3322" i="2"/>
  <c r="A3322" i="2"/>
  <c r="D3321" i="2"/>
  <c r="B3321" i="2"/>
  <c r="A3321" i="2"/>
  <c r="D3320" i="2"/>
  <c r="B3320" i="2"/>
  <c r="A3320" i="2"/>
  <c r="D3319" i="2"/>
  <c r="B3319" i="2"/>
  <c r="A3319" i="2"/>
  <c r="D3318" i="2"/>
  <c r="B3318" i="2"/>
  <c r="A3318" i="2"/>
  <c r="D3306" i="2"/>
  <c r="B3306" i="2"/>
  <c r="A3306" i="2"/>
  <c r="D3305" i="2"/>
  <c r="B3305" i="2"/>
  <c r="A3305" i="2"/>
  <c r="D3304" i="2"/>
  <c r="B3304" i="2"/>
  <c r="A3304" i="2"/>
  <c r="D3303" i="2"/>
  <c r="B3303" i="2"/>
  <c r="A3303" i="2"/>
  <c r="D3302" i="2"/>
  <c r="B3302" i="2"/>
  <c r="A3302" i="2"/>
  <c r="D3301" i="2"/>
  <c r="B3301" i="2"/>
  <c r="A3301" i="2"/>
  <c r="D3300" i="2"/>
  <c r="B3300" i="2"/>
  <c r="A3300" i="2"/>
  <c r="D3299" i="2"/>
  <c r="B3299" i="2"/>
  <c r="A3299" i="2"/>
  <c r="D3298" i="2"/>
  <c r="B3298" i="2"/>
  <c r="A3298" i="2"/>
  <c r="D3297" i="2"/>
  <c r="B3297" i="2"/>
  <c r="A3297" i="2"/>
  <c r="D3296" i="2"/>
  <c r="B3296" i="2"/>
  <c r="A3296" i="2"/>
  <c r="D3295" i="2"/>
  <c r="B3295" i="2"/>
  <c r="A3295" i="2"/>
  <c r="D3294" i="2"/>
  <c r="B3294" i="2"/>
  <c r="A3294" i="2"/>
  <c r="D3293" i="2"/>
  <c r="B3293" i="2"/>
  <c r="A3293" i="2"/>
  <c r="D3292" i="2"/>
  <c r="B3292" i="2"/>
  <c r="A3292" i="2"/>
  <c r="D3291" i="2"/>
  <c r="B3291" i="2"/>
  <c r="A3291" i="2"/>
  <c r="D3290" i="2"/>
  <c r="B3290" i="2"/>
  <c r="A3290" i="2"/>
  <c r="D3289" i="2"/>
  <c r="B3289" i="2"/>
  <c r="A3289" i="2"/>
  <c r="D3288" i="2"/>
  <c r="B3288" i="2"/>
  <c r="A3288" i="2"/>
  <c r="D3287" i="2"/>
  <c r="B3287" i="2"/>
  <c r="A3287" i="2"/>
  <c r="D3286" i="2"/>
  <c r="B3286" i="2"/>
  <c r="A3286" i="2"/>
  <c r="D3285" i="2"/>
  <c r="B3285" i="2"/>
  <c r="A3285" i="2"/>
  <c r="D3284" i="2"/>
  <c r="B3284" i="2"/>
  <c r="A3284" i="2"/>
  <c r="D3283" i="2"/>
  <c r="B3283" i="2"/>
  <c r="A3283" i="2"/>
  <c r="D3273" i="2"/>
  <c r="B3273" i="2"/>
  <c r="A3273" i="2"/>
  <c r="D3272" i="2"/>
  <c r="B3272" i="2"/>
  <c r="A3272" i="2"/>
  <c r="D3271" i="2"/>
  <c r="B3271" i="2"/>
  <c r="A3271" i="2"/>
  <c r="D3270" i="2"/>
  <c r="B3270" i="2"/>
  <c r="A3270" i="2"/>
  <c r="D3269" i="2"/>
  <c r="B3269" i="2"/>
  <c r="A3269" i="2"/>
  <c r="D3268" i="2"/>
  <c r="B3268" i="2"/>
  <c r="A3268" i="2"/>
  <c r="D3267" i="2"/>
  <c r="B3267" i="2"/>
  <c r="A3267" i="2"/>
  <c r="D3266" i="2"/>
  <c r="B3266" i="2"/>
  <c r="A3266" i="2"/>
  <c r="D3265" i="2"/>
  <c r="B3265" i="2"/>
  <c r="A3265" i="2"/>
  <c r="D3264" i="2"/>
  <c r="B3264" i="2"/>
  <c r="A3264" i="2"/>
  <c r="D3263" i="2"/>
  <c r="B3263" i="2"/>
  <c r="A3263" i="2"/>
  <c r="D3262" i="2"/>
  <c r="B3262" i="2"/>
  <c r="A3262" i="2"/>
  <c r="D3253" i="2"/>
  <c r="B3253" i="2"/>
  <c r="A3253" i="2"/>
  <c r="D3252" i="2"/>
  <c r="B3252" i="2"/>
  <c r="A3252" i="2"/>
  <c r="D3251" i="2"/>
  <c r="B3251" i="2"/>
  <c r="A3251" i="2"/>
  <c r="D3250" i="2"/>
  <c r="B3250" i="2"/>
  <c r="A3250" i="2"/>
  <c r="D3249" i="2"/>
  <c r="B3249" i="2"/>
  <c r="A3249" i="2"/>
  <c r="D3248" i="2"/>
  <c r="B3248" i="2"/>
  <c r="A3248" i="2"/>
  <c r="D3247" i="2"/>
  <c r="B3247" i="2"/>
  <c r="A3247" i="2"/>
  <c r="D3246" i="2"/>
  <c r="B3246" i="2"/>
  <c r="A3246" i="2"/>
  <c r="D3245" i="2"/>
  <c r="B3245" i="2"/>
  <c r="A3245" i="2"/>
  <c r="D3244" i="2"/>
  <c r="B3244" i="2"/>
  <c r="A3244" i="2"/>
  <c r="D3243" i="2"/>
  <c r="B3243" i="2"/>
  <c r="A3243" i="2"/>
  <c r="D3242" i="2"/>
  <c r="B3242" i="2"/>
  <c r="A3242" i="2"/>
  <c r="D3231" i="2"/>
  <c r="B3231" i="2"/>
  <c r="A3231" i="2"/>
  <c r="D3230" i="2"/>
  <c r="B3230" i="2"/>
  <c r="A3230" i="2"/>
  <c r="D3229" i="2"/>
  <c r="B3229" i="2"/>
  <c r="A3229" i="2"/>
  <c r="D3228" i="2"/>
  <c r="B3228" i="2"/>
  <c r="A3228" i="2"/>
  <c r="D3227" i="2"/>
  <c r="B3227" i="2"/>
  <c r="A3227" i="2"/>
  <c r="D3226" i="2"/>
  <c r="B3226" i="2"/>
  <c r="A3226" i="2"/>
  <c r="D3225" i="2"/>
  <c r="B3225" i="2"/>
  <c r="A3225" i="2"/>
  <c r="D3224" i="2"/>
  <c r="B3224" i="2"/>
  <c r="A3224" i="2"/>
  <c r="D3223" i="2"/>
  <c r="B3223" i="2"/>
  <c r="A3223" i="2"/>
  <c r="D3222" i="2"/>
  <c r="B3222" i="2"/>
  <c r="A3222" i="2"/>
  <c r="D3221" i="2"/>
  <c r="B3221" i="2"/>
  <c r="A3221" i="2"/>
  <c r="D3220" i="2"/>
  <c r="B3220" i="2"/>
  <c r="A3220" i="2"/>
  <c r="D3211" i="2"/>
  <c r="B3211" i="2"/>
  <c r="A3211" i="2"/>
  <c r="D3210" i="2"/>
  <c r="B3210" i="2"/>
  <c r="A3210" i="2"/>
  <c r="D3209" i="2"/>
  <c r="B3209" i="2"/>
  <c r="A3209" i="2"/>
  <c r="D3208" i="2"/>
  <c r="B3208" i="2"/>
  <c r="A3208" i="2"/>
  <c r="D3207" i="2"/>
  <c r="B3207" i="2"/>
  <c r="A3207" i="2"/>
  <c r="D3206" i="2"/>
  <c r="B3206" i="2"/>
  <c r="A3206" i="2"/>
  <c r="D3194" i="2"/>
  <c r="B3194" i="2"/>
  <c r="A3194" i="2"/>
  <c r="D3193" i="2"/>
  <c r="B3193" i="2"/>
  <c r="A3193" i="2"/>
  <c r="D3192" i="2"/>
  <c r="B3192" i="2"/>
  <c r="A3192" i="2"/>
  <c r="D3191" i="2"/>
  <c r="B3191" i="2"/>
  <c r="A3191" i="2"/>
  <c r="D3190" i="2"/>
  <c r="B3190" i="2"/>
  <c r="A3190" i="2"/>
  <c r="D3189" i="2"/>
  <c r="B3189" i="2"/>
  <c r="A3189" i="2"/>
  <c r="D3178" i="2"/>
  <c r="B3178" i="2"/>
  <c r="A3178" i="2"/>
  <c r="D3177" i="2"/>
  <c r="B3177" i="2"/>
  <c r="A3177" i="2"/>
  <c r="D3176" i="2"/>
  <c r="B3176" i="2"/>
  <c r="A3176" i="2"/>
  <c r="D3175" i="2"/>
  <c r="B3175" i="2"/>
  <c r="A3175" i="2"/>
  <c r="D3174" i="2"/>
  <c r="B3174" i="2"/>
  <c r="A3174" i="2"/>
  <c r="D3173" i="2"/>
  <c r="B3173" i="2"/>
  <c r="A3173" i="2"/>
  <c r="D3172" i="2"/>
  <c r="B3172" i="2"/>
  <c r="A3172" i="2"/>
  <c r="D3171" i="2"/>
  <c r="B3171" i="2"/>
  <c r="A3171" i="2"/>
  <c r="D3170" i="2"/>
  <c r="B3170" i="2"/>
  <c r="A3170" i="2"/>
  <c r="D3169" i="2"/>
  <c r="B3169" i="2"/>
  <c r="A3169" i="2"/>
  <c r="D3168" i="2"/>
  <c r="B3168" i="2"/>
  <c r="A3168" i="2"/>
  <c r="D3167" i="2"/>
  <c r="B3167" i="2"/>
  <c r="A3167" i="2"/>
  <c r="D3155" i="2"/>
  <c r="B3155" i="2"/>
  <c r="A3155" i="2"/>
  <c r="D3154" i="2"/>
  <c r="B3154" i="2"/>
  <c r="A3154" i="2"/>
  <c r="D3153" i="2"/>
  <c r="B3153" i="2"/>
  <c r="A3153" i="2"/>
  <c r="D3152" i="2"/>
  <c r="B3152" i="2"/>
  <c r="A3152" i="2"/>
  <c r="D3151" i="2"/>
  <c r="B3151" i="2"/>
  <c r="A3151" i="2"/>
  <c r="D3150" i="2"/>
  <c r="B3150" i="2"/>
  <c r="A3150" i="2"/>
  <c r="D3149" i="2"/>
  <c r="B3149" i="2"/>
  <c r="A3149" i="2"/>
  <c r="D3148" i="2"/>
  <c r="B3148" i="2"/>
  <c r="A3148" i="2"/>
  <c r="D3147" i="2"/>
  <c r="B3147" i="2"/>
  <c r="A3147" i="2"/>
  <c r="D3146" i="2"/>
  <c r="B3146" i="2"/>
  <c r="A3146" i="2"/>
  <c r="D3145" i="2"/>
  <c r="B3145" i="2"/>
  <c r="A3145" i="2"/>
  <c r="D3144" i="2"/>
  <c r="B3144" i="2"/>
  <c r="A3144" i="2"/>
  <c r="D3134" i="2"/>
  <c r="B3134" i="2"/>
  <c r="A3134" i="2"/>
  <c r="D3133" i="2"/>
  <c r="B3133" i="2"/>
  <c r="A3133" i="2"/>
  <c r="D3132" i="2"/>
  <c r="B3132" i="2"/>
  <c r="A3132" i="2"/>
  <c r="D3131" i="2"/>
  <c r="B3131" i="2"/>
  <c r="A3131" i="2"/>
  <c r="D3130" i="2"/>
  <c r="B3130" i="2"/>
  <c r="A3130" i="2"/>
  <c r="D3129" i="2"/>
  <c r="B3129" i="2"/>
  <c r="A3129" i="2"/>
  <c r="D3128" i="2"/>
  <c r="B3128" i="2"/>
  <c r="A3128" i="2"/>
  <c r="D3127" i="2"/>
  <c r="B3127" i="2"/>
  <c r="A3127" i="2"/>
  <c r="D3126" i="2"/>
  <c r="B3126" i="2"/>
  <c r="A3126" i="2"/>
  <c r="D3125" i="2"/>
  <c r="B3125" i="2"/>
  <c r="A3125" i="2"/>
  <c r="D3124" i="2"/>
  <c r="B3124" i="2"/>
  <c r="A3124" i="2"/>
  <c r="D3123" i="2"/>
  <c r="B3123" i="2"/>
  <c r="A3123" i="2"/>
  <c r="D3112" i="2"/>
  <c r="B3112" i="2"/>
  <c r="A3112" i="2"/>
  <c r="D3111" i="2"/>
  <c r="B3111" i="2"/>
  <c r="A3111" i="2"/>
  <c r="D3110" i="2"/>
  <c r="B3110" i="2"/>
  <c r="A3110" i="2"/>
  <c r="D3109" i="2"/>
  <c r="B3109" i="2"/>
  <c r="A3109" i="2"/>
  <c r="D3108" i="2"/>
  <c r="B3108" i="2"/>
  <c r="A3108" i="2"/>
  <c r="D3107" i="2"/>
  <c r="B3107" i="2"/>
  <c r="A3107" i="2"/>
  <c r="D3106" i="2"/>
  <c r="B3106" i="2"/>
  <c r="A3106" i="2"/>
  <c r="D3105" i="2"/>
  <c r="B3105" i="2"/>
  <c r="A3105" i="2"/>
  <c r="D3104" i="2"/>
  <c r="B3104" i="2"/>
  <c r="A3104" i="2"/>
  <c r="D3103" i="2"/>
  <c r="B3103" i="2"/>
  <c r="A3103" i="2"/>
  <c r="D3102" i="2"/>
  <c r="B3102" i="2"/>
  <c r="A3102" i="2"/>
  <c r="D3101" i="2"/>
  <c r="B3101" i="2"/>
  <c r="A3101" i="2"/>
  <c r="D3100" i="2"/>
  <c r="B3100" i="2"/>
  <c r="A3100" i="2"/>
  <c r="D3099" i="2"/>
  <c r="B3099" i="2"/>
  <c r="A3099" i="2"/>
  <c r="D3098" i="2"/>
  <c r="B3098" i="2"/>
  <c r="A3098" i="2"/>
  <c r="D3097" i="2"/>
  <c r="B3097" i="2"/>
  <c r="A3097" i="2"/>
  <c r="D3096" i="2"/>
  <c r="B3096" i="2"/>
  <c r="A3096" i="2"/>
  <c r="D3095" i="2"/>
  <c r="B3095" i="2"/>
  <c r="A3095" i="2"/>
  <c r="D3094" i="2"/>
  <c r="B3094" i="2"/>
  <c r="A3094" i="2"/>
  <c r="D3093" i="2"/>
  <c r="B3093" i="2"/>
  <c r="A3093" i="2"/>
  <c r="D3092" i="2"/>
  <c r="B3092" i="2"/>
  <c r="A3092" i="2"/>
  <c r="D3091" i="2"/>
  <c r="B3091" i="2"/>
  <c r="A3091" i="2"/>
  <c r="D3090" i="2"/>
  <c r="B3090" i="2"/>
  <c r="A3090" i="2"/>
  <c r="D3089" i="2"/>
  <c r="B3089" i="2"/>
  <c r="A3089" i="2"/>
  <c r="D3080" i="2"/>
  <c r="B3080" i="2"/>
  <c r="A3080" i="2"/>
  <c r="D3079" i="2"/>
  <c r="B3079" i="2"/>
  <c r="A3079" i="2"/>
  <c r="D3078" i="2"/>
  <c r="B3078" i="2"/>
  <c r="A3078" i="2"/>
  <c r="D3077" i="2"/>
  <c r="B3077" i="2"/>
  <c r="A3077" i="2"/>
  <c r="D3076" i="2"/>
  <c r="B3076" i="2"/>
  <c r="A3076" i="2"/>
  <c r="D3075" i="2"/>
  <c r="B3075" i="2"/>
  <c r="A3075" i="2"/>
  <c r="D3074" i="2"/>
  <c r="B3074" i="2"/>
  <c r="A3074" i="2"/>
  <c r="D3073" i="2"/>
  <c r="B3073" i="2"/>
  <c r="A3073" i="2"/>
  <c r="D3072" i="2"/>
  <c r="B3072" i="2"/>
  <c r="A3072" i="2"/>
  <c r="D3071" i="2"/>
  <c r="B3071" i="2"/>
  <c r="A3071" i="2"/>
  <c r="D3070" i="2"/>
  <c r="B3070" i="2"/>
  <c r="A3070" i="2"/>
  <c r="D3069" i="2"/>
  <c r="B3069" i="2"/>
  <c r="A3069" i="2"/>
  <c r="D3057" i="2"/>
  <c r="B3057" i="2"/>
  <c r="A3057" i="2"/>
  <c r="D3056" i="2"/>
  <c r="B3056" i="2"/>
  <c r="A3056" i="2"/>
  <c r="D3055" i="2"/>
  <c r="B3055" i="2"/>
  <c r="A3055" i="2"/>
  <c r="D3054" i="2"/>
  <c r="B3054" i="2"/>
  <c r="A3054" i="2"/>
  <c r="D3053" i="2"/>
  <c r="B3053" i="2"/>
  <c r="A3053" i="2"/>
  <c r="D3052" i="2"/>
  <c r="B3052" i="2"/>
  <c r="A3052" i="2"/>
  <c r="D3051" i="2"/>
  <c r="B3051" i="2"/>
  <c r="A3051" i="2"/>
  <c r="D3050" i="2"/>
  <c r="B3050" i="2"/>
  <c r="A3050" i="2"/>
  <c r="D3049" i="2"/>
  <c r="B3049" i="2"/>
  <c r="A3049" i="2"/>
  <c r="D3048" i="2"/>
  <c r="B3048" i="2"/>
  <c r="A3048" i="2"/>
  <c r="D3047" i="2"/>
  <c r="B3047" i="2"/>
  <c r="A3047" i="2"/>
  <c r="D3046" i="2"/>
  <c r="B3046" i="2"/>
  <c r="A3046" i="2"/>
  <c r="D3045" i="2"/>
  <c r="B3045" i="2"/>
  <c r="A3045" i="2"/>
  <c r="D3044" i="2"/>
  <c r="B3044" i="2"/>
  <c r="A3044" i="2"/>
  <c r="D3043" i="2"/>
  <c r="B3043" i="2"/>
  <c r="A3043" i="2"/>
  <c r="D3042" i="2"/>
  <c r="B3042" i="2"/>
  <c r="A3042" i="2"/>
  <c r="D3041" i="2"/>
  <c r="B3041" i="2"/>
  <c r="A3041" i="2"/>
  <c r="D3040" i="2"/>
  <c r="B3040" i="2"/>
  <c r="A3040" i="2"/>
  <c r="D3032" i="2"/>
  <c r="B3032" i="2"/>
  <c r="A3032" i="2"/>
  <c r="D3031" i="2"/>
  <c r="B3031" i="2"/>
  <c r="A3031" i="2"/>
  <c r="D3030" i="2"/>
  <c r="B3030" i="2"/>
  <c r="A3030" i="2"/>
  <c r="D3029" i="2"/>
  <c r="B3029" i="2"/>
  <c r="A3029" i="2"/>
  <c r="D3028" i="2"/>
  <c r="B3028" i="2"/>
  <c r="A3028" i="2"/>
  <c r="D3027" i="2"/>
  <c r="B3027" i="2"/>
  <c r="A3027" i="2"/>
  <c r="D3026" i="2"/>
  <c r="B3026" i="2"/>
  <c r="A3026" i="2"/>
  <c r="D3025" i="2"/>
  <c r="B3025" i="2"/>
  <c r="A3025" i="2"/>
  <c r="D3024" i="2"/>
  <c r="B3024" i="2"/>
  <c r="A3024" i="2"/>
  <c r="D3023" i="2"/>
  <c r="B3023" i="2"/>
  <c r="A3023" i="2"/>
  <c r="D3022" i="2"/>
  <c r="B3022" i="2"/>
  <c r="A3022" i="2"/>
  <c r="D3021" i="2"/>
  <c r="B3021" i="2"/>
  <c r="A3021" i="2"/>
  <c r="D3020" i="2"/>
  <c r="B3020" i="2"/>
  <c r="A3020" i="2"/>
  <c r="D3019" i="2"/>
  <c r="B3019" i="2"/>
  <c r="A3019" i="2"/>
  <c r="D3018" i="2"/>
  <c r="B3018" i="2"/>
  <c r="A3018" i="2"/>
  <c r="D3017" i="2"/>
  <c r="B3017" i="2"/>
  <c r="A3017" i="2"/>
  <c r="D3016" i="2"/>
  <c r="B3016" i="2"/>
  <c r="A3016" i="2"/>
  <c r="D3015" i="2"/>
  <c r="B3015" i="2"/>
  <c r="A3015" i="2"/>
  <c r="D3007" i="2"/>
  <c r="B3007" i="2"/>
  <c r="A3007" i="2"/>
  <c r="D3006" i="2"/>
  <c r="B3006" i="2"/>
  <c r="A3006" i="2"/>
  <c r="D3005" i="2"/>
  <c r="B3005" i="2"/>
  <c r="A3005" i="2"/>
  <c r="D3004" i="2"/>
  <c r="B3004" i="2"/>
  <c r="A3004" i="2"/>
  <c r="D3003" i="2"/>
  <c r="B3003" i="2"/>
  <c r="A3003" i="2"/>
  <c r="D3002" i="2"/>
  <c r="B3002" i="2"/>
  <c r="A3002" i="2"/>
  <c r="D3001" i="2"/>
  <c r="B3001" i="2"/>
  <c r="A3001" i="2"/>
  <c r="D3000" i="2"/>
  <c r="B3000" i="2"/>
  <c r="A3000" i="2"/>
  <c r="D2999" i="2"/>
  <c r="B2999" i="2"/>
  <c r="A2999" i="2"/>
  <c r="D2998" i="2"/>
  <c r="B2998" i="2"/>
  <c r="A2998" i="2"/>
  <c r="D2997" i="2"/>
  <c r="B2997" i="2"/>
  <c r="A2997" i="2"/>
  <c r="D2996" i="2"/>
  <c r="B2996" i="2"/>
  <c r="A2996" i="2"/>
  <c r="D2995" i="2"/>
  <c r="B2995" i="2"/>
  <c r="A2995" i="2"/>
  <c r="D2994" i="2"/>
  <c r="B2994" i="2"/>
  <c r="A2994" i="2"/>
  <c r="D2993" i="2"/>
  <c r="B2993" i="2"/>
  <c r="A2993" i="2"/>
  <c r="D2992" i="2"/>
  <c r="B2992" i="2"/>
  <c r="A2992" i="2"/>
  <c r="D2991" i="2"/>
  <c r="B2991" i="2"/>
  <c r="A2991" i="2"/>
  <c r="D2990" i="2"/>
  <c r="B2990" i="2"/>
  <c r="A2990" i="2"/>
  <c r="D2989" i="2"/>
  <c r="B2989" i="2"/>
  <c r="A2989" i="2"/>
  <c r="D2988" i="2"/>
  <c r="B2988" i="2"/>
  <c r="A2988" i="2"/>
  <c r="D2987" i="2"/>
  <c r="B2987" i="2"/>
  <c r="A2987" i="2"/>
  <c r="D2986" i="2"/>
  <c r="B2986" i="2"/>
  <c r="A2986" i="2"/>
  <c r="D2985" i="2"/>
  <c r="B2985" i="2"/>
  <c r="A2985" i="2"/>
  <c r="D2984" i="2"/>
  <c r="B2984" i="2"/>
  <c r="A2984" i="2"/>
  <c r="D2983" i="2"/>
  <c r="B2983" i="2"/>
  <c r="A2983" i="2"/>
  <c r="D2982" i="2"/>
  <c r="B2982" i="2"/>
  <c r="A2982" i="2"/>
  <c r="D2981" i="2"/>
  <c r="B2981" i="2"/>
  <c r="A2981" i="2"/>
  <c r="D2980" i="2"/>
  <c r="B2980" i="2"/>
  <c r="A2980" i="2"/>
  <c r="D2979" i="2"/>
  <c r="B2979" i="2"/>
  <c r="A2979" i="2"/>
  <c r="D2978" i="2"/>
  <c r="B2978" i="2"/>
  <c r="A2978" i="2"/>
  <c r="D2973" i="2"/>
  <c r="B2973" i="2"/>
  <c r="A2973" i="2"/>
  <c r="D2972" i="2"/>
  <c r="B2972" i="2"/>
  <c r="A2972" i="2"/>
  <c r="D2971" i="2"/>
  <c r="B2971" i="2"/>
  <c r="A2971" i="2"/>
  <c r="D2970" i="2"/>
  <c r="B2970" i="2"/>
  <c r="A2970" i="2"/>
  <c r="D2969" i="2"/>
  <c r="B2969" i="2"/>
  <c r="A2969" i="2"/>
  <c r="D2968" i="2"/>
  <c r="B2968" i="2"/>
  <c r="A2968" i="2"/>
  <c r="D2959" i="2"/>
  <c r="B2959" i="2"/>
  <c r="A2959" i="2"/>
  <c r="D2958" i="2"/>
  <c r="B2958" i="2"/>
  <c r="A2958" i="2"/>
  <c r="D2957" i="2"/>
  <c r="B2957" i="2"/>
  <c r="A2957" i="2"/>
  <c r="D2956" i="2"/>
  <c r="B2956" i="2"/>
  <c r="A2956" i="2"/>
  <c r="D2955" i="2"/>
  <c r="B2955" i="2"/>
  <c r="A2955" i="2"/>
  <c r="D2954" i="2"/>
  <c r="B2954" i="2"/>
  <c r="A2954" i="2"/>
  <c r="D2953" i="2"/>
  <c r="B2953" i="2"/>
  <c r="A2953" i="2"/>
  <c r="D2952" i="2"/>
  <c r="B2952" i="2"/>
  <c r="A2952" i="2"/>
  <c r="D2951" i="2"/>
  <c r="B2951" i="2"/>
  <c r="A2951" i="2"/>
  <c r="D2950" i="2"/>
  <c r="B2950" i="2"/>
  <c r="A2950" i="2"/>
  <c r="D2949" i="2"/>
  <c r="B2949" i="2"/>
  <c r="A2949" i="2"/>
  <c r="D2948" i="2"/>
  <c r="B2948" i="2"/>
  <c r="A2948" i="2"/>
  <c r="D2939" i="2"/>
  <c r="B2939" i="2"/>
  <c r="A2939" i="2"/>
  <c r="D2938" i="2"/>
  <c r="B2938" i="2"/>
  <c r="A2938" i="2"/>
  <c r="D2937" i="2"/>
  <c r="B2937" i="2"/>
  <c r="A2937" i="2"/>
  <c r="D2936" i="2"/>
  <c r="B2936" i="2"/>
  <c r="A2936" i="2"/>
  <c r="D2935" i="2"/>
  <c r="B2935" i="2"/>
  <c r="A2935" i="2"/>
  <c r="D2934" i="2"/>
  <c r="B2934" i="2"/>
  <c r="A2934" i="2"/>
  <c r="D2933" i="2"/>
  <c r="B2933" i="2"/>
  <c r="A2933" i="2"/>
  <c r="D2932" i="2"/>
  <c r="B2932" i="2"/>
  <c r="A2932" i="2"/>
  <c r="D2931" i="2"/>
  <c r="B2931" i="2"/>
  <c r="A2931" i="2"/>
  <c r="D2930" i="2"/>
  <c r="B2930" i="2"/>
  <c r="A2930" i="2"/>
  <c r="D2929" i="2"/>
  <c r="B2929" i="2"/>
  <c r="A2929" i="2"/>
  <c r="D2928" i="2"/>
  <c r="B2928" i="2"/>
  <c r="A2928" i="2"/>
  <c r="D2919" i="2"/>
  <c r="B2919" i="2"/>
  <c r="A2919" i="2"/>
  <c r="D2918" i="2"/>
  <c r="B2918" i="2"/>
  <c r="A2918" i="2"/>
  <c r="D2917" i="2"/>
  <c r="B2917" i="2"/>
  <c r="A2917" i="2"/>
  <c r="D2916" i="2"/>
  <c r="B2916" i="2"/>
  <c r="A2916" i="2"/>
  <c r="D2915" i="2"/>
  <c r="B2915" i="2"/>
  <c r="A2915" i="2"/>
  <c r="D2914" i="2"/>
  <c r="B2914" i="2"/>
  <c r="A2914" i="2"/>
  <c r="D2913" i="2"/>
  <c r="B2913" i="2"/>
  <c r="A2913" i="2"/>
  <c r="D2912" i="2"/>
  <c r="B2912" i="2"/>
  <c r="A2912" i="2"/>
  <c r="D2911" i="2"/>
  <c r="B2911" i="2"/>
  <c r="A2911" i="2"/>
  <c r="D2910" i="2"/>
  <c r="B2910" i="2"/>
  <c r="A2910" i="2"/>
  <c r="D2909" i="2"/>
  <c r="B2909" i="2"/>
  <c r="A2909" i="2"/>
  <c r="D2908" i="2"/>
  <c r="B2908" i="2"/>
  <c r="A2908" i="2"/>
  <c r="D2898" i="2"/>
  <c r="B2898" i="2"/>
  <c r="A2898" i="2"/>
  <c r="D2897" i="2"/>
  <c r="B2897" i="2"/>
  <c r="A2897" i="2"/>
  <c r="D2896" i="2"/>
  <c r="B2896" i="2"/>
  <c r="A2896" i="2"/>
  <c r="D2895" i="2"/>
  <c r="B2895" i="2"/>
  <c r="A2895" i="2"/>
  <c r="D2894" i="2"/>
  <c r="B2894" i="2"/>
  <c r="A2894" i="2"/>
  <c r="D2893" i="2"/>
  <c r="B2893" i="2"/>
  <c r="A2893" i="2"/>
  <c r="D2881" i="2"/>
  <c r="B2881" i="2"/>
  <c r="A2881" i="2"/>
  <c r="D2880" i="2"/>
  <c r="B2880" i="2"/>
  <c r="A2880" i="2"/>
  <c r="D2879" i="2"/>
  <c r="B2879" i="2"/>
  <c r="A2879" i="2"/>
  <c r="D2878" i="2"/>
  <c r="B2878" i="2"/>
  <c r="A2878" i="2"/>
  <c r="D2877" i="2"/>
  <c r="B2877" i="2"/>
  <c r="A2877" i="2"/>
  <c r="D2876" i="2"/>
  <c r="B2876" i="2"/>
  <c r="A2876" i="2"/>
  <c r="D2867" i="2"/>
  <c r="B2867" i="2"/>
  <c r="A2867" i="2"/>
  <c r="D2866" i="2"/>
  <c r="B2866" i="2"/>
  <c r="A2866" i="2"/>
  <c r="D2865" i="2"/>
  <c r="B2865" i="2"/>
  <c r="A2865" i="2"/>
  <c r="D2864" i="2"/>
  <c r="B2864" i="2"/>
  <c r="A2864" i="2"/>
  <c r="D2863" i="2"/>
  <c r="B2863" i="2"/>
  <c r="A2863" i="2"/>
  <c r="D2862" i="2"/>
  <c r="B2862" i="2"/>
  <c r="A2862" i="2"/>
  <c r="D2861" i="2"/>
  <c r="B2861" i="2"/>
  <c r="A2861" i="2"/>
  <c r="D2860" i="2"/>
  <c r="B2860" i="2"/>
  <c r="A2860" i="2"/>
  <c r="D2859" i="2"/>
  <c r="B2859" i="2"/>
  <c r="A2859" i="2"/>
  <c r="D2858" i="2"/>
  <c r="B2858" i="2"/>
  <c r="A2858" i="2"/>
  <c r="D2857" i="2"/>
  <c r="B2857" i="2"/>
  <c r="A2857" i="2"/>
  <c r="D2856" i="2"/>
  <c r="B2856" i="2"/>
  <c r="A2856" i="2"/>
  <c r="D2855" i="2"/>
  <c r="B2855" i="2"/>
  <c r="A2855" i="2"/>
  <c r="D2854" i="2"/>
  <c r="B2854" i="2"/>
  <c r="A2854" i="2"/>
  <c r="D2853" i="2"/>
  <c r="B2853" i="2"/>
  <c r="A2853" i="2"/>
  <c r="D2852" i="2"/>
  <c r="B2852" i="2"/>
  <c r="A2852" i="2"/>
  <c r="D2851" i="2"/>
  <c r="B2851" i="2"/>
  <c r="A2851" i="2"/>
  <c r="D2850" i="2"/>
  <c r="B2850" i="2"/>
  <c r="A2850" i="2"/>
  <c r="D2849" i="2"/>
  <c r="B2849" i="2"/>
  <c r="A2849" i="2"/>
  <c r="D2848" i="2"/>
  <c r="B2848" i="2"/>
  <c r="A2848" i="2"/>
  <c r="D2847" i="2"/>
  <c r="B2847" i="2"/>
  <c r="A2847" i="2"/>
  <c r="D2846" i="2"/>
  <c r="B2846" i="2"/>
  <c r="A2846" i="2"/>
  <c r="D2845" i="2"/>
  <c r="B2845" i="2"/>
  <c r="A2845" i="2"/>
  <c r="D2844" i="2"/>
  <c r="B2844" i="2"/>
  <c r="A2844" i="2"/>
  <c r="D2837" i="2"/>
  <c r="B2837" i="2"/>
  <c r="A2837" i="2"/>
  <c r="D2836" i="2"/>
  <c r="B2836" i="2"/>
  <c r="A2836" i="2"/>
  <c r="D2835" i="2"/>
  <c r="B2835" i="2"/>
  <c r="A2835" i="2"/>
  <c r="D2834" i="2"/>
  <c r="B2834" i="2"/>
  <c r="A2834" i="2"/>
  <c r="D2833" i="2"/>
  <c r="B2833" i="2"/>
  <c r="A2833" i="2"/>
  <c r="D2832" i="2"/>
  <c r="B2832" i="2"/>
  <c r="A2832" i="2"/>
  <c r="D2831" i="2"/>
  <c r="B2831" i="2"/>
  <c r="A2831" i="2"/>
  <c r="D2830" i="2"/>
  <c r="B2830" i="2"/>
  <c r="A2830" i="2"/>
  <c r="D2829" i="2"/>
  <c r="B2829" i="2"/>
  <c r="A2829" i="2"/>
  <c r="D2828" i="2"/>
  <c r="B2828" i="2"/>
  <c r="A2828" i="2"/>
  <c r="D2827" i="2"/>
  <c r="B2827" i="2"/>
  <c r="A2827" i="2"/>
  <c r="D2826" i="2"/>
  <c r="B2826" i="2"/>
  <c r="A2826" i="2"/>
  <c r="D2825" i="2"/>
  <c r="B2825" i="2"/>
  <c r="A2825" i="2"/>
  <c r="D2824" i="2"/>
  <c r="B2824" i="2"/>
  <c r="A2824" i="2"/>
  <c r="D2823" i="2"/>
  <c r="B2823" i="2"/>
  <c r="A2823" i="2"/>
  <c r="D2822" i="2"/>
  <c r="B2822" i="2"/>
  <c r="A2822" i="2"/>
  <c r="D2821" i="2"/>
  <c r="B2821" i="2"/>
  <c r="A2821" i="2"/>
  <c r="D2820" i="2"/>
  <c r="B2820" i="2"/>
  <c r="A2820" i="2"/>
  <c r="D2811" i="2"/>
  <c r="B2811" i="2"/>
  <c r="A2811" i="2"/>
  <c r="D2810" i="2"/>
  <c r="B2810" i="2"/>
  <c r="A2810" i="2"/>
  <c r="D2809" i="2"/>
  <c r="B2809" i="2"/>
  <c r="A2809" i="2"/>
  <c r="D2808" i="2"/>
  <c r="B2808" i="2"/>
  <c r="A2808" i="2"/>
  <c r="D2807" i="2"/>
  <c r="B2807" i="2"/>
  <c r="A2807" i="2"/>
  <c r="D2806" i="2"/>
  <c r="B2806" i="2"/>
  <c r="A2806" i="2"/>
  <c r="D2805" i="2"/>
  <c r="B2805" i="2"/>
  <c r="A2805" i="2"/>
  <c r="D2804" i="2"/>
  <c r="B2804" i="2"/>
  <c r="A2804" i="2"/>
  <c r="D2803" i="2"/>
  <c r="B2803" i="2"/>
  <c r="A2803" i="2"/>
  <c r="D2802" i="2"/>
  <c r="B2802" i="2"/>
  <c r="A2802" i="2"/>
  <c r="D2801" i="2"/>
  <c r="B2801" i="2"/>
  <c r="A2801" i="2"/>
  <c r="D2800" i="2"/>
  <c r="B2800" i="2"/>
  <c r="A2800" i="2"/>
  <c r="D2799" i="2"/>
  <c r="B2799" i="2"/>
  <c r="A2799" i="2"/>
  <c r="D2798" i="2"/>
  <c r="B2798" i="2"/>
  <c r="A2798" i="2"/>
  <c r="D2797" i="2"/>
  <c r="B2797" i="2"/>
  <c r="A2797" i="2"/>
  <c r="D2796" i="2"/>
  <c r="B2796" i="2"/>
  <c r="A2796" i="2"/>
  <c r="D2795" i="2"/>
  <c r="B2795" i="2"/>
  <c r="A2795" i="2"/>
  <c r="D2794" i="2"/>
  <c r="B2794" i="2"/>
  <c r="A2794" i="2"/>
  <c r="D2785" i="2"/>
  <c r="B2785" i="2"/>
  <c r="A2785" i="2"/>
  <c r="D2784" i="2"/>
  <c r="B2784" i="2"/>
  <c r="A2784" i="2"/>
  <c r="D2783" i="2"/>
  <c r="B2783" i="2"/>
  <c r="A2783" i="2"/>
  <c r="D2782" i="2"/>
  <c r="B2782" i="2"/>
  <c r="A2782" i="2"/>
  <c r="D2781" i="2"/>
  <c r="B2781" i="2"/>
  <c r="A2781" i="2"/>
  <c r="D2780" i="2"/>
  <c r="B2780" i="2"/>
  <c r="A2780" i="2"/>
  <c r="D2779" i="2"/>
  <c r="B2779" i="2"/>
  <c r="A2779" i="2"/>
  <c r="D2778" i="2"/>
  <c r="B2778" i="2"/>
  <c r="A2778" i="2"/>
  <c r="D2777" i="2"/>
  <c r="B2777" i="2"/>
  <c r="A2777" i="2"/>
  <c r="D2776" i="2"/>
  <c r="B2776" i="2"/>
  <c r="A2776" i="2"/>
  <c r="D2775" i="2"/>
  <c r="B2775" i="2"/>
  <c r="A2775" i="2"/>
  <c r="D2774" i="2"/>
  <c r="B2774" i="2"/>
  <c r="A2774" i="2"/>
  <c r="D2765" i="2"/>
  <c r="B2765" i="2"/>
  <c r="A2765" i="2"/>
  <c r="D2764" i="2"/>
  <c r="B2764" i="2"/>
  <c r="A2764" i="2"/>
  <c r="D2763" i="2"/>
  <c r="B2763" i="2"/>
  <c r="A2763" i="2"/>
  <c r="D2762" i="2"/>
  <c r="B2762" i="2"/>
  <c r="A2762" i="2"/>
  <c r="D2761" i="2"/>
  <c r="B2761" i="2"/>
  <c r="A2761" i="2"/>
  <c r="D2760" i="2"/>
  <c r="B2760" i="2"/>
  <c r="A2760" i="2"/>
  <c r="D2759" i="2"/>
  <c r="B2759" i="2"/>
  <c r="A2759" i="2"/>
  <c r="D2758" i="2"/>
  <c r="B2758" i="2"/>
  <c r="A2758" i="2"/>
  <c r="D2757" i="2"/>
  <c r="B2757" i="2"/>
  <c r="A2757" i="2"/>
  <c r="D2756" i="2"/>
  <c r="B2756" i="2"/>
  <c r="A2756" i="2"/>
  <c r="D2755" i="2"/>
  <c r="B2755" i="2"/>
  <c r="A2755" i="2"/>
  <c r="D2754" i="2"/>
  <c r="B2754" i="2"/>
  <c r="A2754" i="2"/>
  <c r="D2742" i="2"/>
  <c r="B2742" i="2"/>
  <c r="A2742" i="2"/>
  <c r="D2741" i="2"/>
  <c r="B2741" i="2"/>
  <c r="A2741" i="2"/>
  <c r="D2740" i="2"/>
  <c r="B2740" i="2"/>
  <c r="A2740" i="2"/>
  <c r="D2739" i="2"/>
  <c r="B2739" i="2"/>
  <c r="A2739" i="2"/>
  <c r="D2738" i="2"/>
  <c r="B2738" i="2"/>
  <c r="A2738" i="2"/>
  <c r="D2737" i="2"/>
  <c r="B2737" i="2"/>
  <c r="A2737" i="2"/>
  <c r="D2736" i="2"/>
  <c r="B2736" i="2"/>
  <c r="A2736" i="2"/>
  <c r="D2735" i="2"/>
  <c r="B2735" i="2"/>
  <c r="A2735" i="2"/>
  <c r="D2734" i="2"/>
  <c r="B2734" i="2"/>
  <c r="A2734" i="2"/>
  <c r="D2733" i="2"/>
  <c r="B2733" i="2"/>
  <c r="A2733" i="2"/>
  <c r="D2732" i="2"/>
  <c r="B2732" i="2"/>
  <c r="A2732" i="2"/>
  <c r="D2731" i="2"/>
  <c r="B2731" i="2"/>
  <c r="A2731" i="2"/>
  <c r="D2721" i="2"/>
  <c r="B2721" i="2"/>
  <c r="A2721" i="2"/>
  <c r="D2720" i="2"/>
  <c r="B2720" i="2"/>
  <c r="A2720" i="2"/>
  <c r="D2719" i="2"/>
  <c r="B2719" i="2"/>
  <c r="A2719" i="2"/>
  <c r="D2718" i="2"/>
  <c r="B2718" i="2"/>
  <c r="A2718" i="2"/>
  <c r="D2717" i="2"/>
  <c r="B2717" i="2"/>
  <c r="A2717" i="2"/>
  <c r="D2716" i="2"/>
  <c r="B2716" i="2"/>
  <c r="A2716" i="2"/>
  <c r="D2715" i="2"/>
  <c r="B2715" i="2"/>
  <c r="A2715" i="2"/>
  <c r="D2714" i="2"/>
  <c r="B2714" i="2"/>
  <c r="A2714" i="2"/>
  <c r="D2713" i="2"/>
  <c r="B2713" i="2"/>
  <c r="A2713" i="2"/>
  <c r="D2712" i="2"/>
  <c r="B2712" i="2"/>
  <c r="A2712" i="2"/>
  <c r="D2711" i="2"/>
  <c r="B2711" i="2"/>
  <c r="A2711" i="2"/>
  <c r="D2710" i="2"/>
  <c r="B2710" i="2"/>
  <c r="A2710" i="2"/>
  <c r="D2690" i="2"/>
  <c r="B2690" i="2"/>
  <c r="A2690" i="2"/>
  <c r="D2689" i="2"/>
  <c r="B2689" i="2"/>
  <c r="A2689" i="2"/>
  <c r="D2688" i="2"/>
  <c r="B2688" i="2"/>
  <c r="A2688" i="2"/>
  <c r="D2687" i="2"/>
  <c r="B2687" i="2"/>
  <c r="A2687" i="2"/>
  <c r="D2686" i="2"/>
  <c r="B2686" i="2"/>
  <c r="A2686" i="2"/>
  <c r="D2685" i="2"/>
  <c r="B2685" i="2"/>
  <c r="A2685" i="2"/>
  <c r="D2684" i="2"/>
  <c r="B2684" i="2"/>
  <c r="A2684" i="2"/>
  <c r="D2683" i="2"/>
  <c r="B2683" i="2"/>
  <c r="A2683" i="2"/>
  <c r="D2682" i="2"/>
  <c r="B2682" i="2"/>
  <c r="A2682" i="2"/>
  <c r="D2681" i="2"/>
  <c r="B2681" i="2"/>
  <c r="A2681" i="2"/>
  <c r="D2680" i="2"/>
  <c r="B2680" i="2"/>
  <c r="A2680" i="2"/>
  <c r="D2679" i="2"/>
  <c r="B2679" i="2"/>
  <c r="A2679" i="2"/>
  <c r="D2671" i="2"/>
  <c r="B2671" i="2"/>
  <c r="A2671" i="2"/>
  <c r="D2670" i="2"/>
  <c r="B2670" i="2"/>
  <c r="A2670" i="2"/>
  <c r="D2669" i="2"/>
  <c r="B2669" i="2"/>
  <c r="A2669" i="2"/>
  <c r="D2668" i="2"/>
  <c r="B2668" i="2"/>
  <c r="A2668" i="2"/>
  <c r="D2667" i="2"/>
  <c r="B2667" i="2"/>
  <c r="A2667" i="2"/>
  <c r="D2666" i="2"/>
  <c r="B2666" i="2"/>
  <c r="A2666" i="2"/>
  <c r="D2665" i="2"/>
  <c r="B2665" i="2"/>
  <c r="A2665" i="2"/>
  <c r="D2664" i="2"/>
  <c r="B2664" i="2"/>
  <c r="A2664" i="2"/>
  <c r="D2663" i="2"/>
  <c r="B2663" i="2"/>
  <c r="A2663" i="2"/>
  <c r="D2662" i="2"/>
  <c r="B2662" i="2"/>
  <c r="A2662" i="2"/>
  <c r="D2661" i="2"/>
  <c r="B2661" i="2"/>
  <c r="A2661" i="2"/>
  <c r="D2660" i="2"/>
  <c r="B2660" i="2"/>
  <c r="A2660" i="2"/>
  <c r="D2651" i="2"/>
  <c r="B2651" i="2"/>
  <c r="A2651" i="2"/>
  <c r="D2650" i="2"/>
  <c r="B2650" i="2"/>
  <c r="A2650" i="2"/>
  <c r="D2649" i="2"/>
  <c r="B2649" i="2"/>
  <c r="A2649" i="2"/>
  <c r="D2648" i="2"/>
  <c r="B2648" i="2"/>
  <c r="A2648" i="2"/>
  <c r="D2647" i="2"/>
  <c r="B2647" i="2"/>
  <c r="A2647" i="2"/>
  <c r="D2646" i="2"/>
  <c r="B2646" i="2"/>
  <c r="A2646" i="2"/>
  <c r="D2645" i="2"/>
  <c r="B2645" i="2"/>
  <c r="A2645" i="2"/>
  <c r="D2644" i="2"/>
  <c r="B2644" i="2"/>
  <c r="A2644" i="2"/>
  <c r="D2643" i="2"/>
  <c r="B2643" i="2"/>
  <c r="A2643" i="2"/>
  <c r="D2642" i="2"/>
  <c r="B2642" i="2"/>
  <c r="A2642" i="2"/>
  <c r="D2641" i="2"/>
  <c r="B2641" i="2"/>
  <c r="A2641" i="2"/>
  <c r="D2640" i="2"/>
  <c r="B2640" i="2"/>
  <c r="A2640" i="2"/>
  <c r="D2639" i="2"/>
  <c r="B2639" i="2"/>
  <c r="A2639" i="2"/>
  <c r="D2638" i="2"/>
  <c r="B2638" i="2"/>
  <c r="A2638" i="2"/>
  <c r="D2637" i="2"/>
  <c r="B2637" i="2"/>
  <c r="A2637" i="2"/>
  <c r="D2636" i="2"/>
  <c r="B2636" i="2"/>
  <c r="A2636" i="2"/>
  <c r="D2635" i="2"/>
  <c r="B2635" i="2"/>
  <c r="A2635" i="2"/>
  <c r="D2634" i="2"/>
  <c r="B2634" i="2"/>
  <c r="A2634" i="2"/>
  <c r="D2633" i="2"/>
  <c r="B2633" i="2"/>
  <c r="A2633" i="2"/>
  <c r="D2632" i="2"/>
  <c r="B2632" i="2"/>
  <c r="A2632" i="2"/>
  <c r="D2631" i="2"/>
  <c r="B2631" i="2"/>
  <c r="A2631" i="2"/>
  <c r="D2630" i="2"/>
  <c r="B2630" i="2"/>
  <c r="A2630" i="2"/>
  <c r="D2629" i="2"/>
  <c r="B2629" i="2"/>
  <c r="A2629" i="2"/>
  <c r="D2628" i="2"/>
  <c r="B2628" i="2"/>
  <c r="A2628" i="2"/>
  <c r="D2620" i="2"/>
  <c r="B2620" i="2"/>
  <c r="A2620" i="2"/>
  <c r="D2619" i="2"/>
  <c r="B2619" i="2"/>
  <c r="A2619" i="2"/>
  <c r="D2618" i="2"/>
  <c r="B2618" i="2"/>
  <c r="A2618" i="2"/>
  <c r="D2617" i="2"/>
  <c r="B2617" i="2"/>
  <c r="A2617" i="2"/>
  <c r="D2616" i="2"/>
  <c r="B2616" i="2"/>
  <c r="A2616" i="2"/>
  <c r="D2615" i="2"/>
  <c r="B2615" i="2"/>
  <c r="A2615" i="2"/>
  <c r="D2614" i="2"/>
  <c r="B2614" i="2"/>
  <c r="A2614" i="2"/>
  <c r="D2613" i="2"/>
  <c r="B2613" i="2"/>
  <c r="A2613" i="2"/>
  <c r="D2612" i="2"/>
  <c r="B2612" i="2"/>
  <c r="A2612" i="2"/>
  <c r="D2611" i="2"/>
  <c r="B2611" i="2"/>
  <c r="A2611" i="2"/>
  <c r="D2610" i="2"/>
  <c r="B2610" i="2"/>
  <c r="A2610" i="2"/>
  <c r="D2609" i="2"/>
  <c r="B2609" i="2"/>
  <c r="A2609" i="2"/>
  <c r="D2608" i="2"/>
  <c r="B2608" i="2"/>
  <c r="A2608" i="2"/>
  <c r="D2607" i="2"/>
  <c r="B2607" i="2"/>
  <c r="A2607" i="2"/>
  <c r="D2606" i="2"/>
  <c r="B2606" i="2"/>
  <c r="A2606" i="2"/>
  <c r="D2605" i="2"/>
  <c r="B2605" i="2"/>
  <c r="A2605" i="2"/>
  <c r="D2604" i="2"/>
  <c r="B2604" i="2"/>
  <c r="A2604" i="2"/>
  <c r="D2603" i="2"/>
  <c r="B2603" i="2"/>
  <c r="A2603" i="2"/>
  <c r="D2591" i="2"/>
  <c r="B2591" i="2"/>
  <c r="A2591" i="2"/>
  <c r="D2590" i="2"/>
  <c r="B2590" i="2"/>
  <c r="A2590" i="2"/>
  <c r="D2589" i="2"/>
  <c r="B2589" i="2"/>
  <c r="A2589" i="2"/>
  <c r="D2588" i="2"/>
  <c r="B2588" i="2"/>
  <c r="A2588" i="2"/>
  <c r="D2587" i="2"/>
  <c r="B2587" i="2"/>
  <c r="A2587" i="2"/>
  <c r="D2586" i="2"/>
  <c r="B2586" i="2"/>
  <c r="A2586" i="2"/>
  <c r="D2575" i="2"/>
  <c r="B2575" i="2"/>
  <c r="A2575" i="2"/>
  <c r="D2574" i="2"/>
  <c r="B2574" i="2"/>
  <c r="A2574" i="2"/>
  <c r="D2573" i="2"/>
  <c r="B2573" i="2"/>
  <c r="A2573" i="2"/>
  <c r="D2572" i="2"/>
  <c r="B2572" i="2"/>
  <c r="A2572" i="2"/>
  <c r="D2571" i="2"/>
  <c r="B2571" i="2"/>
  <c r="A2571" i="2"/>
  <c r="D2570" i="2"/>
  <c r="B2570" i="2"/>
  <c r="A2570" i="2"/>
  <c r="D2569" i="2"/>
  <c r="B2569" i="2"/>
  <c r="A2569" i="2"/>
  <c r="D2568" i="2"/>
  <c r="B2568" i="2"/>
  <c r="A2568" i="2"/>
  <c r="D2567" i="2"/>
  <c r="B2567" i="2"/>
  <c r="A2567" i="2"/>
  <c r="D2566" i="2"/>
  <c r="B2566" i="2"/>
  <c r="A2566" i="2"/>
  <c r="D2565" i="2"/>
  <c r="B2565" i="2"/>
  <c r="A2565" i="2"/>
  <c r="D2564" i="2"/>
  <c r="B2564" i="2"/>
  <c r="A2564" i="2"/>
  <c r="D2563" i="2"/>
  <c r="B2563" i="2"/>
  <c r="A2563" i="2"/>
  <c r="D2562" i="2"/>
  <c r="B2562" i="2"/>
  <c r="A2562" i="2"/>
  <c r="D2561" i="2"/>
  <c r="B2561" i="2"/>
  <c r="A2561" i="2"/>
  <c r="D2560" i="2"/>
  <c r="B2560" i="2"/>
  <c r="A2560" i="2"/>
  <c r="D2559" i="2"/>
  <c r="B2559" i="2"/>
  <c r="A2559" i="2"/>
  <c r="D2558" i="2"/>
  <c r="B2558" i="2"/>
  <c r="A2558" i="2"/>
  <c r="D2557" i="2"/>
  <c r="B2557" i="2"/>
  <c r="A2557" i="2"/>
  <c r="D2556" i="2"/>
  <c r="B2556" i="2"/>
  <c r="A2556" i="2"/>
  <c r="D2555" i="2"/>
  <c r="B2555" i="2"/>
  <c r="A2555" i="2"/>
  <c r="D2554" i="2"/>
  <c r="B2554" i="2"/>
  <c r="A2554" i="2"/>
  <c r="D2553" i="2"/>
  <c r="B2553" i="2"/>
  <c r="A2553" i="2"/>
  <c r="D2552" i="2"/>
  <c r="B2552" i="2"/>
  <c r="A2552" i="2"/>
  <c r="D2541" i="2"/>
  <c r="B2541" i="2"/>
  <c r="A2541" i="2"/>
  <c r="D2540" i="2"/>
  <c r="B2540" i="2"/>
  <c r="A2540" i="2"/>
  <c r="D2539" i="2"/>
  <c r="B2539" i="2"/>
  <c r="A2539" i="2"/>
  <c r="D2538" i="2"/>
  <c r="B2538" i="2"/>
  <c r="A2538" i="2"/>
  <c r="D2537" i="2"/>
  <c r="B2537" i="2"/>
  <c r="A2537" i="2"/>
  <c r="D2536" i="2"/>
  <c r="B2536" i="2"/>
  <c r="A2536" i="2"/>
  <c r="D2535" i="2"/>
  <c r="B2535" i="2"/>
  <c r="A2535" i="2"/>
  <c r="D2534" i="2"/>
  <c r="B2534" i="2"/>
  <c r="A2534" i="2"/>
  <c r="D2533" i="2"/>
  <c r="B2533" i="2"/>
  <c r="A2533" i="2"/>
  <c r="D2532" i="2"/>
  <c r="B2532" i="2"/>
  <c r="A2532" i="2"/>
  <c r="D2531" i="2"/>
  <c r="B2531" i="2"/>
  <c r="A2531" i="2"/>
  <c r="D2530" i="2"/>
  <c r="B2530" i="2"/>
  <c r="A2530" i="2"/>
  <c r="D2521" i="2"/>
  <c r="B2521" i="2"/>
  <c r="A2521" i="2"/>
  <c r="D2520" i="2"/>
  <c r="B2520" i="2"/>
  <c r="A2520" i="2"/>
  <c r="D2519" i="2"/>
  <c r="B2519" i="2"/>
  <c r="A2519" i="2"/>
  <c r="D2518" i="2"/>
  <c r="B2518" i="2"/>
  <c r="A2518" i="2"/>
  <c r="D2517" i="2"/>
  <c r="B2517" i="2"/>
  <c r="A2517" i="2"/>
  <c r="D2516" i="2"/>
  <c r="B2516" i="2"/>
  <c r="A2516" i="2"/>
  <c r="D2515" i="2"/>
  <c r="B2515" i="2"/>
  <c r="A2515" i="2"/>
  <c r="D2514" i="2"/>
  <c r="B2514" i="2"/>
  <c r="A2514" i="2"/>
  <c r="D2513" i="2"/>
  <c r="B2513" i="2"/>
  <c r="A2513" i="2"/>
  <c r="D2512" i="2"/>
  <c r="B2512" i="2"/>
  <c r="A2512" i="2"/>
  <c r="D2511" i="2"/>
  <c r="B2511" i="2"/>
  <c r="A2511" i="2"/>
  <c r="D2510" i="2"/>
  <c r="B2510" i="2"/>
  <c r="A2510" i="2"/>
  <c r="D2499" i="2"/>
  <c r="B2499" i="2"/>
  <c r="A2499" i="2"/>
  <c r="D2498" i="2"/>
  <c r="B2498" i="2"/>
  <c r="A2498" i="2"/>
  <c r="D2497" i="2"/>
  <c r="B2497" i="2"/>
  <c r="A2497" i="2"/>
  <c r="D2496" i="2"/>
  <c r="B2496" i="2"/>
  <c r="A2496" i="2"/>
  <c r="D2495" i="2"/>
  <c r="B2495" i="2"/>
  <c r="A2495" i="2"/>
  <c r="D2494" i="2"/>
  <c r="B2494" i="2"/>
  <c r="A2494" i="2"/>
  <c r="D2493" i="2"/>
  <c r="B2493" i="2"/>
  <c r="A2493" i="2"/>
  <c r="D2492" i="2"/>
  <c r="B2492" i="2"/>
  <c r="A2492" i="2"/>
  <c r="D2491" i="2"/>
  <c r="B2491" i="2"/>
  <c r="A2491" i="2"/>
  <c r="D2490" i="2"/>
  <c r="B2490" i="2"/>
  <c r="A2490" i="2"/>
  <c r="D2489" i="2"/>
  <c r="B2489" i="2"/>
  <c r="A2489" i="2"/>
  <c r="D2488" i="2"/>
  <c r="B2488" i="2"/>
  <c r="A2488" i="2"/>
  <c r="D2480" i="2"/>
  <c r="B2480" i="2"/>
  <c r="A2480" i="2"/>
  <c r="D2479" i="2"/>
  <c r="B2479" i="2"/>
  <c r="A2479" i="2"/>
  <c r="D2478" i="2"/>
  <c r="B2478" i="2"/>
  <c r="A2478" i="2"/>
  <c r="D2477" i="2"/>
  <c r="B2477" i="2"/>
  <c r="A2477" i="2"/>
  <c r="D2476" i="2"/>
  <c r="B2476" i="2"/>
  <c r="A2476" i="2"/>
  <c r="D2475" i="2"/>
  <c r="B2475" i="2"/>
  <c r="A2475" i="2"/>
  <c r="D2464" i="2"/>
  <c r="B2464" i="2"/>
  <c r="A2464" i="2"/>
  <c r="D2463" i="2"/>
  <c r="B2463" i="2"/>
  <c r="A2463" i="2"/>
  <c r="D2462" i="2"/>
  <c r="B2462" i="2"/>
  <c r="A2462" i="2"/>
  <c r="D2461" i="2"/>
  <c r="B2461" i="2"/>
  <c r="A2461" i="2"/>
  <c r="D2460" i="2"/>
  <c r="B2460" i="2"/>
  <c r="A2460" i="2"/>
  <c r="D2459" i="2"/>
  <c r="B2459" i="2"/>
  <c r="A2459" i="2"/>
  <c r="D2450" i="2"/>
  <c r="B2450" i="2"/>
  <c r="A2450" i="2"/>
  <c r="D2449" i="2"/>
  <c r="B2449" i="2"/>
  <c r="A2449" i="2"/>
  <c r="D2448" i="2"/>
  <c r="B2448" i="2"/>
  <c r="A2448" i="2"/>
  <c r="D2447" i="2"/>
  <c r="B2447" i="2"/>
  <c r="A2447" i="2"/>
  <c r="D2446" i="2"/>
  <c r="B2446" i="2"/>
  <c r="A2446" i="2"/>
  <c r="D2445" i="2"/>
  <c r="B2445" i="2"/>
  <c r="A2445" i="2"/>
  <c r="D2444" i="2"/>
  <c r="B2444" i="2"/>
  <c r="A2444" i="2"/>
  <c r="D2443" i="2"/>
  <c r="B2443" i="2"/>
  <c r="A2443" i="2"/>
  <c r="D2442" i="2"/>
  <c r="B2442" i="2"/>
  <c r="A2442" i="2"/>
  <c r="D2441" i="2"/>
  <c r="B2441" i="2"/>
  <c r="A2441" i="2"/>
  <c r="D2440" i="2"/>
  <c r="B2440" i="2"/>
  <c r="A2440" i="2"/>
  <c r="D2439" i="2"/>
  <c r="B2439" i="2"/>
  <c r="A2439" i="2"/>
  <c r="D2431" i="2"/>
  <c r="B2431" i="2"/>
  <c r="A2431" i="2"/>
  <c r="D2430" i="2"/>
  <c r="B2430" i="2"/>
  <c r="A2430" i="2"/>
  <c r="D2429" i="2"/>
  <c r="B2429" i="2"/>
  <c r="A2429" i="2"/>
  <c r="D2428" i="2"/>
  <c r="B2428" i="2"/>
  <c r="A2428" i="2"/>
  <c r="D2427" i="2"/>
  <c r="B2427" i="2"/>
  <c r="A2427" i="2"/>
  <c r="D2426" i="2"/>
  <c r="B2426" i="2"/>
  <c r="A2426" i="2"/>
  <c r="D2425" i="2"/>
  <c r="B2425" i="2"/>
  <c r="A2425" i="2"/>
  <c r="D2424" i="2"/>
  <c r="B2424" i="2"/>
  <c r="A2424" i="2"/>
  <c r="D2423" i="2"/>
  <c r="B2423" i="2"/>
  <c r="A2423" i="2"/>
  <c r="D2422" i="2"/>
  <c r="B2422" i="2"/>
  <c r="A2422" i="2"/>
  <c r="D2421" i="2"/>
  <c r="B2421" i="2"/>
  <c r="A2421" i="2"/>
  <c r="D2420" i="2"/>
  <c r="B2420" i="2"/>
  <c r="A2420" i="2"/>
  <c r="D2408" i="2"/>
  <c r="B2408" i="2"/>
  <c r="A2408" i="2"/>
  <c r="D2407" i="2"/>
  <c r="B2407" i="2"/>
  <c r="A2407" i="2"/>
  <c r="D2406" i="2"/>
  <c r="B2406" i="2"/>
  <c r="A2406" i="2"/>
  <c r="D2405" i="2"/>
  <c r="B2405" i="2"/>
  <c r="A2405" i="2"/>
  <c r="D2404" i="2"/>
  <c r="B2404" i="2"/>
  <c r="A2404" i="2"/>
  <c r="D2403" i="2"/>
  <c r="B2403" i="2"/>
  <c r="A2403" i="2"/>
  <c r="D2402" i="2"/>
  <c r="B2402" i="2"/>
  <c r="A2402" i="2"/>
  <c r="D2401" i="2"/>
  <c r="B2401" i="2"/>
  <c r="A2401" i="2"/>
  <c r="D2400" i="2"/>
  <c r="B2400" i="2"/>
  <c r="A2400" i="2"/>
  <c r="D2399" i="2"/>
  <c r="B2399" i="2"/>
  <c r="A2399" i="2"/>
  <c r="D2398" i="2"/>
  <c r="B2398" i="2"/>
  <c r="A2398" i="2"/>
  <c r="D2397" i="2"/>
  <c r="B2397" i="2"/>
  <c r="A2397" i="2"/>
  <c r="D2386" i="2"/>
  <c r="B2386" i="2"/>
  <c r="A2386" i="2"/>
  <c r="D2385" i="2"/>
  <c r="B2385" i="2"/>
  <c r="A2385" i="2"/>
  <c r="D2384" i="2"/>
  <c r="B2384" i="2"/>
  <c r="A2384" i="2"/>
  <c r="D2383" i="2"/>
  <c r="B2383" i="2"/>
  <c r="A2383" i="2"/>
  <c r="D2382" i="2"/>
  <c r="B2382" i="2"/>
  <c r="A2382" i="2"/>
  <c r="D2381" i="2"/>
  <c r="B2381" i="2"/>
  <c r="A2381" i="2"/>
  <c r="D2380" i="2"/>
  <c r="B2380" i="2"/>
  <c r="A2380" i="2"/>
  <c r="D2379" i="2"/>
  <c r="B2379" i="2"/>
  <c r="A2379" i="2"/>
  <c r="D2378" i="2"/>
  <c r="B2378" i="2"/>
  <c r="A2378" i="2"/>
  <c r="D2377" i="2"/>
  <c r="B2377" i="2"/>
  <c r="A2377" i="2"/>
  <c r="D2376" i="2"/>
  <c r="B2376" i="2"/>
  <c r="A2376" i="2"/>
  <c r="D2375" i="2"/>
  <c r="B2375" i="2"/>
  <c r="A2375" i="2"/>
  <c r="D2374" i="2"/>
  <c r="B2374" i="2"/>
  <c r="A2374" i="2"/>
  <c r="D2373" i="2"/>
  <c r="B2373" i="2"/>
  <c r="A2373" i="2"/>
  <c r="D2372" i="2"/>
  <c r="B2372" i="2"/>
  <c r="A2372" i="2"/>
  <c r="D2371" i="2"/>
  <c r="B2371" i="2"/>
  <c r="A2371" i="2"/>
  <c r="D2370" i="2"/>
  <c r="B2370" i="2"/>
  <c r="A2370" i="2"/>
  <c r="D2369" i="2"/>
  <c r="B2369" i="2"/>
  <c r="A2369" i="2"/>
  <c r="D2368" i="2"/>
  <c r="B2368" i="2"/>
  <c r="A2368" i="2"/>
  <c r="D2367" i="2"/>
  <c r="B2367" i="2"/>
  <c r="A2367" i="2"/>
  <c r="D2366" i="2"/>
  <c r="B2366" i="2"/>
  <c r="A2366" i="2"/>
  <c r="D2365" i="2"/>
  <c r="B2365" i="2"/>
  <c r="A2365" i="2"/>
  <c r="D2364" i="2"/>
  <c r="B2364" i="2"/>
  <c r="A2364" i="2"/>
  <c r="D2363" i="2"/>
  <c r="B2363" i="2"/>
  <c r="A2363" i="2"/>
  <c r="D2362" i="2"/>
  <c r="B2362" i="2"/>
  <c r="A2362" i="2"/>
  <c r="D2361" i="2"/>
  <c r="B2361" i="2"/>
  <c r="A2361" i="2"/>
  <c r="D2360" i="2"/>
  <c r="B2360" i="2"/>
  <c r="A2360" i="2"/>
  <c r="D2359" i="2"/>
  <c r="B2359" i="2"/>
  <c r="A2359" i="2"/>
  <c r="D2358" i="2"/>
  <c r="B2358" i="2"/>
  <c r="A2358" i="2"/>
  <c r="D2357" i="2"/>
  <c r="B2357" i="2"/>
  <c r="A2357" i="2"/>
  <c r="D2356" i="2"/>
  <c r="B2356" i="2"/>
  <c r="A2356" i="2"/>
  <c r="D2355" i="2"/>
  <c r="B2355" i="2"/>
  <c r="A2355" i="2"/>
  <c r="D2354" i="2"/>
  <c r="B2354" i="2"/>
  <c r="A2354" i="2"/>
  <c r="D2353" i="2"/>
  <c r="B2353" i="2"/>
  <c r="A2353" i="2"/>
  <c r="D2352" i="2"/>
  <c r="B2352" i="2"/>
  <c r="A2352" i="2"/>
  <c r="D2351" i="2"/>
  <c r="B2351" i="2"/>
  <c r="A2351" i="2"/>
  <c r="D2350" i="2"/>
  <c r="B2350" i="2"/>
  <c r="A2350" i="2"/>
  <c r="D2349" i="2"/>
  <c r="B2349" i="2"/>
  <c r="A2349" i="2"/>
  <c r="D2348" i="2"/>
  <c r="B2348" i="2"/>
  <c r="A2348" i="2"/>
  <c r="D2347" i="2"/>
  <c r="B2347" i="2"/>
  <c r="A2347" i="2"/>
  <c r="D2346" i="2"/>
  <c r="B2346" i="2"/>
  <c r="A2346" i="2"/>
  <c r="D2345" i="2"/>
  <c r="B2345" i="2"/>
  <c r="A2345" i="2"/>
  <c r="D2336" i="2"/>
  <c r="B2336" i="2"/>
  <c r="A2336" i="2"/>
  <c r="D2335" i="2"/>
  <c r="B2335" i="2"/>
  <c r="A2335" i="2"/>
  <c r="D2334" i="2"/>
  <c r="B2334" i="2"/>
  <c r="A2334" i="2"/>
  <c r="D2333" i="2"/>
  <c r="B2333" i="2"/>
  <c r="A2333" i="2"/>
  <c r="D2332" i="2"/>
  <c r="B2332" i="2"/>
  <c r="A2332" i="2"/>
  <c r="D2331" i="2"/>
  <c r="B2331" i="2"/>
  <c r="A2331" i="2"/>
  <c r="D2330" i="2"/>
  <c r="B2330" i="2"/>
  <c r="A2330" i="2"/>
  <c r="D2329" i="2"/>
  <c r="B2329" i="2"/>
  <c r="A2329" i="2"/>
  <c r="D2328" i="2"/>
  <c r="B2328" i="2"/>
  <c r="A2328" i="2"/>
  <c r="D2327" i="2"/>
  <c r="B2327" i="2"/>
  <c r="A2327" i="2"/>
  <c r="D2326" i="2"/>
  <c r="B2326" i="2"/>
  <c r="A2326" i="2"/>
  <c r="D2325" i="2"/>
  <c r="B2325" i="2"/>
  <c r="A2325" i="2"/>
  <c r="D2324" i="2"/>
  <c r="B2324" i="2"/>
  <c r="A2324" i="2"/>
  <c r="D2323" i="2"/>
  <c r="B2323" i="2"/>
  <c r="A2323" i="2"/>
  <c r="D2322" i="2"/>
  <c r="B2322" i="2"/>
  <c r="A2322" i="2"/>
  <c r="D2321" i="2"/>
  <c r="B2321" i="2"/>
  <c r="A2321" i="2"/>
  <c r="D2320" i="2"/>
  <c r="B2320" i="2"/>
  <c r="A2320" i="2"/>
  <c r="D2319" i="2"/>
  <c r="B2319" i="2"/>
  <c r="A2319" i="2"/>
  <c r="D2318" i="2"/>
  <c r="B2318" i="2"/>
  <c r="A2318" i="2"/>
  <c r="D2317" i="2"/>
  <c r="B2317" i="2"/>
  <c r="A2317" i="2"/>
  <c r="D2316" i="2"/>
  <c r="B2316" i="2"/>
  <c r="A2316" i="2"/>
  <c r="D2315" i="2"/>
  <c r="B2315" i="2"/>
  <c r="A2315" i="2"/>
  <c r="D2314" i="2"/>
  <c r="B2314" i="2"/>
  <c r="A2314" i="2"/>
  <c r="D2313" i="2"/>
  <c r="B2313" i="2"/>
  <c r="A2313" i="2"/>
  <c r="D2312" i="2"/>
  <c r="B2312" i="2"/>
  <c r="A2312" i="2"/>
  <c r="D2311" i="2"/>
  <c r="B2311" i="2"/>
  <c r="A2311" i="2"/>
  <c r="D2310" i="2"/>
  <c r="B2310" i="2"/>
  <c r="A2310" i="2"/>
  <c r="D2309" i="2"/>
  <c r="B2309" i="2"/>
  <c r="A2309" i="2"/>
  <c r="D2308" i="2"/>
  <c r="B2308" i="2"/>
  <c r="A2308" i="2"/>
  <c r="D2307" i="2"/>
  <c r="B2307" i="2"/>
  <c r="A2307" i="2"/>
  <c r="D2300" i="2"/>
  <c r="B2300" i="2"/>
  <c r="A2300" i="2"/>
  <c r="D2299" i="2"/>
  <c r="B2299" i="2"/>
  <c r="A2299" i="2"/>
  <c r="D2298" i="2"/>
  <c r="B2298" i="2"/>
  <c r="A2298" i="2"/>
  <c r="D2297" i="2"/>
  <c r="B2297" i="2"/>
  <c r="A2297" i="2"/>
  <c r="D2296" i="2"/>
  <c r="B2296" i="2"/>
  <c r="A2296" i="2"/>
  <c r="D2295" i="2"/>
  <c r="B2295" i="2"/>
  <c r="A2295" i="2"/>
  <c r="D2294" i="2"/>
  <c r="B2294" i="2"/>
  <c r="A2294" i="2"/>
  <c r="D2293" i="2"/>
  <c r="B2293" i="2"/>
  <c r="A2293" i="2"/>
  <c r="D2292" i="2"/>
  <c r="B2292" i="2"/>
  <c r="A2292" i="2"/>
  <c r="D2291" i="2"/>
  <c r="B2291" i="2"/>
  <c r="A2291" i="2"/>
  <c r="D2290" i="2"/>
  <c r="B2290" i="2"/>
  <c r="A2290" i="2"/>
  <c r="D2289" i="2"/>
  <c r="B2289" i="2"/>
  <c r="A2289" i="2"/>
  <c r="D2280" i="2"/>
  <c r="B2280" i="2"/>
  <c r="A2280" i="2"/>
  <c r="D2279" i="2"/>
  <c r="B2279" i="2"/>
  <c r="A2279" i="2"/>
  <c r="D2278" i="2"/>
  <c r="B2278" i="2"/>
  <c r="A2278" i="2"/>
  <c r="D2277" i="2"/>
  <c r="B2277" i="2"/>
  <c r="A2277" i="2"/>
  <c r="D2276" i="2"/>
  <c r="B2276" i="2"/>
  <c r="A2276" i="2"/>
  <c r="D2275" i="2"/>
  <c r="B2275" i="2"/>
  <c r="A2275" i="2"/>
  <c r="D2274" i="2"/>
  <c r="B2274" i="2"/>
  <c r="A2274" i="2"/>
  <c r="D2273" i="2"/>
  <c r="B2273" i="2"/>
  <c r="A2273" i="2"/>
  <c r="D2272" i="2"/>
  <c r="B2272" i="2"/>
  <c r="A2272" i="2"/>
  <c r="D2271" i="2"/>
  <c r="B2271" i="2"/>
  <c r="A2271" i="2"/>
  <c r="D2270" i="2"/>
  <c r="B2270" i="2"/>
  <c r="A2270" i="2"/>
  <c r="D2269" i="2"/>
  <c r="B2269" i="2"/>
  <c r="A2269" i="2"/>
  <c r="D2258" i="2"/>
  <c r="B2258" i="2"/>
  <c r="A2258" i="2"/>
  <c r="D2257" i="2"/>
  <c r="B2257" i="2"/>
  <c r="A2257" i="2"/>
  <c r="D2256" i="2"/>
  <c r="B2256" i="2"/>
  <c r="A2256" i="2"/>
  <c r="D2255" i="2"/>
  <c r="B2255" i="2"/>
  <c r="A2255" i="2"/>
  <c r="D2254" i="2"/>
  <c r="B2254" i="2"/>
  <c r="A2254" i="2"/>
  <c r="D2253" i="2"/>
  <c r="B2253" i="2"/>
  <c r="A2253" i="2"/>
  <c r="D2243" i="2"/>
  <c r="B2243" i="2"/>
  <c r="A2243" i="2"/>
  <c r="D2242" i="2"/>
  <c r="B2242" i="2"/>
  <c r="A2242" i="2"/>
  <c r="D2241" i="2"/>
  <c r="B2241" i="2"/>
  <c r="A2241" i="2"/>
  <c r="D2240" i="2"/>
  <c r="B2240" i="2"/>
  <c r="A2240" i="2"/>
  <c r="D2239" i="2"/>
  <c r="B2239" i="2"/>
  <c r="A2239" i="2"/>
  <c r="D2238" i="2"/>
  <c r="B2238" i="2"/>
  <c r="A2238" i="2"/>
  <c r="D2227" i="2"/>
  <c r="B2227" i="2"/>
  <c r="A2227" i="2"/>
  <c r="D2226" i="2"/>
  <c r="B2226" i="2"/>
  <c r="A2226" i="2"/>
  <c r="D2225" i="2"/>
  <c r="B2225" i="2"/>
  <c r="A2225" i="2"/>
  <c r="D2224" i="2"/>
  <c r="B2224" i="2"/>
  <c r="A2224" i="2"/>
  <c r="D2223" i="2"/>
  <c r="B2223" i="2"/>
  <c r="A2223" i="2"/>
  <c r="D2222" i="2"/>
  <c r="B2222" i="2"/>
  <c r="A2222" i="2"/>
  <c r="D2221" i="2"/>
  <c r="B2221" i="2"/>
  <c r="A2221" i="2"/>
  <c r="D2220" i="2"/>
  <c r="B2220" i="2"/>
  <c r="A2220" i="2"/>
  <c r="D2219" i="2"/>
  <c r="B2219" i="2"/>
  <c r="A2219" i="2"/>
  <c r="D2218" i="2"/>
  <c r="B2218" i="2"/>
  <c r="A2218" i="2"/>
  <c r="D2217" i="2"/>
  <c r="B2217" i="2"/>
  <c r="A2217" i="2"/>
  <c r="D2216" i="2"/>
  <c r="B2216" i="2"/>
  <c r="A2216" i="2"/>
  <c r="D2207" i="2"/>
  <c r="B2207" i="2"/>
  <c r="A2207" i="2"/>
  <c r="D2206" i="2"/>
  <c r="B2206" i="2"/>
  <c r="A2206" i="2"/>
  <c r="D2205" i="2"/>
  <c r="B2205" i="2"/>
  <c r="A2205" i="2"/>
  <c r="D2204" i="2"/>
  <c r="B2204" i="2"/>
  <c r="A2204" i="2"/>
  <c r="D2203" i="2"/>
  <c r="B2203" i="2"/>
  <c r="A2203" i="2"/>
  <c r="D2202" i="2"/>
  <c r="B2202" i="2"/>
  <c r="A2202" i="2"/>
  <c r="D2201" i="2"/>
  <c r="B2201" i="2"/>
  <c r="A2201" i="2"/>
  <c r="D2200" i="2"/>
  <c r="B2200" i="2"/>
  <c r="A2200" i="2"/>
  <c r="D2199" i="2"/>
  <c r="B2199" i="2"/>
  <c r="A2199" i="2"/>
  <c r="D2198" i="2"/>
  <c r="B2198" i="2"/>
  <c r="A2198" i="2"/>
  <c r="D2197" i="2"/>
  <c r="B2197" i="2"/>
  <c r="A2197" i="2"/>
  <c r="D2196" i="2"/>
  <c r="B2196" i="2"/>
  <c r="A2196" i="2"/>
  <c r="D2195" i="2"/>
  <c r="B2195" i="2"/>
  <c r="A2195" i="2"/>
  <c r="D2194" i="2"/>
  <c r="B2194" i="2"/>
  <c r="A2194" i="2"/>
  <c r="D2193" i="2"/>
  <c r="B2193" i="2"/>
  <c r="A2193" i="2"/>
  <c r="D2192" i="2"/>
  <c r="B2192" i="2"/>
  <c r="A2192" i="2"/>
  <c r="D2191" i="2"/>
  <c r="B2191" i="2"/>
  <c r="A2191" i="2"/>
  <c r="D2190" i="2"/>
  <c r="B2190" i="2"/>
  <c r="A2190" i="2"/>
  <c r="D2189" i="2"/>
  <c r="B2189" i="2"/>
  <c r="A2189" i="2"/>
  <c r="D2188" i="2"/>
  <c r="B2188" i="2"/>
  <c r="A2188" i="2"/>
  <c r="D2187" i="2"/>
  <c r="B2187" i="2"/>
  <c r="A2187" i="2"/>
  <c r="D2186" i="2"/>
  <c r="B2186" i="2"/>
  <c r="A2186" i="2"/>
  <c r="D2185" i="2"/>
  <c r="B2185" i="2"/>
  <c r="A2185" i="2"/>
  <c r="D2184" i="2"/>
  <c r="B2184" i="2"/>
  <c r="A2184" i="2"/>
  <c r="D2183" i="2"/>
  <c r="B2183" i="2"/>
  <c r="A2183" i="2"/>
  <c r="D2182" i="2"/>
  <c r="B2182" i="2"/>
  <c r="A2182" i="2"/>
  <c r="D2181" i="2"/>
  <c r="B2181" i="2"/>
  <c r="A2181" i="2"/>
  <c r="D2180" i="2"/>
  <c r="B2180" i="2"/>
  <c r="A2180" i="2"/>
  <c r="D2179" i="2"/>
  <c r="B2179" i="2"/>
  <c r="A2179" i="2"/>
  <c r="D2178" i="2"/>
  <c r="B2178" i="2"/>
  <c r="A2178" i="2"/>
  <c r="D2177" i="2"/>
  <c r="B2177" i="2"/>
  <c r="A2177" i="2"/>
  <c r="D2176" i="2"/>
  <c r="B2176" i="2"/>
  <c r="A2176" i="2"/>
  <c r="D2175" i="2"/>
  <c r="B2175" i="2"/>
  <c r="A2175" i="2"/>
  <c r="D2174" i="2"/>
  <c r="B2174" i="2"/>
  <c r="A2174" i="2"/>
  <c r="D2173" i="2"/>
  <c r="B2173" i="2"/>
  <c r="A2173" i="2"/>
  <c r="D2172" i="2"/>
  <c r="B2172" i="2"/>
  <c r="A2172" i="2"/>
  <c r="D2163" i="2"/>
  <c r="B2163" i="2"/>
  <c r="A2163" i="2"/>
  <c r="D2162" i="2"/>
  <c r="B2162" i="2"/>
  <c r="A2162" i="2"/>
  <c r="D2161" i="2"/>
  <c r="B2161" i="2"/>
  <c r="A2161" i="2"/>
  <c r="D2160" i="2"/>
  <c r="B2160" i="2"/>
  <c r="A2160" i="2"/>
  <c r="D2159" i="2"/>
  <c r="B2159" i="2"/>
  <c r="A2159" i="2"/>
  <c r="D2158" i="2"/>
  <c r="B2158" i="2"/>
  <c r="A2158" i="2"/>
  <c r="D2157" i="2"/>
  <c r="B2157" i="2"/>
  <c r="A2157" i="2"/>
  <c r="D2156" i="2"/>
  <c r="B2156" i="2"/>
  <c r="A2156" i="2"/>
  <c r="D2155" i="2"/>
  <c r="B2155" i="2"/>
  <c r="A2155" i="2"/>
  <c r="D2154" i="2"/>
  <c r="B2154" i="2"/>
  <c r="A2154" i="2"/>
  <c r="D2153" i="2"/>
  <c r="B2153" i="2"/>
  <c r="A2153" i="2"/>
  <c r="D2152" i="2"/>
  <c r="B2152" i="2"/>
  <c r="A2152" i="2"/>
  <c r="D2141" i="2"/>
  <c r="B2141" i="2"/>
  <c r="A2141" i="2"/>
  <c r="D2140" i="2"/>
  <c r="B2140" i="2"/>
  <c r="A2140" i="2"/>
  <c r="D2139" i="2"/>
  <c r="B2139" i="2"/>
  <c r="A2139" i="2"/>
  <c r="D2138" i="2"/>
  <c r="B2138" i="2"/>
  <c r="A2138" i="2"/>
  <c r="D2137" i="2"/>
  <c r="B2137" i="2"/>
  <c r="A2137" i="2"/>
  <c r="D2136" i="2"/>
  <c r="B2136" i="2"/>
  <c r="A2136" i="2"/>
  <c r="D2135" i="2"/>
  <c r="B2135" i="2"/>
  <c r="A2135" i="2"/>
  <c r="D2134" i="2"/>
  <c r="B2134" i="2"/>
  <c r="A2134" i="2"/>
  <c r="D2133" i="2"/>
  <c r="B2133" i="2"/>
  <c r="A2133" i="2"/>
  <c r="D2132" i="2"/>
  <c r="B2132" i="2"/>
  <c r="A2132" i="2"/>
  <c r="D2131" i="2"/>
  <c r="B2131" i="2"/>
  <c r="A2131" i="2"/>
  <c r="D2130" i="2"/>
  <c r="B2130" i="2"/>
  <c r="A2130" i="2"/>
  <c r="D2119" i="2"/>
  <c r="B2119" i="2"/>
  <c r="A2119" i="2"/>
  <c r="D2118" i="2"/>
  <c r="B2118" i="2"/>
  <c r="A2118" i="2"/>
  <c r="D2117" i="2"/>
  <c r="B2117" i="2"/>
  <c r="A2117" i="2"/>
  <c r="D2116" i="2"/>
  <c r="B2116" i="2"/>
  <c r="A2116" i="2"/>
  <c r="D2115" i="2"/>
  <c r="B2115" i="2"/>
  <c r="A2115" i="2"/>
  <c r="D2114" i="2"/>
  <c r="B2114" i="2"/>
  <c r="A2114" i="2"/>
  <c r="D2113" i="2"/>
  <c r="B2113" i="2"/>
  <c r="A2113" i="2"/>
  <c r="D2112" i="2"/>
  <c r="B2112" i="2"/>
  <c r="A2112" i="2"/>
  <c r="D2111" i="2"/>
  <c r="B2111" i="2"/>
  <c r="A2111" i="2"/>
  <c r="D2110" i="2"/>
  <c r="B2110" i="2"/>
  <c r="A2110" i="2"/>
  <c r="D2109" i="2"/>
  <c r="B2109" i="2"/>
  <c r="A2109" i="2"/>
  <c r="D2108" i="2"/>
  <c r="B2108" i="2"/>
  <c r="A2108" i="2"/>
  <c r="D2107" i="2"/>
  <c r="B2107" i="2"/>
  <c r="A2107" i="2"/>
  <c r="D2106" i="2"/>
  <c r="B2106" i="2"/>
  <c r="A2106" i="2"/>
  <c r="D2105" i="2"/>
  <c r="B2105" i="2"/>
  <c r="A2105" i="2"/>
  <c r="D2104" i="2"/>
  <c r="B2104" i="2"/>
  <c r="A2104" i="2"/>
  <c r="D2103" i="2"/>
  <c r="B2103" i="2"/>
  <c r="A2103" i="2"/>
  <c r="D2102" i="2"/>
  <c r="B2102" i="2"/>
  <c r="A2102" i="2"/>
  <c r="D2101" i="2"/>
  <c r="B2101" i="2"/>
  <c r="A2101" i="2"/>
  <c r="D2100" i="2"/>
  <c r="B2100" i="2"/>
  <c r="A2100" i="2"/>
  <c r="D2099" i="2"/>
  <c r="B2099" i="2"/>
  <c r="A2099" i="2"/>
  <c r="D2098" i="2"/>
  <c r="B2098" i="2"/>
  <c r="A2098" i="2"/>
  <c r="D2097" i="2"/>
  <c r="B2097" i="2"/>
  <c r="A2097" i="2"/>
  <c r="D2096" i="2"/>
  <c r="B2096" i="2"/>
  <c r="A2096" i="2"/>
  <c r="D2084" i="2"/>
  <c r="B2084" i="2"/>
  <c r="A2084" i="2"/>
  <c r="D2083" i="2"/>
  <c r="B2083" i="2"/>
  <c r="A2083" i="2"/>
  <c r="D2082" i="2"/>
  <c r="B2082" i="2"/>
  <c r="A2082" i="2"/>
  <c r="D2081" i="2"/>
  <c r="B2081" i="2"/>
  <c r="A2081" i="2"/>
  <c r="D2080" i="2"/>
  <c r="B2080" i="2"/>
  <c r="A2080" i="2"/>
  <c r="D2079" i="2"/>
  <c r="B2079" i="2"/>
  <c r="A2079" i="2"/>
  <c r="D2078" i="2"/>
  <c r="B2078" i="2"/>
  <c r="A2078" i="2"/>
  <c r="D2077" i="2"/>
  <c r="B2077" i="2"/>
  <c r="A2077" i="2"/>
  <c r="D2076" i="2"/>
  <c r="B2076" i="2"/>
  <c r="A2076" i="2"/>
  <c r="D2075" i="2"/>
  <c r="B2075" i="2"/>
  <c r="A2075" i="2"/>
  <c r="D2074" i="2"/>
  <c r="B2074" i="2"/>
  <c r="A2074" i="2"/>
  <c r="D2073" i="2"/>
  <c r="B2073" i="2"/>
  <c r="A2073" i="2"/>
  <c r="D2062" i="2"/>
  <c r="B2062" i="2"/>
  <c r="A2062" i="2"/>
  <c r="D2061" i="2"/>
  <c r="B2061" i="2"/>
  <c r="A2061" i="2"/>
  <c r="D2060" i="2"/>
  <c r="B2060" i="2"/>
  <c r="A2060" i="2"/>
  <c r="D2059" i="2"/>
  <c r="B2059" i="2"/>
  <c r="A2059" i="2"/>
  <c r="D2058" i="2"/>
  <c r="B2058" i="2"/>
  <c r="A2058" i="2"/>
  <c r="D2057" i="2"/>
  <c r="B2057" i="2"/>
  <c r="A2057" i="2"/>
  <c r="D2056" i="2"/>
  <c r="B2056" i="2"/>
  <c r="A2056" i="2"/>
  <c r="D2055" i="2"/>
  <c r="B2055" i="2"/>
  <c r="A2055" i="2"/>
  <c r="D2054" i="2"/>
  <c r="B2054" i="2"/>
  <c r="A2054" i="2"/>
  <c r="D2053" i="2"/>
  <c r="B2053" i="2"/>
  <c r="A2053" i="2"/>
  <c r="D2052" i="2"/>
  <c r="B2052" i="2"/>
  <c r="A2052" i="2"/>
  <c r="D2051" i="2"/>
  <c r="B2051" i="2"/>
  <c r="A2051" i="2"/>
  <c r="D2040" i="2"/>
  <c r="B2040" i="2"/>
  <c r="A2040" i="2"/>
  <c r="D2039" i="2"/>
  <c r="B2039" i="2"/>
  <c r="A2039" i="2"/>
  <c r="D2038" i="2"/>
  <c r="B2038" i="2"/>
  <c r="A2038" i="2"/>
  <c r="D2037" i="2"/>
  <c r="B2037" i="2"/>
  <c r="A2037" i="2"/>
  <c r="D2036" i="2"/>
  <c r="B2036" i="2"/>
  <c r="A2036" i="2"/>
  <c r="D2035" i="2"/>
  <c r="B2035" i="2"/>
  <c r="A2035" i="2"/>
  <c r="D2034" i="2"/>
  <c r="B2034" i="2"/>
  <c r="A2034" i="2"/>
  <c r="D2033" i="2"/>
  <c r="B2033" i="2"/>
  <c r="A2033" i="2"/>
  <c r="D2032" i="2"/>
  <c r="B2032" i="2"/>
  <c r="A2032" i="2"/>
  <c r="D2031" i="2"/>
  <c r="B2031" i="2"/>
  <c r="A2031" i="2"/>
  <c r="D2030" i="2"/>
  <c r="B2030" i="2"/>
  <c r="A2030" i="2"/>
  <c r="D2029" i="2"/>
  <c r="B2029" i="2"/>
  <c r="A2029" i="2"/>
  <c r="D2017" i="2"/>
  <c r="B2017" i="2"/>
  <c r="A2017" i="2"/>
  <c r="D2016" i="2"/>
  <c r="B2016" i="2"/>
  <c r="A2016" i="2"/>
  <c r="D2015" i="2"/>
  <c r="B2015" i="2"/>
  <c r="A2015" i="2"/>
  <c r="D2014" i="2"/>
  <c r="B2014" i="2"/>
  <c r="A2014" i="2"/>
  <c r="D2013" i="2"/>
  <c r="B2013" i="2"/>
  <c r="A2013" i="2"/>
  <c r="D2012" i="2"/>
  <c r="B2012" i="2"/>
  <c r="A2012" i="2"/>
  <c r="D2011" i="2"/>
  <c r="B2011" i="2"/>
  <c r="A2011" i="2"/>
  <c r="D2010" i="2"/>
  <c r="B2010" i="2"/>
  <c r="A2010" i="2"/>
  <c r="D2009" i="2"/>
  <c r="B2009" i="2"/>
  <c r="A2009" i="2"/>
  <c r="D2008" i="2"/>
  <c r="B2008" i="2"/>
  <c r="A2008" i="2"/>
  <c r="D2007" i="2"/>
  <c r="B2007" i="2"/>
  <c r="A2007" i="2"/>
  <c r="D2006" i="2"/>
  <c r="B2006" i="2"/>
  <c r="A2006" i="2"/>
  <c r="D2005" i="2"/>
  <c r="B2005" i="2"/>
  <c r="A2005" i="2"/>
  <c r="D2004" i="2"/>
  <c r="B2004" i="2"/>
  <c r="A2004" i="2"/>
  <c r="D2003" i="2"/>
  <c r="B2003" i="2"/>
  <c r="A2003" i="2"/>
  <c r="D2002" i="2"/>
  <c r="B2002" i="2"/>
  <c r="A2002" i="2"/>
  <c r="D2001" i="2"/>
  <c r="B2001" i="2"/>
  <c r="A2001" i="2"/>
  <c r="D2000" i="2"/>
  <c r="B2000" i="2"/>
  <c r="A2000" i="2"/>
  <c r="D1988" i="2"/>
  <c r="B1988" i="2"/>
  <c r="A1988" i="2"/>
  <c r="D1987" i="2"/>
  <c r="B1987" i="2"/>
  <c r="A1987" i="2"/>
  <c r="D1986" i="2"/>
  <c r="B1986" i="2"/>
  <c r="A1986" i="2"/>
  <c r="D1985" i="2"/>
  <c r="B1985" i="2"/>
  <c r="A1985" i="2"/>
  <c r="D1984" i="2"/>
  <c r="B1984" i="2"/>
  <c r="A1984" i="2"/>
  <c r="D1983" i="2"/>
  <c r="B1983" i="2"/>
  <c r="A1983" i="2"/>
  <c r="D1982" i="2"/>
  <c r="B1982" i="2"/>
  <c r="A1982" i="2"/>
  <c r="D1981" i="2"/>
  <c r="B1981" i="2"/>
  <c r="A1981" i="2"/>
  <c r="D1980" i="2"/>
  <c r="B1980" i="2"/>
  <c r="A1980" i="2"/>
  <c r="D1979" i="2"/>
  <c r="B1979" i="2"/>
  <c r="A1979" i="2"/>
  <c r="D1978" i="2"/>
  <c r="B1978" i="2"/>
  <c r="A1978" i="2"/>
  <c r="D1977" i="2"/>
  <c r="B1977" i="2"/>
  <c r="A1977" i="2"/>
  <c r="D1976" i="2"/>
  <c r="B1976" i="2"/>
  <c r="A1976" i="2"/>
  <c r="D1975" i="2"/>
  <c r="B1975" i="2"/>
  <c r="A1975" i="2"/>
  <c r="D1974" i="2"/>
  <c r="B1974" i="2"/>
  <c r="A1974" i="2"/>
  <c r="D1973" i="2"/>
  <c r="B1973" i="2"/>
  <c r="A1973" i="2"/>
  <c r="D1972" i="2"/>
  <c r="B1972" i="2"/>
  <c r="A1972" i="2"/>
  <c r="D1971" i="2"/>
  <c r="B1971" i="2"/>
  <c r="A1971" i="2"/>
  <c r="D1970" i="2"/>
  <c r="B1970" i="2"/>
  <c r="A1970" i="2"/>
  <c r="D1969" i="2"/>
  <c r="B1969" i="2"/>
  <c r="A1969" i="2"/>
  <c r="D1968" i="2"/>
  <c r="B1968" i="2"/>
  <c r="A1968" i="2"/>
  <c r="D1967" i="2"/>
  <c r="B1967" i="2"/>
  <c r="A1967" i="2"/>
  <c r="D1966" i="2"/>
  <c r="B1966" i="2"/>
  <c r="A1966" i="2"/>
  <c r="D1965" i="2"/>
  <c r="B1965" i="2"/>
  <c r="A1965" i="2"/>
  <c r="D1964" i="2"/>
  <c r="B1964" i="2"/>
  <c r="A1964" i="2"/>
  <c r="D1963" i="2"/>
  <c r="B1963" i="2"/>
  <c r="A1963" i="2"/>
  <c r="D1962" i="2"/>
  <c r="B1962" i="2"/>
  <c r="A1962" i="2"/>
  <c r="D1961" i="2"/>
  <c r="B1961" i="2"/>
  <c r="A1961" i="2"/>
  <c r="D1960" i="2"/>
  <c r="B1960" i="2"/>
  <c r="A1960" i="2"/>
  <c r="D1959" i="2"/>
  <c r="B1959" i="2"/>
  <c r="A1959" i="2"/>
  <c r="D1951" i="2"/>
  <c r="B1951" i="2"/>
  <c r="A1951" i="2"/>
  <c r="D1950" i="2"/>
  <c r="B1950" i="2"/>
  <c r="A1950" i="2"/>
  <c r="D1949" i="2"/>
  <c r="B1949" i="2"/>
  <c r="A1949" i="2"/>
  <c r="D1948" i="2"/>
  <c r="B1948" i="2"/>
  <c r="A1948" i="2"/>
  <c r="D1947" i="2"/>
  <c r="B1947" i="2"/>
  <c r="A1947" i="2"/>
  <c r="D1946" i="2"/>
  <c r="B1946" i="2"/>
  <c r="A1946" i="2"/>
  <c r="D1945" i="2"/>
  <c r="B1945" i="2"/>
  <c r="A1945" i="2"/>
  <c r="D1944" i="2"/>
  <c r="B1944" i="2"/>
  <c r="A1944" i="2"/>
  <c r="D1943" i="2"/>
  <c r="B1943" i="2"/>
  <c r="A1943" i="2"/>
  <c r="D1942" i="2"/>
  <c r="B1942" i="2"/>
  <c r="A1942" i="2"/>
  <c r="D1941" i="2"/>
  <c r="B1941" i="2"/>
  <c r="A1941" i="2"/>
  <c r="D1940" i="2"/>
  <c r="B1940" i="2"/>
  <c r="A1940" i="2"/>
  <c r="D1928" i="2"/>
  <c r="B1928" i="2"/>
  <c r="A1928" i="2"/>
  <c r="D1927" i="2"/>
  <c r="B1927" i="2"/>
  <c r="A1927" i="2"/>
  <c r="D1926" i="2"/>
  <c r="B1926" i="2"/>
  <c r="A1926" i="2"/>
  <c r="D1925" i="2"/>
  <c r="B1925" i="2"/>
  <c r="A1925" i="2"/>
  <c r="D1924" i="2"/>
  <c r="B1924" i="2"/>
  <c r="A1924" i="2"/>
  <c r="D1923" i="2"/>
  <c r="B1923" i="2"/>
  <c r="A1923" i="2"/>
  <c r="D1922" i="2"/>
  <c r="B1922" i="2"/>
  <c r="A1922" i="2"/>
  <c r="D1921" i="2"/>
  <c r="B1921" i="2"/>
  <c r="A1921" i="2"/>
  <c r="D1920" i="2"/>
  <c r="B1920" i="2"/>
  <c r="A1920" i="2"/>
  <c r="D1919" i="2"/>
  <c r="B1919" i="2"/>
  <c r="A1919" i="2"/>
  <c r="D1918" i="2"/>
  <c r="B1918" i="2"/>
  <c r="A1918" i="2"/>
  <c r="D1917" i="2"/>
  <c r="B1917" i="2"/>
  <c r="A1917" i="2"/>
  <c r="D1916" i="2"/>
  <c r="B1916" i="2"/>
  <c r="A1916" i="2"/>
  <c r="D1915" i="2"/>
  <c r="B1915" i="2"/>
  <c r="A1915" i="2"/>
  <c r="D1914" i="2"/>
  <c r="B1914" i="2"/>
  <c r="A1914" i="2"/>
  <c r="D1913" i="2"/>
  <c r="B1913" i="2"/>
  <c r="A1913" i="2"/>
  <c r="D1912" i="2"/>
  <c r="B1912" i="2"/>
  <c r="A1912" i="2"/>
  <c r="D1911" i="2"/>
  <c r="B1911" i="2"/>
  <c r="A1911" i="2"/>
  <c r="D1910" i="2"/>
  <c r="B1910" i="2"/>
  <c r="A1910" i="2"/>
  <c r="D1909" i="2"/>
  <c r="B1909" i="2"/>
  <c r="A1909" i="2"/>
  <c r="D1908" i="2"/>
  <c r="B1908" i="2"/>
  <c r="A1908" i="2"/>
  <c r="D1907" i="2"/>
  <c r="B1907" i="2"/>
  <c r="A1907" i="2"/>
  <c r="D1906" i="2"/>
  <c r="B1906" i="2"/>
  <c r="A1906" i="2"/>
  <c r="D1905" i="2"/>
  <c r="B1905" i="2"/>
  <c r="A1905" i="2"/>
  <c r="D1897" i="2"/>
  <c r="B1897" i="2"/>
  <c r="A1897" i="2"/>
  <c r="D1896" i="2"/>
  <c r="B1896" i="2"/>
  <c r="A1896" i="2"/>
  <c r="D1895" i="2"/>
  <c r="B1895" i="2"/>
  <c r="A1895" i="2"/>
  <c r="D1894" i="2"/>
  <c r="B1894" i="2"/>
  <c r="A1894" i="2"/>
  <c r="D1893" i="2"/>
  <c r="B1893" i="2"/>
  <c r="A1893" i="2"/>
  <c r="D1892" i="2"/>
  <c r="B1892" i="2"/>
  <c r="A1892" i="2"/>
  <c r="D1891" i="2"/>
  <c r="B1891" i="2"/>
  <c r="A1891" i="2"/>
  <c r="D1890" i="2"/>
  <c r="B1890" i="2"/>
  <c r="A1890" i="2"/>
  <c r="D1889" i="2"/>
  <c r="B1889" i="2"/>
  <c r="A1889" i="2"/>
  <c r="D1888" i="2"/>
  <c r="B1888" i="2"/>
  <c r="A1888" i="2"/>
  <c r="D1887" i="2"/>
  <c r="B1887" i="2"/>
  <c r="A1887" i="2"/>
  <c r="D1886" i="2"/>
  <c r="B1886" i="2"/>
  <c r="A1886" i="2"/>
  <c r="D1876" i="2"/>
  <c r="B1876" i="2"/>
  <c r="A1876" i="2"/>
  <c r="D1875" i="2"/>
  <c r="B1875" i="2"/>
  <c r="A1875" i="2"/>
  <c r="D1874" i="2"/>
  <c r="B1874" i="2"/>
  <c r="A1874" i="2"/>
  <c r="D1873" i="2"/>
  <c r="B1873" i="2"/>
  <c r="A1873" i="2"/>
  <c r="D1872" i="2"/>
  <c r="B1872" i="2"/>
  <c r="A1872" i="2"/>
  <c r="D1871" i="2"/>
  <c r="B1871" i="2"/>
  <c r="A1871" i="2"/>
  <c r="D1860" i="2"/>
  <c r="B1860" i="2"/>
  <c r="A1860" i="2"/>
  <c r="D1859" i="2"/>
  <c r="B1859" i="2"/>
  <c r="A1859" i="2"/>
  <c r="D1858" i="2"/>
  <c r="B1858" i="2"/>
  <c r="A1858" i="2"/>
  <c r="D1857" i="2"/>
  <c r="B1857" i="2"/>
  <c r="A1857" i="2"/>
  <c r="D1856" i="2"/>
  <c r="B1856" i="2"/>
  <c r="A1856" i="2"/>
  <c r="D1855" i="2"/>
  <c r="B1855" i="2"/>
  <c r="A1855" i="2"/>
  <c r="D1843" i="2"/>
  <c r="B1843" i="2"/>
  <c r="A1843" i="2"/>
  <c r="D1842" i="2"/>
  <c r="B1842" i="2"/>
  <c r="A1842" i="2"/>
  <c r="D1841" i="2"/>
  <c r="B1841" i="2"/>
  <c r="A1841" i="2"/>
  <c r="D1840" i="2"/>
  <c r="B1840" i="2"/>
  <c r="A1840" i="2"/>
  <c r="D1839" i="2"/>
  <c r="B1839" i="2"/>
  <c r="A1839" i="2"/>
  <c r="D1838" i="2"/>
  <c r="B1838" i="2"/>
  <c r="A1838" i="2"/>
  <c r="D1837" i="2"/>
  <c r="B1837" i="2"/>
  <c r="A1837" i="2"/>
  <c r="D1836" i="2"/>
  <c r="B1836" i="2"/>
  <c r="A1836" i="2"/>
  <c r="D1835" i="2"/>
  <c r="B1835" i="2"/>
  <c r="A1835" i="2"/>
  <c r="D1834" i="2"/>
  <c r="B1834" i="2"/>
  <c r="A1834" i="2"/>
  <c r="D1833" i="2"/>
  <c r="B1833" i="2"/>
  <c r="A1833" i="2"/>
  <c r="D1832" i="2"/>
  <c r="B1832" i="2"/>
  <c r="A1832" i="2"/>
  <c r="D1821" i="2"/>
  <c r="B1821" i="2"/>
  <c r="A1821" i="2"/>
  <c r="D1820" i="2"/>
  <c r="B1820" i="2"/>
  <c r="A1820" i="2"/>
  <c r="D1819" i="2"/>
  <c r="B1819" i="2"/>
  <c r="A1819" i="2"/>
  <c r="D1818" i="2"/>
  <c r="B1818" i="2"/>
  <c r="A1818" i="2"/>
  <c r="D1817" i="2"/>
  <c r="B1817" i="2"/>
  <c r="A1817" i="2"/>
  <c r="D1816" i="2"/>
  <c r="B1816" i="2"/>
  <c r="A1816" i="2"/>
  <c r="D1815" i="2"/>
  <c r="B1815" i="2"/>
  <c r="A1815" i="2"/>
  <c r="D1814" i="2"/>
  <c r="B1814" i="2"/>
  <c r="A1814" i="2"/>
  <c r="D1813" i="2"/>
  <c r="B1813" i="2"/>
  <c r="A1813" i="2"/>
  <c r="D1812" i="2"/>
  <c r="B1812" i="2"/>
  <c r="A1812" i="2"/>
  <c r="D1811" i="2"/>
  <c r="B1811" i="2"/>
  <c r="A1811" i="2"/>
  <c r="D1810" i="2"/>
  <c r="B1810" i="2"/>
  <c r="A1810" i="2"/>
  <c r="D1799" i="2"/>
  <c r="B1799" i="2"/>
  <c r="A1799" i="2"/>
  <c r="D1798" i="2"/>
  <c r="B1798" i="2"/>
  <c r="A1798" i="2"/>
  <c r="D1797" i="2"/>
  <c r="B1797" i="2"/>
  <c r="A1797" i="2"/>
  <c r="D1796" i="2"/>
  <c r="B1796" i="2"/>
  <c r="A1796" i="2"/>
  <c r="D1795" i="2"/>
  <c r="B1795" i="2"/>
  <c r="A1795" i="2"/>
  <c r="D1794" i="2"/>
  <c r="B1794" i="2"/>
  <c r="A1794" i="2"/>
  <c r="D1793" i="2"/>
  <c r="B1793" i="2"/>
  <c r="A1793" i="2"/>
  <c r="D1792" i="2"/>
  <c r="B1792" i="2"/>
  <c r="A1792" i="2"/>
  <c r="D1791" i="2"/>
  <c r="B1791" i="2"/>
  <c r="A1791" i="2"/>
  <c r="D1790" i="2"/>
  <c r="B1790" i="2"/>
  <c r="A1790" i="2"/>
  <c r="D1789" i="2"/>
  <c r="B1789" i="2"/>
  <c r="A1789" i="2"/>
  <c r="D1788" i="2"/>
  <c r="B1788" i="2"/>
  <c r="A1788" i="2"/>
  <c r="D1779" i="2"/>
  <c r="B1779" i="2"/>
  <c r="A1779" i="2"/>
  <c r="D1778" i="2"/>
  <c r="B1778" i="2"/>
  <c r="A1778" i="2"/>
  <c r="D1777" i="2"/>
  <c r="B1777" i="2"/>
  <c r="A1777" i="2"/>
  <c r="D1776" i="2"/>
  <c r="B1776" i="2"/>
  <c r="A1776" i="2"/>
  <c r="D1775" i="2"/>
  <c r="B1775" i="2"/>
  <c r="A1775" i="2"/>
  <c r="D1774" i="2"/>
  <c r="B1774" i="2"/>
  <c r="A1774" i="2"/>
  <c r="D1773" i="2"/>
  <c r="B1773" i="2"/>
  <c r="A1773" i="2"/>
  <c r="D1772" i="2"/>
  <c r="B1772" i="2"/>
  <c r="A1772" i="2"/>
  <c r="D1771" i="2"/>
  <c r="B1771" i="2"/>
  <c r="A1771" i="2"/>
  <c r="D1770" i="2"/>
  <c r="B1770" i="2"/>
  <c r="A1770" i="2"/>
  <c r="D1769" i="2"/>
  <c r="B1769" i="2"/>
  <c r="A1769" i="2"/>
  <c r="D1768" i="2"/>
  <c r="B1768" i="2"/>
  <c r="A1768" i="2"/>
  <c r="D1759" i="2"/>
  <c r="B1759" i="2"/>
  <c r="A1759" i="2"/>
  <c r="D1758" i="2"/>
  <c r="B1758" i="2"/>
  <c r="A1758" i="2"/>
  <c r="D1757" i="2"/>
  <c r="B1757" i="2"/>
  <c r="A1757" i="2"/>
  <c r="D1756" i="2"/>
  <c r="B1756" i="2"/>
  <c r="A1756" i="2"/>
  <c r="D1755" i="2"/>
  <c r="B1755" i="2"/>
  <c r="A1755" i="2"/>
  <c r="D1754" i="2"/>
  <c r="B1754" i="2"/>
  <c r="A1754" i="2"/>
  <c r="D1753" i="2"/>
  <c r="B1753" i="2"/>
  <c r="A1753" i="2"/>
  <c r="D1752" i="2"/>
  <c r="B1752" i="2"/>
  <c r="A1752" i="2"/>
  <c r="D1751" i="2"/>
  <c r="B1751" i="2"/>
  <c r="A1751" i="2"/>
  <c r="D1750" i="2"/>
  <c r="B1750" i="2"/>
  <c r="A1750" i="2"/>
  <c r="D1749" i="2"/>
  <c r="B1749" i="2"/>
  <c r="A1749" i="2"/>
  <c r="D1748" i="2"/>
  <c r="B1748" i="2"/>
  <c r="A1748" i="2"/>
  <c r="D1747" i="2"/>
  <c r="B1747" i="2"/>
  <c r="A1747" i="2"/>
  <c r="D1746" i="2"/>
  <c r="B1746" i="2"/>
  <c r="A1746" i="2"/>
  <c r="D1745" i="2"/>
  <c r="B1745" i="2"/>
  <c r="A1745" i="2"/>
  <c r="D1744" i="2"/>
  <c r="B1744" i="2"/>
  <c r="A1744" i="2"/>
  <c r="D1743" i="2"/>
  <c r="B1743" i="2"/>
  <c r="A1743" i="2"/>
  <c r="D1742" i="2"/>
  <c r="B1742" i="2"/>
  <c r="A1742" i="2"/>
  <c r="D1741" i="2"/>
  <c r="B1741" i="2"/>
  <c r="A1741" i="2"/>
  <c r="D1740" i="2"/>
  <c r="B1740" i="2"/>
  <c r="A1740" i="2"/>
  <c r="D1739" i="2"/>
  <c r="B1739" i="2"/>
  <c r="A1739" i="2"/>
  <c r="D1738" i="2"/>
  <c r="B1738" i="2"/>
  <c r="A1738" i="2"/>
  <c r="D1737" i="2"/>
  <c r="B1737" i="2"/>
  <c r="A1737" i="2"/>
  <c r="D1736" i="2"/>
  <c r="B1736" i="2"/>
  <c r="A1736" i="2"/>
  <c r="D1725" i="2"/>
  <c r="B1725" i="2"/>
  <c r="A1725" i="2"/>
  <c r="D1724" i="2"/>
  <c r="B1724" i="2"/>
  <c r="A1724" i="2"/>
  <c r="D1723" i="2"/>
  <c r="B1723" i="2"/>
  <c r="A1723" i="2"/>
  <c r="D1722" i="2"/>
  <c r="B1722" i="2"/>
  <c r="A1722" i="2"/>
  <c r="D1721" i="2"/>
  <c r="B1721" i="2"/>
  <c r="A1721" i="2"/>
  <c r="D1720" i="2"/>
  <c r="B1720" i="2"/>
  <c r="A1720" i="2"/>
  <c r="D1719" i="2"/>
  <c r="B1719" i="2"/>
  <c r="A1719" i="2"/>
  <c r="D1718" i="2"/>
  <c r="B1718" i="2"/>
  <c r="A1718" i="2"/>
  <c r="D1717" i="2"/>
  <c r="B1717" i="2"/>
  <c r="A1717" i="2"/>
  <c r="D1716" i="2"/>
  <c r="B1716" i="2"/>
  <c r="A1716" i="2"/>
  <c r="D1715" i="2"/>
  <c r="B1715" i="2"/>
  <c r="A1715" i="2"/>
  <c r="D1714" i="2"/>
  <c r="B1714" i="2"/>
  <c r="A1714" i="2"/>
  <c r="D1693" i="2"/>
  <c r="B1693" i="2"/>
  <c r="A1693" i="2"/>
  <c r="D1692" i="2"/>
  <c r="B1692" i="2"/>
  <c r="A1692" i="2"/>
  <c r="D1691" i="2"/>
  <c r="B1691" i="2"/>
  <c r="A1691" i="2"/>
  <c r="D1690" i="2"/>
  <c r="B1690" i="2"/>
  <c r="A1690" i="2"/>
  <c r="D1689" i="2"/>
  <c r="B1689" i="2"/>
  <c r="A1689" i="2"/>
  <c r="D1688" i="2"/>
  <c r="B1688" i="2"/>
  <c r="A1688" i="2"/>
  <c r="D1687" i="2"/>
  <c r="B1687" i="2"/>
  <c r="A1687" i="2"/>
  <c r="D1686" i="2"/>
  <c r="B1686" i="2"/>
  <c r="A1686" i="2"/>
  <c r="D1685" i="2"/>
  <c r="B1685" i="2"/>
  <c r="A1685" i="2"/>
  <c r="D1684" i="2"/>
  <c r="B1684" i="2"/>
  <c r="A1684" i="2"/>
  <c r="D1683" i="2"/>
  <c r="B1683" i="2"/>
  <c r="A1683" i="2"/>
  <c r="D1682" i="2"/>
  <c r="B1682" i="2"/>
  <c r="A1682" i="2"/>
  <c r="D1681" i="2"/>
  <c r="B1681" i="2"/>
  <c r="A1681" i="2"/>
  <c r="D1680" i="2"/>
  <c r="B1680" i="2"/>
  <c r="A1680" i="2"/>
  <c r="D1679" i="2"/>
  <c r="B1679" i="2"/>
  <c r="A1679" i="2"/>
  <c r="D1678" i="2"/>
  <c r="B1678" i="2"/>
  <c r="A1678" i="2"/>
  <c r="D1677" i="2"/>
  <c r="B1677" i="2"/>
  <c r="A1677" i="2"/>
  <c r="D1676" i="2"/>
  <c r="B1676" i="2"/>
  <c r="A1676" i="2"/>
  <c r="D1675" i="2"/>
  <c r="B1675" i="2"/>
  <c r="A1675" i="2"/>
  <c r="D1674" i="2"/>
  <c r="B1674" i="2"/>
  <c r="A1674" i="2"/>
  <c r="D1673" i="2"/>
  <c r="B1673" i="2"/>
  <c r="A1673" i="2"/>
  <c r="D1672" i="2"/>
  <c r="B1672" i="2"/>
  <c r="A1672" i="2"/>
  <c r="D1671" i="2"/>
  <c r="B1671" i="2"/>
  <c r="A1671" i="2"/>
  <c r="D1670" i="2"/>
  <c r="B1670" i="2"/>
  <c r="A1670" i="2"/>
  <c r="D1662" i="2"/>
  <c r="B1662" i="2"/>
  <c r="A1662" i="2"/>
  <c r="D1661" i="2"/>
  <c r="B1661" i="2"/>
  <c r="A1661" i="2"/>
  <c r="D1660" i="2"/>
  <c r="B1660" i="2"/>
  <c r="A1660" i="2"/>
  <c r="D1659" i="2"/>
  <c r="B1659" i="2"/>
  <c r="A1659" i="2"/>
  <c r="D1658" i="2"/>
  <c r="B1658" i="2"/>
  <c r="A1658" i="2"/>
  <c r="D1657" i="2"/>
  <c r="B1657" i="2"/>
  <c r="A1657" i="2"/>
  <c r="D1656" i="2"/>
  <c r="B1656" i="2"/>
  <c r="A1656" i="2"/>
  <c r="D1655" i="2"/>
  <c r="B1655" i="2"/>
  <c r="A1655" i="2"/>
  <c r="D1654" i="2"/>
  <c r="B1654" i="2"/>
  <c r="A1654" i="2"/>
  <c r="D1653" i="2"/>
  <c r="B1653" i="2"/>
  <c r="A1653" i="2"/>
  <c r="D1652" i="2"/>
  <c r="B1652" i="2"/>
  <c r="A1652" i="2"/>
  <c r="D1651" i="2"/>
  <c r="B1651" i="2"/>
  <c r="A1651" i="2"/>
  <c r="D1639" i="2"/>
  <c r="B1639" i="2"/>
  <c r="A1639" i="2"/>
  <c r="D1638" i="2"/>
  <c r="B1638" i="2"/>
  <c r="A1638" i="2"/>
  <c r="D1637" i="2"/>
  <c r="B1637" i="2"/>
  <c r="A1637" i="2"/>
  <c r="D1636" i="2"/>
  <c r="B1636" i="2"/>
  <c r="A1636" i="2"/>
  <c r="D1635" i="2"/>
  <c r="B1635" i="2"/>
  <c r="A1635" i="2"/>
  <c r="D1634" i="2"/>
  <c r="B1634" i="2"/>
  <c r="A1634" i="2"/>
  <c r="D1633" i="2"/>
  <c r="B1633" i="2"/>
  <c r="A1633" i="2"/>
  <c r="D1632" i="2"/>
  <c r="B1632" i="2"/>
  <c r="A1632" i="2"/>
  <c r="D1631" i="2"/>
  <c r="B1631" i="2"/>
  <c r="A1631" i="2"/>
  <c r="D1630" i="2"/>
  <c r="B1630" i="2"/>
  <c r="A1630" i="2"/>
  <c r="D1629" i="2"/>
  <c r="B1629" i="2"/>
  <c r="A1629" i="2"/>
  <c r="D1628" i="2"/>
  <c r="B1628" i="2"/>
  <c r="A1628" i="2"/>
  <c r="D1618" i="2"/>
  <c r="B1618" i="2"/>
  <c r="A1618" i="2"/>
  <c r="D1617" i="2"/>
  <c r="B1617" i="2"/>
  <c r="A1617" i="2"/>
  <c r="D1616" i="2"/>
  <c r="B1616" i="2"/>
  <c r="A1616" i="2"/>
  <c r="D1615" i="2"/>
  <c r="B1615" i="2"/>
  <c r="A1615" i="2"/>
  <c r="D1614" i="2"/>
  <c r="B1614" i="2"/>
  <c r="A1614" i="2"/>
  <c r="D1613" i="2"/>
  <c r="B1613" i="2"/>
  <c r="A1613" i="2"/>
  <c r="D1612" i="2"/>
  <c r="B1612" i="2"/>
  <c r="A1612" i="2"/>
  <c r="D1611" i="2"/>
  <c r="B1611" i="2"/>
  <c r="A1611" i="2"/>
  <c r="D1610" i="2"/>
  <c r="B1610" i="2"/>
  <c r="A1610" i="2"/>
  <c r="D1609" i="2"/>
  <c r="B1609" i="2"/>
  <c r="A1609" i="2"/>
  <c r="D1608" i="2"/>
  <c r="B1608" i="2"/>
  <c r="A1608" i="2"/>
  <c r="D1607" i="2"/>
  <c r="B1607" i="2"/>
  <c r="A1607" i="2"/>
  <c r="D1606" i="2"/>
  <c r="B1606" i="2"/>
  <c r="A1606" i="2"/>
  <c r="D1605" i="2"/>
  <c r="B1605" i="2"/>
  <c r="A1605" i="2"/>
  <c r="D1604" i="2"/>
  <c r="B1604" i="2"/>
  <c r="A1604" i="2"/>
  <c r="D1603" i="2"/>
  <c r="B1603" i="2"/>
  <c r="A1603" i="2"/>
  <c r="D1602" i="2"/>
  <c r="B1602" i="2"/>
  <c r="A1602" i="2"/>
  <c r="D1601" i="2"/>
  <c r="B1601" i="2"/>
  <c r="A1601" i="2"/>
  <c r="D1600" i="2"/>
  <c r="B1600" i="2"/>
  <c r="A1600" i="2"/>
  <c r="D1599" i="2"/>
  <c r="B1599" i="2"/>
  <c r="A1599" i="2"/>
  <c r="D1598" i="2"/>
  <c r="B1598" i="2"/>
  <c r="A1598" i="2"/>
  <c r="D1597" i="2"/>
  <c r="B1597" i="2"/>
  <c r="A1597" i="2"/>
  <c r="D1596" i="2"/>
  <c r="B1596" i="2"/>
  <c r="A1596" i="2"/>
  <c r="D1595" i="2"/>
  <c r="B1595" i="2"/>
  <c r="A1595" i="2"/>
  <c r="D1594" i="2"/>
  <c r="B1594" i="2"/>
  <c r="A1594" i="2"/>
  <c r="D1593" i="2"/>
  <c r="B1593" i="2"/>
  <c r="A1593" i="2"/>
  <c r="D1592" i="2"/>
  <c r="B1592" i="2"/>
  <c r="A1592" i="2"/>
  <c r="D1591" i="2"/>
  <c r="B1591" i="2"/>
  <c r="A1591" i="2"/>
  <c r="D1590" i="2"/>
  <c r="B1590" i="2"/>
  <c r="A1590" i="2"/>
  <c r="D1589" i="2"/>
  <c r="B1589" i="2"/>
  <c r="A1589" i="2"/>
  <c r="D1588" i="2"/>
  <c r="B1588" i="2"/>
  <c r="A1588" i="2"/>
  <c r="D1587" i="2"/>
  <c r="B1587" i="2"/>
  <c r="A1587" i="2"/>
  <c r="D1586" i="2"/>
  <c r="B1586" i="2"/>
  <c r="A1586" i="2"/>
  <c r="D1585" i="2"/>
  <c r="B1585" i="2"/>
  <c r="A1585" i="2"/>
  <c r="D1584" i="2"/>
  <c r="B1584" i="2"/>
  <c r="A1584" i="2"/>
  <c r="D1583" i="2"/>
  <c r="B1583" i="2"/>
  <c r="A1583" i="2"/>
  <c r="D1582" i="2"/>
  <c r="B1582" i="2"/>
  <c r="A1582" i="2"/>
  <c r="D1581" i="2"/>
  <c r="B1581" i="2"/>
  <c r="A1581" i="2"/>
  <c r="D1580" i="2"/>
  <c r="B1580" i="2"/>
  <c r="A1580" i="2"/>
  <c r="D1579" i="2"/>
  <c r="B1579" i="2"/>
  <c r="A1579" i="2"/>
  <c r="D1578" i="2"/>
  <c r="B1578" i="2"/>
  <c r="A1578" i="2"/>
  <c r="D1577" i="2"/>
  <c r="B1577" i="2"/>
  <c r="A1577" i="2"/>
  <c r="D1576" i="2"/>
  <c r="B1576" i="2"/>
  <c r="A1576" i="2"/>
  <c r="D1575" i="2"/>
  <c r="B1575" i="2"/>
  <c r="A1575" i="2"/>
  <c r="D1574" i="2"/>
  <c r="B1574" i="2"/>
  <c r="A1574" i="2"/>
  <c r="D1573" i="2"/>
  <c r="B1573" i="2"/>
  <c r="A1573" i="2"/>
  <c r="D1572" i="2"/>
  <c r="B1572" i="2"/>
  <c r="A1572" i="2"/>
  <c r="D1571" i="2"/>
  <c r="B1571" i="2"/>
  <c r="A1571" i="2"/>
  <c r="D1563" i="2"/>
  <c r="B1563" i="2"/>
  <c r="A1563" i="2"/>
  <c r="D1562" i="2"/>
  <c r="B1562" i="2"/>
  <c r="A1562" i="2"/>
  <c r="D1561" i="2"/>
  <c r="B1561" i="2"/>
  <c r="A1561" i="2"/>
  <c r="D1560" i="2"/>
  <c r="B1560" i="2"/>
  <c r="A1560" i="2"/>
  <c r="D1559" i="2"/>
  <c r="B1559" i="2"/>
  <c r="A1559" i="2"/>
  <c r="D1558" i="2"/>
  <c r="B1558" i="2"/>
  <c r="A1558" i="2"/>
  <c r="D1547" i="2"/>
  <c r="B1547" i="2"/>
  <c r="A1547" i="2"/>
  <c r="D1546" i="2"/>
  <c r="B1546" i="2"/>
  <c r="A1546" i="2"/>
  <c r="D1545" i="2"/>
  <c r="B1545" i="2"/>
  <c r="A1545" i="2"/>
  <c r="D1544" i="2"/>
  <c r="B1544" i="2"/>
  <c r="A1544" i="2"/>
  <c r="D1543" i="2"/>
  <c r="B1543" i="2"/>
  <c r="A1543" i="2"/>
  <c r="D1542" i="2"/>
  <c r="B1542" i="2"/>
  <c r="A1542" i="2"/>
  <c r="D1532" i="2"/>
  <c r="B1532" i="2"/>
  <c r="A1532" i="2"/>
  <c r="D1531" i="2"/>
  <c r="B1531" i="2"/>
  <c r="A1531" i="2"/>
  <c r="D1530" i="2"/>
  <c r="B1530" i="2"/>
  <c r="A1530" i="2"/>
  <c r="D1529" i="2"/>
  <c r="B1529" i="2"/>
  <c r="A1529" i="2"/>
  <c r="D1528" i="2"/>
  <c r="B1528" i="2"/>
  <c r="A1528" i="2"/>
  <c r="D1527" i="2"/>
  <c r="B1527" i="2"/>
  <c r="A1527" i="2"/>
  <c r="D1526" i="2"/>
  <c r="B1526" i="2"/>
  <c r="A1526" i="2"/>
  <c r="D1525" i="2"/>
  <c r="B1525" i="2"/>
  <c r="A1525" i="2"/>
  <c r="D1524" i="2"/>
  <c r="B1524" i="2"/>
  <c r="A1524" i="2"/>
  <c r="D1523" i="2"/>
  <c r="B1523" i="2"/>
  <c r="A1523" i="2"/>
  <c r="D1522" i="2"/>
  <c r="B1522" i="2"/>
  <c r="A1522" i="2"/>
  <c r="D1521" i="2"/>
  <c r="B1521" i="2"/>
  <c r="A1521" i="2"/>
  <c r="D1510" i="2"/>
  <c r="B1510" i="2"/>
  <c r="A1510" i="2"/>
  <c r="D1509" i="2"/>
  <c r="B1509" i="2"/>
  <c r="A1509" i="2"/>
  <c r="D1508" i="2"/>
  <c r="B1508" i="2"/>
  <c r="A1508" i="2"/>
  <c r="D1507" i="2"/>
  <c r="B1507" i="2"/>
  <c r="A1507" i="2"/>
  <c r="D1506" i="2"/>
  <c r="B1506" i="2"/>
  <c r="A1506" i="2"/>
  <c r="D1505" i="2"/>
  <c r="B1505" i="2"/>
  <c r="A1505" i="2"/>
  <c r="D1504" i="2"/>
  <c r="B1504" i="2"/>
  <c r="A1504" i="2"/>
  <c r="D1503" i="2"/>
  <c r="B1503" i="2"/>
  <c r="A1503" i="2"/>
  <c r="D1502" i="2"/>
  <c r="B1502" i="2"/>
  <c r="A1502" i="2"/>
  <c r="D1501" i="2"/>
  <c r="B1501" i="2"/>
  <c r="A1501" i="2"/>
  <c r="D1500" i="2"/>
  <c r="B1500" i="2"/>
  <c r="A1500" i="2"/>
  <c r="D1499" i="2"/>
  <c r="B1499" i="2"/>
  <c r="A1499" i="2"/>
  <c r="D1488" i="2"/>
  <c r="B1488" i="2"/>
  <c r="A1488" i="2"/>
  <c r="D1487" i="2"/>
  <c r="B1487" i="2"/>
  <c r="A1487" i="2"/>
  <c r="D1486" i="2"/>
  <c r="B1486" i="2"/>
  <c r="A1486" i="2"/>
  <c r="D1485" i="2"/>
  <c r="B1485" i="2"/>
  <c r="A1485" i="2"/>
  <c r="D1484" i="2"/>
  <c r="B1484" i="2"/>
  <c r="A1484" i="2"/>
  <c r="D1483" i="2"/>
  <c r="B1483" i="2"/>
  <c r="A1483" i="2"/>
  <c r="D1482" i="2"/>
  <c r="B1482" i="2"/>
  <c r="A1482" i="2"/>
  <c r="D1481" i="2"/>
  <c r="B1481" i="2"/>
  <c r="A1481" i="2"/>
  <c r="D1480" i="2"/>
  <c r="B1480" i="2"/>
  <c r="A1480" i="2"/>
  <c r="D1479" i="2"/>
  <c r="B1479" i="2"/>
  <c r="A1479" i="2"/>
  <c r="D1478" i="2"/>
  <c r="B1478" i="2"/>
  <c r="A1478" i="2"/>
  <c r="D1477" i="2"/>
  <c r="B1477" i="2"/>
  <c r="A1477" i="2"/>
  <c r="D1476" i="2"/>
  <c r="B1476" i="2"/>
  <c r="A1476" i="2"/>
  <c r="D1475" i="2"/>
  <c r="B1475" i="2"/>
  <c r="A1475" i="2"/>
  <c r="D1474" i="2"/>
  <c r="B1474" i="2"/>
  <c r="A1474" i="2"/>
  <c r="D1473" i="2"/>
  <c r="B1473" i="2"/>
  <c r="A1473" i="2"/>
  <c r="D1472" i="2"/>
  <c r="B1472" i="2"/>
  <c r="A1472" i="2"/>
  <c r="D1471" i="2"/>
  <c r="B1471" i="2"/>
  <c r="A1471" i="2"/>
  <c r="D1470" i="2"/>
  <c r="B1470" i="2"/>
  <c r="A1470" i="2"/>
  <c r="D1469" i="2"/>
  <c r="B1469" i="2"/>
  <c r="A1469" i="2"/>
  <c r="D1468" i="2"/>
  <c r="B1468" i="2"/>
  <c r="A1468" i="2"/>
  <c r="D1467" i="2"/>
  <c r="B1467" i="2"/>
  <c r="A1467" i="2"/>
  <c r="D1466" i="2"/>
  <c r="B1466" i="2"/>
  <c r="A1466" i="2"/>
  <c r="D1465" i="2"/>
  <c r="B1465" i="2"/>
  <c r="A1465" i="2"/>
  <c r="D1454" i="2"/>
  <c r="B1454" i="2"/>
  <c r="A1454" i="2"/>
  <c r="D1453" i="2"/>
  <c r="B1453" i="2"/>
  <c r="A1453" i="2"/>
  <c r="D1452" i="2"/>
  <c r="B1452" i="2"/>
  <c r="A1452" i="2"/>
  <c r="D1451" i="2"/>
  <c r="B1451" i="2"/>
  <c r="A1451" i="2"/>
  <c r="D1450" i="2"/>
  <c r="B1450" i="2"/>
  <c r="A1450" i="2"/>
  <c r="D1449" i="2"/>
  <c r="B1449" i="2"/>
  <c r="A1449" i="2"/>
  <c r="D1448" i="2"/>
  <c r="B1448" i="2"/>
  <c r="A1448" i="2"/>
  <c r="D1447" i="2"/>
  <c r="B1447" i="2"/>
  <c r="A1447" i="2"/>
  <c r="D1446" i="2"/>
  <c r="B1446" i="2"/>
  <c r="A1446" i="2"/>
  <c r="D1445" i="2"/>
  <c r="B1445" i="2"/>
  <c r="A1445" i="2"/>
  <c r="D1444" i="2"/>
  <c r="B1444" i="2"/>
  <c r="A1444" i="2"/>
  <c r="D1443" i="2"/>
  <c r="B1443" i="2"/>
  <c r="A1443" i="2"/>
  <c r="D1433" i="2"/>
  <c r="B1433" i="2"/>
  <c r="A1433" i="2"/>
  <c r="D1432" i="2"/>
  <c r="B1432" i="2"/>
  <c r="A1432" i="2"/>
  <c r="D1431" i="2"/>
  <c r="B1431" i="2"/>
  <c r="A1431" i="2"/>
  <c r="D1430" i="2"/>
  <c r="B1430" i="2"/>
  <c r="A1430" i="2"/>
  <c r="D1429" i="2"/>
  <c r="B1429" i="2"/>
  <c r="A1429" i="2"/>
  <c r="D1428" i="2"/>
  <c r="B1428" i="2"/>
  <c r="A1428" i="2"/>
  <c r="D1427" i="2"/>
  <c r="B1427" i="2"/>
  <c r="A1427" i="2"/>
  <c r="D1426" i="2"/>
  <c r="B1426" i="2"/>
  <c r="A1426" i="2"/>
  <c r="D1425" i="2"/>
  <c r="B1425" i="2"/>
  <c r="A1425" i="2"/>
  <c r="D1424" i="2"/>
  <c r="B1424" i="2"/>
  <c r="A1424" i="2"/>
  <c r="D1423" i="2"/>
  <c r="B1423" i="2"/>
  <c r="A1423" i="2"/>
  <c r="D1422" i="2"/>
  <c r="B1422" i="2"/>
  <c r="A1422" i="2"/>
  <c r="D1410" i="2"/>
  <c r="B1410" i="2"/>
  <c r="A1410" i="2"/>
  <c r="D1409" i="2"/>
  <c r="B1409" i="2"/>
  <c r="A1409" i="2"/>
  <c r="D1408" i="2"/>
  <c r="B1408" i="2"/>
  <c r="A1408" i="2"/>
  <c r="D1407" i="2"/>
  <c r="B1407" i="2"/>
  <c r="A1407" i="2"/>
  <c r="D1406" i="2"/>
  <c r="B1406" i="2"/>
  <c r="A1406" i="2"/>
  <c r="D1405" i="2"/>
  <c r="B1405" i="2"/>
  <c r="A1405" i="2"/>
  <c r="D1404" i="2"/>
  <c r="B1404" i="2"/>
  <c r="A1404" i="2"/>
  <c r="D1403" i="2"/>
  <c r="B1403" i="2"/>
  <c r="A1403" i="2"/>
  <c r="D1402" i="2"/>
  <c r="B1402" i="2"/>
  <c r="A1402" i="2"/>
  <c r="D1401" i="2"/>
  <c r="B1401" i="2"/>
  <c r="A1401" i="2"/>
  <c r="D1400" i="2"/>
  <c r="B1400" i="2"/>
  <c r="A1400" i="2"/>
  <c r="D1399" i="2"/>
  <c r="B1399" i="2"/>
  <c r="A1399" i="2"/>
  <c r="D1387" i="2"/>
  <c r="B1387" i="2"/>
  <c r="A1387" i="2"/>
  <c r="D1386" i="2"/>
  <c r="B1386" i="2"/>
  <c r="A1386" i="2"/>
  <c r="D1385" i="2"/>
  <c r="B1385" i="2"/>
  <c r="A1385" i="2"/>
  <c r="D1384" i="2"/>
  <c r="B1384" i="2"/>
  <c r="A1384" i="2"/>
  <c r="D1383" i="2"/>
  <c r="B1383" i="2"/>
  <c r="A1383" i="2"/>
  <c r="D1382" i="2"/>
  <c r="B1382" i="2"/>
  <c r="A1382" i="2"/>
  <c r="D1381" i="2"/>
  <c r="B1381" i="2"/>
  <c r="A1381" i="2"/>
  <c r="D1380" i="2"/>
  <c r="B1380" i="2"/>
  <c r="A1380" i="2"/>
  <c r="D1379" i="2"/>
  <c r="B1379" i="2"/>
  <c r="A1379" i="2"/>
  <c r="D1378" i="2"/>
  <c r="B1378" i="2"/>
  <c r="A1378" i="2"/>
  <c r="D1377" i="2"/>
  <c r="B1377" i="2"/>
  <c r="A1377" i="2"/>
  <c r="D1376" i="2"/>
  <c r="B1376" i="2"/>
  <c r="A1376" i="2"/>
  <c r="D1367" i="2"/>
  <c r="B1367" i="2"/>
  <c r="A1367" i="2"/>
  <c r="D1366" i="2"/>
  <c r="B1366" i="2"/>
  <c r="A1366" i="2"/>
  <c r="D1365" i="2"/>
  <c r="B1365" i="2"/>
  <c r="A1365" i="2"/>
  <c r="D1364" i="2"/>
  <c r="B1364" i="2"/>
  <c r="A1364" i="2"/>
  <c r="D1363" i="2"/>
  <c r="B1363" i="2"/>
  <c r="A1363" i="2"/>
  <c r="D1362" i="2"/>
  <c r="B1362" i="2"/>
  <c r="A1362" i="2"/>
  <c r="D1351" i="2"/>
  <c r="B1351" i="2"/>
  <c r="A1351" i="2"/>
  <c r="D1350" i="2"/>
  <c r="B1350" i="2"/>
  <c r="A1350" i="2"/>
  <c r="D1349" i="2"/>
  <c r="B1349" i="2"/>
  <c r="A1349" i="2"/>
  <c r="D1348" i="2"/>
  <c r="B1348" i="2"/>
  <c r="A1348" i="2"/>
  <c r="D1347" i="2"/>
  <c r="B1347" i="2"/>
  <c r="A1347" i="2"/>
  <c r="D1346" i="2"/>
  <c r="B1346" i="2"/>
  <c r="A1346" i="2"/>
  <c r="D1335" i="2"/>
  <c r="B1335" i="2"/>
  <c r="A1335" i="2"/>
  <c r="D1334" i="2"/>
  <c r="B1334" i="2"/>
  <c r="A1334" i="2"/>
  <c r="D1333" i="2"/>
  <c r="B1333" i="2"/>
  <c r="A1333" i="2"/>
  <c r="D1332" i="2"/>
  <c r="B1332" i="2"/>
  <c r="A1332" i="2"/>
  <c r="D1331" i="2"/>
  <c r="B1331" i="2"/>
  <c r="A1331" i="2"/>
  <c r="D1330" i="2"/>
  <c r="B1330" i="2"/>
  <c r="A1330" i="2"/>
  <c r="D1329" i="2"/>
  <c r="B1329" i="2"/>
  <c r="A1329" i="2"/>
  <c r="D1328" i="2"/>
  <c r="B1328" i="2"/>
  <c r="A1328" i="2"/>
  <c r="D1327" i="2"/>
  <c r="B1327" i="2"/>
  <c r="A1327" i="2"/>
  <c r="D1326" i="2"/>
  <c r="B1326" i="2"/>
  <c r="A1326" i="2"/>
  <c r="D1325" i="2"/>
  <c r="B1325" i="2"/>
  <c r="A1325" i="2"/>
  <c r="D1324" i="2"/>
  <c r="B1324" i="2"/>
  <c r="A1324" i="2"/>
  <c r="D1315" i="2"/>
  <c r="B1315" i="2"/>
  <c r="A1315" i="2"/>
  <c r="D1314" i="2"/>
  <c r="B1314" i="2"/>
  <c r="A1314" i="2"/>
  <c r="D1313" i="2"/>
  <c r="B1313" i="2"/>
  <c r="A1313" i="2"/>
  <c r="D1312" i="2"/>
  <c r="B1312" i="2"/>
  <c r="A1312" i="2"/>
  <c r="D1311" i="2"/>
  <c r="B1311" i="2"/>
  <c r="A1311" i="2"/>
  <c r="D1310" i="2"/>
  <c r="B1310" i="2"/>
  <c r="A1310" i="2"/>
  <c r="D1309" i="2"/>
  <c r="B1309" i="2"/>
  <c r="A1309" i="2"/>
  <c r="D1308" i="2"/>
  <c r="B1308" i="2"/>
  <c r="A1308" i="2"/>
  <c r="D1307" i="2"/>
  <c r="B1307" i="2"/>
  <c r="A1307" i="2"/>
  <c r="D1306" i="2"/>
  <c r="B1306" i="2"/>
  <c r="A1306" i="2"/>
  <c r="D1305" i="2"/>
  <c r="B1305" i="2"/>
  <c r="A1305" i="2"/>
  <c r="D1304" i="2"/>
  <c r="B1304" i="2"/>
  <c r="A1304" i="2"/>
  <c r="D1293" i="2"/>
  <c r="B1293" i="2"/>
  <c r="A1293" i="2"/>
  <c r="D1292" i="2"/>
  <c r="B1292" i="2"/>
  <c r="A1292" i="2"/>
  <c r="D1291" i="2"/>
  <c r="B1291" i="2"/>
  <c r="A1291" i="2"/>
  <c r="D1290" i="2"/>
  <c r="B1290" i="2"/>
  <c r="A1290" i="2"/>
  <c r="D1289" i="2"/>
  <c r="B1289" i="2"/>
  <c r="A1289" i="2"/>
  <c r="D1288" i="2"/>
  <c r="B1288" i="2"/>
  <c r="A1288" i="2"/>
  <c r="D1287" i="2"/>
  <c r="B1287" i="2"/>
  <c r="A1287" i="2"/>
  <c r="D1286" i="2"/>
  <c r="B1286" i="2"/>
  <c r="A1286" i="2"/>
  <c r="D1285" i="2"/>
  <c r="B1285" i="2"/>
  <c r="A1285" i="2"/>
  <c r="D1284" i="2"/>
  <c r="B1284" i="2"/>
  <c r="A1284" i="2"/>
  <c r="D1283" i="2"/>
  <c r="B1283" i="2"/>
  <c r="A1283" i="2"/>
  <c r="D1282" i="2"/>
  <c r="B1282" i="2"/>
  <c r="A1282" i="2"/>
  <c r="D1271" i="2"/>
  <c r="B1271" i="2"/>
  <c r="A1271" i="2"/>
  <c r="D1270" i="2"/>
  <c r="B1270" i="2"/>
  <c r="A1270" i="2"/>
  <c r="D1269" i="2"/>
  <c r="B1269" i="2"/>
  <c r="A1269" i="2"/>
  <c r="D1268" i="2"/>
  <c r="B1268" i="2"/>
  <c r="A1268" i="2"/>
  <c r="D1267" i="2"/>
  <c r="B1267" i="2"/>
  <c r="A1267" i="2"/>
  <c r="D1266" i="2"/>
  <c r="B1266" i="2"/>
  <c r="A1266" i="2"/>
  <c r="D1265" i="2"/>
  <c r="B1265" i="2"/>
  <c r="A1265" i="2"/>
  <c r="D1264" i="2"/>
  <c r="B1264" i="2"/>
  <c r="A1264" i="2"/>
  <c r="D1263" i="2"/>
  <c r="B1263" i="2"/>
  <c r="A1263" i="2"/>
  <c r="D1262" i="2"/>
  <c r="B1262" i="2"/>
  <c r="A1262" i="2"/>
  <c r="D1261" i="2"/>
  <c r="B1261" i="2"/>
  <c r="A1261" i="2"/>
  <c r="D1260" i="2"/>
  <c r="B1260" i="2"/>
  <c r="A1260" i="2"/>
  <c r="D1259" i="2"/>
  <c r="B1259" i="2"/>
  <c r="A1259" i="2"/>
  <c r="D1258" i="2"/>
  <c r="B1258" i="2"/>
  <c r="A1258" i="2"/>
  <c r="D1257" i="2"/>
  <c r="B1257" i="2"/>
  <c r="A1257" i="2"/>
  <c r="D1256" i="2"/>
  <c r="B1256" i="2"/>
  <c r="A1256" i="2"/>
  <c r="D1255" i="2"/>
  <c r="B1255" i="2"/>
  <c r="A1255" i="2"/>
  <c r="D1254" i="2"/>
  <c r="B1254" i="2"/>
  <c r="A1254" i="2"/>
  <c r="D1253" i="2"/>
  <c r="B1253" i="2"/>
  <c r="A1253" i="2"/>
  <c r="D1252" i="2"/>
  <c r="B1252" i="2"/>
  <c r="A1252" i="2"/>
  <c r="D1251" i="2"/>
  <c r="B1251" i="2"/>
  <c r="A1251" i="2"/>
  <c r="D1250" i="2"/>
  <c r="B1250" i="2"/>
  <c r="A1250" i="2"/>
  <c r="D1249" i="2"/>
  <c r="B1249" i="2"/>
  <c r="A1249" i="2"/>
  <c r="D1248" i="2"/>
  <c r="B1248" i="2"/>
  <c r="A1248" i="2"/>
  <c r="D1247" i="2"/>
  <c r="B1247" i="2"/>
  <c r="A1247" i="2"/>
  <c r="D1246" i="2"/>
  <c r="B1246" i="2"/>
  <c r="A1246" i="2"/>
  <c r="D1245" i="2"/>
  <c r="B1245" i="2"/>
  <c r="A1245" i="2"/>
  <c r="D1244" i="2"/>
  <c r="B1244" i="2"/>
  <c r="A1244" i="2"/>
  <c r="D1243" i="2"/>
  <c r="B1243" i="2"/>
  <c r="A1243" i="2"/>
  <c r="D1242" i="2"/>
  <c r="B1242" i="2"/>
  <c r="A1242" i="2"/>
  <c r="D1241" i="2"/>
  <c r="B1241" i="2"/>
  <c r="A1241" i="2"/>
  <c r="D1240" i="2"/>
  <c r="B1240" i="2"/>
  <c r="A1240" i="2"/>
  <c r="D1239" i="2"/>
  <c r="B1239" i="2"/>
  <c r="A1239" i="2"/>
  <c r="D1238" i="2"/>
  <c r="B1238" i="2"/>
  <c r="A1238" i="2"/>
  <c r="D1237" i="2"/>
  <c r="B1237" i="2"/>
  <c r="A1237" i="2"/>
  <c r="D1236" i="2"/>
  <c r="B1236" i="2"/>
  <c r="A1236" i="2"/>
  <c r="D1235" i="2"/>
  <c r="B1235" i="2"/>
  <c r="A1235" i="2"/>
  <c r="D1234" i="2"/>
  <c r="B1234" i="2"/>
  <c r="A1234" i="2"/>
  <c r="D1233" i="2"/>
  <c r="B1233" i="2"/>
  <c r="A1233" i="2"/>
  <c r="D1232" i="2"/>
  <c r="B1232" i="2"/>
  <c r="A1232" i="2"/>
  <c r="D1231" i="2"/>
  <c r="B1231" i="2"/>
  <c r="A1231" i="2"/>
  <c r="D1230" i="2"/>
  <c r="B1230" i="2"/>
  <c r="A1230" i="2"/>
  <c r="D1229" i="2"/>
  <c r="B1229" i="2"/>
  <c r="A1229" i="2"/>
  <c r="D1228" i="2"/>
  <c r="B1228" i="2"/>
  <c r="A1228" i="2"/>
  <c r="D1227" i="2"/>
  <c r="B1227" i="2"/>
  <c r="A1227" i="2"/>
  <c r="D1226" i="2"/>
  <c r="B1226" i="2"/>
  <c r="A1226" i="2"/>
  <c r="D1225" i="2"/>
  <c r="B1225" i="2"/>
  <c r="A1225" i="2"/>
  <c r="D1224" i="2"/>
  <c r="B1224" i="2"/>
  <c r="A1224" i="2"/>
  <c r="D1223" i="2"/>
  <c r="B1223" i="2"/>
  <c r="A1223" i="2"/>
  <c r="D1222" i="2"/>
  <c r="B1222" i="2"/>
  <c r="A1222" i="2"/>
  <c r="D1221" i="2"/>
  <c r="B1221" i="2"/>
  <c r="A1221" i="2"/>
  <c r="D1220" i="2"/>
  <c r="B1220" i="2"/>
  <c r="A1220" i="2"/>
  <c r="D1219" i="2"/>
  <c r="B1219" i="2"/>
  <c r="A1219" i="2"/>
  <c r="D1218" i="2"/>
  <c r="B1218" i="2"/>
  <c r="A1218" i="2"/>
  <c r="D1211" i="2"/>
  <c r="B1211" i="2"/>
  <c r="A1211" i="2"/>
  <c r="D1210" i="2"/>
  <c r="B1210" i="2"/>
  <c r="A1210" i="2"/>
  <c r="D1209" i="2"/>
  <c r="B1209" i="2"/>
  <c r="A1209" i="2"/>
  <c r="D1208" i="2"/>
  <c r="B1208" i="2"/>
  <c r="A1208" i="2"/>
  <c r="D1207" i="2"/>
  <c r="B1207" i="2"/>
  <c r="A1207" i="2"/>
  <c r="D1206" i="2"/>
  <c r="B1206" i="2"/>
  <c r="A1206" i="2"/>
  <c r="D1195" i="2"/>
  <c r="B1195" i="2"/>
  <c r="A1195" i="2"/>
  <c r="D1194" i="2"/>
  <c r="B1194" i="2"/>
  <c r="A1194" i="2"/>
  <c r="D1193" i="2"/>
  <c r="B1193" i="2"/>
  <c r="A1193" i="2"/>
  <c r="D1192" i="2"/>
  <c r="B1192" i="2"/>
  <c r="A1192" i="2"/>
  <c r="D1191" i="2"/>
  <c r="B1191" i="2"/>
  <c r="A1191" i="2"/>
  <c r="D1190" i="2"/>
  <c r="B1190" i="2"/>
  <c r="A1190" i="2"/>
  <c r="D1189" i="2"/>
  <c r="B1189" i="2"/>
  <c r="A1189" i="2"/>
  <c r="D1188" i="2"/>
  <c r="B1188" i="2"/>
  <c r="A1188" i="2"/>
  <c r="D1187" i="2"/>
  <c r="B1187" i="2"/>
  <c r="A1187" i="2"/>
  <c r="D1186" i="2"/>
  <c r="B1186" i="2"/>
  <c r="A1186" i="2"/>
  <c r="D1185" i="2"/>
  <c r="B1185" i="2"/>
  <c r="A1185" i="2"/>
  <c r="D1184" i="2"/>
  <c r="B1184" i="2"/>
  <c r="A1184" i="2"/>
  <c r="D1172" i="2"/>
  <c r="B1172" i="2"/>
  <c r="A1172" i="2"/>
  <c r="D1171" i="2"/>
  <c r="B1171" i="2"/>
  <c r="A1171" i="2"/>
  <c r="D1170" i="2"/>
  <c r="B1170" i="2"/>
  <c r="A1170" i="2"/>
  <c r="D1169" i="2"/>
  <c r="B1169" i="2"/>
  <c r="A1169" i="2"/>
  <c r="D1168" i="2"/>
  <c r="B1168" i="2"/>
  <c r="A1168" i="2"/>
  <c r="D1167" i="2"/>
  <c r="B1167" i="2"/>
  <c r="A1167" i="2"/>
  <c r="D1166" i="2"/>
  <c r="B1166" i="2"/>
  <c r="A1166" i="2"/>
  <c r="D1165" i="2"/>
  <c r="B1165" i="2"/>
  <c r="A1165" i="2"/>
  <c r="D1164" i="2"/>
  <c r="B1164" i="2"/>
  <c r="A1164" i="2"/>
  <c r="D1163" i="2"/>
  <c r="B1163" i="2"/>
  <c r="A1163" i="2"/>
  <c r="D1162" i="2"/>
  <c r="B1162" i="2"/>
  <c r="A1162" i="2"/>
  <c r="D1161" i="2"/>
  <c r="B1161" i="2"/>
  <c r="A1161" i="2"/>
  <c r="D1160" i="2"/>
  <c r="B1160" i="2"/>
  <c r="A1160" i="2"/>
  <c r="D1159" i="2"/>
  <c r="B1159" i="2"/>
  <c r="A1159" i="2"/>
  <c r="D1158" i="2"/>
  <c r="B1158" i="2"/>
  <c r="A1158" i="2"/>
  <c r="D1157" i="2"/>
  <c r="B1157" i="2"/>
  <c r="A1157" i="2"/>
  <c r="D1156" i="2"/>
  <c r="B1156" i="2"/>
  <c r="A1156" i="2"/>
  <c r="D1155" i="2"/>
  <c r="B1155" i="2"/>
  <c r="A1155" i="2"/>
  <c r="D1154" i="2"/>
  <c r="B1154" i="2"/>
  <c r="A1154" i="2"/>
  <c r="D1153" i="2"/>
  <c r="B1153" i="2"/>
  <c r="A1153" i="2"/>
  <c r="D1152" i="2"/>
  <c r="B1152" i="2"/>
  <c r="A1152" i="2"/>
  <c r="D1151" i="2"/>
  <c r="B1151" i="2"/>
  <c r="A1151" i="2"/>
  <c r="D1150" i="2"/>
  <c r="B1150" i="2"/>
  <c r="A1150" i="2"/>
  <c r="D1149" i="2"/>
  <c r="B1149" i="2"/>
  <c r="A1149" i="2"/>
  <c r="D1141" i="2"/>
  <c r="B1141" i="2"/>
  <c r="A1141" i="2"/>
  <c r="D1140" i="2"/>
  <c r="B1140" i="2"/>
  <c r="A1140" i="2"/>
  <c r="D1139" i="2"/>
  <c r="B1139" i="2"/>
  <c r="A1139" i="2"/>
  <c r="D1138" i="2"/>
  <c r="B1138" i="2"/>
  <c r="A1138" i="2"/>
  <c r="D1137" i="2"/>
  <c r="B1137" i="2"/>
  <c r="A1137" i="2"/>
  <c r="D1136" i="2"/>
  <c r="B1136" i="2"/>
  <c r="A1136" i="2"/>
  <c r="D1135" i="2"/>
  <c r="B1135" i="2"/>
  <c r="A1135" i="2"/>
  <c r="D1134" i="2"/>
  <c r="B1134" i="2"/>
  <c r="A1134" i="2"/>
  <c r="D1133" i="2"/>
  <c r="B1133" i="2"/>
  <c r="A1133" i="2"/>
  <c r="D1132" i="2"/>
  <c r="B1132" i="2"/>
  <c r="A1132" i="2"/>
  <c r="D1131" i="2"/>
  <c r="B1131" i="2"/>
  <c r="A1131" i="2"/>
  <c r="D1130" i="2"/>
  <c r="B1130" i="2"/>
  <c r="A1130" i="2"/>
  <c r="D1129" i="2"/>
  <c r="B1129" i="2"/>
  <c r="A1129" i="2"/>
  <c r="D1128" i="2"/>
  <c r="B1128" i="2"/>
  <c r="A1128" i="2"/>
  <c r="D1127" i="2"/>
  <c r="B1127" i="2"/>
  <c r="A1127" i="2"/>
  <c r="D1126" i="2"/>
  <c r="B1126" i="2"/>
  <c r="A1126" i="2"/>
  <c r="D1125" i="2"/>
  <c r="B1125" i="2"/>
  <c r="A1125" i="2"/>
  <c r="D1124" i="2"/>
  <c r="B1124" i="2"/>
  <c r="A1124" i="2"/>
  <c r="D1123" i="2"/>
  <c r="B1123" i="2"/>
  <c r="A1123" i="2"/>
  <c r="D1122" i="2"/>
  <c r="B1122" i="2"/>
  <c r="A1122" i="2"/>
  <c r="D1121" i="2"/>
  <c r="B1121" i="2"/>
  <c r="A1121" i="2"/>
  <c r="D1120" i="2"/>
  <c r="B1120" i="2"/>
  <c r="A1120" i="2"/>
  <c r="D1119" i="2"/>
  <c r="B1119" i="2"/>
  <c r="A1119" i="2"/>
  <c r="D1118" i="2"/>
  <c r="B1118" i="2"/>
  <c r="A1118" i="2"/>
  <c r="D1109" i="2"/>
  <c r="B1109" i="2"/>
  <c r="A1109" i="2"/>
  <c r="D1108" i="2"/>
  <c r="B1108" i="2"/>
  <c r="A1108" i="2"/>
  <c r="D1107" i="2"/>
  <c r="B1107" i="2"/>
  <c r="A1107" i="2"/>
  <c r="D1106" i="2"/>
  <c r="B1106" i="2"/>
  <c r="A1106" i="2"/>
  <c r="D1105" i="2"/>
  <c r="B1105" i="2"/>
  <c r="A1105" i="2"/>
  <c r="D1104" i="2"/>
  <c r="B1104" i="2"/>
  <c r="A1104" i="2"/>
  <c r="D1103" i="2"/>
  <c r="B1103" i="2"/>
  <c r="A1103" i="2"/>
  <c r="D1102" i="2"/>
  <c r="B1102" i="2"/>
  <c r="A1102" i="2"/>
  <c r="D1101" i="2"/>
  <c r="B1101" i="2"/>
  <c r="A1101" i="2"/>
  <c r="D1100" i="2"/>
  <c r="B1100" i="2"/>
  <c r="A1100" i="2"/>
  <c r="D1099" i="2"/>
  <c r="B1099" i="2"/>
  <c r="A1099" i="2"/>
  <c r="D1098" i="2"/>
  <c r="B1098" i="2"/>
  <c r="A1098" i="2"/>
  <c r="D1087" i="2"/>
  <c r="B1087" i="2"/>
  <c r="A1087" i="2"/>
  <c r="D1086" i="2"/>
  <c r="B1086" i="2"/>
  <c r="A1086" i="2"/>
  <c r="D1085" i="2"/>
  <c r="B1085" i="2"/>
  <c r="A1085" i="2"/>
  <c r="D1084" i="2"/>
  <c r="B1084" i="2"/>
  <c r="A1084" i="2"/>
  <c r="D1083" i="2"/>
  <c r="B1083" i="2"/>
  <c r="A1083" i="2"/>
  <c r="D1082" i="2"/>
  <c r="B1082" i="2"/>
  <c r="A1082" i="2"/>
  <c r="D1081" i="2"/>
  <c r="B1081" i="2"/>
  <c r="A1081" i="2"/>
  <c r="D1080" i="2"/>
  <c r="B1080" i="2"/>
  <c r="A1080" i="2"/>
  <c r="D1079" i="2"/>
  <c r="B1079" i="2"/>
  <c r="A1079" i="2"/>
  <c r="D1078" i="2"/>
  <c r="B1078" i="2"/>
  <c r="A1078" i="2"/>
  <c r="D1077" i="2"/>
  <c r="B1077" i="2"/>
  <c r="A1077" i="2"/>
  <c r="D1076" i="2"/>
  <c r="B1076" i="2"/>
  <c r="A1076" i="2"/>
  <c r="D1075" i="2"/>
  <c r="B1075" i="2"/>
  <c r="A1075" i="2"/>
  <c r="D1074" i="2"/>
  <c r="B1074" i="2"/>
  <c r="A1074" i="2"/>
  <c r="D1073" i="2"/>
  <c r="B1073" i="2"/>
  <c r="A1073" i="2"/>
  <c r="D1072" i="2"/>
  <c r="B1072" i="2"/>
  <c r="A1072" i="2"/>
  <c r="D1071" i="2"/>
  <c r="B1071" i="2"/>
  <c r="A1071" i="2"/>
  <c r="D1070" i="2"/>
  <c r="B1070" i="2"/>
  <c r="A1070" i="2"/>
  <c r="D1060" i="2"/>
  <c r="B1060" i="2"/>
  <c r="A1060" i="2"/>
  <c r="D1059" i="2"/>
  <c r="B1059" i="2"/>
  <c r="A1059" i="2"/>
  <c r="D1058" i="2"/>
  <c r="B1058" i="2"/>
  <c r="A1058" i="2"/>
  <c r="D1057" i="2"/>
  <c r="B1057" i="2"/>
  <c r="A1057" i="2"/>
  <c r="D1056" i="2"/>
  <c r="B1056" i="2"/>
  <c r="A1056" i="2"/>
  <c r="D1055" i="2"/>
  <c r="B1055" i="2"/>
  <c r="A1055" i="2"/>
  <c r="D1044" i="2"/>
  <c r="B1044" i="2"/>
  <c r="A1044" i="2"/>
  <c r="D1043" i="2"/>
  <c r="B1043" i="2"/>
  <c r="A1043" i="2"/>
  <c r="D1042" i="2"/>
  <c r="B1042" i="2"/>
  <c r="A1042" i="2"/>
  <c r="D1041" i="2"/>
  <c r="B1041" i="2"/>
  <c r="A1041" i="2"/>
  <c r="D1040" i="2"/>
  <c r="B1040" i="2"/>
  <c r="A1040" i="2"/>
  <c r="D1039" i="2"/>
  <c r="B1039" i="2"/>
  <c r="A1039" i="2"/>
  <c r="D1038" i="2"/>
  <c r="B1038" i="2"/>
  <c r="A1038" i="2"/>
  <c r="D1037" i="2"/>
  <c r="B1037" i="2"/>
  <c r="A1037" i="2"/>
  <c r="D1036" i="2"/>
  <c r="B1036" i="2"/>
  <c r="A1036" i="2"/>
  <c r="D1035" i="2"/>
  <c r="B1035" i="2"/>
  <c r="A1035" i="2"/>
  <c r="D1034" i="2"/>
  <c r="B1034" i="2"/>
  <c r="A1034" i="2"/>
  <c r="D1033" i="2"/>
  <c r="B1033" i="2"/>
  <c r="A1033" i="2"/>
  <c r="D1032" i="2"/>
  <c r="B1032" i="2"/>
  <c r="A1032" i="2"/>
  <c r="D1031" i="2"/>
  <c r="B1031" i="2"/>
  <c r="A1031" i="2"/>
  <c r="D1030" i="2"/>
  <c r="B1030" i="2"/>
  <c r="A1030" i="2"/>
  <c r="D1029" i="2"/>
  <c r="B1029" i="2"/>
  <c r="A1029" i="2"/>
  <c r="D1028" i="2"/>
  <c r="B1028" i="2"/>
  <c r="A1028" i="2"/>
  <c r="D1027" i="2"/>
  <c r="B1027" i="2"/>
  <c r="A1027" i="2"/>
  <c r="D1026" i="2"/>
  <c r="B1026" i="2"/>
  <c r="A1026" i="2"/>
  <c r="D1025" i="2"/>
  <c r="B1025" i="2"/>
  <c r="A1025" i="2"/>
  <c r="D1024" i="2"/>
  <c r="B1024" i="2"/>
  <c r="A1024" i="2"/>
  <c r="D1023" i="2"/>
  <c r="B1023" i="2"/>
  <c r="A1023" i="2"/>
  <c r="D1022" i="2"/>
  <c r="B1022" i="2"/>
  <c r="A1022" i="2"/>
  <c r="D1021" i="2"/>
  <c r="B1021" i="2"/>
  <c r="A1021" i="2"/>
  <c r="D1012" i="2"/>
  <c r="B1012" i="2"/>
  <c r="A1012" i="2"/>
  <c r="D1011" i="2"/>
  <c r="B1011" i="2"/>
  <c r="A1011" i="2"/>
  <c r="D1010" i="2"/>
  <c r="B1010" i="2"/>
  <c r="A1010" i="2"/>
  <c r="D1009" i="2"/>
  <c r="B1009" i="2"/>
  <c r="A1009" i="2"/>
  <c r="D1008" i="2"/>
  <c r="B1008" i="2"/>
  <c r="A1008" i="2"/>
  <c r="D1007" i="2"/>
  <c r="B1007" i="2"/>
  <c r="A1007" i="2"/>
  <c r="D1006" i="2"/>
  <c r="B1006" i="2"/>
  <c r="A1006" i="2"/>
  <c r="D1005" i="2"/>
  <c r="B1005" i="2"/>
  <c r="A1005" i="2"/>
  <c r="D1004" i="2"/>
  <c r="B1004" i="2"/>
  <c r="A1004" i="2"/>
  <c r="D1003" i="2"/>
  <c r="B1003" i="2"/>
  <c r="A1003" i="2"/>
  <c r="D1002" i="2"/>
  <c r="B1002" i="2"/>
  <c r="A1002" i="2"/>
  <c r="D1001" i="2"/>
  <c r="B1001" i="2"/>
  <c r="A1001" i="2"/>
  <c r="D989" i="2"/>
  <c r="B989" i="2"/>
  <c r="A989" i="2"/>
  <c r="D988" i="2"/>
  <c r="B988" i="2"/>
  <c r="A988" i="2"/>
  <c r="D987" i="2"/>
  <c r="B987" i="2"/>
  <c r="A987" i="2"/>
  <c r="D986" i="2"/>
  <c r="B986" i="2"/>
  <c r="A986" i="2"/>
  <c r="D985" i="2"/>
  <c r="B985" i="2"/>
  <c r="A985" i="2"/>
  <c r="D984" i="2"/>
  <c r="B984" i="2"/>
  <c r="A984" i="2"/>
  <c r="D983" i="2"/>
  <c r="B983" i="2"/>
  <c r="A983" i="2"/>
  <c r="D982" i="2"/>
  <c r="B982" i="2"/>
  <c r="A982" i="2"/>
  <c r="D981" i="2"/>
  <c r="B981" i="2"/>
  <c r="A981" i="2"/>
  <c r="D980" i="2"/>
  <c r="B980" i="2"/>
  <c r="A980" i="2"/>
  <c r="D979" i="2"/>
  <c r="B979" i="2"/>
  <c r="A979" i="2"/>
  <c r="D978" i="2"/>
  <c r="B978" i="2"/>
  <c r="A978" i="2"/>
  <c r="D967" i="2"/>
  <c r="B967" i="2"/>
  <c r="A967" i="2"/>
  <c r="D966" i="2"/>
  <c r="B966" i="2"/>
  <c r="A966" i="2"/>
  <c r="D965" i="2"/>
  <c r="B965" i="2"/>
  <c r="A965" i="2"/>
  <c r="D964" i="2"/>
  <c r="B964" i="2"/>
  <c r="A964" i="2"/>
  <c r="D963" i="2"/>
  <c r="B963" i="2"/>
  <c r="A963" i="2"/>
  <c r="D962" i="2"/>
  <c r="B962" i="2"/>
  <c r="A962" i="2"/>
  <c r="D961" i="2"/>
  <c r="B961" i="2"/>
  <c r="A961" i="2"/>
  <c r="D960" i="2"/>
  <c r="B960" i="2"/>
  <c r="A960" i="2"/>
  <c r="D959" i="2"/>
  <c r="B959" i="2"/>
  <c r="A959" i="2"/>
  <c r="D958" i="2"/>
  <c r="B958" i="2"/>
  <c r="A958" i="2"/>
  <c r="D957" i="2"/>
  <c r="B957" i="2"/>
  <c r="A957" i="2"/>
  <c r="D956" i="2"/>
  <c r="B956" i="2"/>
  <c r="A956" i="2"/>
  <c r="D955" i="2"/>
  <c r="B955" i="2"/>
  <c r="A955" i="2"/>
  <c r="D954" i="2"/>
  <c r="B954" i="2"/>
  <c r="A954" i="2"/>
  <c r="D953" i="2"/>
  <c r="B953" i="2"/>
  <c r="A953" i="2"/>
  <c r="D952" i="2"/>
  <c r="B952" i="2"/>
  <c r="A952" i="2"/>
  <c r="D951" i="2"/>
  <c r="B951" i="2"/>
  <c r="A951" i="2"/>
  <c r="D950" i="2"/>
  <c r="B950" i="2"/>
  <c r="A950" i="2"/>
  <c r="D949" i="2"/>
  <c r="B949" i="2"/>
  <c r="A949" i="2"/>
  <c r="D948" i="2"/>
  <c r="B948" i="2"/>
  <c r="A948" i="2"/>
  <c r="D947" i="2"/>
  <c r="B947" i="2"/>
  <c r="A947" i="2"/>
  <c r="D946" i="2"/>
  <c r="B946" i="2"/>
  <c r="A946" i="2"/>
  <c r="D945" i="2"/>
  <c r="B945" i="2"/>
  <c r="A945" i="2"/>
  <c r="D944" i="2"/>
  <c r="B944" i="2"/>
  <c r="A944" i="2"/>
  <c r="D943" i="2"/>
  <c r="B943" i="2"/>
  <c r="A943" i="2"/>
  <c r="D942" i="2"/>
  <c r="B942" i="2"/>
  <c r="A942" i="2"/>
  <c r="D941" i="2"/>
  <c r="B941" i="2"/>
  <c r="A941" i="2"/>
  <c r="D940" i="2"/>
  <c r="B940" i="2"/>
  <c r="A940" i="2"/>
  <c r="D939" i="2"/>
  <c r="B939" i="2"/>
  <c r="A939" i="2"/>
  <c r="D938" i="2"/>
  <c r="B938" i="2"/>
  <c r="A938" i="2"/>
  <c r="D937" i="2"/>
  <c r="B937" i="2"/>
  <c r="A937" i="2"/>
  <c r="D936" i="2"/>
  <c r="B936" i="2"/>
  <c r="A936" i="2"/>
  <c r="D935" i="2"/>
  <c r="B935" i="2"/>
  <c r="A935" i="2"/>
  <c r="D934" i="2"/>
  <c r="B934" i="2"/>
  <c r="A934" i="2"/>
  <c r="D933" i="2"/>
  <c r="B933" i="2"/>
  <c r="A933" i="2"/>
  <c r="D932" i="2"/>
  <c r="B932" i="2"/>
  <c r="A932" i="2"/>
  <c r="D925" i="2"/>
  <c r="B925" i="2"/>
  <c r="A925" i="2"/>
  <c r="D924" i="2"/>
  <c r="B924" i="2"/>
  <c r="A924" i="2"/>
  <c r="D923" i="2"/>
  <c r="B923" i="2"/>
  <c r="A923" i="2"/>
  <c r="D922" i="2"/>
  <c r="B922" i="2"/>
  <c r="A922" i="2"/>
  <c r="D921" i="2"/>
  <c r="B921" i="2"/>
  <c r="A921" i="2"/>
  <c r="D920" i="2"/>
  <c r="B920" i="2"/>
  <c r="A920" i="2"/>
  <c r="D919" i="2"/>
  <c r="B919" i="2"/>
  <c r="A919" i="2"/>
  <c r="D918" i="2"/>
  <c r="B918" i="2"/>
  <c r="A918" i="2"/>
  <c r="D917" i="2"/>
  <c r="B917" i="2"/>
  <c r="A917" i="2"/>
  <c r="D916" i="2"/>
  <c r="B916" i="2"/>
  <c r="A916" i="2"/>
  <c r="D915" i="2"/>
  <c r="B915" i="2"/>
  <c r="A915" i="2"/>
  <c r="D914" i="2"/>
  <c r="B914" i="2"/>
  <c r="A914" i="2"/>
  <c r="D903" i="2"/>
  <c r="B903" i="2"/>
  <c r="A903" i="2"/>
  <c r="D902" i="2"/>
  <c r="B902" i="2"/>
  <c r="A902" i="2"/>
  <c r="D901" i="2"/>
  <c r="B901" i="2"/>
  <c r="A901" i="2"/>
  <c r="D900" i="2"/>
  <c r="B900" i="2"/>
  <c r="A900" i="2"/>
  <c r="D899" i="2"/>
  <c r="B899" i="2"/>
  <c r="A899" i="2"/>
  <c r="D898" i="2"/>
  <c r="B898" i="2"/>
  <c r="A898" i="2"/>
  <c r="D897" i="2"/>
  <c r="B897" i="2"/>
  <c r="A897" i="2"/>
  <c r="D896" i="2"/>
  <c r="B896" i="2"/>
  <c r="A896" i="2"/>
  <c r="D895" i="2"/>
  <c r="B895" i="2"/>
  <c r="A895" i="2"/>
  <c r="D894" i="2"/>
  <c r="B894" i="2"/>
  <c r="A894" i="2"/>
  <c r="D893" i="2"/>
  <c r="B893" i="2"/>
  <c r="A893" i="2"/>
  <c r="D892" i="2"/>
  <c r="B892" i="2"/>
  <c r="A892" i="2"/>
  <c r="D891" i="2"/>
  <c r="B891" i="2"/>
  <c r="A891" i="2"/>
  <c r="D890" i="2"/>
  <c r="B890" i="2"/>
  <c r="A890" i="2"/>
  <c r="D889" i="2"/>
  <c r="B889" i="2"/>
  <c r="A889" i="2"/>
  <c r="D888" i="2"/>
  <c r="B888" i="2"/>
  <c r="A888" i="2"/>
  <c r="D887" i="2"/>
  <c r="B887" i="2"/>
  <c r="A887" i="2"/>
  <c r="D886" i="2"/>
  <c r="B886" i="2"/>
  <c r="A886" i="2"/>
  <c r="D885" i="2"/>
  <c r="B885" i="2"/>
  <c r="A885" i="2"/>
  <c r="D884" i="2"/>
  <c r="B884" i="2"/>
  <c r="A884" i="2"/>
  <c r="D883" i="2"/>
  <c r="B883" i="2"/>
  <c r="A883" i="2"/>
  <c r="D882" i="2"/>
  <c r="B882" i="2"/>
  <c r="A882" i="2"/>
  <c r="D881" i="2"/>
  <c r="B881" i="2"/>
  <c r="A881" i="2"/>
  <c r="D880" i="2"/>
  <c r="B880" i="2"/>
  <c r="A880" i="2"/>
  <c r="D868" i="2"/>
  <c r="B868" i="2"/>
  <c r="A868" i="2"/>
  <c r="D867" i="2"/>
  <c r="B867" i="2"/>
  <c r="A867" i="2"/>
  <c r="D866" i="2"/>
  <c r="B866" i="2"/>
  <c r="A866" i="2"/>
  <c r="D865" i="2"/>
  <c r="B865" i="2"/>
  <c r="A865" i="2"/>
  <c r="D864" i="2"/>
  <c r="B864" i="2"/>
  <c r="A864" i="2"/>
  <c r="D863" i="2"/>
  <c r="B863" i="2"/>
  <c r="A863" i="2"/>
  <c r="D862" i="2"/>
  <c r="B862" i="2"/>
  <c r="A862" i="2"/>
  <c r="D861" i="2"/>
  <c r="B861" i="2"/>
  <c r="A861" i="2"/>
  <c r="D860" i="2"/>
  <c r="B860" i="2"/>
  <c r="A860" i="2"/>
  <c r="D859" i="2"/>
  <c r="B859" i="2"/>
  <c r="A859" i="2"/>
  <c r="D858" i="2"/>
  <c r="B858" i="2"/>
  <c r="A858" i="2"/>
  <c r="D857" i="2"/>
  <c r="B857" i="2"/>
  <c r="A857" i="2"/>
  <c r="D845" i="2"/>
  <c r="B845" i="2"/>
  <c r="A845" i="2"/>
  <c r="D844" i="2"/>
  <c r="B844" i="2"/>
  <c r="A844" i="2"/>
  <c r="D843" i="2"/>
  <c r="B843" i="2"/>
  <c r="A843" i="2"/>
  <c r="D842" i="2"/>
  <c r="B842" i="2"/>
  <c r="A842" i="2"/>
  <c r="D841" i="2"/>
  <c r="B841" i="2"/>
  <c r="A841" i="2"/>
  <c r="D840" i="2"/>
  <c r="B840" i="2"/>
  <c r="A840" i="2"/>
  <c r="D828" i="2"/>
  <c r="B828" i="2"/>
  <c r="A828" i="2"/>
  <c r="D827" i="2"/>
  <c r="B827" i="2"/>
  <c r="A827" i="2"/>
  <c r="D826" i="2"/>
  <c r="B826" i="2"/>
  <c r="A826" i="2"/>
  <c r="D825" i="2"/>
  <c r="B825" i="2"/>
  <c r="A825" i="2"/>
  <c r="D824" i="2"/>
  <c r="B824" i="2"/>
  <c r="A824" i="2"/>
  <c r="D823" i="2"/>
  <c r="B823" i="2"/>
  <c r="A823" i="2"/>
  <c r="D811" i="2"/>
  <c r="B811" i="2"/>
  <c r="A811" i="2"/>
  <c r="D810" i="2"/>
  <c r="B810" i="2"/>
  <c r="A810" i="2"/>
  <c r="D809" i="2"/>
  <c r="B809" i="2"/>
  <c r="A809" i="2"/>
  <c r="D808" i="2"/>
  <c r="B808" i="2"/>
  <c r="A808" i="2"/>
  <c r="D807" i="2"/>
  <c r="B807" i="2"/>
  <c r="A807" i="2"/>
  <c r="D806" i="2"/>
  <c r="B806" i="2"/>
  <c r="A806" i="2"/>
  <c r="D805" i="2"/>
  <c r="B805" i="2"/>
  <c r="A805" i="2"/>
  <c r="D804" i="2"/>
  <c r="B804" i="2"/>
  <c r="A804" i="2"/>
  <c r="D803" i="2"/>
  <c r="B803" i="2"/>
  <c r="A803" i="2"/>
  <c r="D802" i="2"/>
  <c r="B802" i="2"/>
  <c r="A802" i="2"/>
  <c r="D801" i="2"/>
  <c r="B801" i="2"/>
  <c r="A801" i="2"/>
  <c r="D800" i="2"/>
  <c r="B800" i="2"/>
  <c r="A800" i="2"/>
  <c r="D788" i="2"/>
  <c r="B788" i="2"/>
  <c r="A788" i="2"/>
  <c r="D787" i="2"/>
  <c r="B787" i="2"/>
  <c r="A787" i="2"/>
  <c r="D786" i="2"/>
  <c r="B786" i="2"/>
  <c r="A786" i="2"/>
  <c r="D785" i="2"/>
  <c r="B785" i="2"/>
  <c r="A785" i="2"/>
  <c r="D784" i="2"/>
  <c r="B784" i="2"/>
  <c r="A784" i="2"/>
  <c r="D783" i="2"/>
  <c r="B783" i="2"/>
  <c r="A783" i="2"/>
  <c r="D782" i="2"/>
  <c r="B782" i="2"/>
  <c r="A782" i="2"/>
  <c r="D781" i="2"/>
  <c r="B781" i="2"/>
  <c r="A781" i="2"/>
  <c r="D780" i="2"/>
  <c r="B780" i="2"/>
  <c r="A780" i="2"/>
  <c r="D779" i="2"/>
  <c r="B779" i="2"/>
  <c r="A779" i="2"/>
  <c r="D778" i="2"/>
  <c r="B778" i="2"/>
  <c r="A778" i="2"/>
  <c r="D777" i="2"/>
  <c r="B777" i="2"/>
  <c r="A777" i="2"/>
  <c r="D776" i="2"/>
  <c r="B776" i="2"/>
  <c r="A776" i="2"/>
  <c r="D775" i="2"/>
  <c r="B775" i="2"/>
  <c r="A775" i="2"/>
  <c r="D774" i="2"/>
  <c r="B774" i="2"/>
  <c r="A774" i="2"/>
  <c r="D773" i="2"/>
  <c r="B773" i="2"/>
  <c r="A773" i="2"/>
  <c r="D772" i="2"/>
  <c r="B772" i="2"/>
  <c r="A772" i="2"/>
  <c r="D771" i="2"/>
  <c r="B771" i="2"/>
  <c r="A771" i="2"/>
  <c r="D770" i="2"/>
  <c r="B770" i="2"/>
  <c r="A770" i="2"/>
  <c r="D769" i="2"/>
  <c r="B769" i="2"/>
  <c r="A769" i="2"/>
  <c r="D768" i="2"/>
  <c r="B768" i="2"/>
  <c r="A768" i="2"/>
  <c r="D767" i="2"/>
  <c r="B767" i="2"/>
  <c r="A767" i="2"/>
  <c r="D766" i="2"/>
  <c r="B766" i="2"/>
  <c r="A766" i="2"/>
  <c r="D765" i="2"/>
  <c r="B765" i="2"/>
  <c r="A765" i="2"/>
  <c r="D753" i="2"/>
  <c r="B753" i="2"/>
  <c r="A753" i="2"/>
  <c r="D752" i="2"/>
  <c r="B752" i="2"/>
  <c r="A752" i="2"/>
  <c r="D751" i="2"/>
  <c r="B751" i="2"/>
  <c r="A751" i="2"/>
  <c r="D750" i="2"/>
  <c r="B750" i="2"/>
  <c r="A750" i="2"/>
  <c r="D749" i="2"/>
  <c r="B749" i="2"/>
  <c r="A749" i="2"/>
  <c r="D748" i="2"/>
  <c r="B748" i="2"/>
  <c r="A748" i="2"/>
  <c r="D747" i="2"/>
  <c r="B747" i="2"/>
  <c r="A747" i="2"/>
  <c r="D746" i="2"/>
  <c r="B746" i="2"/>
  <c r="A746" i="2"/>
  <c r="D745" i="2"/>
  <c r="B745" i="2"/>
  <c r="A745" i="2"/>
  <c r="D744" i="2"/>
  <c r="B744" i="2"/>
  <c r="A744" i="2"/>
  <c r="D743" i="2"/>
  <c r="B743" i="2"/>
  <c r="A743" i="2"/>
  <c r="D742" i="2"/>
  <c r="B742" i="2"/>
  <c r="A742" i="2"/>
  <c r="D732" i="2"/>
  <c r="B732" i="2"/>
  <c r="A732" i="2"/>
  <c r="D731" i="2"/>
  <c r="B731" i="2"/>
  <c r="A731" i="2"/>
  <c r="D730" i="2"/>
  <c r="B730" i="2"/>
  <c r="A730" i="2"/>
  <c r="D729" i="2"/>
  <c r="B729" i="2"/>
  <c r="A729" i="2"/>
  <c r="D728" i="2"/>
  <c r="B728" i="2"/>
  <c r="A728" i="2"/>
  <c r="D727" i="2"/>
  <c r="B727" i="2"/>
  <c r="A727" i="2"/>
  <c r="D726" i="2"/>
  <c r="B726" i="2"/>
  <c r="A726" i="2"/>
  <c r="D725" i="2"/>
  <c r="B725" i="2"/>
  <c r="A725" i="2"/>
  <c r="D724" i="2"/>
  <c r="B724" i="2"/>
  <c r="A724" i="2"/>
  <c r="D723" i="2"/>
  <c r="B723" i="2"/>
  <c r="A723" i="2"/>
  <c r="D722" i="2"/>
  <c r="B722" i="2"/>
  <c r="A722" i="2"/>
  <c r="D721" i="2"/>
  <c r="B721" i="2"/>
  <c r="A721" i="2"/>
  <c r="D720" i="2"/>
  <c r="B720" i="2"/>
  <c r="A720" i="2"/>
  <c r="D719" i="2"/>
  <c r="B719" i="2"/>
  <c r="A719" i="2"/>
  <c r="D718" i="2"/>
  <c r="B718" i="2"/>
  <c r="A718" i="2"/>
  <c r="D717" i="2"/>
  <c r="B717" i="2"/>
  <c r="A717" i="2"/>
  <c r="D716" i="2"/>
  <c r="B716" i="2"/>
  <c r="A716" i="2"/>
  <c r="D715" i="2"/>
  <c r="B715" i="2"/>
  <c r="A715" i="2"/>
  <c r="D714" i="2"/>
  <c r="B714" i="2"/>
  <c r="A714" i="2"/>
  <c r="D713" i="2"/>
  <c r="B713" i="2"/>
  <c r="A713" i="2"/>
  <c r="D712" i="2"/>
  <c r="B712" i="2"/>
  <c r="A712" i="2"/>
  <c r="D711" i="2"/>
  <c r="B711" i="2"/>
  <c r="A711" i="2"/>
  <c r="D710" i="2"/>
  <c r="B710" i="2"/>
  <c r="A710" i="2"/>
  <c r="D709" i="2"/>
  <c r="B709" i="2"/>
  <c r="A709" i="2"/>
  <c r="D708" i="2"/>
  <c r="B708" i="2"/>
  <c r="A708" i="2"/>
  <c r="D707" i="2"/>
  <c r="B707" i="2"/>
  <c r="A707" i="2"/>
  <c r="D706" i="2"/>
  <c r="B706" i="2"/>
  <c r="A706" i="2"/>
  <c r="D705" i="2"/>
  <c r="B705" i="2"/>
  <c r="A705" i="2"/>
  <c r="D704" i="2"/>
  <c r="B704" i="2"/>
  <c r="A704" i="2"/>
  <c r="D703" i="2"/>
  <c r="B703" i="2"/>
  <c r="A703" i="2"/>
  <c r="D702" i="2"/>
  <c r="B702" i="2"/>
  <c r="A702" i="2"/>
  <c r="D701" i="2"/>
  <c r="B701" i="2"/>
  <c r="A701" i="2"/>
  <c r="D700" i="2"/>
  <c r="B700" i="2"/>
  <c r="A700" i="2"/>
  <c r="D699" i="2"/>
  <c r="B699" i="2"/>
  <c r="A699" i="2"/>
  <c r="D698" i="2"/>
  <c r="B698" i="2"/>
  <c r="A698" i="2"/>
  <c r="D697" i="2"/>
  <c r="B697" i="2"/>
  <c r="A697" i="2"/>
  <c r="D686" i="2"/>
  <c r="B686" i="2"/>
  <c r="A686" i="2"/>
  <c r="D685" i="2"/>
  <c r="B685" i="2"/>
  <c r="A685" i="2"/>
  <c r="D684" i="2"/>
  <c r="B684" i="2"/>
  <c r="A684" i="2"/>
  <c r="D683" i="2"/>
  <c r="B683" i="2"/>
  <c r="A683" i="2"/>
  <c r="D682" i="2"/>
  <c r="B682" i="2"/>
  <c r="A682" i="2"/>
  <c r="D681" i="2"/>
  <c r="B681" i="2"/>
  <c r="A681" i="2"/>
  <c r="D680" i="2"/>
  <c r="B680" i="2"/>
  <c r="A680" i="2"/>
  <c r="D679" i="2"/>
  <c r="B679" i="2"/>
  <c r="A679" i="2"/>
  <c r="D678" i="2"/>
  <c r="B678" i="2"/>
  <c r="A678" i="2"/>
  <c r="D677" i="2"/>
  <c r="B677" i="2"/>
  <c r="A677" i="2"/>
  <c r="D676" i="2"/>
  <c r="B676" i="2"/>
  <c r="A676" i="2"/>
  <c r="D675" i="2"/>
  <c r="B675" i="2"/>
  <c r="A675" i="2"/>
  <c r="D674" i="2"/>
  <c r="B674" i="2"/>
  <c r="A674" i="2"/>
  <c r="D673" i="2"/>
  <c r="B673" i="2"/>
  <c r="A673" i="2"/>
  <c r="D672" i="2"/>
  <c r="B672" i="2"/>
  <c r="A672" i="2"/>
  <c r="D671" i="2"/>
  <c r="B671" i="2"/>
  <c r="A671" i="2"/>
  <c r="D670" i="2"/>
  <c r="B670" i="2"/>
  <c r="A670" i="2"/>
  <c r="D669" i="2"/>
  <c r="B669" i="2"/>
  <c r="A669" i="2"/>
  <c r="D668" i="2"/>
  <c r="B668" i="2"/>
  <c r="A668" i="2"/>
  <c r="D667" i="2"/>
  <c r="B667" i="2"/>
  <c r="A667" i="2"/>
  <c r="D666" i="2"/>
  <c r="B666" i="2"/>
  <c r="A666" i="2"/>
  <c r="D665" i="2"/>
  <c r="B665" i="2"/>
  <c r="A665" i="2"/>
  <c r="D664" i="2"/>
  <c r="B664" i="2"/>
  <c r="A664" i="2"/>
  <c r="D663" i="2"/>
  <c r="B663" i="2"/>
  <c r="A663" i="2"/>
  <c r="D662" i="2"/>
  <c r="B662" i="2"/>
  <c r="A662" i="2"/>
  <c r="D661" i="2"/>
  <c r="B661" i="2"/>
  <c r="A661" i="2"/>
  <c r="D660" i="2"/>
  <c r="B660" i="2"/>
  <c r="A660" i="2"/>
  <c r="D659" i="2"/>
  <c r="B659" i="2"/>
  <c r="A659" i="2"/>
  <c r="D658" i="2"/>
  <c r="B658" i="2"/>
  <c r="A658" i="2"/>
  <c r="D657" i="2"/>
  <c r="B657" i="2"/>
  <c r="A657" i="2"/>
  <c r="D656" i="2"/>
  <c r="B656" i="2"/>
  <c r="A656" i="2"/>
  <c r="D655" i="2"/>
  <c r="B655" i="2"/>
  <c r="A655" i="2"/>
  <c r="D654" i="2"/>
  <c r="B654" i="2"/>
  <c r="A654" i="2"/>
  <c r="D653" i="2"/>
  <c r="B653" i="2"/>
  <c r="A653" i="2"/>
  <c r="D652" i="2"/>
  <c r="B652" i="2"/>
  <c r="A652" i="2"/>
  <c r="D651" i="2"/>
  <c r="B651" i="2"/>
  <c r="A651" i="2"/>
  <c r="D650" i="2"/>
  <c r="B650" i="2"/>
  <c r="A650" i="2"/>
  <c r="D649" i="2"/>
  <c r="B649" i="2"/>
  <c r="A649" i="2"/>
  <c r="D648" i="2"/>
  <c r="B648" i="2"/>
  <c r="A648" i="2"/>
  <c r="D647" i="2"/>
  <c r="B647" i="2"/>
  <c r="A647" i="2"/>
  <c r="D646" i="2"/>
  <c r="B646" i="2"/>
  <c r="A646" i="2"/>
  <c r="D645" i="2"/>
  <c r="B645" i="2"/>
  <c r="A645" i="2"/>
  <c r="D644" i="2"/>
  <c r="B644" i="2"/>
  <c r="A644" i="2"/>
  <c r="D643" i="2"/>
  <c r="B643" i="2"/>
  <c r="A643" i="2"/>
  <c r="D642" i="2"/>
  <c r="B642" i="2"/>
  <c r="A642" i="2"/>
  <c r="D641" i="2"/>
  <c r="B641" i="2"/>
  <c r="A641" i="2"/>
  <c r="D640" i="2"/>
  <c r="B640" i="2"/>
  <c r="A640" i="2"/>
  <c r="D639" i="2"/>
  <c r="B639" i="2"/>
  <c r="A639" i="2"/>
  <c r="D629" i="2"/>
  <c r="B629" i="2"/>
  <c r="A629" i="2"/>
  <c r="D628" i="2"/>
  <c r="B628" i="2"/>
  <c r="A628" i="2"/>
  <c r="D627" i="2"/>
  <c r="B627" i="2"/>
  <c r="A627" i="2"/>
  <c r="D626" i="2"/>
  <c r="B626" i="2"/>
  <c r="A626" i="2"/>
  <c r="D625" i="2"/>
  <c r="B625" i="2"/>
  <c r="A625" i="2"/>
  <c r="D624" i="2"/>
  <c r="B624" i="2"/>
  <c r="A624" i="2"/>
  <c r="D623" i="2"/>
  <c r="B623" i="2"/>
  <c r="A623" i="2"/>
  <c r="D622" i="2"/>
  <c r="B622" i="2"/>
  <c r="A622" i="2"/>
  <c r="D621" i="2"/>
  <c r="B621" i="2"/>
  <c r="A621" i="2"/>
  <c r="D620" i="2"/>
  <c r="B620" i="2"/>
  <c r="A620" i="2"/>
  <c r="D619" i="2"/>
  <c r="B619" i="2"/>
  <c r="A619" i="2"/>
  <c r="D618" i="2"/>
  <c r="B618" i="2"/>
  <c r="A618" i="2"/>
  <c r="D617" i="2"/>
  <c r="B617" i="2"/>
  <c r="A617" i="2"/>
  <c r="D616" i="2"/>
  <c r="B616" i="2"/>
  <c r="A616" i="2"/>
  <c r="D615" i="2"/>
  <c r="B615" i="2"/>
  <c r="A615" i="2"/>
  <c r="D614" i="2"/>
  <c r="B614" i="2"/>
  <c r="A614" i="2"/>
  <c r="D613" i="2"/>
  <c r="B613" i="2"/>
  <c r="A613" i="2"/>
  <c r="D612" i="2"/>
  <c r="B612" i="2"/>
  <c r="A612" i="2"/>
  <c r="D611" i="2"/>
  <c r="B611" i="2"/>
  <c r="A611" i="2"/>
  <c r="D610" i="2"/>
  <c r="B610" i="2"/>
  <c r="A610" i="2"/>
  <c r="D609" i="2"/>
  <c r="B609" i="2"/>
  <c r="A609" i="2"/>
  <c r="D608" i="2"/>
  <c r="B608" i="2"/>
  <c r="A608" i="2"/>
  <c r="D607" i="2"/>
  <c r="B607" i="2"/>
  <c r="A607" i="2"/>
  <c r="D606" i="2"/>
  <c r="B606" i="2"/>
  <c r="A606" i="2"/>
  <c r="D598" i="2"/>
  <c r="B598" i="2"/>
  <c r="A598" i="2"/>
  <c r="D597" i="2"/>
  <c r="B597" i="2"/>
  <c r="A597" i="2"/>
  <c r="D596" i="2"/>
  <c r="B596" i="2"/>
  <c r="A596" i="2"/>
  <c r="D595" i="2"/>
  <c r="B595" i="2"/>
  <c r="A595" i="2"/>
  <c r="D594" i="2"/>
  <c r="B594" i="2"/>
  <c r="A594" i="2"/>
  <c r="D593" i="2"/>
  <c r="B593" i="2"/>
  <c r="A593" i="2"/>
  <c r="D592" i="2"/>
  <c r="B592" i="2"/>
  <c r="A592" i="2"/>
  <c r="D591" i="2"/>
  <c r="B591" i="2"/>
  <c r="A591" i="2"/>
  <c r="D590" i="2"/>
  <c r="B590" i="2"/>
  <c r="A590" i="2"/>
  <c r="D589" i="2"/>
  <c r="B589" i="2"/>
  <c r="A589" i="2"/>
  <c r="D588" i="2"/>
  <c r="B588" i="2"/>
  <c r="A588" i="2"/>
  <c r="D587" i="2"/>
  <c r="B587" i="2"/>
  <c r="A587" i="2"/>
  <c r="D586" i="2"/>
  <c r="B586" i="2"/>
  <c r="A586" i="2"/>
  <c r="D585" i="2"/>
  <c r="B585" i="2"/>
  <c r="A585" i="2"/>
  <c r="D584" i="2"/>
  <c r="B584" i="2"/>
  <c r="A584" i="2"/>
  <c r="D583" i="2"/>
  <c r="B583" i="2"/>
  <c r="A583" i="2"/>
  <c r="D582" i="2"/>
  <c r="B582" i="2"/>
  <c r="A582" i="2"/>
  <c r="D581" i="2"/>
  <c r="B581" i="2"/>
  <c r="A581" i="2"/>
  <c r="D580" i="2"/>
  <c r="B580" i="2"/>
  <c r="A580" i="2"/>
  <c r="D579" i="2"/>
  <c r="B579" i="2"/>
  <c r="A579" i="2"/>
  <c r="D578" i="2"/>
  <c r="B578" i="2"/>
  <c r="A578" i="2"/>
  <c r="D577" i="2"/>
  <c r="B577" i="2"/>
  <c r="A577" i="2"/>
  <c r="D576" i="2"/>
  <c r="B576" i="2"/>
  <c r="A576" i="2"/>
  <c r="D575" i="2"/>
  <c r="B575" i="2"/>
  <c r="A575" i="2"/>
  <c r="D565" i="2"/>
  <c r="B565" i="2"/>
  <c r="A565" i="2"/>
  <c r="D564" i="2"/>
  <c r="B564" i="2"/>
  <c r="A564" i="2"/>
  <c r="D563" i="2"/>
  <c r="B563" i="2"/>
  <c r="A563" i="2"/>
  <c r="D562" i="2"/>
  <c r="B562" i="2"/>
  <c r="A562" i="2"/>
  <c r="D561" i="2"/>
  <c r="B561" i="2"/>
  <c r="A561" i="2"/>
  <c r="D560" i="2"/>
  <c r="B560" i="2"/>
  <c r="A560" i="2"/>
  <c r="D559" i="2"/>
  <c r="B559" i="2"/>
  <c r="A559" i="2"/>
  <c r="D558" i="2"/>
  <c r="B558" i="2"/>
  <c r="A558" i="2"/>
  <c r="D557" i="2"/>
  <c r="B557" i="2"/>
  <c r="A557" i="2"/>
  <c r="D556" i="2"/>
  <c r="B556" i="2"/>
  <c r="A556" i="2"/>
  <c r="D555" i="2"/>
  <c r="B555" i="2"/>
  <c r="A555" i="2"/>
  <c r="D554" i="2"/>
  <c r="B554" i="2"/>
  <c r="A554" i="2"/>
  <c r="D542" i="2"/>
  <c r="B542" i="2"/>
  <c r="A542" i="2"/>
  <c r="D541" i="2"/>
  <c r="B541" i="2"/>
  <c r="A541" i="2"/>
  <c r="D540" i="2"/>
  <c r="B540" i="2"/>
  <c r="A540" i="2"/>
  <c r="D539" i="2"/>
  <c r="B539" i="2"/>
  <c r="A539" i="2"/>
  <c r="D538" i="2"/>
  <c r="B538" i="2"/>
  <c r="A538" i="2"/>
  <c r="D537" i="2"/>
  <c r="B537" i="2"/>
  <c r="A537" i="2"/>
  <c r="D536" i="2"/>
  <c r="B536" i="2"/>
  <c r="A536" i="2"/>
  <c r="D535" i="2"/>
  <c r="B535" i="2"/>
  <c r="A535" i="2"/>
  <c r="D534" i="2"/>
  <c r="B534" i="2"/>
  <c r="A534" i="2"/>
  <c r="D533" i="2"/>
  <c r="B533" i="2"/>
  <c r="A533" i="2"/>
  <c r="D532" i="2"/>
  <c r="B532" i="2"/>
  <c r="A532" i="2"/>
  <c r="D531" i="2"/>
  <c r="B531" i="2"/>
  <c r="A531" i="2"/>
  <c r="D530" i="2"/>
  <c r="B530" i="2"/>
  <c r="A530" i="2"/>
  <c r="D529" i="2"/>
  <c r="B529" i="2"/>
  <c r="A529" i="2"/>
  <c r="D528" i="2"/>
  <c r="B528" i="2"/>
  <c r="A528" i="2"/>
  <c r="D527" i="2"/>
  <c r="B527" i="2"/>
  <c r="A527" i="2"/>
  <c r="D526" i="2"/>
  <c r="B526" i="2"/>
  <c r="A526" i="2"/>
  <c r="D525" i="2"/>
  <c r="B525" i="2"/>
  <c r="A525" i="2"/>
  <c r="D513" i="2"/>
  <c r="B513" i="2"/>
  <c r="A513" i="2"/>
  <c r="D512" i="2"/>
  <c r="B512" i="2"/>
  <c r="A512" i="2"/>
  <c r="D511" i="2"/>
  <c r="B511" i="2"/>
  <c r="A511" i="2"/>
  <c r="D510" i="2"/>
  <c r="B510" i="2"/>
  <c r="A510" i="2"/>
  <c r="D509" i="2"/>
  <c r="B509" i="2"/>
  <c r="A509" i="2"/>
  <c r="D508" i="2"/>
  <c r="B508" i="2"/>
  <c r="A508" i="2"/>
  <c r="D497" i="2"/>
  <c r="B497" i="2"/>
  <c r="A497" i="2"/>
  <c r="D496" i="2"/>
  <c r="B496" i="2"/>
  <c r="A496" i="2"/>
  <c r="D495" i="2"/>
  <c r="B495" i="2"/>
  <c r="A495" i="2"/>
  <c r="D494" i="2"/>
  <c r="B494" i="2"/>
  <c r="A494" i="2"/>
  <c r="D493" i="2"/>
  <c r="B493" i="2"/>
  <c r="A493" i="2"/>
  <c r="D492" i="2"/>
  <c r="B492" i="2"/>
  <c r="A492" i="2"/>
  <c r="D491" i="2"/>
  <c r="B491" i="2"/>
  <c r="A491" i="2"/>
  <c r="D490" i="2"/>
  <c r="B490" i="2"/>
  <c r="A490" i="2"/>
  <c r="D489" i="2"/>
  <c r="B489" i="2"/>
  <c r="A489" i="2"/>
  <c r="D488" i="2"/>
  <c r="B488" i="2"/>
  <c r="A488" i="2"/>
  <c r="D487" i="2"/>
  <c r="B487" i="2"/>
  <c r="A487" i="2"/>
  <c r="D486" i="2"/>
  <c r="B486" i="2"/>
  <c r="A486" i="2"/>
  <c r="D485" i="2"/>
  <c r="B485" i="2"/>
  <c r="A485" i="2"/>
  <c r="D484" i="2"/>
  <c r="B484" i="2"/>
  <c r="A484" i="2"/>
  <c r="D483" i="2"/>
  <c r="B483" i="2"/>
  <c r="A483" i="2"/>
  <c r="D482" i="2"/>
  <c r="B482" i="2"/>
  <c r="A482" i="2"/>
  <c r="D481" i="2"/>
  <c r="B481" i="2"/>
  <c r="A481" i="2"/>
  <c r="D480" i="2"/>
  <c r="B480" i="2"/>
  <c r="A480" i="2"/>
  <c r="D479" i="2"/>
  <c r="B479" i="2"/>
  <c r="A479" i="2"/>
  <c r="D478" i="2"/>
  <c r="B478" i="2"/>
  <c r="A478" i="2"/>
  <c r="D477" i="2"/>
  <c r="B477" i="2"/>
  <c r="A477" i="2"/>
  <c r="D476" i="2"/>
  <c r="B476" i="2"/>
  <c r="A476" i="2"/>
  <c r="D475" i="2"/>
  <c r="B475" i="2"/>
  <c r="A475" i="2"/>
  <c r="D474" i="2"/>
  <c r="B474" i="2"/>
  <c r="A474" i="2"/>
  <c r="D463" i="2"/>
  <c r="B463" i="2"/>
  <c r="A463" i="2"/>
  <c r="D462" i="2"/>
  <c r="B462" i="2"/>
  <c r="A462" i="2"/>
  <c r="D461" i="2"/>
  <c r="B461" i="2"/>
  <c r="A461" i="2"/>
  <c r="D460" i="2"/>
  <c r="B460" i="2"/>
  <c r="A460" i="2"/>
  <c r="D459" i="2"/>
  <c r="B459" i="2"/>
  <c r="A459" i="2"/>
  <c r="D458" i="2"/>
  <c r="B458" i="2"/>
  <c r="A458" i="2"/>
  <c r="D457" i="2"/>
  <c r="B457" i="2"/>
  <c r="A457" i="2"/>
  <c r="D456" i="2"/>
  <c r="B456" i="2"/>
  <c r="A456" i="2"/>
  <c r="D455" i="2"/>
  <c r="B455" i="2"/>
  <c r="A455" i="2"/>
  <c r="D454" i="2"/>
  <c r="B454" i="2"/>
  <c r="A454" i="2"/>
  <c r="D453" i="2"/>
  <c r="B453" i="2"/>
  <c r="A453" i="2"/>
  <c r="D452" i="2"/>
  <c r="B452" i="2"/>
  <c r="A452" i="2"/>
  <c r="D451" i="2"/>
  <c r="B451" i="2"/>
  <c r="A451" i="2"/>
  <c r="D450" i="2"/>
  <c r="B450" i="2"/>
  <c r="A450" i="2"/>
  <c r="D449" i="2"/>
  <c r="B449" i="2"/>
  <c r="A449" i="2"/>
  <c r="D448" i="2"/>
  <c r="B448" i="2"/>
  <c r="A448" i="2"/>
  <c r="D447" i="2"/>
  <c r="B447" i="2"/>
  <c r="A447" i="2"/>
  <c r="D446" i="2"/>
  <c r="B446" i="2"/>
  <c r="A446" i="2"/>
  <c r="D445" i="2"/>
  <c r="B445" i="2"/>
  <c r="A445" i="2"/>
  <c r="D444" i="2"/>
  <c r="B444" i="2"/>
  <c r="A444" i="2"/>
  <c r="D443" i="2"/>
  <c r="B443" i="2"/>
  <c r="A443" i="2"/>
  <c r="D442" i="2"/>
  <c r="B442" i="2"/>
  <c r="A442" i="2"/>
  <c r="D441" i="2"/>
  <c r="B441" i="2"/>
  <c r="A441" i="2"/>
  <c r="D440" i="2"/>
  <c r="B440" i="2"/>
  <c r="A440" i="2"/>
  <c r="D439" i="2"/>
  <c r="B439" i="2"/>
  <c r="A439" i="2"/>
  <c r="D438" i="2"/>
  <c r="B438" i="2"/>
  <c r="A438" i="2"/>
  <c r="D437" i="2"/>
  <c r="B437" i="2"/>
  <c r="A437" i="2"/>
  <c r="D436" i="2"/>
  <c r="B436" i="2"/>
  <c r="A436" i="2"/>
  <c r="D435" i="2"/>
  <c r="B435" i="2"/>
  <c r="A435" i="2"/>
  <c r="D434" i="2"/>
  <c r="B434" i="2"/>
  <c r="A434" i="2"/>
  <c r="D433" i="2"/>
  <c r="B433" i="2"/>
  <c r="A433" i="2"/>
  <c r="D432" i="2"/>
  <c r="B432" i="2"/>
  <c r="A432" i="2"/>
  <c r="D431" i="2"/>
  <c r="B431" i="2"/>
  <c r="A431" i="2"/>
  <c r="D430" i="2"/>
  <c r="B430" i="2"/>
  <c r="A430" i="2"/>
  <c r="D429" i="2"/>
  <c r="B429" i="2"/>
  <c r="A429" i="2"/>
  <c r="D428" i="2"/>
  <c r="B428" i="2"/>
  <c r="A428" i="2"/>
  <c r="D427" i="2"/>
  <c r="B427" i="2"/>
  <c r="A427" i="2"/>
  <c r="D426" i="2"/>
  <c r="B426" i="2"/>
  <c r="A426" i="2"/>
  <c r="D425" i="2"/>
  <c r="B425" i="2"/>
  <c r="A425" i="2"/>
  <c r="D424" i="2"/>
  <c r="B424" i="2"/>
  <c r="A424" i="2"/>
  <c r="D423" i="2"/>
  <c r="B423" i="2"/>
  <c r="A423" i="2"/>
  <c r="D422" i="2"/>
  <c r="B422" i="2"/>
  <c r="A422" i="2"/>
  <c r="D421" i="2"/>
  <c r="B421" i="2"/>
  <c r="A421" i="2"/>
  <c r="D420" i="2"/>
  <c r="B420" i="2"/>
  <c r="A420" i="2"/>
  <c r="D419" i="2"/>
  <c r="B419" i="2"/>
  <c r="A419" i="2"/>
  <c r="D418" i="2"/>
  <c r="B418" i="2"/>
  <c r="A418" i="2"/>
  <c r="D417" i="2"/>
  <c r="B417" i="2"/>
  <c r="A417" i="2"/>
  <c r="D416" i="2"/>
  <c r="B416" i="2"/>
  <c r="A416" i="2"/>
  <c r="D415" i="2"/>
  <c r="B415" i="2"/>
  <c r="A415" i="2"/>
  <c r="D414" i="2"/>
  <c r="B414" i="2"/>
  <c r="A414" i="2"/>
  <c r="D413" i="2"/>
  <c r="B413" i="2"/>
  <c r="A413" i="2"/>
  <c r="D412" i="2"/>
  <c r="B412" i="2"/>
  <c r="A412" i="2"/>
  <c r="D411" i="2"/>
  <c r="B411" i="2"/>
  <c r="A411" i="2"/>
  <c r="D410" i="2"/>
  <c r="B410" i="2"/>
  <c r="A410" i="2"/>
  <c r="D409" i="2"/>
  <c r="B409" i="2"/>
  <c r="A409" i="2"/>
  <c r="D408" i="2"/>
  <c r="B408" i="2"/>
  <c r="A408" i="2"/>
  <c r="D407" i="2"/>
  <c r="B407" i="2"/>
  <c r="A407" i="2"/>
  <c r="D406" i="2"/>
  <c r="B406" i="2"/>
  <c r="A406" i="2"/>
  <c r="D405" i="2"/>
  <c r="B405" i="2"/>
  <c r="A405" i="2"/>
  <c r="D404" i="2"/>
  <c r="B404" i="2"/>
  <c r="A404" i="2"/>
  <c r="D395" i="2"/>
  <c r="B395" i="2"/>
  <c r="A395" i="2"/>
  <c r="D394" i="2"/>
  <c r="B394" i="2"/>
  <c r="A394" i="2"/>
  <c r="D393" i="2"/>
  <c r="B393" i="2"/>
  <c r="A393" i="2"/>
  <c r="D392" i="2"/>
  <c r="B392" i="2"/>
  <c r="A392" i="2"/>
  <c r="D391" i="2"/>
  <c r="B391" i="2"/>
  <c r="A391" i="2"/>
  <c r="D390" i="2"/>
  <c r="B390" i="2"/>
  <c r="A390" i="2"/>
  <c r="D389" i="2"/>
  <c r="B389" i="2"/>
  <c r="A389" i="2"/>
  <c r="D388" i="2"/>
  <c r="B388" i="2"/>
  <c r="A388" i="2"/>
  <c r="D387" i="2"/>
  <c r="B387" i="2"/>
  <c r="A387" i="2"/>
  <c r="D386" i="2"/>
  <c r="B386" i="2"/>
  <c r="A386" i="2"/>
  <c r="D385" i="2"/>
  <c r="B385" i="2"/>
  <c r="A385" i="2"/>
  <c r="D384" i="2"/>
  <c r="B384" i="2"/>
  <c r="A384" i="2"/>
  <c r="D383" i="2"/>
  <c r="B383" i="2"/>
  <c r="A383" i="2"/>
  <c r="D382" i="2"/>
  <c r="B382" i="2"/>
  <c r="A382" i="2"/>
  <c r="D381" i="2"/>
  <c r="B381" i="2"/>
  <c r="A381" i="2"/>
  <c r="D380" i="2"/>
  <c r="B380" i="2"/>
  <c r="A380" i="2"/>
  <c r="D379" i="2"/>
  <c r="B379" i="2"/>
  <c r="A379" i="2"/>
  <c r="D378" i="2"/>
  <c r="B378" i="2"/>
  <c r="A378" i="2"/>
  <c r="D377" i="2"/>
  <c r="B377" i="2"/>
  <c r="A377" i="2"/>
  <c r="D376" i="2"/>
  <c r="B376" i="2"/>
  <c r="A376" i="2"/>
  <c r="D375" i="2"/>
  <c r="B375" i="2"/>
  <c r="A375" i="2"/>
  <c r="D374" i="2"/>
  <c r="B374" i="2"/>
  <c r="A374" i="2"/>
  <c r="D373" i="2"/>
  <c r="B373" i="2"/>
  <c r="A373" i="2"/>
  <c r="D372" i="2"/>
  <c r="B372" i="2"/>
  <c r="A372" i="2"/>
  <c r="D361" i="2"/>
  <c r="B361" i="2"/>
  <c r="A361" i="2"/>
  <c r="D360" i="2"/>
  <c r="B360" i="2"/>
  <c r="A360" i="2"/>
  <c r="D359" i="2"/>
  <c r="B359" i="2"/>
  <c r="A359" i="2"/>
  <c r="D358" i="2"/>
  <c r="B358" i="2"/>
  <c r="A358" i="2"/>
  <c r="D357" i="2"/>
  <c r="B357" i="2"/>
  <c r="A357" i="2"/>
  <c r="D356" i="2"/>
  <c r="B356" i="2"/>
  <c r="A356" i="2"/>
  <c r="D355" i="2"/>
  <c r="B355" i="2"/>
  <c r="A355" i="2"/>
  <c r="D354" i="2"/>
  <c r="B354" i="2"/>
  <c r="A354" i="2"/>
  <c r="D353" i="2"/>
  <c r="B353" i="2"/>
  <c r="A353" i="2"/>
  <c r="D352" i="2"/>
  <c r="B352" i="2"/>
  <c r="A352" i="2"/>
  <c r="D351" i="2"/>
  <c r="B351" i="2"/>
  <c r="A351" i="2"/>
  <c r="D350" i="2"/>
  <c r="B350" i="2"/>
  <c r="A350" i="2"/>
  <c r="D339" i="2"/>
  <c r="B339" i="2"/>
  <c r="A339" i="2"/>
  <c r="D338" i="2"/>
  <c r="B338" i="2"/>
  <c r="A338" i="2"/>
  <c r="D337" i="2"/>
  <c r="B337" i="2"/>
  <c r="A337" i="2"/>
  <c r="D336" i="2"/>
  <c r="B336" i="2"/>
  <c r="A336" i="2"/>
  <c r="D335" i="2"/>
  <c r="B335" i="2"/>
  <c r="A335" i="2"/>
  <c r="D334" i="2"/>
  <c r="B334" i="2"/>
  <c r="A334" i="2"/>
  <c r="D333" i="2"/>
  <c r="B333" i="2"/>
  <c r="A333" i="2"/>
  <c r="D332" i="2"/>
  <c r="B332" i="2"/>
  <c r="A332" i="2"/>
  <c r="D331" i="2"/>
  <c r="B331" i="2"/>
  <c r="A331" i="2"/>
  <c r="D330" i="2"/>
  <c r="B330" i="2"/>
  <c r="A330" i="2"/>
  <c r="D329" i="2"/>
  <c r="B329" i="2"/>
  <c r="A329" i="2"/>
  <c r="D328" i="2"/>
  <c r="B328" i="2"/>
  <c r="A328" i="2"/>
  <c r="D316" i="2"/>
  <c r="B316" i="2"/>
  <c r="A316" i="2"/>
  <c r="D315" i="2"/>
  <c r="B315" i="2"/>
  <c r="A315" i="2"/>
  <c r="D314" i="2"/>
  <c r="B314" i="2"/>
  <c r="A314" i="2"/>
  <c r="D313" i="2"/>
  <c r="B313" i="2"/>
  <c r="A313" i="2"/>
  <c r="D312" i="2"/>
  <c r="B312" i="2"/>
  <c r="A312" i="2"/>
  <c r="D311" i="2"/>
  <c r="B311" i="2"/>
  <c r="A311" i="2"/>
  <c r="D310" i="2"/>
  <c r="B310" i="2"/>
  <c r="A310" i="2"/>
  <c r="D309" i="2"/>
  <c r="B309" i="2"/>
  <c r="A309" i="2"/>
  <c r="D308" i="2"/>
  <c r="B308" i="2"/>
  <c r="A308" i="2"/>
  <c r="D307" i="2"/>
  <c r="B307" i="2"/>
  <c r="A307" i="2"/>
  <c r="D306" i="2"/>
  <c r="B306" i="2"/>
  <c r="A306" i="2"/>
  <c r="D305" i="2"/>
  <c r="B305" i="2"/>
  <c r="A305" i="2"/>
  <c r="D293" i="2"/>
  <c r="B293" i="2"/>
  <c r="A293" i="2"/>
  <c r="D292" i="2"/>
  <c r="B292" i="2"/>
  <c r="A292" i="2"/>
  <c r="D291" i="2"/>
  <c r="B291" i="2"/>
  <c r="A291" i="2"/>
  <c r="D290" i="2"/>
  <c r="B290" i="2"/>
  <c r="A290" i="2"/>
  <c r="D289" i="2"/>
  <c r="B289" i="2"/>
  <c r="A289" i="2"/>
  <c r="D288" i="2"/>
  <c r="B288" i="2"/>
  <c r="A288" i="2"/>
  <c r="D287" i="2"/>
  <c r="B287" i="2"/>
  <c r="A287" i="2"/>
  <c r="D286" i="2"/>
  <c r="B286" i="2"/>
  <c r="A286" i="2"/>
  <c r="D285" i="2"/>
  <c r="B285" i="2"/>
  <c r="A285" i="2"/>
  <c r="D284" i="2"/>
  <c r="B284" i="2"/>
  <c r="A284" i="2"/>
  <c r="D283" i="2"/>
  <c r="B283" i="2"/>
  <c r="A283" i="2"/>
  <c r="D282" i="2"/>
  <c r="B282" i="2"/>
  <c r="A282" i="2"/>
  <c r="D281" i="2"/>
  <c r="B281" i="2"/>
  <c r="A281" i="2"/>
  <c r="D280" i="2"/>
  <c r="B280" i="2"/>
  <c r="A280" i="2"/>
  <c r="D279" i="2"/>
  <c r="B279" i="2"/>
  <c r="A279" i="2"/>
  <c r="D278" i="2"/>
  <c r="B278" i="2"/>
  <c r="A278" i="2"/>
  <c r="D277" i="2"/>
  <c r="B277" i="2"/>
  <c r="A277" i="2"/>
  <c r="D276" i="2"/>
  <c r="B276" i="2"/>
  <c r="A276" i="2"/>
  <c r="D275" i="2"/>
  <c r="B275" i="2"/>
  <c r="A275" i="2"/>
  <c r="D274" i="2"/>
  <c r="B274" i="2"/>
  <c r="A274" i="2"/>
  <c r="D273" i="2"/>
  <c r="B273" i="2"/>
  <c r="A273" i="2"/>
  <c r="D272" i="2"/>
  <c r="B272" i="2"/>
  <c r="A272" i="2"/>
  <c r="D271" i="2"/>
  <c r="B271" i="2"/>
  <c r="A271" i="2"/>
  <c r="D270" i="2"/>
  <c r="B270" i="2"/>
  <c r="A270" i="2"/>
  <c r="D269" i="2"/>
  <c r="B269" i="2"/>
  <c r="A269" i="2"/>
  <c r="D268" i="2"/>
  <c r="B268" i="2"/>
  <c r="A268" i="2"/>
  <c r="D267" i="2"/>
  <c r="B267" i="2"/>
  <c r="A267" i="2"/>
  <c r="D266" i="2"/>
  <c r="B266" i="2"/>
  <c r="A266" i="2"/>
  <c r="D265" i="2"/>
  <c r="B265" i="2"/>
  <c r="A265" i="2"/>
  <c r="D264" i="2"/>
  <c r="B264" i="2"/>
  <c r="A264" i="2"/>
  <c r="D263" i="2"/>
  <c r="B263" i="2"/>
  <c r="A263" i="2"/>
  <c r="D262" i="2"/>
  <c r="B262" i="2"/>
  <c r="A262" i="2"/>
  <c r="D261" i="2"/>
  <c r="B261" i="2"/>
  <c r="A261" i="2"/>
  <c r="D260" i="2"/>
  <c r="B260" i="2"/>
  <c r="A260" i="2"/>
  <c r="D259" i="2"/>
  <c r="B259" i="2"/>
  <c r="A259" i="2"/>
  <c r="D258" i="2"/>
  <c r="B258" i="2"/>
  <c r="A258" i="2"/>
  <c r="D246" i="2"/>
  <c r="B246" i="2"/>
  <c r="A246" i="2"/>
  <c r="D245" i="2"/>
  <c r="B245" i="2"/>
  <c r="A245" i="2"/>
  <c r="D244" i="2"/>
  <c r="B244" i="2"/>
  <c r="A244" i="2"/>
  <c r="D243" i="2"/>
  <c r="B243" i="2"/>
  <c r="A243" i="2"/>
  <c r="D242" i="2"/>
  <c r="B242" i="2"/>
  <c r="A242" i="2"/>
  <c r="D241" i="2"/>
  <c r="B241" i="2"/>
  <c r="A241" i="2"/>
  <c r="D240" i="2"/>
  <c r="B240" i="2"/>
  <c r="A240" i="2"/>
  <c r="D239" i="2"/>
  <c r="B239" i="2"/>
  <c r="A239" i="2"/>
  <c r="D238" i="2"/>
  <c r="B238" i="2"/>
  <c r="A238" i="2"/>
  <c r="D237" i="2"/>
  <c r="B237" i="2"/>
  <c r="A237" i="2"/>
  <c r="D236" i="2"/>
  <c r="B236" i="2"/>
  <c r="A236" i="2"/>
  <c r="D235" i="2"/>
  <c r="B235" i="2"/>
  <c r="A235" i="2"/>
  <c r="D234" i="2"/>
  <c r="B234" i="2"/>
  <c r="A234" i="2"/>
  <c r="D233" i="2"/>
  <c r="B233" i="2"/>
  <c r="A233" i="2"/>
  <c r="D232" i="2"/>
  <c r="B232" i="2"/>
  <c r="A232" i="2"/>
  <c r="D231" i="2"/>
  <c r="B231" i="2"/>
  <c r="A231" i="2"/>
  <c r="D230" i="2"/>
  <c r="B230" i="2"/>
  <c r="A230" i="2"/>
  <c r="D229" i="2"/>
  <c r="B229" i="2"/>
  <c r="A229" i="2"/>
  <c r="D228" i="2"/>
  <c r="B228" i="2"/>
  <c r="A228" i="2"/>
  <c r="D227" i="2"/>
  <c r="B227" i="2"/>
  <c r="A227" i="2"/>
  <c r="D226" i="2"/>
  <c r="B226" i="2"/>
  <c r="A226" i="2"/>
  <c r="D225" i="2"/>
  <c r="B225" i="2"/>
  <c r="A225" i="2"/>
  <c r="D224" i="2"/>
  <c r="B224" i="2"/>
  <c r="A224" i="2"/>
  <c r="D223" i="2"/>
  <c r="B223" i="2"/>
  <c r="A223" i="2"/>
  <c r="D222" i="2"/>
  <c r="B222" i="2"/>
  <c r="A222" i="2"/>
  <c r="D221" i="2"/>
  <c r="B221" i="2"/>
  <c r="A221" i="2"/>
  <c r="D220" i="2"/>
  <c r="B220" i="2"/>
  <c r="A220" i="2"/>
  <c r="D219" i="2"/>
  <c r="B219" i="2"/>
  <c r="A219" i="2"/>
  <c r="D218" i="2"/>
  <c r="B218" i="2"/>
  <c r="A218" i="2"/>
  <c r="D217" i="2"/>
  <c r="B217" i="2"/>
  <c r="A217" i="2"/>
  <c r="D216" i="2"/>
  <c r="B216" i="2"/>
  <c r="A216" i="2"/>
  <c r="D215" i="2"/>
  <c r="B215" i="2"/>
  <c r="A215" i="2"/>
  <c r="D214" i="2"/>
  <c r="B214" i="2"/>
  <c r="A214" i="2"/>
  <c r="D213" i="2"/>
  <c r="B213" i="2"/>
  <c r="A213" i="2"/>
  <c r="D212" i="2"/>
  <c r="B212" i="2"/>
  <c r="A212" i="2"/>
  <c r="D211" i="2"/>
  <c r="B211" i="2"/>
  <c r="A211" i="2"/>
  <c r="D210" i="2"/>
  <c r="B210" i="2"/>
  <c r="A210" i="2"/>
  <c r="D209" i="2"/>
  <c r="B209" i="2"/>
  <c r="A209" i="2"/>
  <c r="D208" i="2"/>
  <c r="B208" i="2"/>
  <c r="A208" i="2"/>
  <c r="D207" i="2"/>
  <c r="B207" i="2"/>
  <c r="A207" i="2"/>
  <c r="D206" i="2"/>
  <c r="B206" i="2"/>
  <c r="A206" i="2"/>
  <c r="D205" i="2"/>
  <c r="B205" i="2"/>
  <c r="A205" i="2"/>
  <c r="D204" i="2"/>
  <c r="B204" i="2"/>
  <c r="A204" i="2"/>
  <c r="D203" i="2"/>
  <c r="B203" i="2"/>
  <c r="A203" i="2"/>
  <c r="D202" i="2"/>
  <c r="B202" i="2"/>
  <c r="A202" i="2"/>
  <c r="D201" i="2"/>
  <c r="B201" i="2"/>
  <c r="A201" i="2"/>
  <c r="D200" i="2"/>
  <c r="B200" i="2"/>
  <c r="A200" i="2"/>
  <c r="D199" i="2"/>
  <c r="B199" i="2"/>
  <c r="A199" i="2"/>
  <c r="D189" i="2"/>
  <c r="B189" i="2"/>
  <c r="A189" i="2"/>
  <c r="D188" i="2"/>
  <c r="B188" i="2"/>
  <c r="A188" i="2"/>
  <c r="D187" i="2"/>
  <c r="B187" i="2"/>
  <c r="A187" i="2"/>
  <c r="D186" i="2"/>
  <c r="B186" i="2"/>
  <c r="A186" i="2"/>
  <c r="D185" i="2"/>
  <c r="B185" i="2"/>
  <c r="A185" i="2"/>
  <c r="D184" i="2"/>
  <c r="B184" i="2"/>
  <c r="A184" i="2"/>
  <c r="D183" i="2"/>
  <c r="B183" i="2"/>
  <c r="A183" i="2"/>
  <c r="D182" i="2"/>
  <c r="B182" i="2"/>
  <c r="A182" i="2"/>
  <c r="D181" i="2"/>
  <c r="B181" i="2"/>
  <c r="A181" i="2"/>
  <c r="D180" i="2"/>
  <c r="B180" i="2"/>
  <c r="A180" i="2"/>
  <c r="D179" i="2"/>
  <c r="B179" i="2"/>
  <c r="A179" i="2"/>
  <c r="D178" i="2"/>
  <c r="B178" i="2"/>
  <c r="A178" i="2"/>
  <c r="D177" i="2"/>
  <c r="B177" i="2"/>
  <c r="A177" i="2"/>
  <c r="D176" i="2"/>
  <c r="B176" i="2"/>
  <c r="A176" i="2"/>
  <c r="D175" i="2"/>
  <c r="B175" i="2"/>
  <c r="A175" i="2"/>
  <c r="D174" i="2"/>
  <c r="B174" i="2"/>
  <c r="A174" i="2"/>
  <c r="D173" i="2"/>
  <c r="B173" i="2"/>
  <c r="A173" i="2"/>
  <c r="D172" i="2"/>
  <c r="B172" i="2"/>
  <c r="A172" i="2"/>
  <c r="D171" i="2"/>
  <c r="B171" i="2"/>
  <c r="A171" i="2"/>
  <c r="D170" i="2"/>
  <c r="B170" i="2"/>
  <c r="A170" i="2"/>
  <c r="D169" i="2"/>
  <c r="B169" i="2"/>
  <c r="A169" i="2"/>
  <c r="D168" i="2"/>
  <c r="B168" i="2"/>
  <c r="A168" i="2"/>
  <c r="D167" i="2"/>
  <c r="B167" i="2"/>
  <c r="A167" i="2"/>
  <c r="D166" i="2"/>
  <c r="B166" i="2"/>
  <c r="A166" i="2"/>
  <c r="D165" i="2"/>
  <c r="B165" i="2"/>
  <c r="A165" i="2"/>
  <c r="D164" i="2"/>
  <c r="B164" i="2"/>
  <c r="A164" i="2"/>
  <c r="D163" i="2"/>
  <c r="B163" i="2"/>
  <c r="A163" i="2"/>
  <c r="D162" i="2"/>
  <c r="B162" i="2"/>
  <c r="A162" i="2"/>
  <c r="D161" i="2"/>
  <c r="B161" i="2"/>
  <c r="A161" i="2"/>
  <c r="D160" i="2"/>
  <c r="B160" i="2"/>
  <c r="A160" i="2"/>
  <c r="D159" i="2"/>
  <c r="B159" i="2"/>
  <c r="A159" i="2"/>
  <c r="D158" i="2"/>
  <c r="B158" i="2"/>
  <c r="A158" i="2"/>
  <c r="D157" i="2"/>
  <c r="B157" i="2"/>
  <c r="A157" i="2"/>
  <c r="D156" i="2"/>
  <c r="B156" i="2"/>
  <c r="A156" i="2"/>
  <c r="D155" i="2"/>
  <c r="B155" i="2"/>
  <c r="A155" i="2"/>
  <c r="D154" i="2"/>
  <c r="B154" i="2"/>
  <c r="A154" i="2"/>
  <c r="D144" i="2"/>
  <c r="B144" i="2"/>
  <c r="A144" i="2"/>
  <c r="D143" i="2"/>
  <c r="B143" i="2"/>
  <c r="A143" i="2"/>
  <c r="D142" i="2"/>
  <c r="B142" i="2"/>
  <c r="A142" i="2"/>
  <c r="D141" i="2"/>
  <c r="B141" i="2"/>
  <c r="A141" i="2"/>
  <c r="D140" i="2"/>
  <c r="B140" i="2"/>
  <c r="A140" i="2"/>
  <c r="D139" i="2"/>
  <c r="B139" i="2"/>
  <c r="A139" i="2"/>
  <c r="D138" i="2"/>
  <c r="B138" i="2"/>
  <c r="A138" i="2"/>
  <c r="D137" i="2"/>
  <c r="B137" i="2"/>
  <c r="A137" i="2"/>
  <c r="D136" i="2"/>
  <c r="B136" i="2"/>
  <c r="A136" i="2"/>
  <c r="D135" i="2"/>
  <c r="B135" i="2"/>
  <c r="A135" i="2"/>
  <c r="D134" i="2"/>
  <c r="B134" i="2"/>
  <c r="A134" i="2"/>
  <c r="D133" i="2"/>
  <c r="B133" i="2"/>
  <c r="A133" i="2"/>
  <c r="D132" i="2"/>
  <c r="B132" i="2"/>
  <c r="A132" i="2"/>
  <c r="D131" i="2"/>
  <c r="B131" i="2"/>
  <c r="A131" i="2"/>
  <c r="D130" i="2"/>
  <c r="B130" i="2"/>
  <c r="A130" i="2"/>
  <c r="D129" i="2"/>
  <c r="B129" i="2"/>
  <c r="A129" i="2"/>
  <c r="D128" i="2"/>
  <c r="B128" i="2"/>
  <c r="A128" i="2"/>
  <c r="D127" i="2"/>
  <c r="B127" i="2"/>
  <c r="A127" i="2"/>
  <c r="D126" i="2"/>
  <c r="B126" i="2"/>
  <c r="A126" i="2"/>
  <c r="D125" i="2"/>
  <c r="B125" i="2"/>
  <c r="A125" i="2"/>
  <c r="D124" i="2"/>
  <c r="B124" i="2"/>
  <c r="A124" i="2"/>
  <c r="D123" i="2"/>
  <c r="B123" i="2"/>
  <c r="A123" i="2"/>
  <c r="D122" i="2"/>
  <c r="B122" i="2"/>
  <c r="A122" i="2"/>
  <c r="D121" i="2"/>
  <c r="B121" i="2"/>
  <c r="A121" i="2"/>
  <c r="D120" i="2"/>
  <c r="B120" i="2"/>
  <c r="A120" i="2"/>
  <c r="D119" i="2"/>
  <c r="B119" i="2"/>
  <c r="A119" i="2"/>
  <c r="D118" i="2"/>
  <c r="B118" i="2"/>
  <c r="A118" i="2"/>
  <c r="D117" i="2"/>
  <c r="B117" i="2"/>
  <c r="A117" i="2"/>
  <c r="D116" i="2"/>
  <c r="B116" i="2"/>
  <c r="A116" i="2"/>
  <c r="D115" i="2"/>
  <c r="B115" i="2"/>
  <c r="A115" i="2"/>
  <c r="D114" i="2"/>
  <c r="B114" i="2"/>
  <c r="A114" i="2"/>
  <c r="D113" i="2"/>
  <c r="B113" i="2"/>
  <c r="A113" i="2"/>
  <c r="D112" i="2"/>
  <c r="B112" i="2"/>
  <c r="A112" i="2"/>
  <c r="D111" i="2"/>
  <c r="B111" i="2"/>
  <c r="A111" i="2"/>
  <c r="D110" i="2"/>
  <c r="B110" i="2"/>
  <c r="A110" i="2"/>
  <c r="D109" i="2"/>
  <c r="B109" i="2"/>
  <c r="A109" i="2"/>
  <c r="D97" i="2"/>
  <c r="B97" i="2"/>
  <c r="A97" i="2"/>
  <c r="D96" i="2"/>
  <c r="B96" i="2"/>
  <c r="A96" i="2"/>
  <c r="D95" i="2"/>
  <c r="B95" i="2"/>
  <c r="A95" i="2"/>
  <c r="D94" i="2"/>
  <c r="B94" i="2"/>
  <c r="A94" i="2"/>
  <c r="D93" i="2"/>
  <c r="B93" i="2"/>
  <c r="A93" i="2"/>
  <c r="D92" i="2"/>
  <c r="B92" i="2"/>
  <c r="A92" i="2"/>
  <c r="D91" i="2"/>
  <c r="B91" i="2"/>
  <c r="A91" i="2"/>
  <c r="D90" i="2"/>
  <c r="B90" i="2"/>
  <c r="A90" i="2"/>
  <c r="D89" i="2"/>
  <c r="B89" i="2"/>
  <c r="A89" i="2"/>
  <c r="D88" i="2"/>
  <c r="B88" i="2"/>
  <c r="A88" i="2"/>
  <c r="D87" i="2"/>
  <c r="B87" i="2"/>
  <c r="A87" i="2"/>
  <c r="D86" i="2"/>
  <c r="B86" i="2"/>
  <c r="A86" i="2"/>
  <c r="D74" i="2"/>
  <c r="B74" i="2"/>
  <c r="A74" i="2"/>
  <c r="D73" i="2"/>
  <c r="B73" i="2"/>
  <c r="A73" i="2"/>
  <c r="D72" i="2"/>
  <c r="B72" i="2"/>
  <c r="A72" i="2"/>
  <c r="D71" i="2"/>
  <c r="B71" i="2"/>
  <c r="A71" i="2"/>
  <c r="D70" i="2"/>
  <c r="B70" i="2"/>
  <c r="A70" i="2"/>
  <c r="D69" i="2"/>
  <c r="B69" i="2"/>
  <c r="A69" i="2"/>
  <c r="D68" i="2"/>
  <c r="B68" i="2"/>
  <c r="A68" i="2"/>
  <c r="D67" i="2"/>
  <c r="B67" i="2"/>
  <c r="A67" i="2"/>
  <c r="D66" i="2"/>
  <c r="B66" i="2"/>
  <c r="A66" i="2"/>
  <c r="D65" i="2"/>
  <c r="B65" i="2"/>
  <c r="A65" i="2"/>
  <c r="D64" i="2"/>
  <c r="B64" i="2"/>
  <c r="A64" i="2"/>
  <c r="D63" i="2"/>
  <c r="B63" i="2"/>
  <c r="A63" i="2"/>
  <c r="D51" i="2"/>
  <c r="B51" i="2"/>
  <c r="A51" i="2"/>
  <c r="D50" i="2"/>
  <c r="B50" i="2"/>
  <c r="A50" i="2"/>
  <c r="D49" i="2"/>
  <c r="B49" i="2"/>
  <c r="A49" i="2"/>
  <c r="D48" i="2"/>
  <c r="B48" i="2"/>
  <c r="A48" i="2"/>
  <c r="D47" i="2"/>
  <c r="B47" i="2"/>
  <c r="A47" i="2"/>
  <c r="D46" i="2"/>
  <c r="B46" i="2"/>
  <c r="A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F3483" i="1"/>
  <c r="G3483" i="1" s="1"/>
  <c r="H3483" i="1" s="1"/>
  <c r="E3483" i="1"/>
  <c r="F3477" i="1"/>
  <c r="G3477" i="1" s="1"/>
  <c r="E3477" i="1"/>
  <c r="F3471" i="1"/>
  <c r="G3471" i="1" s="1"/>
  <c r="H3471" i="1" s="1"/>
  <c r="E3471" i="1"/>
  <c r="F3465" i="1"/>
  <c r="G3465" i="1" s="1"/>
  <c r="E3465" i="1"/>
  <c r="F3459" i="1"/>
  <c r="G3459" i="1" s="1"/>
  <c r="E3459" i="1"/>
  <c r="F3453" i="1"/>
  <c r="E3453" i="1"/>
  <c r="F3447" i="1"/>
  <c r="G3447" i="1" s="1"/>
  <c r="H3447" i="1" s="1"/>
  <c r="E3447" i="1"/>
  <c r="F3441" i="1"/>
  <c r="E3441" i="1"/>
  <c r="F3435" i="1"/>
  <c r="G3435" i="1" s="1"/>
  <c r="H3435" i="1" s="1"/>
  <c r="E3435" i="1"/>
  <c r="F3429" i="1"/>
  <c r="E3429" i="1"/>
  <c r="F3423" i="1"/>
  <c r="E3423" i="1"/>
  <c r="F3417" i="1"/>
  <c r="G3417" i="1" s="1"/>
  <c r="E3417" i="1"/>
  <c r="G3411" i="1"/>
  <c r="H3411" i="1" s="1"/>
  <c r="F3411" i="1"/>
  <c r="E3411" i="1"/>
  <c r="F3405" i="1"/>
  <c r="G3405" i="1" s="1"/>
  <c r="H3405" i="1" s="1"/>
  <c r="E3405" i="1"/>
  <c r="F3399" i="1"/>
  <c r="G3399" i="1" s="1"/>
  <c r="H3399" i="1" s="1"/>
  <c r="E3399" i="1"/>
  <c r="F3393" i="1"/>
  <c r="G3393" i="1" s="1"/>
  <c r="E3393" i="1"/>
  <c r="F3387" i="1"/>
  <c r="E3387" i="1"/>
  <c r="F3381" i="1"/>
  <c r="G3381" i="1" s="1"/>
  <c r="H3381" i="1" s="1"/>
  <c r="E3381" i="1"/>
  <c r="F3375" i="1"/>
  <c r="E3375" i="1"/>
  <c r="F3369" i="1"/>
  <c r="E3369" i="1"/>
  <c r="F3363" i="1"/>
  <c r="E3363" i="1"/>
  <c r="F3357" i="1"/>
  <c r="G3357" i="1" s="1"/>
  <c r="E3357" i="1"/>
  <c r="F3351" i="1"/>
  <c r="E3351" i="1"/>
  <c r="F3345" i="1"/>
  <c r="G3345" i="1" s="1"/>
  <c r="E3345" i="1"/>
  <c r="F3339" i="1"/>
  <c r="E3339" i="1"/>
  <c r="F3333" i="1"/>
  <c r="G3333" i="1" s="1"/>
  <c r="E3333" i="1"/>
  <c r="F3327" i="1"/>
  <c r="E3327" i="1"/>
  <c r="F3321" i="1"/>
  <c r="E3321" i="1"/>
  <c r="F3315" i="1"/>
  <c r="G3315" i="1" s="1"/>
  <c r="H3315" i="1" s="1"/>
  <c r="E3315" i="1"/>
  <c r="F3309" i="1"/>
  <c r="G3309" i="1" s="1"/>
  <c r="H3309" i="1" s="1"/>
  <c r="E3309" i="1"/>
  <c r="F3303" i="1"/>
  <c r="G3303" i="1" s="1"/>
  <c r="H3303" i="1" s="1"/>
  <c r="E3303" i="1"/>
  <c r="G3297" i="1"/>
  <c r="F3297" i="1"/>
  <c r="E3297" i="1"/>
  <c r="F3291" i="1"/>
  <c r="E3291" i="1"/>
  <c r="F3285" i="1"/>
  <c r="E3285" i="1"/>
  <c r="F3279" i="1"/>
  <c r="G3279" i="1" s="1"/>
  <c r="H3279" i="1" s="1"/>
  <c r="E3279" i="1"/>
  <c r="F3273" i="1"/>
  <c r="E3273" i="1"/>
  <c r="F3267" i="1"/>
  <c r="E3267" i="1"/>
  <c r="F3261" i="1"/>
  <c r="G3261" i="1" s="1"/>
  <c r="H3261" i="1" s="1"/>
  <c r="E3261" i="1"/>
  <c r="F3255" i="1"/>
  <c r="E3255" i="1"/>
  <c r="F3249" i="1"/>
  <c r="E3249" i="1"/>
  <c r="F3243" i="1"/>
  <c r="G3243" i="1" s="1"/>
  <c r="H3243" i="1" s="1"/>
  <c r="E3243" i="1"/>
  <c r="F3237" i="1"/>
  <c r="G3237" i="1" s="1"/>
  <c r="E3237" i="1"/>
  <c r="F3231" i="1"/>
  <c r="E3231" i="1"/>
  <c r="F3225" i="1"/>
  <c r="G3225" i="1" s="1"/>
  <c r="E3225" i="1"/>
  <c r="F3219" i="1"/>
  <c r="G3219" i="1" s="1"/>
  <c r="E3219" i="1"/>
  <c r="F3213" i="1"/>
  <c r="E3213" i="1"/>
  <c r="F3207" i="1"/>
  <c r="E3207" i="1"/>
  <c r="F3201" i="1"/>
  <c r="G3201" i="1" s="1"/>
  <c r="E3201" i="1"/>
  <c r="F3195" i="1"/>
  <c r="E3195" i="1"/>
  <c r="H3189" i="1"/>
  <c r="F3189" i="1"/>
  <c r="G3189" i="1" s="1"/>
  <c r="E3189" i="1"/>
  <c r="F3183" i="1"/>
  <c r="G3183" i="1" s="1"/>
  <c r="H3183" i="1" s="1"/>
  <c r="E3183" i="1"/>
  <c r="G3177" i="1"/>
  <c r="F3177" i="1"/>
  <c r="E3177" i="1"/>
  <c r="F3171" i="1"/>
  <c r="E3171" i="1"/>
  <c r="F3165" i="1"/>
  <c r="G3165" i="1" s="1"/>
  <c r="H3165" i="1" s="1"/>
  <c r="E3165" i="1"/>
  <c r="F3159" i="1"/>
  <c r="E3159" i="1"/>
  <c r="F3153" i="1"/>
  <c r="G3153" i="1" s="1"/>
  <c r="E3153" i="1"/>
  <c r="F3147" i="1"/>
  <c r="E3147" i="1"/>
  <c r="F3141" i="1"/>
  <c r="E3141" i="1"/>
  <c r="F3135" i="1"/>
  <c r="G3135" i="1" s="1"/>
  <c r="E3135" i="1"/>
  <c r="F3129" i="1"/>
  <c r="E3129" i="1"/>
  <c r="F3123" i="1"/>
  <c r="G3123" i="1" s="1"/>
  <c r="H3123" i="1" s="1"/>
  <c r="E3123" i="1"/>
  <c r="F3117" i="1"/>
  <c r="G3117" i="1" s="1"/>
  <c r="H3117" i="1" s="1"/>
  <c r="E3117" i="1"/>
  <c r="F3111" i="1"/>
  <c r="G3111" i="1" s="1"/>
  <c r="H3111" i="1" s="1"/>
  <c r="E3111" i="1"/>
  <c r="F3105" i="1"/>
  <c r="E3105" i="1"/>
  <c r="F3099" i="1"/>
  <c r="E3099" i="1"/>
  <c r="F3093" i="1"/>
  <c r="E3093" i="1"/>
  <c r="F3087" i="1"/>
  <c r="G3087" i="1" s="1"/>
  <c r="E3087" i="1"/>
  <c r="F3081" i="1"/>
  <c r="E3081" i="1"/>
  <c r="F3075" i="1"/>
  <c r="E3075" i="1"/>
  <c r="F3069" i="1"/>
  <c r="E3069" i="1"/>
  <c r="F3063" i="1"/>
  <c r="G3063" i="1" s="1"/>
  <c r="H3063" i="1" s="1"/>
  <c r="E3063" i="1"/>
  <c r="F3057" i="1"/>
  <c r="G3057" i="1" s="1"/>
  <c r="E3057" i="1"/>
  <c r="F3051" i="1"/>
  <c r="G3051" i="1" s="1"/>
  <c r="H3051" i="1" s="1"/>
  <c r="E3051" i="1"/>
  <c r="F3045" i="1"/>
  <c r="E3045" i="1"/>
  <c r="F3039" i="1"/>
  <c r="G3039" i="1" s="1"/>
  <c r="H3039" i="1" s="1"/>
  <c r="E3039" i="1"/>
  <c r="F3033" i="1"/>
  <c r="G3033" i="1" s="1"/>
  <c r="E3033" i="1"/>
  <c r="F3027" i="1"/>
  <c r="E3027" i="1"/>
  <c r="F3021" i="1"/>
  <c r="G3021" i="1" s="1"/>
  <c r="H3021" i="1" s="1"/>
  <c r="E3021" i="1"/>
  <c r="F3015" i="1"/>
  <c r="E3015" i="1"/>
  <c r="F3009" i="1"/>
  <c r="E3009" i="1"/>
  <c r="F3003" i="1"/>
  <c r="E3003" i="1"/>
  <c r="G2997" i="1"/>
  <c r="H2997" i="1" s="1"/>
  <c r="F2997" i="1"/>
  <c r="E2997" i="1"/>
  <c r="F2991" i="1"/>
  <c r="E2991" i="1"/>
  <c r="F2985" i="1"/>
  <c r="E2985" i="1"/>
  <c r="F2979" i="1"/>
  <c r="G2979" i="1" s="1"/>
  <c r="E2979" i="1"/>
  <c r="F2973" i="1"/>
  <c r="G2973" i="1" s="1"/>
  <c r="H2973" i="1" s="1"/>
  <c r="E2973" i="1"/>
  <c r="F2967" i="1"/>
  <c r="E2967" i="1"/>
  <c r="F2961" i="1"/>
  <c r="E2961" i="1"/>
  <c r="F2955" i="1"/>
  <c r="E2955" i="1"/>
  <c r="F2949" i="1"/>
  <c r="E2949" i="1"/>
  <c r="F2943" i="1"/>
  <c r="E2943" i="1"/>
  <c r="F2937" i="1"/>
  <c r="G2937" i="1" s="1"/>
  <c r="E2937" i="1"/>
  <c r="F2931" i="1"/>
  <c r="G2931" i="1" s="1"/>
  <c r="E2931" i="1"/>
  <c r="F2925" i="1"/>
  <c r="G2925" i="1" s="1"/>
  <c r="E2925" i="1"/>
  <c r="F2919" i="1"/>
  <c r="G2919" i="1" s="1"/>
  <c r="E2919" i="1"/>
  <c r="F2913" i="1"/>
  <c r="E2913" i="1"/>
  <c r="F2907" i="1"/>
  <c r="E2907" i="1"/>
  <c r="F2901" i="1"/>
  <c r="E2901" i="1"/>
  <c r="F2895" i="1"/>
  <c r="G2895" i="1" s="1"/>
  <c r="H2895" i="1" s="1"/>
  <c r="E2895" i="1"/>
  <c r="F2889" i="1"/>
  <c r="E2889" i="1"/>
  <c r="F2883" i="1"/>
  <c r="G2883" i="1" s="1"/>
  <c r="H2883" i="1" s="1"/>
  <c r="E2883" i="1"/>
  <c r="G2877" i="1"/>
  <c r="F2877" i="1"/>
  <c r="E2877" i="1"/>
  <c r="F2871" i="1"/>
  <c r="G2871" i="1" s="1"/>
  <c r="H2871" i="1" s="1"/>
  <c r="E2871" i="1"/>
  <c r="F2865" i="1"/>
  <c r="E2865" i="1"/>
  <c r="F2859" i="1"/>
  <c r="G2859" i="1" s="1"/>
  <c r="E2859" i="1"/>
  <c r="F2853" i="1"/>
  <c r="E2853" i="1"/>
  <c r="F2847" i="1"/>
  <c r="E2847" i="1"/>
  <c r="F2841" i="1"/>
  <c r="G2841" i="1" s="1"/>
  <c r="E2841" i="1"/>
  <c r="F2835" i="1"/>
  <c r="G2835" i="1" s="1"/>
  <c r="H2835" i="1" s="1"/>
  <c r="E2835" i="1"/>
  <c r="F2829" i="1"/>
  <c r="E2829" i="1"/>
  <c r="F2823" i="1"/>
  <c r="G2823" i="1" s="1"/>
  <c r="E2823" i="1"/>
  <c r="F2817" i="1"/>
  <c r="G2817" i="1" s="1"/>
  <c r="E2817" i="1"/>
  <c r="G2811" i="1"/>
  <c r="F2811" i="1"/>
  <c r="E2811" i="1"/>
  <c r="F2805" i="1"/>
  <c r="G2805" i="1" s="1"/>
  <c r="H2805" i="1" s="1"/>
  <c r="E2805" i="1"/>
  <c r="F2799" i="1"/>
  <c r="G2799" i="1" s="1"/>
  <c r="E2799" i="1"/>
  <c r="F2793" i="1"/>
  <c r="E2793" i="1"/>
  <c r="F2787" i="1"/>
  <c r="E2787" i="1"/>
  <c r="F2781" i="1"/>
  <c r="G2781" i="1" s="1"/>
  <c r="H2781" i="1" s="1"/>
  <c r="E2781" i="1"/>
  <c r="F2775" i="1"/>
  <c r="G2775" i="1" s="1"/>
  <c r="H2775" i="1" s="1"/>
  <c r="E2775" i="1"/>
  <c r="F2769" i="1"/>
  <c r="E2769" i="1"/>
  <c r="F2763" i="1"/>
  <c r="E2763" i="1"/>
  <c r="G2757" i="1"/>
  <c r="F2757" i="1"/>
  <c r="E2757" i="1"/>
  <c r="F2751" i="1"/>
  <c r="G2751" i="1" s="1"/>
  <c r="H2751" i="1" s="1"/>
  <c r="E2751" i="1"/>
  <c r="F2745" i="1"/>
  <c r="E2745" i="1"/>
  <c r="F2739" i="1"/>
  <c r="G2739" i="1" s="1"/>
  <c r="E2739" i="1"/>
  <c r="F2733" i="1"/>
  <c r="G2733" i="1" s="1"/>
  <c r="H2733" i="1" s="1"/>
  <c r="E2733" i="1"/>
  <c r="F2727" i="1"/>
  <c r="E2727" i="1"/>
  <c r="F2721" i="1"/>
  <c r="G2721" i="1" s="1"/>
  <c r="E2721" i="1"/>
  <c r="F2715" i="1"/>
  <c r="G2715" i="1" s="1"/>
  <c r="H2715" i="1" s="1"/>
  <c r="E2715" i="1"/>
  <c r="F2709" i="1"/>
  <c r="E2709" i="1"/>
  <c r="F2703" i="1"/>
  <c r="E2703" i="1"/>
  <c r="G2697" i="1"/>
  <c r="F2697" i="1"/>
  <c r="E2697" i="1"/>
  <c r="F2691" i="1"/>
  <c r="E2691" i="1"/>
  <c r="F2685" i="1"/>
  <c r="E2685" i="1"/>
  <c r="F2679" i="1"/>
  <c r="G2679" i="1" s="1"/>
  <c r="E2679" i="1"/>
  <c r="F2673" i="1"/>
  <c r="E2673" i="1"/>
  <c r="F2667" i="1"/>
  <c r="G2667" i="1" s="1"/>
  <c r="E2667" i="1"/>
  <c r="F2661" i="1"/>
  <c r="E2661" i="1"/>
  <c r="G2655" i="1"/>
  <c r="H2655" i="1" s="1"/>
  <c r="F2655" i="1"/>
  <c r="E2655" i="1"/>
  <c r="F2649" i="1"/>
  <c r="G2649" i="1" s="1"/>
  <c r="E2649" i="1"/>
  <c r="F2643" i="1"/>
  <c r="E2643" i="1"/>
  <c r="F2637" i="1"/>
  <c r="E2637" i="1"/>
  <c r="F2631" i="1"/>
  <c r="E2631" i="1"/>
  <c r="F2625" i="1"/>
  <c r="E2625" i="1"/>
  <c r="F2619" i="1"/>
  <c r="E2619" i="1"/>
  <c r="F2613" i="1"/>
  <c r="E2613" i="1"/>
  <c r="F2607" i="1"/>
  <c r="E2607" i="1"/>
  <c r="F2601" i="1"/>
  <c r="G2601" i="1" s="1"/>
  <c r="E2601" i="1"/>
  <c r="F2595" i="1"/>
  <c r="G2595" i="1" s="1"/>
  <c r="H2595" i="1" s="1"/>
  <c r="E2595" i="1"/>
  <c r="F2589" i="1"/>
  <c r="G2589" i="1" s="1"/>
  <c r="H2589" i="1" s="1"/>
  <c r="E2589" i="1"/>
  <c r="F2583" i="1"/>
  <c r="E2583" i="1"/>
  <c r="F2577" i="1"/>
  <c r="E2577" i="1"/>
  <c r="F2571" i="1"/>
  <c r="G2571" i="1" s="1"/>
  <c r="H2571" i="1" s="1"/>
  <c r="E2571" i="1"/>
  <c r="F2565" i="1"/>
  <c r="E2565" i="1"/>
  <c r="F2559" i="1"/>
  <c r="E2559" i="1"/>
  <c r="F2553" i="1"/>
  <c r="E2553" i="1"/>
  <c r="F2547" i="1"/>
  <c r="E2547" i="1"/>
  <c r="F2541" i="1"/>
  <c r="E2541" i="1"/>
  <c r="F2535" i="1"/>
  <c r="E2535" i="1"/>
  <c r="F2529" i="1"/>
  <c r="G2529" i="1" s="1"/>
  <c r="E2529" i="1"/>
  <c r="F2523" i="1"/>
  <c r="E2523" i="1"/>
  <c r="F2517" i="1"/>
  <c r="G2517" i="1" s="1"/>
  <c r="E2517" i="1"/>
  <c r="F2511" i="1"/>
  <c r="G2511" i="1" s="1"/>
  <c r="H2511" i="1" s="1"/>
  <c r="E2511" i="1"/>
  <c r="F2505" i="1"/>
  <c r="E2505" i="1"/>
  <c r="G2499" i="1"/>
  <c r="H2499" i="1" s="1"/>
  <c r="F2499" i="1"/>
  <c r="E2499" i="1"/>
  <c r="F2493" i="1"/>
  <c r="E2493" i="1"/>
  <c r="F2487" i="1"/>
  <c r="E2487" i="1"/>
  <c r="F2481" i="1"/>
  <c r="E2481" i="1"/>
  <c r="G2475" i="1"/>
  <c r="F2475" i="1"/>
  <c r="E2475" i="1"/>
  <c r="F2469" i="1"/>
  <c r="E2469" i="1"/>
  <c r="F2463" i="1"/>
  <c r="G2463" i="1" s="1"/>
  <c r="E2463" i="1"/>
  <c r="F2457" i="1"/>
  <c r="G2457" i="1" s="1"/>
  <c r="E2457" i="1"/>
  <c r="F2451" i="1"/>
  <c r="G2451" i="1" s="1"/>
  <c r="H2451" i="1" s="1"/>
  <c r="E2451" i="1"/>
  <c r="F2445" i="1"/>
  <c r="G2445" i="1" s="1"/>
  <c r="E2445" i="1"/>
  <c r="F2439" i="1"/>
  <c r="G2439" i="1" s="1"/>
  <c r="H2439" i="1" s="1"/>
  <c r="E2439" i="1"/>
  <c r="F2433" i="1"/>
  <c r="G2433" i="1" s="1"/>
  <c r="E2433" i="1"/>
  <c r="F2427" i="1"/>
  <c r="E2427" i="1"/>
  <c r="F2421" i="1"/>
  <c r="G2421" i="1" s="1"/>
  <c r="E2421" i="1"/>
  <c r="F2415" i="1"/>
  <c r="E2415" i="1"/>
  <c r="F2409" i="1"/>
  <c r="G2409" i="1" s="1"/>
  <c r="H2409" i="1" s="1"/>
  <c r="E2409" i="1"/>
  <c r="F2403" i="1"/>
  <c r="G2403" i="1" s="1"/>
  <c r="E2403" i="1"/>
  <c r="F2397" i="1"/>
  <c r="G2397" i="1" s="1"/>
  <c r="H2397" i="1" s="1"/>
  <c r="E2397" i="1"/>
  <c r="F2391" i="1"/>
  <c r="E2391" i="1"/>
  <c r="F2385" i="1"/>
  <c r="E2385" i="1"/>
  <c r="F2379" i="1"/>
  <c r="G2379" i="1" s="1"/>
  <c r="E2379" i="1"/>
  <c r="G2373" i="1"/>
  <c r="H2373" i="1" s="1"/>
  <c r="F2373" i="1"/>
  <c r="E2373" i="1"/>
  <c r="F2367" i="1"/>
  <c r="G2367" i="1" s="1"/>
  <c r="H2367" i="1" s="1"/>
  <c r="E2367" i="1"/>
  <c r="F2361" i="1"/>
  <c r="G2361" i="1" s="1"/>
  <c r="H2361" i="1" s="1"/>
  <c r="E2361" i="1"/>
  <c r="F2355" i="1"/>
  <c r="G2355" i="1" s="1"/>
  <c r="E2355" i="1"/>
  <c r="F2349" i="1"/>
  <c r="G2349" i="1" s="1"/>
  <c r="E2349" i="1"/>
  <c r="F2343" i="1"/>
  <c r="G2343" i="1" s="1"/>
  <c r="H2343" i="1" s="1"/>
  <c r="E2343" i="1"/>
  <c r="F2337" i="1"/>
  <c r="G2337" i="1" s="1"/>
  <c r="H2337" i="1" s="1"/>
  <c r="E2337" i="1"/>
  <c r="F2331" i="1"/>
  <c r="E2331" i="1"/>
  <c r="F2325" i="1"/>
  <c r="E2325" i="1"/>
  <c r="F2319" i="1"/>
  <c r="G2319" i="1" s="1"/>
  <c r="E2319" i="1"/>
  <c r="F2313" i="1"/>
  <c r="G2313" i="1" s="1"/>
  <c r="H2313" i="1" s="1"/>
  <c r="E2313" i="1"/>
  <c r="F2307" i="1"/>
  <c r="E2307" i="1"/>
  <c r="F2301" i="1"/>
  <c r="G2301" i="1" s="1"/>
  <c r="E2301" i="1"/>
  <c r="F2295" i="1"/>
  <c r="G2295" i="1" s="1"/>
  <c r="H2295" i="1" s="1"/>
  <c r="E2295" i="1"/>
  <c r="F2289" i="1"/>
  <c r="G2289" i="1" s="1"/>
  <c r="H2289" i="1" s="1"/>
  <c r="E2289" i="1"/>
  <c r="F2283" i="1"/>
  <c r="G2283" i="1" s="1"/>
  <c r="E2283" i="1"/>
  <c r="F2277" i="1"/>
  <c r="E2277" i="1"/>
  <c r="F2271" i="1"/>
  <c r="E2271" i="1"/>
  <c r="F2265" i="1"/>
  <c r="G2265" i="1" s="1"/>
  <c r="H2265" i="1" s="1"/>
  <c r="E2265" i="1"/>
  <c r="F2259" i="1"/>
  <c r="E2259" i="1"/>
  <c r="F2253" i="1"/>
  <c r="E2253" i="1"/>
  <c r="F2247" i="1"/>
  <c r="G2247" i="1" s="1"/>
  <c r="E2247" i="1"/>
  <c r="G2241" i="1"/>
  <c r="H2241" i="1" s="1"/>
  <c r="F2241" i="1"/>
  <c r="E2241" i="1"/>
  <c r="G2235" i="1"/>
  <c r="F2235" i="1"/>
  <c r="E2235" i="1"/>
  <c r="F2229" i="1"/>
  <c r="E2229" i="1"/>
  <c r="F2223" i="1"/>
  <c r="E2223" i="1"/>
  <c r="F2217" i="1"/>
  <c r="G2217" i="1" s="1"/>
  <c r="H2217" i="1" s="1"/>
  <c r="E2217" i="1"/>
  <c r="F2211" i="1"/>
  <c r="E2211" i="1"/>
  <c r="F2205" i="1"/>
  <c r="G2205" i="1" s="1"/>
  <c r="E2205" i="1"/>
  <c r="F2199" i="1"/>
  <c r="G2199" i="1" s="1"/>
  <c r="H2199" i="1" s="1"/>
  <c r="E2199" i="1"/>
  <c r="F2193" i="1"/>
  <c r="G2193" i="1" s="1"/>
  <c r="H2193" i="1" s="1"/>
  <c r="E2193" i="1"/>
  <c r="F2187" i="1"/>
  <c r="E2187" i="1"/>
  <c r="F2181" i="1"/>
  <c r="G2181" i="1" s="1"/>
  <c r="H2181" i="1" s="1"/>
  <c r="E2181" i="1"/>
  <c r="F2175" i="1"/>
  <c r="G2175" i="1" s="1"/>
  <c r="H2175" i="1" s="1"/>
  <c r="E2175" i="1"/>
  <c r="F2169" i="1"/>
  <c r="G2169" i="1" s="1"/>
  <c r="H2169" i="1" s="1"/>
  <c r="E2169" i="1"/>
  <c r="F2163" i="1"/>
  <c r="G2163" i="1" s="1"/>
  <c r="E2163" i="1"/>
  <c r="F2157" i="1"/>
  <c r="G2157" i="1" s="1"/>
  <c r="H2157" i="1" s="1"/>
  <c r="E2157" i="1"/>
  <c r="F2151" i="1"/>
  <c r="G2151" i="1" s="1"/>
  <c r="E2151" i="1"/>
  <c r="F2145" i="1"/>
  <c r="G2145" i="1" s="1"/>
  <c r="H2145" i="1" s="1"/>
  <c r="E2145" i="1"/>
  <c r="F2139" i="1"/>
  <c r="E2139" i="1"/>
  <c r="F2133" i="1"/>
  <c r="G2133" i="1" s="1"/>
  <c r="E2133" i="1"/>
  <c r="F2127" i="1"/>
  <c r="E2127" i="1"/>
  <c r="F2121" i="1"/>
  <c r="E2121" i="1"/>
  <c r="F2115" i="1"/>
  <c r="G2115" i="1" s="1"/>
  <c r="E2115" i="1"/>
  <c r="F2109" i="1"/>
  <c r="E2109" i="1"/>
  <c r="F2103" i="1"/>
  <c r="G2103" i="1" s="1"/>
  <c r="E2103" i="1"/>
  <c r="F2097" i="1"/>
  <c r="E2097" i="1"/>
  <c r="F2091" i="1"/>
  <c r="G2091" i="1" s="1"/>
  <c r="E2091" i="1"/>
  <c r="F2085" i="1"/>
  <c r="G2085" i="1" s="1"/>
  <c r="E2085" i="1"/>
  <c r="F2079" i="1"/>
  <c r="E2079" i="1"/>
  <c r="G2073" i="1"/>
  <c r="H2073" i="1" s="1"/>
  <c r="F2073" i="1"/>
  <c r="E2073" i="1"/>
  <c r="F2067" i="1"/>
  <c r="G2067" i="1" s="1"/>
  <c r="E2067" i="1"/>
  <c r="F2061" i="1"/>
  <c r="G2061" i="1" s="1"/>
  <c r="H2061" i="1" s="1"/>
  <c r="E2061" i="1"/>
  <c r="F2055" i="1"/>
  <c r="G2055" i="1" s="1"/>
  <c r="E2055" i="1"/>
  <c r="F2049" i="1"/>
  <c r="G2049" i="1" s="1"/>
  <c r="H2049" i="1" s="1"/>
  <c r="E2049" i="1"/>
  <c r="F2043" i="1"/>
  <c r="E2043" i="1"/>
  <c r="F2037" i="1"/>
  <c r="G2037" i="1" s="1"/>
  <c r="E2037" i="1"/>
  <c r="F2031" i="1"/>
  <c r="G2031" i="1" s="1"/>
  <c r="E2031" i="1"/>
  <c r="F2025" i="1"/>
  <c r="G2025" i="1" s="1"/>
  <c r="H2025" i="1" s="1"/>
  <c r="E2025" i="1"/>
  <c r="G2019" i="1"/>
  <c r="F2019" i="1"/>
  <c r="E2019" i="1"/>
  <c r="F2013" i="1"/>
  <c r="G2013" i="1" s="1"/>
  <c r="H2013" i="1" s="1"/>
  <c r="E2013" i="1"/>
  <c r="F2007" i="1"/>
  <c r="E2007" i="1"/>
  <c r="F2001" i="1"/>
  <c r="G2001" i="1" s="1"/>
  <c r="E2001" i="1"/>
  <c r="F1995" i="1"/>
  <c r="G1995" i="1" s="1"/>
  <c r="E1995" i="1"/>
  <c r="F1989" i="1"/>
  <c r="E1989" i="1"/>
  <c r="F1983" i="1"/>
  <c r="G1983" i="1" s="1"/>
  <c r="H1983" i="1" s="1"/>
  <c r="E1983" i="1"/>
  <c r="F1977" i="1"/>
  <c r="G1977" i="1" s="1"/>
  <c r="H1977" i="1" s="1"/>
  <c r="E1977" i="1"/>
  <c r="F1971" i="1"/>
  <c r="E1971" i="1"/>
  <c r="F1965" i="1"/>
  <c r="E1965" i="1"/>
  <c r="F1959" i="1"/>
  <c r="G1959" i="1" s="1"/>
  <c r="H1959" i="1" s="1"/>
  <c r="E1959" i="1"/>
  <c r="F1953" i="1"/>
  <c r="G1953" i="1" s="1"/>
  <c r="H1953" i="1" s="1"/>
  <c r="E1953" i="1"/>
  <c r="F1947" i="1"/>
  <c r="E1947" i="1"/>
  <c r="F1941" i="1"/>
  <c r="G1941" i="1" s="1"/>
  <c r="E1941" i="1"/>
  <c r="F1935" i="1"/>
  <c r="G1935" i="1" s="1"/>
  <c r="E1935" i="1"/>
  <c r="F1929" i="1"/>
  <c r="G1929" i="1" s="1"/>
  <c r="H1929" i="1" s="1"/>
  <c r="E1929" i="1"/>
  <c r="F1923" i="1"/>
  <c r="E1923" i="1"/>
  <c r="F1917" i="1"/>
  <c r="G1917" i="1" s="1"/>
  <c r="E1917" i="1"/>
  <c r="F1911" i="1"/>
  <c r="G1911" i="1" s="1"/>
  <c r="H1911" i="1" s="1"/>
  <c r="E1911" i="1"/>
  <c r="F1905" i="1"/>
  <c r="G1905" i="1" s="1"/>
  <c r="H1905" i="1" s="1"/>
  <c r="E1905" i="1"/>
  <c r="F1899" i="1"/>
  <c r="G1899" i="1" s="1"/>
  <c r="E1899" i="1"/>
  <c r="F1893" i="1"/>
  <c r="G1893" i="1" s="1"/>
  <c r="H1893" i="1" s="1"/>
  <c r="E1893" i="1"/>
  <c r="F1887" i="1"/>
  <c r="G1887" i="1" s="1"/>
  <c r="H1887" i="1" s="1"/>
  <c r="E1887" i="1"/>
  <c r="F1881" i="1"/>
  <c r="G1881" i="1" s="1"/>
  <c r="H1881" i="1" s="1"/>
  <c r="E1881" i="1"/>
  <c r="F1875" i="1"/>
  <c r="G1875" i="1" s="1"/>
  <c r="E1875" i="1"/>
  <c r="F1869" i="1"/>
  <c r="G1869" i="1" s="1"/>
  <c r="E1869" i="1"/>
  <c r="F1863" i="1"/>
  <c r="G1863" i="1" s="1"/>
  <c r="E1863" i="1"/>
  <c r="F1857" i="1"/>
  <c r="G1857" i="1" s="1"/>
  <c r="H1857" i="1" s="1"/>
  <c r="E1857" i="1"/>
  <c r="F1851" i="1"/>
  <c r="E1851" i="1"/>
  <c r="F1845" i="1"/>
  <c r="E1845" i="1"/>
  <c r="F1839" i="1"/>
  <c r="G1839" i="1" s="1"/>
  <c r="E1839" i="1"/>
  <c r="F1833" i="1"/>
  <c r="G1833" i="1" s="1"/>
  <c r="E1833" i="1"/>
  <c r="F1827" i="1"/>
  <c r="E1827" i="1"/>
  <c r="F1821" i="1"/>
  <c r="G1821" i="1" s="1"/>
  <c r="E1821" i="1"/>
  <c r="G1815" i="1"/>
  <c r="H1815" i="1" s="1"/>
  <c r="F1815" i="1"/>
  <c r="E1815" i="1"/>
  <c r="F1809" i="1"/>
  <c r="E1809" i="1"/>
  <c r="F1803" i="1"/>
  <c r="E1803" i="1"/>
  <c r="F1797" i="1"/>
  <c r="G1797" i="1" s="1"/>
  <c r="H1797" i="1" s="1"/>
  <c r="E1797" i="1"/>
  <c r="F1791" i="1"/>
  <c r="G1791" i="1" s="1"/>
  <c r="E1791" i="1"/>
  <c r="F1785" i="1"/>
  <c r="G1785" i="1" s="1"/>
  <c r="H1785" i="1" s="1"/>
  <c r="E1785" i="1"/>
  <c r="F1779" i="1"/>
  <c r="G1779" i="1" s="1"/>
  <c r="E1779" i="1"/>
  <c r="F1773" i="1"/>
  <c r="G1773" i="1" s="1"/>
  <c r="H1773" i="1" s="1"/>
  <c r="E1773" i="1"/>
  <c r="F1767" i="1"/>
  <c r="G1767" i="1" s="1"/>
  <c r="E1767" i="1"/>
  <c r="F1761" i="1"/>
  <c r="G1761" i="1" s="1"/>
  <c r="H1761" i="1" s="1"/>
  <c r="E1761" i="1"/>
  <c r="F1755" i="1"/>
  <c r="E1755" i="1"/>
  <c r="G1749" i="1"/>
  <c r="F1749" i="1"/>
  <c r="E1749" i="1"/>
  <c r="F1743" i="1"/>
  <c r="E1743" i="1"/>
  <c r="F1737" i="1"/>
  <c r="E1737" i="1"/>
  <c r="G1731" i="1"/>
  <c r="F1731" i="1"/>
  <c r="E1731" i="1"/>
  <c r="F1725" i="1"/>
  <c r="E1725" i="1"/>
  <c r="F1719" i="1"/>
  <c r="G1719" i="1" s="1"/>
  <c r="E1719" i="1"/>
  <c r="F1713" i="1"/>
  <c r="G1713" i="1" s="1"/>
  <c r="H1713" i="1" s="1"/>
  <c r="E1713" i="1"/>
  <c r="F1707" i="1"/>
  <c r="E1707" i="1"/>
  <c r="F1701" i="1"/>
  <c r="G1701" i="1" s="1"/>
  <c r="E1701" i="1"/>
  <c r="F1695" i="1"/>
  <c r="G1695" i="1" s="1"/>
  <c r="E1695" i="1"/>
  <c r="F1689" i="1"/>
  <c r="G1689" i="1" s="1"/>
  <c r="H1689" i="1" s="1"/>
  <c r="E1689" i="1"/>
  <c r="F1683" i="1"/>
  <c r="E1683" i="1"/>
  <c r="F1677" i="1"/>
  <c r="G1677" i="1" s="1"/>
  <c r="H1677" i="1" s="1"/>
  <c r="E1677" i="1"/>
  <c r="F1671" i="1"/>
  <c r="G1671" i="1" s="1"/>
  <c r="E1671" i="1"/>
  <c r="F1665" i="1"/>
  <c r="G1665" i="1" s="1"/>
  <c r="H1665" i="1" s="1"/>
  <c r="E1665" i="1"/>
  <c r="F1659" i="1"/>
  <c r="E1659" i="1"/>
  <c r="F1653" i="1"/>
  <c r="G1653" i="1" s="1"/>
  <c r="E1653" i="1"/>
  <c r="F1647" i="1"/>
  <c r="E1647" i="1"/>
  <c r="F1641" i="1"/>
  <c r="G1641" i="1" s="1"/>
  <c r="H1641" i="1" s="1"/>
  <c r="E1641" i="1"/>
  <c r="F1635" i="1"/>
  <c r="G1635" i="1" s="1"/>
  <c r="E1635" i="1"/>
  <c r="F1629" i="1"/>
  <c r="E1629" i="1"/>
  <c r="F1623" i="1"/>
  <c r="E1623" i="1"/>
  <c r="F1617" i="1"/>
  <c r="G1617" i="1" s="1"/>
  <c r="H1617" i="1" s="1"/>
  <c r="E1617" i="1"/>
  <c r="F1611" i="1"/>
  <c r="G1611" i="1" s="1"/>
  <c r="E1611" i="1"/>
  <c r="F1605" i="1"/>
  <c r="E1605" i="1"/>
  <c r="H1599" i="1"/>
  <c r="F1599" i="1"/>
  <c r="G1599" i="1" s="1"/>
  <c r="E1599" i="1"/>
  <c r="F1593" i="1"/>
  <c r="G1593" i="1" s="1"/>
  <c r="H1593" i="1" s="1"/>
  <c r="E1593" i="1"/>
  <c r="F1587" i="1"/>
  <c r="E1587" i="1"/>
  <c r="F1581" i="1"/>
  <c r="G1581" i="1" s="1"/>
  <c r="E1581" i="1"/>
  <c r="F1575" i="1"/>
  <c r="G1575" i="1" s="1"/>
  <c r="H1575" i="1" s="1"/>
  <c r="E1575" i="1"/>
  <c r="G1569" i="1"/>
  <c r="H1569" i="1" s="1"/>
  <c r="F1569" i="1"/>
  <c r="E1569" i="1"/>
  <c r="F1563" i="1"/>
  <c r="E1563" i="1"/>
  <c r="F1557" i="1"/>
  <c r="G1557" i="1" s="1"/>
  <c r="E1557" i="1"/>
  <c r="F1551" i="1"/>
  <c r="G1551" i="1" s="1"/>
  <c r="E1551" i="1"/>
  <c r="F1545" i="1"/>
  <c r="G1545" i="1" s="1"/>
  <c r="H1545" i="1" s="1"/>
  <c r="E1545" i="1"/>
  <c r="F1539" i="1"/>
  <c r="E1539" i="1"/>
  <c r="F1533" i="1"/>
  <c r="G1533" i="1" s="1"/>
  <c r="H1533" i="1" s="1"/>
  <c r="E1533" i="1"/>
  <c r="F1527" i="1"/>
  <c r="E1527" i="1"/>
  <c r="F1521" i="1"/>
  <c r="G1521" i="1" s="1"/>
  <c r="H1521" i="1" s="1"/>
  <c r="E1521" i="1"/>
  <c r="F1515" i="1"/>
  <c r="G1515" i="1" s="1"/>
  <c r="E1515" i="1"/>
  <c r="F1509" i="1"/>
  <c r="E1509" i="1"/>
  <c r="F1503" i="1"/>
  <c r="G1503" i="1" s="1"/>
  <c r="H1503" i="1" s="1"/>
  <c r="E1503" i="1"/>
  <c r="F1497" i="1"/>
  <c r="E1497" i="1"/>
  <c r="F1491" i="1"/>
  <c r="E1491" i="1"/>
  <c r="F1485" i="1"/>
  <c r="E1485" i="1"/>
  <c r="F1479" i="1"/>
  <c r="G1479" i="1" s="1"/>
  <c r="E1479" i="1"/>
  <c r="F1473" i="1"/>
  <c r="G1473" i="1" s="1"/>
  <c r="H1473" i="1" s="1"/>
  <c r="E1473" i="1"/>
  <c r="F1467" i="1"/>
  <c r="E1467" i="1"/>
  <c r="F1461" i="1"/>
  <c r="E1461" i="1"/>
  <c r="F1455" i="1"/>
  <c r="G1455" i="1" s="1"/>
  <c r="E1455" i="1"/>
  <c r="F1449" i="1"/>
  <c r="E1449" i="1"/>
  <c r="F1443" i="1"/>
  <c r="E1443" i="1"/>
  <c r="F1437" i="1"/>
  <c r="G1437" i="1" s="1"/>
  <c r="E1437" i="1"/>
  <c r="F1431" i="1"/>
  <c r="G1431" i="1" s="1"/>
  <c r="E1431" i="1"/>
  <c r="G1425" i="1"/>
  <c r="H1425" i="1" s="1"/>
  <c r="F1425" i="1"/>
  <c r="E1425" i="1"/>
  <c r="F1419" i="1"/>
  <c r="E1419" i="1"/>
  <c r="F1413" i="1"/>
  <c r="G1413" i="1" s="1"/>
  <c r="H1413" i="1" s="1"/>
  <c r="E1413" i="1"/>
  <c r="F1407" i="1"/>
  <c r="E1407" i="1"/>
  <c r="F1401" i="1"/>
  <c r="G1401" i="1" s="1"/>
  <c r="H1401" i="1" s="1"/>
  <c r="E1401" i="1"/>
  <c r="F1395" i="1"/>
  <c r="G1395" i="1" s="1"/>
  <c r="E1395" i="1"/>
  <c r="F1389" i="1"/>
  <c r="E1389" i="1"/>
  <c r="F1383" i="1"/>
  <c r="G1383" i="1" s="1"/>
  <c r="E1383" i="1"/>
  <c r="F1377" i="1"/>
  <c r="G1377" i="1" s="1"/>
  <c r="H1377" i="1" s="1"/>
  <c r="E1377" i="1"/>
  <c r="F1371" i="1"/>
  <c r="E1371" i="1"/>
  <c r="G1365" i="1"/>
  <c r="F1365" i="1"/>
  <c r="E1365" i="1"/>
  <c r="F1359" i="1"/>
  <c r="E1359" i="1"/>
  <c r="F1353" i="1"/>
  <c r="G1353" i="1" s="1"/>
  <c r="H1353" i="1" s="1"/>
  <c r="E1353" i="1"/>
  <c r="F1347" i="1"/>
  <c r="G1347" i="1" s="1"/>
  <c r="E1347" i="1"/>
  <c r="F1341" i="1"/>
  <c r="E1341" i="1"/>
  <c r="F1335" i="1"/>
  <c r="G1335" i="1" s="1"/>
  <c r="H1335" i="1" s="1"/>
  <c r="E1335" i="1"/>
  <c r="F1329" i="1"/>
  <c r="G1329" i="1" s="1"/>
  <c r="H1329" i="1" s="1"/>
  <c r="E1329" i="1"/>
  <c r="F1323" i="1"/>
  <c r="G1323" i="1" s="1"/>
  <c r="E1323" i="1"/>
  <c r="F1317" i="1"/>
  <c r="G1317" i="1" s="1"/>
  <c r="E1317" i="1"/>
  <c r="F1311" i="1"/>
  <c r="E1311" i="1"/>
  <c r="F1305" i="1"/>
  <c r="E1305" i="1"/>
  <c r="F1299" i="1"/>
  <c r="G1299" i="1" s="1"/>
  <c r="E1299" i="1"/>
  <c r="F1293" i="1"/>
  <c r="G1293" i="1" s="1"/>
  <c r="H1293" i="1" s="1"/>
  <c r="E1293" i="1"/>
  <c r="F1287" i="1"/>
  <c r="E1287" i="1"/>
  <c r="F1281" i="1"/>
  <c r="G1281" i="1" s="1"/>
  <c r="H1281" i="1" s="1"/>
  <c r="E1281" i="1"/>
  <c r="F1275" i="1"/>
  <c r="G1275" i="1" s="1"/>
  <c r="E1275" i="1"/>
  <c r="F1269" i="1"/>
  <c r="G1269" i="1" s="1"/>
  <c r="E1269" i="1"/>
  <c r="F1263" i="1"/>
  <c r="G1263" i="1" s="1"/>
  <c r="E1263" i="1"/>
  <c r="F1257" i="1"/>
  <c r="G1257" i="1" s="1"/>
  <c r="H1257" i="1" s="1"/>
  <c r="E1257" i="1"/>
  <c r="F1251" i="1"/>
  <c r="G1251" i="1" s="1"/>
  <c r="E1251" i="1"/>
  <c r="F1245" i="1"/>
  <c r="G1245" i="1" s="1"/>
  <c r="H1245" i="1" s="1"/>
  <c r="E1245" i="1"/>
  <c r="F1239" i="1"/>
  <c r="E1239" i="1"/>
  <c r="F1233" i="1"/>
  <c r="E1233" i="1"/>
  <c r="F1227" i="1"/>
  <c r="E1227" i="1"/>
  <c r="F1221" i="1"/>
  <c r="G1221" i="1" s="1"/>
  <c r="H1221" i="1" s="1"/>
  <c r="E1221" i="1"/>
  <c r="F1215" i="1"/>
  <c r="G1215" i="1" s="1"/>
  <c r="E1215" i="1"/>
  <c r="F1209" i="1"/>
  <c r="G1209" i="1" s="1"/>
  <c r="H1209" i="1" s="1"/>
  <c r="E1209" i="1"/>
  <c r="F1203" i="1"/>
  <c r="E1203" i="1"/>
  <c r="F1197" i="1"/>
  <c r="G1197" i="1" s="1"/>
  <c r="H1197" i="1" s="1"/>
  <c r="E1197" i="1"/>
  <c r="F1191" i="1"/>
  <c r="G1191" i="1" s="1"/>
  <c r="H1191" i="1" s="1"/>
  <c r="E1191" i="1"/>
  <c r="F1185" i="1"/>
  <c r="G1185" i="1" s="1"/>
  <c r="H1185" i="1" s="1"/>
  <c r="E1185" i="1"/>
  <c r="F1179" i="1"/>
  <c r="E1179" i="1"/>
  <c r="F1173" i="1"/>
  <c r="G1173" i="1" s="1"/>
  <c r="E1173" i="1"/>
  <c r="F1167" i="1"/>
  <c r="G1167" i="1" s="1"/>
  <c r="E1167" i="1"/>
  <c r="F1161" i="1"/>
  <c r="G1161" i="1" s="1"/>
  <c r="H1161" i="1" s="1"/>
  <c r="E1161" i="1"/>
  <c r="F1155" i="1"/>
  <c r="E1155" i="1"/>
  <c r="F1149" i="1"/>
  <c r="G1149" i="1" s="1"/>
  <c r="E1149" i="1"/>
  <c r="F1143" i="1"/>
  <c r="G1143" i="1" s="1"/>
  <c r="H1143" i="1" s="1"/>
  <c r="E1143" i="1"/>
  <c r="F1137" i="1"/>
  <c r="G1137" i="1" s="1"/>
  <c r="H1137" i="1" s="1"/>
  <c r="E1137" i="1"/>
  <c r="F1131" i="1"/>
  <c r="G1131" i="1" s="1"/>
  <c r="E1131" i="1"/>
  <c r="F1125" i="1"/>
  <c r="G1125" i="1" s="1"/>
  <c r="E1125" i="1"/>
  <c r="F1119" i="1"/>
  <c r="E1119" i="1"/>
  <c r="F1113" i="1"/>
  <c r="G1113" i="1" s="1"/>
  <c r="H1113" i="1" s="1"/>
  <c r="E1113" i="1"/>
  <c r="F1107" i="1"/>
  <c r="G1107" i="1" s="1"/>
  <c r="E1107" i="1"/>
  <c r="G1101" i="1"/>
  <c r="F1101" i="1"/>
  <c r="E1101" i="1"/>
  <c r="F1095" i="1"/>
  <c r="G1095" i="1" s="1"/>
  <c r="H1095" i="1" s="1"/>
  <c r="E1095" i="1"/>
  <c r="F1089" i="1"/>
  <c r="G1089" i="1" s="1"/>
  <c r="H1089" i="1" s="1"/>
  <c r="E1089" i="1"/>
  <c r="F1083" i="1"/>
  <c r="E1083" i="1"/>
  <c r="F1077" i="1"/>
  <c r="E1077" i="1"/>
  <c r="F1071" i="1"/>
  <c r="E1071" i="1"/>
  <c r="F1065" i="1"/>
  <c r="E1065" i="1"/>
  <c r="F1059" i="1"/>
  <c r="E1059" i="1"/>
  <c r="F1053" i="1"/>
  <c r="G1053" i="1" s="1"/>
  <c r="H1053" i="1" s="1"/>
  <c r="E1053" i="1"/>
  <c r="F1047" i="1"/>
  <c r="G1047" i="1" s="1"/>
  <c r="H1047" i="1" s="1"/>
  <c r="E1047" i="1"/>
  <c r="F1041" i="1"/>
  <c r="E1041" i="1"/>
  <c r="F1035" i="1"/>
  <c r="E1035" i="1"/>
  <c r="F1029" i="1"/>
  <c r="E1029" i="1"/>
  <c r="F1023" i="1"/>
  <c r="G1023" i="1" s="1"/>
  <c r="H1023" i="1" s="1"/>
  <c r="E1023" i="1"/>
  <c r="F1017" i="1"/>
  <c r="G1017" i="1" s="1"/>
  <c r="H1017" i="1" s="1"/>
  <c r="E1017" i="1"/>
  <c r="F1011" i="1"/>
  <c r="G1011" i="1" s="1"/>
  <c r="E1011" i="1"/>
  <c r="F1005" i="1"/>
  <c r="G1005" i="1" s="1"/>
  <c r="E1005" i="1"/>
  <c r="F999" i="1"/>
  <c r="E999" i="1"/>
  <c r="F993" i="1"/>
  <c r="G993" i="1" s="1"/>
  <c r="H993" i="1" s="1"/>
  <c r="E993" i="1"/>
  <c r="F987" i="1"/>
  <c r="E987" i="1"/>
  <c r="F981" i="1"/>
  <c r="G981" i="1" s="1"/>
  <c r="E981" i="1"/>
  <c r="F975" i="1"/>
  <c r="E975" i="1"/>
  <c r="F969" i="1"/>
  <c r="G969" i="1" s="1"/>
  <c r="H969" i="1" s="1"/>
  <c r="E969" i="1"/>
  <c r="F963" i="1"/>
  <c r="G963" i="1" s="1"/>
  <c r="E963" i="1"/>
  <c r="F957" i="1"/>
  <c r="E957" i="1"/>
  <c r="F951" i="1"/>
  <c r="G951" i="1" s="1"/>
  <c r="E951" i="1"/>
  <c r="F945" i="1"/>
  <c r="G945" i="1" s="1"/>
  <c r="H945" i="1" s="1"/>
  <c r="E945" i="1"/>
  <c r="F939" i="1"/>
  <c r="E939" i="1"/>
  <c r="F933" i="1"/>
  <c r="G933" i="1" s="1"/>
  <c r="H933" i="1" s="1"/>
  <c r="E933" i="1"/>
  <c r="F927" i="1"/>
  <c r="G927" i="1" s="1"/>
  <c r="H927" i="1" s="1"/>
  <c r="E927" i="1"/>
  <c r="F921" i="1"/>
  <c r="G921" i="1" s="1"/>
  <c r="H921" i="1" s="1"/>
  <c r="E921" i="1"/>
  <c r="F915" i="1"/>
  <c r="E915" i="1"/>
  <c r="F909" i="1"/>
  <c r="G909" i="1" s="1"/>
  <c r="H909" i="1" s="1"/>
  <c r="E909" i="1"/>
  <c r="F903" i="1"/>
  <c r="E903" i="1"/>
  <c r="F897" i="1"/>
  <c r="G897" i="1" s="1"/>
  <c r="H897" i="1" s="1"/>
  <c r="E897" i="1"/>
  <c r="F891" i="1"/>
  <c r="G891" i="1" s="1"/>
  <c r="E891" i="1"/>
  <c r="F885" i="1"/>
  <c r="G885" i="1" s="1"/>
  <c r="E885" i="1"/>
  <c r="F879" i="1"/>
  <c r="G879" i="1" s="1"/>
  <c r="E879" i="1"/>
  <c r="F873" i="1"/>
  <c r="G873" i="1" s="1"/>
  <c r="H873" i="1" s="1"/>
  <c r="E873" i="1"/>
  <c r="F867" i="1"/>
  <c r="E867" i="1"/>
  <c r="F861" i="1"/>
  <c r="G861" i="1" s="1"/>
  <c r="H861" i="1" s="1"/>
  <c r="E861" i="1"/>
  <c r="F855" i="1"/>
  <c r="E855" i="1"/>
  <c r="F849" i="1"/>
  <c r="G849" i="1" s="1"/>
  <c r="H849" i="1" s="1"/>
  <c r="E849" i="1"/>
  <c r="G843" i="1"/>
  <c r="F843" i="1"/>
  <c r="E843" i="1"/>
  <c r="F837" i="1"/>
  <c r="E837" i="1"/>
  <c r="F831" i="1"/>
  <c r="G831" i="1" s="1"/>
  <c r="E831" i="1"/>
  <c r="F825" i="1"/>
  <c r="G825" i="1" s="1"/>
  <c r="H825" i="1" s="1"/>
  <c r="E825" i="1"/>
  <c r="F819" i="1"/>
  <c r="E819" i="1"/>
  <c r="F813" i="1"/>
  <c r="G813" i="1" s="1"/>
  <c r="H813" i="1" s="1"/>
  <c r="E813" i="1"/>
  <c r="F807" i="1"/>
  <c r="G807" i="1" s="1"/>
  <c r="H807" i="1" s="1"/>
  <c r="E807" i="1"/>
  <c r="F801" i="1"/>
  <c r="E801" i="1"/>
  <c r="F795" i="1"/>
  <c r="E795" i="1"/>
  <c r="F789" i="1"/>
  <c r="G789" i="1" s="1"/>
  <c r="H789" i="1" s="1"/>
  <c r="E789" i="1"/>
  <c r="F783" i="1"/>
  <c r="G783" i="1" s="1"/>
  <c r="H783" i="1" s="1"/>
  <c r="E783" i="1"/>
  <c r="F777" i="1"/>
  <c r="G777" i="1" s="1"/>
  <c r="H777" i="1" s="1"/>
  <c r="E777" i="1"/>
  <c r="F771" i="1"/>
  <c r="G771" i="1" s="1"/>
  <c r="E771" i="1"/>
  <c r="F765" i="1"/>
  <c r="G765" i="1" s="1"/>
  <c r="H765" i="1" s="1"/>
  <c r="E765" i="1"/>
  <c r="G759" i="1"/>
  <c r="H759" i="1" s="1"/>
  <c r="F759" i="1"/>
  <c r="E759" i="1"/>
  <c r="F753" i="1"/>
  <c r="G753" i="1" s="1"/>
  <c r="H753" i="1" s="1"/>
  <c r="E753" i="1"/>
  <c r="F747" i="1"/>
  <c r="G747" i="1" s="1"/>
  <c r="E747" i="1"/>
  <c r="F741" i="1"/>
  <c r="G741" i="1" s="1"/>
  <c r="H741" i="1" s="1"/>
  <c r="E741" i="1"/>
  <c r="F735" i="1"/>
  <c r="G735" i="1" s="1"/>
  <c r="H735" i="1" s="1"/>
  <c r="E735" i="1"/>
  <c r="F729" i="1"/>
  <c r="G729" i="1" s="1"/>
  <c r="H729" i="1" s="1"/>
  <c r="E729" i="1"/>
  <c r="F723" i="1"/>
  <c r="G723" i="1" s="1"/>
  <c r="E723" i="1"/>
  <c r="F717" i="1"/>
  <c r="E717" i="1"/>
  <c r="F711" i="1"/>
  <c r="G711" i="1" s="1"/>
  <c r="H711" i="1" s="1"/>
  <c r="E711" i="1"/>
  <c r="G705" i="1"/>
  <c r="H705" i="1" s="1"/>
  <c r="F705" i="1"/>
  <c r="E705" i="1"/>
  <c r="F699" i="1"/>
  <c r="G699" i="1" s="1"/>
  <c r="E699" i="1"/>
  <c r="F693" i="1"/>
  <c r="E693" i="1"/>
  <c r="F687" i="1"/>
  <c r="G687" i="1" s="1"/>
  <c r="H687" i="1" s="1"/>
  <c r="E687" i="1"/>
  <c r="F681" i="1"/>
  <c r="E681" i="1"/>
  <c r="F675" i="1"/>
  <c r="G675" i="1" s="1"/>
  <c r="E675" i="1"/>
  <c r="F669" i="1"/>
  <c r="E669" i="1"/>
  <c r="F663" i="1"/>
  <c r="G663" i="1" s="1"/>
  <c r="H663" i="1" s="1"/>
  <c r="E663" i="1"/>
  <c r="F657" i="1"/>
  <c r="G657" i="1" s="1"/>
  <c r="E657" i="1"/>
  <c r="F651" i="1"/>
  <c r="G651" i="1" s="1"/>
  <c r="E651" i="1"/>
  <c r="F645" i="1"/>
  <c r="G645" i="1" s="1"/>
  <c r="E645" i="1"/>
  <c r="F639" i="1"/>
  <c r="G639" i="1" s="1"/>
  <c r="H639" i="1" s="1"/>
  <c r="E639" i="1"/>
  <c r="G633" i="1"/>
  <c r="F633" i="1"/>
  <c r="E633" i="1"/>
  <c r="F627" i="1"/>
  <c r="E627" i="1"/>
  <c r="F621" i="1"/>
  <c r="G621" i="1" s="1"/>
  <c r="H621" i="1" s="1"/>
  <c r="E621" i="1"/>
  <c r="F615" i="1"/>
  <c r="G615" i="1" s="1"/>
  <c r="H615" i="1" s="1"/>
  <c r="E615" i="1"/>
  <c r="F609" i="1"/>
  <c r="G609" i="1" s="1"/>
  <c r="H609" i="1" s="1"/>
  <c r="E609" i="1"/>
  <c r="F603" i="1"/>
  <c r="E603" i="1"/>
  <c r="F597" i="1"/>
  <c r="G597" i="1" s="1"/>
  <c r="H597" i="1" s="1"/>
  <c r="E597" i="1"/>
  <c r="F591" i="1"/>
  <c r="G591" i="1" s="1"/>
  <c r="H591" i="1" s="1"/>
  <c r="E591" i="1"/>
  <c r="F585" i="1"/>
  <c r="E585" i="1"/>
  <c r="F579" i="1"/>
  <c r="G579" i="1" s="1"/>
  <c r="E579" i="1"/>
  <c r="F573" i="1"/>
  <c r="G573" i="1" s="1"/>
  <c r="H573" i="1" s="1"/>
  <c r="E573" i="1"/>
  <c r="F567" i="1"/>
  <c r="G567" i="1" s="1"/>
  <c r="H567" i="1" s="1"/>
  <c r="E567" i="1"/>
  <c r="F561" i="1"/>
  <c r="E561" i="1"/>
  <c r="F555" i="1"/>
  <c r="G555" i="1" s="1"/>
  <c r="E555" i="1"/>
  <c r="F549" i="1"/>
  <c r="G549" i="1" s="1"/>
  <c r="H549" i="1" s="1"/>
  <c r="E549" i="1"/>
  <c r="F543" i="1"/>
  <c r="G543" i="1" s="1"/>
  <c r="H543" i="1" s="1"/>
  <c r="E543" i="1"/>
  <c r="F537" i="1"/>
  <c r="E537" i="1"/>
  <c r="F531" i="1"/>
  <c r="G531" i="1" s="1"/>
  <c r="E531" i="1"/>
  <c r="F525" i="1"/>
  <c r="E525" i="1"/>
  <c r="F519" i="1"/>
  <c r="G519" i="1" s="1"/>
  <c r="H519" i="1" s="1"/>
  <c r="E519" i="1"/>
  <c r="F513" i="1"/>
  <c r="G513" i="1" s="1"/>
  <c r="E513" i="1"/>
  <c r="F507" i="1"/>
  <c r="G507" i="1" s="1"/>
  <c r="E507" i="1"/>
  <c r="F501" i="1"/>
  <c r="E501" i="1"/>
  <c r="F495" i="1"/>
  <c r="G495" i="1" s="1"/>
  <c r="H495" i="1" s="1"/>
  <c r="E495" i="1"/>
  <c r="F489" i="1"/>
  <c r="E489" i="1"/>
  <c r="F483" i="1"/>
  <c r="E483" i="1"/>
  <c r="F477" i="1"/>
  <c r="E477" i="1"/>
  <c r="F471" i="1"/>
  <c r="G471" i="1" s="1"/>
  <c r="H471" i="1" s="1"/>
  <c r="E471" i="1"/>
  <c r="F465" i="1"/>
  <c r="G465" i="1" s="1"/>
  <c r="E465" i="1"/>
  <c r="F459" i="1"/>
  <c r="G459" i="1" s="1"/>
  <c r="E459" i="1"/>
  <c r="F453" i="1"/>
  <c r="E453" i="1"/>
  <c r="F447" i="1"/>
  <c r="G447" i="1" s="1"/>
  <c r="H447" i="1" s="1"/>
  <c r="E447" i="1"/>
  <c r="F441" i="1"/>
  <c r="G441" i="1" s="1"/>
  <c r="E441" i="1"/>
  <c r="F435" i="1"/>
  <c r="E435" i="1"/>
  <c r="F429" i="1"/>
  <c r="G429" i="1" s="1"/>
  <c r="H429" i="1" s="1"/>
  <c r="E429" i="1"/>
  <c r="F423" i="1"/>
  <c r="G423" i="1" s="1"/>
  <c r="H423" i="1" s="1"/>
  <c r="E423" i="1"/>
  <c r="F417" i="1"/>
  <c r="E417" i="1"/>
  <c r="F411" i="1"/>
  <c r="E411" i="1"/>
  <c r="F405" i="1"/>
  <c r="G405" i="1" s="1"/>
  <c r="H405" i="1" s="1"/>
  <c r="E405" i="1"/>
  <c r="F399" i="1"/>
  <c r="G399" i="1" s="1"/>
  <c r="H399" i="1" s="1"/>
  <c r="E399" i="1"/>
  <c r="F393" i="1"/>
  <c r="G393" i="1" s="1"/>
  <c r="E393" i="1"/>
  <c r="F387" i="1"/>
  <c r="G387" i="1" s="1"/>
  <c r="E387" i="1"/>
  <c r="F381" i="1"/>
  <c r="G381" i="1" s="1"/>
  <c r="H381" i="1" s="1"/>
  <c r="E381" i="1"/>
  <c r="F375" i="1"/>
  <c r="G375" i="1" s="1"/>
  <c r="H375" i="1" s="1"/>
  <c r="E375" i="1"/>
  <c r="F369" i="1"/>
  <c r="G369" i="1" s="1"/>
  <c r="H369" i="1" s="1"/>
  <c r="E369" i="1"/>
  <c r="F363" i="1"/>
  <c r="G363" i="1" s="1"/>
  <c r="E363" i="1"/>
  <c r="F357" i="1"/>
  <c r="G357" i="1" s="1"/>
  <c r="H357" i="1" s="1"/>
  <c r="E357" i="1"/>
  <c r="F351" i="1"/>
  <c r="G351" i="1" s="1"/>
  <c r="H351" i="1" s="1"/>
  <c r="E351" i="1"/>
  <c r="F345" i="1"/>
  <c r="G345" i="1" s="1"/>
  <c r="E345" i="1"/>
  <c r="F339" i="1"/>
  <c r="E339" i="1"/>
  <c r="F333" i="1"/>
  <c r="E333" i="1"/>
  <c r="F327" i="1"/>
  <c r="G327" i="1" s="1"/>
  <c r="H327" i="1" s="1"/>
  <c r="E327" i="1"/>
  <c r="F321" i="1"/>
  <c r="G321" i="1" s="1"/>
  <c r="H321" i="1" s="1"/>
  <c r="E321" i="1"/>
  <c r="F315" i="1"/>
  <c r="G315" i="1" s="1"/>
  <c r="E315" i="1"/>
  <c r="G309" i="1"/>
  <c r="H309" i="1" s="1"/>
  <c r="F309" i="1"/>
  <c r="E309" i="1"/>
  <c r="F303" i="1"/>
  <c r="G303" i="1" s="1"/>
  <c r="H303" i="1" s="1"/>
  <c r="E303" i="1"/>
  <c r="F297" i="1"/>
  <c r="E297" i="1"/>
  <c r="F291" i="1"/>
  <c r="G291" i="1" s="1"/>
  <c r="E291" i="1"/>
  <c r="F285" i="1"/>
  <c r="E285" i="1"/>
  <c r="F279" i="1"/>
  <c r="G279" i="1" s="1"/>
  <c r="H279" i="1" s="1"/>
  <c r="E279" i="1"/>
  <c r="F273" i="1"/>
  <c r="G273" i="1" s="1"/>
  <c r="E273" i="1"/>
  <c r="F267" i="1"/>
  <c r="G267" i="1" s="1"/>
  <c r="E267" i="1"/>
  <c r="F261" i="1"/>
  <c r="G261" i="1" s="1"/>
  <c r="E261" i="1"/>
  <c r="F255" i="1"/>
  <c r="G255" i="1" s="1"/>
  <c r="H255" i="1" s="1"/>
  <c r="E255" i="1"/>
  <c r="F249" i="1"/>
  <c r="G249" i="1" s="1"/>
  <c r="E249" i="1"/>
  <c r="F243" i="1"/>
  <c r="E243" i="1"/>
  <c r="F237" i="1"/>
  <c r="G237" i="1" s="1"/>
  <c r="H237" i="1" s="1"/>
  <c r="E237" i="1"/>
  <c r="F231" i="1"/>
  <c r="G231" i="1" s="1"/>
  <c r="H231" i="1" s="1"/>
  <c r="E231" i="1"/>
  <c r="F225" i="1"/>
  <c r="G225" i="1" s="1"/>
  <c r="H225" i="1" s="1"/>
  <c r="E225" i="1"/>
  <c r="F219" i="1"/>
  <c r="E219" i="1"/>
  <c r="F213" i="1"/>
  <c r="G213" i="1" s="1"/>
  <c r="H213" i="1" s="1"/>
  <c r="E213" i="1"/>
  <c r="F207" i="1"/>
  <c r="G207" i="1" s="1"/>
  <c r="H207" i="1" s="1"/>
  <c r="E207" i="1"/>
  <c r="F201" i="1"/>
  <c r="E201" i="1"/>
  <c r="F195" i="1"/>
  <c r="G195" i="1" s="1"/>
  <c r="E195" i="1"/>
  <c r="F189" i="1"/>
  <c r="G189" i="1" s="1"/>
  <c r="H189" i="1" s="1"/>
  <c r="E189" i="1"/>
  <c r="F183" i="1"/>
  <c r="G183" i="1" s="1"/>
  <c r="H183" i="1" s="1"/>
  <c r="E183" i="1"/>
  <c r="F177" i="1"/>
  <c r="E177" i="1"/>
  <c r="F171" i="1"/>
  <c r="G171" i="1" s="1"/>
  <c r="E171" i="1"/>
  <c r="F165" i="1"/>
  <c r="G165" i="1" s="1"/>
  <c r="H165" i="1" s="1"/>
  <c r="E165" i="1"/>
  <c r="F159" i="1"/>
  <c r="G159" i="1" s="1"/>
  <c r="H159" i="1" s="1"/>
  <c r="E159" i="1"/>
  <c r="F153" i="1"/>
  <c r="E153" i="1"/>
  <c r="F147" i="1"/>
  <c r="E147" i="1"/>
  <c r="F141" i="1"/>
  <c r="E141" i="1"/>
  <c r="F135" i="1"/>
  <c r="G135" i="1" s="1"/>
  <c r="H135" i="1" s="1"/>
  <c r="E135" i="1"/>
  <c r="F129" i="1"/>
  <c r="G129" i="1" s="1"/>
  <c r="E129" i="1"/>
  <c r="F123" i="1"/>
  <c r="G123" i="1" s="1"/>
  <c r="E123" i="1"/>
  <c r="F117" i="1"/>
  <c r="E117" i="1"/>
  <c r="G111" i="1"/>
  <c r="H111" i="1" s="1"/>
  <c r="F111" i="1"/>
  <c r="E111" i="1"/>
  <c r="F105" i="1"/>
  <c r="E105" i="1"/>
  <c r="F99" i="1"/>
  <c r="G99" i="1" s="1"/>
  <c r="E99" i="1"/>
  <c r="F93" i="1"/>
  <c r="E93" i="1"/>
  <c r="F87" i="1"/>
  <c r="G87" i="1" s="1"/>
  <c r="H87" i="1" s="1"/>
  <c r="E87" i="1"/>
  <c r="F81" i="1"/>
  <c r="E81" i="1"/>
  <c r="F75" i="1"/>
  <c r="G75" i="1" s="1"/>
  <c r="E75" i="1"/>
  <c r="F69" i="1"/>
  <c r="G69" i="1" s="1"/>
  <c r="E69" i="1"/>
  <c r="F63" i="1"/>
  <c r="G63" i="1" s="1"/>
  <c r="H63" i="1" s="1"/>
  <c r="E63" i="1"/>
  <c r="F57" i="1"/>
  <c r="G57" i="1" s="1"/>
  <c r="E57" i="1"/>
  <c r="F51" i="1"/>
  <c r="E51" i="1"/>
  <c r="F45" i="1"/>
  <c r="G45" i="1" s="1"/>
  <c r="H45" i="1" s="1"/>
  <c r="E45" i="1"/>
  <c r="F39" i="1"/>
  <c r="G39" i="1" s="1"/>
  <c r="H39" i="1" s="1"/>
  <c r="E39" i="1"/>
  <c r="F33" i="1"/>
  <c r="E33" i="1"/>
  <c r="F27" i="1"/>
  <c r="E27" i="1"/>
  <c r="F21" i="1"/>
  <c r="G21" i="1" s="1"/>
  <c r="H21" i="1" s="1"/>
  <c r="E21" i="1"/>
  <c r="F15" i="1"/>
  <c r="G15" i="1" s="1"/>
  <c r="H15" i="1" s="1"/>
  <c r="E15" i="1"/>
  <c r="F9" i="1"/>
  <c r="E9" i="1"/>
  <c r="F3" i="1"/>
  <c r="G3" i="1" s="1"/>
  <c r="E3" i="1"/>
  <c r="H2103" i="1" l="1"/>
  <c r="H2877" i="1"/>
  <c r="H2475" i="1"/>
  <c r="H2517" i="1"/>
  <c r="H2667" i="1"/>
  <c r="G1629" i="1"/>
  <c r="H1629" i="1" s="1"/>
  <c r="H2421" i="1"/>
  <c r="H2097" i="1"/>
  <c r="G693" i="1"/>
  <c r="H693" i="1" s="1"/>
  <c r="G1233" i="1"/>
  <c r="H1233" i="1" s="1"/>
  <c r="H1719" i="1"/>
  <c r="H1833" i="1"/>
  <c r="H2205" i="1"/>
  <c r="H2739" i="1"/>
  <c r="H2859" i="1"/>
  <c r="H2121" i="1"/>
  <c r="H1917" i="1"/>
  <c r="G2121" i="1"/>
  <c r="G1527" i="1"/>
  <c r="H1527" i="1" s="1"/>
  <c r="G2097" i="1"/>
  <c r="E51" i="2"/>
  <c r="H831" i="1"/>
  <c r="G1497" i="1"/>
  <c r="H1497" i="1" s="1"/>
  <c r="H2757" i="1"/>
  <c r="E46" i="2"/>
  <c r="E63" i="2"/>
  <c r="E56" i="2"/>
  <c r="H1215" i="1"/>
  <c r="G2271" i="1"/>
  <c r="H2271" i="1" s="1"/>
  <c r="G3099" i="1"/>
  <c r="H3099" i="1" s="1"/>
  <c r="H3357" i="1"/>
  <c r="H2445" i="1"/>
  <c r="H1821" i="1"/>
  <c r="H1149" i="1"/>
  <c r="H2979" i="1"/>
  <c r="H2277" i="1"/>
  <c r="G1065" i="1"/>
  <c r="H1065" i="1" s="1"/>
  <c r="H129" i="1"/>
  <c r="H273" i="1"/>
  <c r="H513" i="1"/>
  <c r="H657" i="1"/>
  <c r="H1431" i="1"/>
  <c r="H1695" i="1"/>
  <c r="H2001" i="1"/>
  <c r="H2301" i="1"/>
  <c r="H2919" i="1"/>
  <c r="G33" i="1"/>
  <c r="H33" i="1" s="1"/>
  <c r="G1071" i="1"/>
  <c r="H1071" i="1" s="1"/>
  <c r="H1167" i="1"/>
  <c r="H1935" i="1"/>
  <c r="G2277" i="1"/>
  <c r="G2637" i="1"/>
  <c r="H2637" i="1" s="1"/>
  <c r="G3255" i="1"/>
  <c r="H3255" i="1" s="1"/>
  <c r="E93" i="2"/>
  <c r="G453" i="1"/>
  <c r="H453" i="1" s="1"/>
  <c r="G903" i="1"/>
  <c r="H903" i="1" s="1"/>
  <c r="G1509" i="1"/>
  <c r="H1509" i="1" s="1"/>
  <c r="G1809" i="1"/>
  <c r="H1809" i="1" s="1"/>
  <c r="E72" i="2"/>
  <c r="G801" i="1"/>
  <c r="H801" i="1" s="1"/>
  <c r="H1269" i="1"/>
  <c r="H1437" i="1"/>
  <c r="G1605" i="1"/>
  <c r="H1605" i="1" s="1"/>
  <c r="H1701" i="1"/>
  <c r="G1737" i="1"/>
  <c r="H1737" i="1" s="1"/>
  <c r="G177" i="1"/>
  <c r="H177" i="1" s="1"/>
  <c r="H249" i="1"/>
  <c r="G561" i="1"/>
  <c r="H561" i="1" s="1"/>
  <c r="H633" i="1"/>
  <c r="G837" i="1"/>
  <c r="H837" i="1" s="1"/>
  <c r="G1041" i="1"/>
  <c r="H1041" i="1" s="1"/>
  <c r="H1173" i="1"/>
  <c r="G1305" i="1"/>
  <c r="H1305" i="1" s="1"/>
  <c r="H1839" i="1"/>
  <c r="G2079" i="1"/>
  <c r="H2079" i="1" s="1"/>
  <c r="G2385" i="1"/>
  <c r="H2385" i="1" s="1"/>
  <c r="G2565" i="1"/>
  <c r="H2565" i="1" s="1"/>
  <c r="G9" i="1"/>
  <c r="H9" i="1" s="1"/>
  <c r="H393" i="1"/>
  <c r="H2823" i="1"/>
  <c r="G417" i="1"/>
  <c r="H417" i="1" s="1"/>
  <c r="E111" i="2"/>
  <c r="E68" i="2"/>
  <c r="H1005" i="1"/>
  <c r="H465" i="1"/>
  <c r="G501" i="1"/>
  <c r="H501" i="1" s="1"/>
  <c r="G1311" i="1"/>
  <c r="H1311" i="1" s="1"/>
  <c r="G1449" i="1"/>
  <c r="H1449" i="1" s="1"/>
  <c r="G1989" i="1"/>
  <c r="H1989" i="1" s="1"/>
  <c r="H2085" i="1"/>
  <c r="H2463" i="1"/>
  <c r="G2535" i="1"/>
  <c r="H2535" i="1" s="1"/>
  <c r="G2613" i="1"/>
  <c r="H2613" i="1" s="1"/>
  <c r="G3015" i="1"/>
  <c r="H3015" i="1" s="1"/>
  <c r="H69" i="1"/>
  <c r="G117" i="1"/>
  <c r="H117" i="1" s="1"/>
  <c r="H2055" i="1"/>
  <c r="G81" i="1"/>
  <c r="H81" i="1" s="1"/>
  <c r="H261" i="1"/>
  <c r="H645" i="1"/>
  <c r="H951" i="1"/>
  <c r="G1119" i="1"/>
  <c r="H1119" i="1" s="1"/>
  <c r="H1551" i="1"/>
  <c r="G2727" i="1"/>
  <c r="H2727" i="1" s="1"/>
  <c r="E80" i="2"/>
  <c r="H57" i="1"/>
  <c r="H441" i="1"/>
  <c r="H1125" i="1"/>
  <c r="H1317" i="1"/>
  <c r="H1455" i="1"/>
  <c r="H1653" i="1"/>
  <c r="E49" i="2"/>
  <c r="E124" i="2"/>
  <c r="G1029" i="1"/>
  <c r="H1029" i="1" s="1"/>
  <c r="G201" i="1"/>
  <c r="H201" i="1" s="1"/>
  <c r="G585" i="1"/>
  <c r="H585" i="1" s="1"/>
  <c r="G153" i="1"/>
  <c r="H153" i="1" s="1"/>
  <c r="G537" i="1"/>
  <c r="H537" i="1" s="1"/>
  <c r="H345" i="1"/>
  <c r="G483" i="1"/>
  <c r="H483" i="1" s="1"/>
  <c r="G1077" i="1"/>
  <c r="H1077" i="1" s="1"/>
  <c r="H1251" i="1"/>
  <c r="G1461" i="1"/>
  <c r="H1461" i="1" s="1"/>
  <c r="H1611" i="1"/>
  <c r="H1671" i="1"/>
  <c r="H1767" i="1"/>
  <c r="H1791" i="1"/>
  <c r="H1941" i="1"/>
  <c r="G2703" i="1"/>
  <c r="H2703" i="1" s="1"/>
  <c r="H2799" i="1"/>
  <c r="H3135" i="1"/>
  <c r="H75" i="1"/>
  <c r="H267" i="1"/>
  <c r="H459" i="1"/>
  <c r="H651" i="1"/>
  <c r="H843" i="1"/>
  <c r="G1341" i="1"/>
  <c r="H1341" i="1" s="1"/>
  <c r="H2067" i="1"/>
  <c r="G3009" i="1"/>
  <c r="H3009" i="1" s="1"/>
  <c r="H3177" i="1"/>
  <c r="G3141" i="1"/>
  <c r="H3141" i="1" s="1"/>
  <c r="G297" i="1"/>
  <c r="H297" i="1" s="1"/>
  <c r="G681" i="1"/>
  <c r="H681" i="1" s="1"/>
  <c r="G1287" i="1"/>
  <c r="H1287" i="1" s="1"/>
  <c r="G1407" i="1"/>
  <c r="H1407" i="1" s="1"/>
  <c r="G1827" i="1"/>
  <c r="H1827" i="1" s="1"/>
  <c r="H2037" i="1"/>
  <c r="G2253" i="1"/>
  <c r="H2253" i="1" s="1"/>
  <c r="G2769" i="1"/>
  <c r="H2769" i="1" s="1"/>
  <c r="G3213" i="1"/>
  <c r="H3213" i="1" s="1"/>
  <c r="G3285" i="1"/>
  <c r="H3285" i="1" s="1"/>
  <c r="G3387" i="1"/>
  <c r="H3387" i="1" s="1"/>
  <c r="G1947" i="1"/>
  <c r="H1947" i="1" s="1"/>
  <c r="G2709" i="1"/>
  <c r="H2709" i="1" s="1"/>
  <c r="G2901" i="1"/>
  <c r="H2901" i="1" s="1"/>
  <c r="G105" i="1"/>
  <c r="H105" i="1" s="1"/>
  <c r="G489" i="1"/>
  <c r="H489" i="1" s="1"/>
  <c r="G1083" i="1"/>
  <c r="H1083" i="1" s="1"/>
  <c r="G1467" i="1"/>
  <c r="H1467" i="1" s="1"/>
  <c r="G1587" i="1"/>
  <c r="H1587" i="1" s="1"/>
  <c r="G2007" i="1"/>
  <c r="H2007" i="1" s="1"/>
  <c r="G51" i="1"/>
  <c r="H51" i="1" s="1"/>
  <c r="G243" i="1"/>
  <c r="H243" i="1" s="1"/>
  <c r="G435" i="1"/>
  <c r="H435" i="1" s="1"/>
  <c r="G627" i="1"/>
  <c r="H627" i="1" s="1"/>
  <c r="G819" i="1"/>
  <c r="H819" i="1" s="1"/>
  <c r="H879" i="1"/>
  <c r="G999" i="1"/>
  <c r="H999" i="1" s="1"/>
  <c r="G1227" i="1"/>
  <c r="H1227" i="1" s="1"/>
  <c r="H1383" i="1"/>
  <c r="H1557" i="1"/>
  <c r="G1647" i="1"/>
  <c r="H1647" i="1" s="1"/>
  <c r="G1707" i="1"/>
  <c r="H1707" i="1" s="1"/>
  <c r="H1863" i="1"/>
  <c r="H2133" i="1"/>
  <c r="H2349" i="1"/>
  <c r="G2505" i="1"/>
  <c r="H2505" i="1" s="1"/>
  <c r="G2673" i="1"/>
  <c r="H2673" i="1" s="1"/>
  <c r="G2907" i="1"/>
  <c r="H2907" i="1" s="1"/>
  <c r="G3081" i="1"/>
  <c r="H3081" i="1" s="1"/>
  <c r="G2127" i="1"/>
  <c r="H2127" i="1" s="1"/>
  <c r="G3075" i="1"/>
  <c r="H3075" i="1" s="1"/>
  <c r="G2043" i="1"/>
  <c r="H2043" i="1" s="1"/>
  <c r="G2223" i="1"/>
  <c r="H2223" i="1" s="1"/>
  <c r="H3" i="1"/>
  <c r="G27" i="1"/>
  <c r="H27" i="1" s="1"/>
  <c r="G219" i="1"/>
  <c r="H219" i="1" s="1"/>
  <c r="G411" i="1"/>
  <c r="H411" i="1" s="1"/>
  <c r="G603" i="1"/>
  <c r="H603" i="1" s="1"/>
  <c r="G795" i="1"/>
  <c r="H795" i="1" s="1"/>
  <c r="G939" i="1"/>
  <c r="H939" i="1" s="1"/>
  <c r="G1059" i="1"/>
  <c r="H1059" i="1" s="1"/>
  <c r="G1203" i="1"/>
  <c r="H1203" i="1" s="1"/>
  <c r="H1263" i="1"/>
  <c r="G1563" i="1"/>
  <c r="H1563" i="1" s="1"/>
  <c r="G1683" i="1"/>
  <c r="H1683" i="1" s="1"/>
  <c r="G1743" i="1"/>
  <c r="H1743" i="1" s="1"/>
  <c r="G2259" i="1"/>
  <c r="H2259" i="1" s="1"/>
  <c r="G2541" i="1"/>
  <c r="H2541" i="1" s="1"/>
  <c r="G2643" i="1"/>
  <c r="H2643" i="1" s="1"/>
  <c r="H2679" i="1"/>
  <c r="H2811" i="1"/>
  <c r="G2913" i="1"/>
  <c r="H2913" i="1" s="1"/>
  <c r="H3087" i="1"/>
  <c r="H3219" i="1"/>
  <c r="G3291" i="1"/>
  <c r="H3291" i="1" s="1"/>
  <c r="G1623" i="1"/>
  <c r="H1623" i="1" s="1"/>
  <c r="G141" i="1"/>
  <c r="H141" i="1" s="1"/>
  <c r="G333" i="1"/>
  <c r="H333" i="1" s="1"/>
  <c r="G525" i="1"/>
  <c r="H525" i="1" s="1"/>
  <c r="G717" i="1"/>
  <c r="H717" i="1" s="1"/>
  <c r="G855" i="1"/>
  <c r="H855" i="1" s="1"/>
  <c r="H885" i="1"/>
  <c r="G915" i="1"/>
  <c r="H915" i="1" s="1"/>
  <c r="G975" i="1"/>
  <c r="H975" i="1" s="1"/>
  <c r="G1179" i="1"/>
  <c r="H1179" i="1" s="1"/>
  <c r="G1389" i="1"/>
  <c r="H1389" i="1" s="1"/>
  <c r="H1479" i="1"/>
  <c r="H1749" i="1"/>
  <c r="H2319" i="1"/>
  <c r="G2415" i="1"/>
  <c r="H2415" i="1" s="1"/>
  <c r="G2547" i="1"/>
  <c r="H2547" i="1" s="1"/>
  <c r="H2649" i="1"/>
  <c r="G2847" i="1"/>
  <c r="H2847" i="1" s="1"/>
  <c r="H387" i="1"/>
  <c r="H579" i="1"/>
  <c r="H1323" i="1"/>
  <c r="G1443" i="1"/>
  <c r="H1443" i="1" s="1"/>
  <c r="H1869" i="1"/>
  <c r="G2139" i="1"/>
  <c r="H2139" i="1" s="1"/>
  <c r="G2229" i="1"/>
  <c r="H2229" i="1" s="1"/>
  <c r="H2355" i="1"/>
  <c r="G2583" i="1"/>
  <c r="H2583" i="1" s="1"/>
  <c r="G2949" i="1"/>
  <c r="H2949" i="1" s="1"/>
  <c r="G3363" i="1"/>
  <c r="H3363" i="1" s="1"/>
  <c r="H3459" i="1"/>
  <c r="H171" i="1"/>
  <c r="H363" i="1"/>
  <c r="H555" i="1"/>
  <c r="H747" i="1"/>
  <c r="H1299" i="1"/>
  <c r="G1659" i="1"/>
  <c r="H1659" i="1" s="1"/>
  <c r="G2109" i="1"/>
  <c r="H2109" i="1" s="1"/>
  <c r="H2235" i="1"/>
  <c r="G2685" i="1"/>
  <c r="H2685" i="1" s="1"/>
  <c r="G2991" i="1"/>
  <c r="H2991" i="1" s="1"/>
  <c r="G3093" i="1"/>
  <c r="H3093" i="1" s="1"/>
  <c r="H771" i="1"/>
  <c r="H891" i="1"/>
  <c r="H981" i="1"/>
  <c r="G1239" i="1"/>
  <c r="H1239" i="1" s="1"/>
  <c r="G1359" i="1"/>
  <c r="H1359" i="1" s="1"/>
  <c r="H1875" i="1"/>
  <c r="G2325" i="1"/>
  <c r="H2325" i="1" s="1"/>
  <c r="G2553" i="1"/>
  <c r="H2553" i="1" s="1"/>
  <c r="G2619" i="1"/>
  <c r="H2619" i="1" s="1"/>
  <c r="G2853" i="1"/>
  <c r="H2853" i="1" s="1"/>
  <c r="H3057" i="1"/>
  <c r="H3333" i="1"/>
  <c r="G2961" i="1"/>
  <c r="H2961" i="1" s="1"/>
  <c r="G3231" i="1"/>
  <c r="H3231" i="1" s="1"/>
  <c r="H195" i="1"/>
  <c r="G93" i="1"/>
  <c r="H93" i="1" s="1"/>
  <c r="G147" i="1"/>
  <c r="H147" i="1" s="1"/>
  <c r="G285" i="1"/>
  <c r="H285" i="1" s="1"/>
  <c r="G339" i="1"/>
  <c r="H339" i="1" s="1"/>
  <c r="G477" i="1"/>
  <c r="H477" i="1" s="1"/>
  <c r="G669" i="1"/>
  <c r="H669" i="1" s="1"/>
  <c r="H1101" i="1"/>
  <c r="H1275" i="1"/>
  <c r="H1365" i="1"/>
  <c r="G1485" i="1"/>
  <c r="H1485" i="1" s="1"/>
  <c r="G1845" i="1"/>
  <c r="H1845" i="1" s="1"/>
  <c r="G1965" i="1"/>
  <c r="H1965" i="1" s="1"/>
  <c r="H2151" i="1"/>
  <c r="G2331" i="1"/>
  <c r="H2331" i="1" s="1"/>
  <c r="G2487" i="1"/>
  <c r="H2487" i="1" s="1"/>
  <c r="G2625" i="1"/>
  <c r="H2625" i="1" s="1"/>
  <c r="G2889" i="1"/>
  <c r="H2889" i="1" s="1"/>
  <c r="H2925" i="1"/>
  <c r="G3027" i="1"/>
  <c r="H3027" i="1" s="1"/>
  <c r="G3195" i="1"/>
  <c r="H3195" i="1" s="1"/>
  <c r="G3375" i="1"/>
  <c r="H3375" i="1" s="1"/>
  <c r="H531" i="1"/>
  <c r="G1755" i="1"/>
  <c r="H1755" i="1" s="1"/>
  <c r="H123" i="1"/>
  <c r="H315" i="1"/>
  <c r="H507" i="1"/>
  <c r="H699" i="1"/>
  <c r="G987" i="1"/>
  <c r="H987" i="1" s="1"/>
  <c r="G1725" i="1"/>
  <c r="H1725" i="1" s="1"/>
  <c r="G2427" i="1"/>
  <c r="H2427" i="1" s="1"/>
  <c r="H3237" i="1"/>
  <c r="G3339" i="1"/>
  <c r="H3339" i="1" s="1"/>
  <c r="H723" i="1"/>
  <c r="H1851" i="1"/>
  <c r="G2793" i="1"/>
  <c r="H2793" i="1" s="1"/>
  <c r="H99" i="1"/>
  <c r="H291" i="1"/>
  <c r="H675" i="1"/>
  <c r="G867" i="1"/>
  <c r="H867" i="1" s="1"/>
  <c r="G957" i="1"/>
  <c r="H957" i="1" s="1"/>
  <c r="H1107" i="1"/>
  <c r="G1371" i="1"/>
  <c r="H1371" i="1" s="1"/>
  <c r="G1491" i="1"/>
  <c r="H1491" i="1" s="1"/>
  <c r="H1581" i="1"/>
  <c r="G1851" i="1"/>
  <c r="G1971" i="1"/>
  <c r="H1971" i="1" s="1"/>
  <c r="H2031" i="1"/>
  <c r="H2091" i="1"/>
  <c r="G2211" i="1"/>
  <c r="H2211" i="1" s="1"/>
  <c r="H2247" i="1"/>
  <c r="G2493" i="1"/>
  <c r="H2493" i="1" s="1"/>
  <c r="G2631" i="1"/>
  <c r="H2631" i="1" s="1"/>
  <c r="H2931" i="1"/>
  <c r="G3003" i="1"/>
  <c r="H3003" i="1" s="1"/>
  <c r="H3345" i="1"/>
  <c r="G3441" i="1"/>
  <c r="H3441" i="1" s="1"/>
  <c r="E62" i="2"/>
  <c r="E85" i="2"/>
  <c r="E94" i="2"/>
  <c r="E109" i="2"/>
  <c r="E119" i="2"/>
  <c r="E287" i="2"/>
  <c r="E393" i="2"/>
  <c r="E90" i="2"/>
  <c r="E128" i="2"/>
  <c r="E161" i="2"/>
  <c r="E172" i="2"/>
  <c r="E223" i="2"/>
  <c r="H1635" i="1"/>
  <c r="H2019" i="1"/>
  <c r="H2403" i="1"/>
  <c r="G3171" i="1"/>
  <c r="H3171" i="1" s="1"/>
  <c r="H3417" i="1"/>
  <c r="E71" i="2"/>
  <c r="E86" i="2"/>
  <c r="E139" i="2"/>
  <c r="H1995" i="1"/>
  <c r="H2379" i="1"/>
  <c r="G2787" i="1"/>
  <c r="H2787" i="1" s="1"/>
  <c r="H3033" i="1"/>
  <c r="H3393" i="1"/>
  <c r="H3477" i="1"/>
  <c r="E67" i="2"/>
  <c r="E129" i="2"/>
  <c r="E188" i="2"/>
  <c r="E95" i="2"/>
  <c r="E144" i="2"/>
  <c r="E157" i="2"/>
  <c r="E173" i="2"/>
  <c r="E267" i="2"/>
  <c r="E283" i="2"/>
  <c r="E337" i="2"/>
  <c r="E91" i="2"/>
  <c r="E115" i="2"/>
  <c r="E120" i="2"/>
  <c r="E125" i="2"/>
  <c r="E135" i="2"/>
  <c r="E150" i="2"/>
  <c r="E168" i="2"/>
  <c r="E235" i="2"/>
  <c r="G2955" i="1"/>
  <c r="H2955" i="1" s="1"/>
  <c r="G3207" i="1"/>
  <c r="H3207" i="1" s="1"/>
  <c r="G3369" i="1"/>
  <c r="H3369" i="1" s="1"/>
  <c r="G3423" i="1"/>
  <c r="H3423" i="1" s="1"/>
  <c r="G3453" i="1"/>
  <c r="H3453" i="1" s="1"/>
  <c r="E430" i="2"/>
  <c r="E50" i="2"/>
  <c r="E130" i="2"/>
  <c r="E151" i="2"/>
  <c r="E178" i="2"/>
  <c r="E189" i="2"/>
  <c r="H1131" i="1"/>
  <c r="G1155" i="1"/>
  <c r="H1155" i="1" s="1"/>
  <c r="H1515" i="1"/>
  <c r="G1539" i="1"/>
  <c r="H1539" i="1" s="1"/>
  <c r="H1899" i="1"/>
  <c r="G1923" i="1"/>
  <c r="H1923" i="1" s="1"/>
  <c r="H2283" i="1"/>
  <c r="G2307" i="1"/>
  <c r="H2307" i="1" s="1"/>
  <c r="H2601" i="1"/>
  <c r="G2985" i="1"/>
  <c r="H2985" i="1" s="1"/>
  <c r="H3069" i="1"/>
  <c r="G3069" i="1"/>
  <c r="H3153" i="1"/>
  <c r="E116" i="2"/>
  <c r="E153" i="2"/>
  <c r="E64" i="2"/>
  <c r="E73" i="2"/>
  <c r="E136" i="2"/>
  <c r="E169" i="2"/>
  <c r="E263" i="2"/>
  <c r="E279" i="2"/>
  <c r="E333" i="2"/>
  <c r="E47" i="2"/>
  <c r="E221" i="2"/>
  <c r="E204" i="2"/>
  <c r="E162" i="2"/>
  <c r="E106" i="2"/>
  <c r="E57" i="2"/>
  <c r="E225" i="2"/>
  <c r="E208" i="2"/>
  <c r="E166" i="2"/>
  <c r="E105" i="2"/>
  <c r="E281" i="2"/>
  <c r="E264" i="2"/>
  <c r="E247" i="2"/>
  <c r="E229" i="2"/>
  <c r="E212" i="2"/>
  <c r="E170" i="2"/>
  <c r="E300" i="2"/>
  <c r="E285" i="2"/>
  <c r="E268" i="2"/>
  <c r="E233" i="2"/>
  <c r="E216" i="2"/>
  <c r="E199" i="2"/>
  <c r="E289" i="2"/>
  <c r="E272" i="2"/>
  <c r="E237" i="2"/>
  <c r="E220" i="2"/>
  <c r="E203" i="2"/>
  <c r="E241" i="2"/>
  <c r="E224" i="2"/>
  <c r="E207" i="2"/>
  <c r="E182" i="2"/>
  <c r="E165" i="2"/>
  <c r="E149" i="2"/>
  <c r="E132" i="2"/>
  <c r="E280" i="2"/>
  <c r="E245" i="2"/>
  <c r="E228" i="2"/>
  <c r="E186" i="2"/>
  <c r="E148" i="2"/>
  <c r="E98" i="2"/>
  <c r="E123" i="2"/>
  <c r="E97" i="2"/>
  <c r="E82" i="2"/>
  <c r="E271" i="2"/>
  <c r="E236" i="2"/>
  <c r="E219" i="2"/>
  <c r="E194" i="2"/>
  <c r="E177" i="2"/>
  <c r="E160" i="2"/>
  <c r="E76" i="2"/>
  <c r="E205" i="2"/>
  <c r="E87" i="2"/>
  <c r="E74" i="2"/>
  <c r="E254" i="2"/>
  <c r="E239" i="2"/>
  <c r="E209" i="2"/>
  <c r="E180" i="2"/>
  <c r="E117" i="2"/>
  <c r="E265" i="2"/>
  <c r="E253" i="2"/>
  <c r="E243" i="2"/>
  <c r="E213" i="2"/>
  <c r="E184" i="2"/>
  <c r="E154" i="2"/>
  <c r="E200" i="2"/>
  <c r="E158" i="2"/>
  <c r="E108" i="2"/>
  <c r="E58" i="2"/>
  <c r="E69" i="2"/>
  <c r="E121" i="2"/>
  <c r="E131" i="2"/>
  <c r="E164" i="2"/>
  <c r="E174" i="2"/>
  <c r="E215" i="2"/>
  <c r="E231" i="2"/>
  <c r="E52" i="2"/>
  <c r="E65" i="2"/>
  <c r="E112" i="2"/>
  <c r="E141" i="2"/>
  <c r="E185" i="2"/>
  <c r="G2391" i="1"/>
  <c r="H2391" i="1" s="1"/>
  <c r="G2469" i="1"/>
  <c r="H2469" i="1" s="1"/>
  <c r="G2523" i="1"/>
  <c r="H2523" i="1" s="1"/>
  <c r="G2577" i="1"/>
  <c r="H2577" i="1" s="1"/>
  <c r="G2607" i="1"/>
  <c r="H2607" i="1" s="1"/>
  <c r="G2691" i="1"/>
  <c r="H2691" i="1" s="1"/>
  <c r="G2829" i="1"/>
  <c r="H2829" i="1" s="1"/>
  <c r="G3129" i="1"/>
  <c r="H3129" i="1" s="1"/>
  <c r="G3159" i="1"/>
  <c r="H3159" i="1" s="1"/>
  <c r="G3267" i="1"/>
  <c r="H3267" i="1" s="1"/>
  <c r="G3351" i="1"/>
  <c r="H3351" i="1" s="1"/>
  <c r="E54" i="2"/>
  <c r="E99" i="2"/>
  <c r="H1011" i="1"/>
  <c r="G1035" i="1"/>
  <c r="H1035" i="1" s="1"/>
  <c r="H1395" i="1"/>
  <c r="G1419" i="1"/>
  <c r="H1419" i="1" s="1"/>
  <c r="H1779" i="1"/>
  <c r="G1803" i="1"/>
  <c r="H1803" i="1" s="1"/>
  <c r="H2163" i="1"/>
  <c r="G2187" i="1"/>
  <c r="H2187" i="1" s="1"/>
  <c r="H2721" i="1"/>
  <c r="G2745" i="1"/>
  <c r="H2745" i="1" s="1"/>
  <c r="H2937" i="1"/>
  <c r="G2967" i="1"/>
  <c r="H2967" i="1" s="1"/>
  <c r="G3105" i="1"/>
  <c r="H3105" i="1" s="1"/>
  <c r="H3297" i="1"/>
  <c r="G3321" i="1"/>
  <c r="H3321" i="1" s="1"/>
  <c r="H3465" i="1"/>
  <c r="E55" i="2"/>
  <c r="E101" i="2"/>
  <c r="E275" i="2"/>
  <c r="E329" i="2"/>
  <c r="E89" i="2"/>
  <c r="E102" i="2"/>
  <c r="E113" i="2"/>
  <c r="E127" i="2"/>
  <c r="E137" i="2"/>
  <c r="E211" i="2"/>
  <c r="E227" i="2"/>
  <c r="H963" i="1"/>
  <c r="H1347" i="1"/>
  <c r="H1731" i="1"/>
  <c r="H2115" i="1"/>
  <c r="H2529" i="1"/>
  <c r="H2697" i="1"/>
  <c r="G3273" i="1"/>
  <c r="H3273" i="1" s="1"/>
  <c r="E48" i="2"/>
  <c r="E59" i="2"/>
  <c r="E70" i="2"/>
  <c r="E83" i="2"/>
  <c r="E104" i="2"/>
  <c r="E176" i="2"/>
  <c r="E181" i="2"/>
  <c r="E61" i="2"/>
  <c r="E66" i="2"/>
  <c r="E84" i="2"/>
  <c r="E133" i="2"/>
  <c r="E143" i="2"/>
  <c r="E156" i="2"/>
  <c r="E134" i="2"/>
  <c r="E167" i="2"/>
  <c r="E217" i="2"/>
  <c r="E250" i="2"/>
  <c r="E269" i="2"/>
  <c r="E278" i="2"/>
  <c r="E309" i="2"/>
  <c r="E328" i="2"/>
  <c r="E350" i="2"/>
  <c r="E355" i="2"/>
  <c r="E377" i="2"/>
  <c r="E392" i="2"/>
  <c r="E409" i="2"/>
  <c r="E453" i="2"/>
  <c r="E463" i="2"/>
  <c r="E770" i="2"/>
  <c r="E163" i="2"/>
  <c r="E274" i="2"/>
  <c r="E305" i="2"/>
  <c r="E373" i="2"/>
  <c r="E387" i="2"/>
  <c r="E419" i="2"/>
  <c r="E429" i="2"/>
  <c r="E468" i="2"/>
  <c r="E493" i="2"/>
  <c r="E575" i="2"/>
  <c r="E639" i="2"/>
  <c r="E655" i="2"/>
  <c r="E671" i="2"/>
  <c r="E126" i="2"/>
  <c r="E159" i="2"/>
  <c r="E261" i="2"/>
  <c r="E270" i="2"/>
  <c r="E291" i="2"/>
  <c r="E360" i="2"/>
  <c r="E439" i="2"/>
  <c r="E449" i="2"/>
  <c r="E459" i="2"/>
  <c r="E469" i="2"/>
  <c r="E517" i="2"/>
  <c r="E561" i="2"/>
  <c r="E841" i="2"/>
  <c r="E96" i="2"/>
  <c r="E122" i="2"/>
  <c r="E155" i="2"/>
  <c r="E257" i="2"/>
  <c r="E266" i="2"/>
  <c r="E315" i="2"/>
  <c r="E351" i="2"/>
  <c r="E405" i="2"/>
  <c r="E410" i="2"/>
  <c r="E415" i="2"/>
  <c r="E425" i="2"/>
  <c r="E434" i="2"/>
  <c r="E581" i="2"/>
  <c r="E661" i="2"/>
  <c r="E744" i="2"/>
  <c r="E92" i="2"/>
  <c r="E118" i="2"/>
  <c r="E201" i="2"/>
  <c r="E262" i="2"/>
  <c r="E306" i="2"/>
  <c r="E361" i="2"/>
  <c r="E378" i="2"/>
  <c r="E383" i="2"/>
  <c r="E445" i="2"/>
  <c r="E489" i="2"/>
  <c r="E509" i="2"/>
  <c r="E615" i="2"/>
  <c r="E766" i="2"/>
  <c r="H2457" i="1"/>
  <c r="G2481" i="1"/>
  <c r="H2481" i="1" s="1"/>
  <c r="G2559" i="1"/>
  <c r="H2559" i="1" s="1"/>
  <c r="G2661" i="1"/>
  <c r="H2661" i="1" s="1"/>
  <c r="G2763" i="1"/>
  <c r="H2763" i="1" s="1"/>
  <c r="H2841" i="1"/>
  <c r="G2865" i="1"/>
  <c r="H2865" i="1" s="1"/>
  <c r="G2943" i="1"/>
  <c r="H2943" i="1" s="1"/>
  <c r="G3045" i="1"/>
  <c r="H3045" i="1" s="1"/>
  <c r="G3147" i="1"/>
  <c r="H3147" i="1" s="1"/>
  <c r="H3225" i="1"/>
  <c r="G3249" i="1"/>
  <c r="H3249" i="1" s="1"/>
  <c r="G3327" i="1"/>
  <c r="H3327" i="1" s="1"/>
  <c r="G3429" i="1"/>
  <c r="H3429" i="1" s="1"/>
  <c r="E77" i="2"/>
  <c r="E88" i="2"/>
  <c r="E114" i="2"/>
  <c r="E190" i="2"/>
  <c r="E244" i="2"/>
  <c r="E258" i="2"/>
  <c r="E311" i="2"/>
  <c r="E356" i="2"/>
  <c r="E374" i="2"/>
  <c r="E460" i="2"/>
  <c r="E667" i="2"/>
  <c r="H2433" i="1"/>
  <c r="H2817" i="1"/>
  <c r="H3201" i="1"/>
  <c r="E5808" i="2"/>
  <c r="E5792" i="2"/>
  <c r="E5776" i="2"/>
  <c r="E5748" i="2"/>
  <c r="E5720" i="2"/>
  <c r="E5608" i="2"/>
  <c r="E5580" i="2"/>
  <c r="E5807" i="2"/>
  <c r="E5791" i="2"/>
  <c r="E5775" i="2"/>
  <c r="E5747" i="2"/>
  <c r="E5719" i="2"/>
  <c r="E5607" i="2"/>
  <c r="E5579" i="2"/>
  <c r="E5503" i="2"/>
  <c r="E5463" i="2"/>
  <c r="E5449" i="2"/>
  <c r="E5435" i="2"/>
  <c r="E5395" i="2"/>
  <c r="E5381" i="2"/>
  <c r="E5367" i="2"/>
  <c r="E5341" i="2"/>
  <c r="E5327" i="2"/>
  <c r="E5806" i="2"/>
  <c r="E5790" i="2"/>
  <c r="E5774" i="2"/>
  <c r="E5746" i="2"/>
  <c r="E5646" i="2"/>
  <c r="E5606" i="2"/>
  <c r="E5578" i="2"/>
  <c r="E5490" i="2"/>
  <c r="E5462" i="2"/>
  <c r="E5448" i="2"/>
  <c r="E5434" i="2"/>
  <c r="E5394" i="2"/>
  <c r="E5380" i="2"/>
  <c r="E5366" i="2"/>
  <c r="E5340" i="2"/>
  <c r="E5326" i="2"/>
  <c r="E5286" i="2"/>
  <c r="E5246" i="2"/>
  <c r="E5218" i="2"/>
  <c r="E5190" i="2"/>
  <c r="E5805" i="2"/>
  <c r="E5789" i="2"/>
  <c r="E5773" i="2"/>
  <c r="E5745" i="2"/>
  <c r="E5645" i="2"/>
  <c r="E5605" i="2"/>
  <c r="E5577" i="2"/>
  <c r="E5489" i="2"/>
  <c r="E5461" i="2"/>
  <c r="E5447" i="2"/>
  <c r="E5440" i="2"/>
  <c r="E5433" i="2"/>
  <c r="E5408" i="2"/>
  <c r="E5404" i="2"/>
  <c r="E5400" i="2"/>
  <c r="E5804" i="2"/>
  <c r="E5788" i="2"/>
  <c r="E5772" i="2"/>
  <c r="E5744" i="2"/>
  <c r="E5644" i="2"/>
  <c r="E5604" i="2"/>
  <c r="E5576" i="2"/>
  <c r="E5803" i="2"/>
  <c r="E5787" i="2"/>
  <c r="E5771" i="2"/>
  <c r="E5743" i="2"/>
  <c r="E5643" i="2"/>
  <c r="E5603" i="2"/>
  <c r="E5575" i="2"/>
  <c r="E5487" i="2"/>
  <c r="E5459" i="2"/>
  <c r="E5445" i="2"/>
  <c r="E5419" i="2"/>
  <c r="E5391" i="2"/>
  <c r="E5377" i="2"/>
  <c r="E5363" i="2"/>
  <c r="E5311" i="2"/>
  <c r="E5283" i="2"/>
  <c r="E5243" i="2"/>
  <c r="E5802" i="2"/>
  <c r="E5786" i="2"/>
  <c r="E5770" i="2"/>
  <c r="E5730" i="2"/>
  <c r="E5642" i="2"/>
  <c r="E5602" i="2"/>
  <c r="E5514" i="2"/>
  <c r="E5486" i="2"/>
  <c r="E5444" i="2"/>
  <c r="E5418" i="2"/>
  <c r="E5390" i="2"/>
  <c r="E5376" i="2"/>
  <c r="E5310" i="2"/>
  <c r="E5282" i="2"/>
  <c r="E5242" i="2"/>
  <c r="E5214" i="2"/>
  <c r="E5186" i="2"/>
  <c r="E5106" i="2"/>
  <c r="E5801" i="2"/>
  <c r="E5785" i="2"/>
  <c r="E5769" i="2"/>
  <c r="E5729" i="2"/>
  <c r="E5641" i="2"/>
  <c r="E5601" i="2"/>
  <c r="E5513" i="2"/>
  <c r="E5485" i="2"/>
  <c r="E5443" i="2"/>
  <c r="E5439" i="2"/>
  <c r="E5417" i="2"/>
  <c r="E5407" i="2"/>
  <c r="E5403" i="2"/>
  <c r="E5399" i="2"/>
  <c r="E5389" i="2"/>
  <c r="E5800" i="2"/>
  <c r="E5784" i="2"/>
  <c r="E5768" i="2"/>
  <c r="E5728" i="2"/>
  <c r="E5640" i="2"/>
  <c r="E5600" i="2"/>
  <c r="E5512" i="2"/>
  <c r="E5799" i="2"/>
  <c r="E5783" i="2"/>
  <c r="E5767" i="2"/>
  <c r="E5727" i="2"/>
  <c r="E5639" i="2"/>
  <c r="E5599" i="2"/>
  <c r="E5511" i="2"/>
  <c r="E5483" i="2"/>
  <c r="E5415" i="2"/>
  <c r="E5295" i="2"/>
  <c r="E5279" i="2"/>
  <c r="E5227" i="2"/>
  <c r="E5211" i="2"/>
  <c r="E5171" i="2"/>
  <c r="E5798" i="2"/>
  <c r="E5782" i="2"/>
  <c r="E5754" i="2"/>
  <c r="E5726" i="2"/>
  <c r="E5638" i="2"/>
  <c r="E5586" i="2"/>
  <c r="E5510" i="2"/>
  <c r="E5482" i="2"/>
  <c r="E5414" i="2"/>
  <c r="E5294" i="2"/>
  <c r="E5266" i="2"/>
  <c r="E5226" i="2"/>
  <c r="E5210" i="2"/>
  <c r="E5170" i="2"/>
  <c r="E5102" i="2"/>
  <c r="E5797" i="2"/>
  <c r="E5781" i="2"/>
  <c r="E5753" i="2"/>
  <c r="E5725" i="2"/>
  <c r="E5637" i="2"/>
  <c r="E5585" i="2"/>
  <c r="E5509" i="2"/>
  <c r="E5481" i="2"/>
  <c r="E5442" i="2"/>
  <c r="E5438" i="2"/>
  <c r="E5413" i="2"/>
  <c r="E5406" i="2"/>
  <c r="E5402" i="2"/>
  <c r="E5398" i="2"/>
  <c r="E5388" i="2"/>
  <c r="E5796" i="2"/>
  <c r="E5780" i="2"/>
  <c r="E5752" i="2"/>
  <c r="E5724" i="2"/>
  <c r="E5636" i="2"/>
  <c r="E5584" i="2"/>
  <c r="E5795" i="2"/>
  <c r="E5779" i="2"/>
  <c r="E5751" i="2"/>
  <c r="E5723" i="2"/>
  <c r="E5635" i="2"/>
  <c r="E5583" i="2"/>
  <c r="E5507" i="2"/>
  <c r="E5467" i="2"/>
  <c r="E5411" i="2"/>
  <c r="E5331" i="2"/>
  <c r="E5291" i="2"/>
  <c r="E5263" i="2"/>
  <c r="E5223" i="2"/>
  <c r="E5195" i="2"/>
  <c r="E5794" i="2"/>
  <c r="E5778" i="2"/>
  <c r="E5750" i="2"/>
  <c r="E5722" i="2"/>
  <c r="E5610" i="2"/>
  <c r="E5582" i="2"/>
  <c r="E5506" i="2"/>
  <c r="E5466" i="2"/>
  <c r="E5452" i="2"/>
  <c r="E5410" i="2"/>
  <c r="E5344" i="2"/>
  <c r="E5330" i="2"/>
  <c r="E5290" i="2"/>
  <c r="E5262" i="2"/>
  <c r="E5222" i="2"/>
  <c r="E5194" i="2"/>
  <c r="E5166" i="2"/>
  <c r="E5793" i="2"/>
  <c r="E5777" i="2"/>
  <c r="E5749" i="2"/>
  <c r="E5721" i="2"/>
  <c r="E5609" i="2"/>
  <c r="E5581" i="2"/>
  <c r="E5505" i="2"/>
  <c r="E5465" i="2"/>
  <c r="E5451" i="2"/>
  <c r="E5441" i="2"/>
  <c r="E5437" i="2"/>
  <c r="E5409" i="2"/>
  <c r="E5405" i="2"/>
  <c r="E5401" i="2"/>
  <c r="E5508" i="2"/>
  <c r="E5374" i="2"/>
  <c r="E5370" i="2"/>
  <c r="E5324" i="2"/>
  <c r="E5305" i="2"/>
  <c r="E5261" i="2"/>
  <c r="E5217" i="2"/>
  <c r="E5182" i="2"/>
  <c r="E5149" i="2"/>
  <c r="E5135" i="2"/>
  <c r="E5104" i="2"/>
  <c r="E5050" i="2"/>
  <c r="E5036" i="2"/>
  <c r="E5022" i="2"/>
  <c r="E4982" i="2"/>
  <c r="E4968" i="2"/>
  <c r="E4914" i="2"/>
  <c r="E4874" i="2"/>
  <c r="E4846" i="2"/>
  <c r="E4778" i="2"/>
  <c r="E4698" i="2"/>
  <c r="E4618" i="2"/>
  <c r="E4590" i="2"/>
  <c r="E4550" i="2"/>
  <c r="E4510" i="2"/>
  <c r="E4494" i="2"/>
  <c r="E4442" i="2"/>
  <c r="E4416" i="2"/>
  <c r="E5504" i="2"/>
  <c r="E5450" i="2"/>
  <c r="E5397" i="2"/>
  <c r="E5343" i="2"/>
  <c r="E5293" i="2"/>
  <c r="E5260" i="2"/>
  <c r="E5216" i="2"/>
  <c r="E5193" i="2"/>
  <c r="E5148" i="2"/>
  <c r="E5144" i="2"/>
  <c r="E5134" i="2"/>
  <c r="E5103" i="2"/>
  <c r="E5049" i="2"/>
  <c r="E5035" i="2"/>
  <c r="E5021" i="2"/>
  <c r="E4981" i="2"/>
  <c r="E4967" i="2"/>
  <c r="E4941" i="2"/>
  <c r="E4913" i="2"/>
  <c r="E4873" i="2"/>
  <c r="E4845" i="2"/>
  <c r="E4777" i="2"/>
  <c r="E4697" i="2"/>
  <c r="E4617" i="2"/>
  <c r="E4589" i="2"/>
  <c r="E4549" i="2"/>
  <c r="E4509" i="2"/>
  <c r="E4469" i="2"/>
  <c r="E4441" i="2"/>
  <c r="E4415" i="2"/>
  <c r="E4373" i="2"/>
  <c r="E4281" i="2"/>
  <c r="E4229" i="2"/>
  <c r="E4201" i="2"/>
  <c r="E4161" i="2"/>
  <c r="E4133" i="2"/>
  <c r="E5446" i="2"/>
  <c r="E5396" i="2"/>
  <c r="E5342" i="2"/>
  <c r="E5292" i="2"/>
  <c r="E5259" i="2"/>
  <c r="E5238" i="2"/>
  <c r="E5234" i="2"/>
  <c r="E5230" i="2"/>
  <c r="E5215" i="2"/>
  <c r="E5192" i="2"/>
  <c r="E5133" i="2"/>
  <c r="E5121" i="2"/>
  <c r="E5117" i="2"/>
  <c r="E5113" i="2"/>
  <c r="E5101" i="2"/>
  <c r="E5048" i="2"/>
  <c r="E5034" i="2"/>
  <c r="E5020" i="2"/>
  <c r="E4980" i="2"/>
  <c r="E4966" i="2"/>
  <c r="E4940" i="2"/>
  <c r="E4912" i="2"/>
  <c r="E4908" i="2"/>
  <c r="E4904" i="2"/>
  <c r="E4900" i="2"/>
  <c r="E4872" i="2"/>
  <c r="E4844" i="2"/>
  <c r="E4822" i="2"/>
  <c r="E4818" i="2"/>
  <c r="E4776" i="2"/>
  <c r="E4754" i="2"/>
  <c r="E4750" i="2"/>
  <c r="E4723" i="2"/>
  <c r="E4719" i="2"/>
  <c r="E5393" i="2"/>
  <c r="E5385" i="2"/>
  <c r="E5339" i="2"/>
  <c r="E5335" i="2"/>
  <c r="E5289" i="2"/>
  <c r="E5213" i="2"/>
  <c r="E5191" i="2"/>
  <c r="E5100" i="2"/>
  <c r="E5065" i="2"/>
  <c r="E5061" i="2"/>
  <c r="E5057" i="2"/>
  <c r="E5047" i="2"/>
  <c r="E5033" i="2"/>
  <c r="E5019" i="2"/>
  <c r="E5012" i="2"/>
  <c r="E5008" i="2"/>
  <c r="E5004" i="2"/>
  <c r="E4994" i="2"/>
  <c r="E4990" i="2"/>
  <c r="E4986" i="2"/>
  <c r="E4979" i="2"/>
  <c r="E4972" i="2"/>
  <c r="E4965" i="2"/>
  <c r="E4939" i="2"/>
  <c r="E4899" i="2"/>
  <c r="E4889" i="2"/>
  <c r="E4885" i="2"/>
  <c r="E4881" i="2"/>
  <c r="E4871" i="2"/>
  <c r="E4867" i="2"/>
  <c r="E4863" i="2"/>
  <c r="E4859" i="2"/>
  <c r="E5392" i="2"/>
  <c r="E5373" i="2"/>
  <c r="E5369" i="2"/>
  <c r="E5288" i="2"/>
  <c r="E5212" i="2"/>
  <c r="E5189" i="2"/>
  <c r="E5181" i="2"/>
  <c r="E5177" i="2"/>
  <c r="E5173" i="2"/>
  <c r="E5163" i="2"/>
  <c r="E5159" i="2"/>
  <c r="E5155" i="2"/>
  <c r="E5099" i="2"/>
  <c r="E5046" i="2"/>
  <c r="E5032" i="2"/>
  <c r="E5018" i="2"/>
  <c r="E4978" i="2"/>
  <c r="E4964" i="2"/>
  <c r="E4938" i="2"/>
  <c r="E4898" i="2"/>
  <c r="E4858" i="2"/>
  <c r="E4842" i="2"/>
  <c r="E4816" i="2"/>
  <c r="E4802" i="2"/>
  <c r="E4762" i="2"/>
  <c r="E4748" i="2"/>
  <c r="E4734" i="2"/>
  <c r="E4682" i="2"/>
  <c r="E4668" i="2"/>
  <c r="E4602" i="2"/>
  <c r="E4574" i="2"/>
  <c r="E4546" i="2"/>
  <c r="E5436" i="2"/>
  <c r="E5287" i="2"/>
  <c r="E5209" i="2"/>
  <c r="E5188" i="2"/>
  <c r="E5147" i="2"/>
  <c r="E5143" i="2"/>
  <c r="E5098" i="2"/>
  <c r="E5045" i="2"/>
  <c r="E5041" i="2"/>
  <c r="E5031" i="2"/>
  <c r="E5017" i="2"/>
  <c r="E4977" i="2"/>
  <c r="E4963" i="2"/>
  <c r="E4956" i="2"/>
  <c r="E4952" i="2"/>
  <c r="E4948" i="2"/>
  <c r="E4944" i="2"/>
  <c r="E4937" i="2"/>
  <c r="E4930" i="2"/>
  <c r="E4926" i="2"/>
  <c r="E4922" i="2"/>
  <c r="E4897" i="2"/>
  <c r="E4857" i="2"/>
  <c r="E4841" i="2"/>
  <c r="E4815" i="2"/>
  <c r="E4801" i="2"/>
  <c r="E4761" i="2"/>
  <c r="E4747" i="2"/>
  <c r="E4733" i="2"/>
  <c r="E4681" i="2"/>
  <c r="E4667" i="2"/>
  <c r="E4657" i="2"/>
  <c r="E4653" i="2"/>
  <c r="E4649" i="2"/>
  <c r="E4645" i="2"/>
  <c r="E4641" i="2"/>
  <c r="E4601" i="2"/>
  <c r="E5488" i="2"/>
  <c r="E5432" i="2"/>
  <c r="E5285" i="2"/>
  <c r="E5237" i="2"/>
  <c r="E5233" i="2"/>
  <c r="E5229" i="2"/>
  <c r="E5208" i="2"/>
  <c r="E5198" i="2"/>
  <c r="E5187" i="2"/>
  <c r="E5097" i="2"/>
  <c r="E5030" i="2"/>
  <c r="E5016" i="2"/>
  <c r="E4976" i="2"/>
  <c r="E4962" i="2"/>
  <c r="E4936" i="2"/>
  <c r="E4896" i="2"/>
  <c r="E4856" i="2"/>
  <c r="E4840" i="2"/>
  <c r="E4814" i="2"/>
  <c r="E4800" i="2"/>
  <c r="E4760" i="2"/>
  <c r="E4746" i="2"/>
  <c r="E4732" i="2"/>
  <c r="E4680" i="2"/>
  <c r="E4666" i="2"/>
  <c r="E4640" i="2"/>
  <c r="E5484" i="2"/>
  <c r="E5384" i="2"/>
  <c r="E5338" i="2"/>
  <c r="E5334" i="2"/>
  <c r="E5284" i="2"/>
  <c r="E5245" i="2"/>
  <c r="E5185" i="2"/>
  <c r="E5126" i="2"/>
  <c r="E5096" i="2"/>
  <c r="E5029" i="2"/>
  <c r="E5003" i="2"/>
  <c r="E4961" i="2"/>
  <c r="E4935" i="2"/>
  <c r="E4895" i="2"/>
  <c r="E4855" i="2"/>
  <c r="E4827" i="2"/>
  <c r="E4813" i="2"/>
  <c r="E4799" i="2"/>
  <c r="E4759" i="2"/>
  <c r="E4745" i="2"/>
  <c r="E4731" i="2"/>
  <c r="E4679" i="2"/>
  <c r="E4665" i="2"/>
  <c r="E4639" i="2"/>
  <c r="E4599" i="2"/>
  <c r="E4571" i="2"/>
  <c r="E4531" i="2"/>
  <c r="E4503" i="2"/>
  <c r="E4463" i="2"/>
  <c r="E4423" i="2"/>
  <c r="E4409" i="2"/>
  <c r="E4395" i="2"/>
  <c r="E5480" i="2"/>
  <c r="E5372" i="2"/>
  <c r="E5368" i="2"/>
  <c r="E5309" i="2"/>
  <c r="E5281" i="2"/>
  <c r="E5244" i="2"/>
  <c r="E5202" i="2"/>
  <c r="E5184" i="2"/>
  <c r="E5180" i="2"/>
  <c r="E5176" i="2"/>
  <c r="E5172" i="2"/>
  <c r="E5162" i="2"/>
  <c r="E5158" i="2"/>
  <c r="E5154" i="2"/>
  <c r="E5125" i="2"/>
  <c r="E5095" i="2"/>
  <c r="E5090" i="2"/>
  <c r="E5086" i="2"/>
  <c r="E5082" i="2"/>
  <c r="E5078" i="2"/>
  <c r="E5074" i="2"/>
  <c r="E5070" i="2"/>
  <c r="E5028" i="2"/>
  <c r="E5024" i="2"/>
  <c r="E5002" i="2"/>
  <c r="E4960" i="2"/>
  <c r="E4934" i="2"/>
  <c r="E4894" i="2"/>
  <c r="E4854" i="2"/>
  <c r="E4826" i="2"/>
  <c r="E4812" i="2"/>
  <c r="E4798" i="2"/>
  <c r="E4791" i="2"/>
  <c r="E4787" i="2"/>
  <c r="E4783" i="2"/>
  <c r="E4758" i="2"/>
  <c r="E5365" i="2"/>
  <c r="E5308" i="2"/>
  <c r="E5280" i="2"/>
  <c r="E5241" i="2"/>
  <c r="E5169" i="2"/>
  <c r="E5142" i="2"/>
  <c r="E5124" i="2"/>
  <c r="E5069" i="2"/>
  <c r="E5001" i="2"/>
  <c r="E4921" i="2"/>
  <c r="E4893" i="2"/>
  <c r="E4853" i="2"/>
  <c r="E4825" i="2"/>
  <c r="E4811" i="2"/>
  <c r="E4797" i="2"/>
  <c r="E4757" i="2"/>
  <c r="E4743" i="2"/>
  <c r="E4729" i="2"/>
  <c r="E4677" i="2"/>
  <c r="E4663" i="2"/>
  <c r="E4656" i="2"/>
  <c r="E4652" i="2"/>
  <c r="E4648" i="2"/>
  <c r="E4644" i="2"/>
  <c r="E4637" i="2"/>
  <c r="E4597" i="2"/>
  <c r="E4569" i="2"/>
  <c r="E4544" i="2"/>
  <c r="E4540" i="2"/>
  <c r="E4536" i="2"/>
  <c r="E4529" i="2"/>
  <c r="E4501" i="2"/>
  <c r="E4491" i="2"/>
  <c r="E5364" i="2"/>
  <c r="E5240" i="2"/>
  <c r="E5236" i="2"/>
  <c r="E5232" i="2"/>
  <c r="E5228" i="2"/>
  <c r="E5168" i="2"/>
  <c r="E5141" i="2"/>
  <c r="E5111" i="2"/>
  <c r="E5068" i="2"/>
  <c r="E5000" i="2"/>
  <c r="E4920" i="2"/>
  <c r="E4892" i="2"/>
  <c r="E4852" i="2"/>
  <c r="E4810" i="2"/>
  <c r="E4796" i="2"/>
  <c r="E4742" i="2"/>
  <c r="E4728" i="2"/>
  <c r="E4662" i="2"/>
  <c r="E4636" i="2"/>
  <c r="E4596" i="2"/>
  <c r="E4568" i="2"/>
  <c r="E4528" i="2"/>
  <c r="E4500" i="2"/>
  <c r="E4448" i="2"/>
  <c r="E4406" i="2"/>
  <c r="E4392" i="2"/>
  <c r="E4326" i="2"/>
  <c r="E4300" i="2"/>
  <c r="E4260" i="2"/>
  <c r="E4220" i="2"/>
  <c r="E4180" i="2"/>
  <c r="E4152" i="2"/>
  <c r="E5416" i="2"/>
  <c r="E5387" i="2"/>
  <c r="E5383" i="2"/>
  <c r="E5337" i="2"/>
  <c r="E5333" i="2"/>
  <c r="E5225" i="2"/>
  <c r="E5167" i="2"/>
  <c r="E5140" i="2"/>
  <c r="E5110" i="2"/>
  <c r="E5055" i="2"/>
  <c r="E4999" i="2"/>
  <c r="E4919" i="2"/>
  <c r="E4879" i="2"/>
  <c r="E4851" i="2"/>
  <c r="E4795" i="2"/>
  <c r="E4741" i="2"/>
  <c r="E4727" i="2"/>
  <c r="E4661" i="2"/>
  <c r="E4623" i="2"/>
  <c r="E4595" i="2"/>
  <c r="E4555" i="2"/>
  <c r="E4527" i="2"/>
  <c r="E4499" i="2"/>
  <c r="E4447" i="2"/>
  <c r="E4391" i="2"/>
  <c r="E4369" i="2"/>
  <c r="E4365" i="2"/>
  <c r="E4361" i="2"/>
  <c r="E5412" i="2"/>
  <c r="E5382" i="2"/>
  <c r="E5371" i="2"/>
  <c r="E5332" i="2"/>
  <c r="E5224" i="2"/>
  <c r="E5201" i="2"/>
  <c r="E5183" i="2"/>
  <c r="E5179" i="2"/>
  <c r="E5175" i="2"/>
  <c r="E5165" i="2"/>
  <c r="E5161" i="2"/>
  <c r="E5157" i="2"/>
  <c r="E5153" i="2"/>
  <c r="E5139" i="2"/>
  <c r="E5109" i="2"/>
  <c r="E5089" i="2"/>
  <c r="E5085" i="2"/>
  <c r="E5081" i="2"/>
  <c r="E5077" i="2"/>
  <c r="E5073" i="2"/>
  <c r="E5054" i="2"/>
  <c r="E5027" i="2"/>
  <c r="E5023" i="2"/>
  <c r="E4998" i="2"/>
  <c r="E4918" i="2"/>
  <c r="E4878" i="2"/>
  <c r="E4850" i="2"/>
  <c r="E4794" i="2"/>
  <c r="E4790" i="2"/>
  <c r="E4786" i="2"/>
  <c r="E4782" i="2"/>
  <c r="E4740" i="2"/>
  <c r="E4736" i="2"/>
  <c r="E4726" i="2"/>
  <c r="E4692" i="2"/>
  <c r="E4688" i="2"/>
  <c r="E5464" i="2"/>
  <c r="E5379" i="2"/>
  <c r="E5329" i="2"/>
  <c r="E5301" i="2"/>
  <c r="E5221" i="2"/>
  <c r="E5152" i="2"/>
  <c r="E5145" i="2"/>
  <c r="E5138" i="2"/>
  <c r="E5129" i="2"/>
  <c r="E5108" i="2"/>
  <c r="E5053" i="2"/>
  <c r="E5039" i="2"/>
  <c r="E4997" i="2"/>
  <c r="E4917" i="2"/>
  <c r="E4877" i="2"/>
  <c r="E4849" i="2"/>
  <c r="E4781" i="2"/>
  <c r="E4725" i="2"/>
  <c r="E4621" i="2"/>
  <c r="E4593" i="2"/>
  <c r="E4553" i="2"/>
  <c r="E4525" i="2"/>
  <c r="E4497" i="2"/>
  <c r="E4445" i="2"/>
  <c r="E4377" i="2"/>
  <c r="E4285" i="2"/>
  <c r="E4233" i="2"/>
  <c r="E4217" i="2"/>
  <c r="E4177" i="2"/>
  <c r="E5460" i="2"/>
  <c r="E5378" i="2"/>
  <c r="E5328" i="2"/>
  <c r="E5265" i="2"/>
  <c r="E5239" i="2"/>
  <c r="E5235" i="2"/>
  <c r="E5231" i="2"/>
  <c r="E5220" i="2"/>
  <c r="E5151" i="2"/>
  <c r="E5137" i="2"/>
  <c r="E5107" i="2"/>
  <c r="E5052" i="2"/>
  <c r="E5038" i="2"/>
  <c r="E4996" i="2"/>
  <c r="E4916" i="2"/>
  <c r="E4876" i="2"/>
  <c r="E4848" i="2"/>
  <c r="E4780" i="2"/>
  <c r="E4700" i="2"/>
  <c r="E4620" i="2"/>
  <c r="E4592" i="2"/>
  <c r="E4552" i="2"/>
  <c r="E4512" i="2"/>
  <c r="E4496" i="2"/>
  <c r="E4444" i="2"/>
  <c r="E4376" i="2"/>
  <c r="E4284" i="2"/>
  <c r="E4232" i="2"/>
  <c r="E5386" i="2"/>
  <c r="E5375" i="2"/>
  <c r="E5336" i="2"/>
  <c r="E5325" i="2"/>
  <c r="E5264" i="2"/>
  <c r="E5219" i="2"/>
  <c r="E5150" i="2"/>
  <c r="E5136" i="2"/>
  <c r="E5105" i="2"/>
  <c r="E5066" i="2"/>
  <c r="E5062" i="2"/>
  <c r="E5058" i="2"/>
  <c r="E5051" i="2"/>
  <c r="E5037" i="2"/>
  <c r="E5013" i="2"/>
  <c r="E5009" i="2"/>
  <c r="E5005" i="2"/>
  <c r="E4995" i="2"/>
  <c r="E4991" i="2"/>
  <c r="E4987" i="2"/>
  <c r="E4983" i="2"/>
  <c r="E4973" i="2"/>
  <c r="E4969" i="2"/>
  <c r="E4915" i="2"/>
  <c r="E4890" i="2"/>
  <c r="E4886" i="2"/>
  <c r="E4533" i="2"/>
  <c r="E4507" i="2"/>
  <c r="E4461" i="2"/>
  <c r="E4421" i="2"/>
  <c r="E4398" i="2"/>
  <c r="E4334" i="2"/>
  <c r="E4230" i="2"/>
  <c r="E4198" i="2"/>
  <c r="E4183" i="2"/>
  <c r="E4148" i="2"/>
  <c r="E4107" i="2"/>
  <c r="E4067" i="2"/>
  <c r="E4039" i="2"/>
  <c r="E4011" i="2"/>
  <c r="E3971" i="2"/>
  <c r="E3903" i="2"/>
  <c r="E3875" i="2"/>
  <c r="E3835" i="2"/>
  <c r="E3767" i="2"/>
  <c r="E3727" i="2"/>
  <c r="E3713" i="2"/>
  <c r="E3671" i="2"/>
  <c r="E3603" i="2"/>
  <c r="E3563" i="2"/>
  <c r="E3549" i="2"/>
  <c r="E3523" i="2"/>
  <c r="E3509" i="2"/>
  <c r="E3495" i="2"/>
  <c r="E3431" i="2"/>
  <c r="E4829" i="2"/>
  <c r="E4803" i="2"/>
  <c r="E4772" i="2"/>
  <c r="E4763" i="2"/>
  <c r="E4678" i="2"/>
  <c r="E4630" i="2"/>
  <c r="E4585" i="2"/>
  <c r="E4576" i="2"/>
  <c r="E4532" i="2"/>
  <c r="E4506" i="2"/>
  <c r="E4476" i="2"/>
  <c r="E4397" i="2"/>
  <c r="E4387" i="2"/>
  <c r="E4383" i="2"/>
  <c r="E4379" i="2"/>
  <c r="E4360" i="2"/>
  <c r="E4356" i="2"/>
  <c r="E4352" i="2"/>
  <c r="E4348" i="2"/>
  <c r="E4333" i="2"/>
  <c r="E4322" i="2"/>
  <c r="E4318" i="2"/>
  <c r="E4314" i="2"/>
  <c r="E4310" i="2"/>
  <c r="E4306" i="2"/>
  <c r="E4228" i="2"/>
  <c r="E4197" i="2"/>
  <c r="E4192" i="2"/>
  <c r="E4182" i="2"/>
  <c r="E4711" i="2"/>
  <c r="E4530" i="2"/>
  <c r="E4505" i="2"/>
  <c r="E4396" i="2"/>
  <c r="E4364" i="2"/>
  <c r="E4338" i="2"/>
  <c r="E4332" i="2"/>
  <c r="E4305" i="2"/>
  <c r="E4276" i="2"/>
  <c r="E4257" i="2"/>
  <c r="E4253" i="2"/>
  <c r="E4249" i="2"/>
  <c r="E4245" i="2"/>
  <c r="E4241" i="2"/>
  <c r="E4237" i="2"/>
  <c r="E4227" i="2"/>
  <c r="E4196" i="2"/>
  <c r="E4181" i="2"/>
  <c r="E4164" i="2"/>
  <c r="E4134" i="2"/>
  <c r="E4105" i="2"/>
  <c r="E4833" i="2"/>
  <c r="E4807" i="2"/>
  <c r="E4767" i="2"/>
  <c r="E4634" i="2"/>
  <c r="E4625" i="2"/>
  <c r="E4580" i="2"/>
  <c r="E4537" i="2"/>
  <c r="E4526" i="2"/>
  <c r="E4515" i="2"/>
  <c r="E4504" i="2"/>
  <c r="E4480" i="2"/>
  <c r="E4471" i="2"/>
  <c r="E4414" i="2"/>
  <c r="E4394" i="2"/>
  <c r="E4368" i="2"/>
  <c r="E4331" i="2"/>
  <c r="E4304" i="2"/>
  <c r="E4226" i="2"/>
  <c r="E4179" i="2"/>
  <c r="E4163" i="2"/>
  <c r="E4132" i="2"/>
  <c r="E4104" i="2"/>
  <c r="E4064" i="2"/>
  <c r="E4036" i="2"/>
  <c r="E3996" i="2"/>
  <c r="E3956" i="2"/>
  <c r="E4749" i="2"/>
  <c r="E4502" i="2"/>
  <c r="E4428" i="2"/>
  <c r="E4413" i="2"/>
  <c r="E4393" i="2"/>
  <c r="E4330" i="2"/>
  <c r="E4303" i="2"/>
  <c r="E4295" i="2"/>
  <c r="E4291" i="2"/>
  <c r="E4287" i="2"/>
  <c r="E4225" i="2"/>
  <c r="E4178" i="2"/>
  <c r="E4162" i="2"/>
  <c r="E4131" i="2"/>
  <c r="E4103" i="2"/>
  <c r="E4063" i="2"/>
  <c r="E4035" i="2"/>
  <c r="E3995" i="2"/>
  <c r="E3955" i="2"/>
  <c r="E3941" i="2"/>
  <c r="E3899" i="2"/>
  <c r="E3859" i="2"/>
  <c r="E3819" i="2"/>
  <c r="E3805" i="2"/>
  <c r="E3763" i="2"/>
  <c r="E3723" i="2"/>
  <c r="E3709" i="2"/>
  <c r="E3695" i="2"/>
  <c r="E3655" i="2"/>
  <c r="E3641" i="2"/>
  <c r="E3627" i="2"/>
  <c r="E3599" i="2"/>
  <c r="E3559" i="2"/>
  <c r="E3545" i="2"/>
  <c r="E4875" i="2"/>
  <c r="E4837" i="2"/>
  <c r="E4828" i="2"/>
  <c r="E4771" i="2"/>
  <c r="E4744" i="2"/>
  <c r="E4715" i="2"/>
  <c r="E4670" i="2"/>
  <c r="E4629" i="2"/>
  <c r="E4584" i="2"/>
  <c r="E4554" i="2"/>
  <c r="E4498" i="2"/>
  <c r="E4484" i="2"/>
  <c r="E4475" i="2"/>
  <c r="E4412" i="2"/>
  <c r="E4390" i="2"/>
  <c r="E4386" i="2"/>
  <c r="E4382" i="2"/>
  <c r="E4378" i="2"/>
  <c r="E4347" i="2"/>
  <c r="E4329" i="2"/>
  <c r="E4321" i="2"/>
  <c r="E4317" i="2"/>
  <c r="E4313" i="2"/>
  <c r="E4309" i="2"/>
  <c r="E4302" i="2"/>
  <c r="E4779" i="2"/>
  <c r="E4699" i="2"/>
  <c r="E4685" i="2"/>
  <c r="E4669" i="2"/>
  <c r="E4604" i="2"/>
  <c r="E4551" i="2"/>
  <c r="E4541" i="2"/>
  <c r="E4495" i="2"/>
  <c r="E4450" i="2"/>
  <c r="E4432" i="2"/>
  <c r="E4411" i="2"/>
  <c r="E4375" i="2"/>
  <c r="E4346" i="2"/>
  <c r="E4328" i="2"/>
  <c r="E4301" i="2"/>
  <c r="E4223" i="2"/>
  <c r="E4159" i="2"/>
  <c r="E4117" i="2"/>
  <c r="E4101" i="2"/>
  <c r="E4049" i="2"/>
  <c r="E4033" i="2"/>
  <c r="E3993" i="2"/>
  <c r="E3953" i="2"/>
  <c r="E4832" i="2"/>
  <c r="E4775" i="2"/>
  <c r="E4696" i="2"/>
  <c r="E4664" i="2"/>
  <c r="E4633" i="2"/>
  <c r="E4603" i="2"/>
  <c r="E4548" i="2"/>
  <c r="E4523" i="2"/>
  <c r="E4514" i="2"/>
  <c r="E4695" i="2"/>
  <c r="E4674" i="2"/>
  <c r="E4660" i="2"/>
  <c r="E4608" i="2"/>
  <c r="E4600" i="2"/>
  <c r="E4573" i="2"/>
  <c r="E4547" i="2"/>
  <c r="E4454" i="2"/>
  <c r="E4436" i="2"/>
  <c r="E4427" i="2"/>
  <c r="E4408" i="2"/>
  <c r="E4372" i="2"/>
  <c r="E4344" i="2"/>
  <c r="E4325" i="2"/>
  <c r="E4298" i="2"/>
  <c r="E4294" i="2"/>
  <c r="E4290" i="2"/>
  <c r="E4286" i="2"/>
  <c r="E4265" i="2"/>
  <c r="E4860" i="2"/>
  <c r="E4836" i="2"/>
  <c r="E4730" i="2"/>
  <c r="E4689" i="2"/>
  <c r="E4598" i="2"/>
  <c r="E4572" i="2"/>
  <c r="E4545" i="2"/>
  <c r="E4483" i="2"/>
  <c r="E4426" i="2"/>
  <c r="E4407" i="2"/>
  <c r="E4343" i="2"/>
  <c r="E4324" i="2"/>
  <c r="E4320" i="2"/>
  <c r="E4316" i="2"/>
  <c r="E4312" i="2"/>
  <c r="E4308" i="2"/>
  <c r="E4283" i="2"/>
  <c r="E4264" i="2"/>
  <c r="E4219" i="2"/>
  <c r="E4156" i="2"/>
  <c r="E4114" i="2"/>
  <c r="E4086" i="2"/>
  <c r="E4046" i="2"/>
  <c r="E4018" i="2"/>
  <c r="E3990" i="2"/>
  <c r="E3950" i="2"/>
  <c r="E3936" i="2"/>
  <c r="E3922" i="2"/>
  <c r="E3882" i="2"/>
  <c r="E3842" i="2"/>
  <c r="E4684" i="2"/>
  <c r="E4622" i="2"/>
  <c r="E4612" i="2"/>
  <c r="E4594" i="2"/>
  <c r="E4570" i="2"/>
  <c r="E4558" i="2"/>
  <c r="E4492" i="2"/>
  <c r="E4468" i="2"/>
  <c r="E4458" i="2"/>
  <c r="E4449" i="2"/>
  <c r="E4431" i="2"/>
  <c r="E4425" i="2"/>
  <c r="E4362" i="2"/>
  <c r="E4342" i="2"/>
  <c r="E4282" i="2"/>
  <c r="E4269" i="2"/>
  <c r="E4263" i="2"/>
  <c r="E4255" i="2"/>
  <c r="E4251" i="2"/>
  <c r="E4882" i="2"/>
  <c r="E4817" i="2"/>
  <c r="E4619" i="2"/>
  <c r="E4591" i="2"/>
  <c r="E4487" i="2"/>
  <c r="E4467" i="2"/>
  <c r="E4446" i="2"/>
  <c r="E4424" i="2"/>
  <c r="E4418" i="2"/>
  <c r="E4400" i="2"/>
  <c r="E4341" i="2"/>
  <c r="E4280" i="2"/>
  <c r="E4262" i="2"/>
  <c r="E4216" i="2"/>
  <c r="E4154" i="2"/>
  <c r="E4112" i="2"/>
  <c r="E4084" i="2"/>
  <c r="E4044" i="2"/>
  <c r="E4016" i="2"/>
  <c r="E3988" i="2"/>
  <c r="E4864" i="2"/>
  <c r="E4703" i="2"/>
  <c r="E4693" i="2"/>
  <c r="E4616" i="2"/>
  <c r="E4607" i="2"/>
  <c r="E4588" i="2"/>
  <c r="E4562" i="2"/>
  <c r="E4466" i="2"/>
  <c r="E4453" i="2"/>
  <c r="E4443" i="2"/>
  <c r="E4435" i="2"/>
  <c r="E4422" i="2"/>
  <c r="E4297" i="2"/>
  <c r="E4293" i="2"/>
  <c r="E4289" i="2"/>
  <c r="E4279" i="2"/>
  <c r="E4273" i="2"/>
  <c r="E4261" i="2"/>
  <c r="E4215" i="2"/>
  <c r="E4211" i="2"/>
  <c r="E4207" i="2"/>
  <c r="E4203" i="2"/>
  <c r="E4189" i="2"/>
  <c r="E4170" i="2"/>
  <c r="E4153" i="2"/>
  <c r="E4111" i="2"/>
  <c r="E4098" i="2"/>
  <c r="E4094" i="2"/>
  <c r="E4090" i="2"/>
  <c r="E4847" i="2"/>
  <c r="E4804" i="2"/>
  <c r="E4764" i="2"/>
  <c r="E4587" i="2"/>
  <c r="E4577" i="2"/>
  <c r="E4465" i="2"/>
  <c r="E4440" i="2"/>
  <c r="E4404" i="2"/>
  <c r="E4388" i="2"/>
  <c r="E4384" i="2"/>
  <c r="E4380" i="2"/>
  <c r="E4357" i="2"/>
  <c r="E4353" i="2"/>
  <c r="E4843" i="2"/>
  <c r="E4611" i="2"/>
  <c r="E4566" i="2"/>
  <c r="E4557" i="2"/>
  <c r="E4511" i="2"/>
  <c r="E4464" i="2"/>
  <c r="E4457" i="2"/>
  <c r="E4439" i="2"/>
  <c r="E4277" i="2"/>
  <c r="E4268" i="2"/>
  <c r="E4258" i="2"/>
  <c r="E4254" i="2"/>
  <c r="E4250" i="2"/>
  <c r="E4246" i="2"/>
  <c r="E4242" i="2"/>
  <c r="E4238" i="2"/>
  <c r="E4234" i="2"/>
  <c r="E4200" i="2"/>
  <c r="E4150" i="2"/>
  <c r="E4109" i="2"/>
  <c r="E4081" i="2"/>
  <c r="E4077" i="2"/>
  <c r="E4073" i="2"/>
  <c r="E4868" i="2"/>
  <c r="E4808" i="2"/>
  <c r="E4768" i="2"/>
  <c r="E4737" i="2"/>
  <c r="E4707" i="2"/>
  <c r="E4638" i="2"/>
  <c r="E4626" i="2"/>
  <c r="E4581" i="2"/>
  <c r="E4508" i="2"/>
  <c r="E4472" i="2"/>
  <c r="E4462" i="2"/>
  <c r="E4417" i="2"/>
  <c r="E4399" i="2"/>
  <c r="E4231" i="2"/>
  <c r="E4199" i="2"/>
  <c r="E4184" i="2"/>
  <c r="E4149" i="2"/>
  <c r="E4108" i="2"/>
  <c r="E4068" i="2"/>
  <c r="E4040" i="2"/>
  <c r="E4012" i="2"/>
  <c r="E3972" i="2"/>
  <c r="E3904" i="2"/>
  <c r="E3876" i="2"/>
  <c r="E3836" i="2"/>
  <c r="E3768" i="2"/>
  <c r="E3728" i="2"/>
  <c r="E3672" i="2"/>
  <c r="E3604" i="2"/>
  <c r="E4315" i="2"/>
  <c r="E4202" i="2"/>
  <c r="E4160" i="2"/>
  <c r="E4144" i="2"/>
  <c r="E4118" i="2"/>
  <c r="E4085" i="2"/>
  <c r="E4062" i="2"/>
  <c r="E4045" i="2"/>
  <c r="E3976" i="2"/>
  <c r="E3966" i="2"/>
  <c r="E3937" i="2"/>
  <c r="E3920" i="2"/>
  <c r="E3849" i="2"/>
  <c r="E3834" i="2"/>
  <c r="E3815" i="2"/>
  <c r="E3797" i="2"/>
  <c r="E3781" i="2"/>
  <c r="E3764" i="2"/>
  <c r="E3748" i="2"/>
  <c r="E3696" i="2"/>
  <c r="E3663" i="2"/>
  <c r="E3649" i="2"/>
  <c r="E3645" i="2"/>
  <c r="E3634" i="2"/>
  <c r="E3583" i="2"/>
  <c r="E3571" i="2"/>
  <c r="E3565" i="2"/>
  <c r="E3548" i="2"/>
  <c r="E3534" i="2"/>
  <c r="E3514" i="2"/>
  <c r="E3461" i="2"/>
  <c r="E3408" i="2"/>
  <c r="E3365" i="2"/>
  <c r="E3337" i="2"/>
  <c r="E3309" i="2"/>
  <c r="E3257" i="2"/>
  <c r="E3217" i="2"/>
  <c r="E3203" i="2"/>
  <c r="E3161" i="2"/>
  <c r="E3121" i="2"/>
  <c r="E4367" i="2"/>
  <c r="E4235" i="2"/>
  <c r="E4186" i="2"/>
  <c r="E4158" i="2"/>
  <c r="E4116" i="2"/>
  <c r="E4083" i="2"/>
  <c r="E4043" i="2"/>
  <c r="E3998" i="2"/>
  <c r="E3935" i="2"/>
  <c r="E3919" i="2"/>
  <c r="E3902" i="2"/>
  <c r="E3853" i="2"/>
  <c r="E3833" i="2"/>
  <c r="E3814" i="2"/>
  <c r="E3796" i="2"/>
  <c r="E3762" i="2"/>
  <c r="E3752" i="2"/>
  <c r="E3747" i="2"/>
  <c r="E3729" i="2"/>
  <c r="E3712" i="2"/>
  <c r="E3700" i="2"/>
  <c r="E3694" i="2"/>
  <c r="E3667" i="2"/>
  <c r="E3633" i="2"/>
  <c r="E3597" i="2"/>
  <c r="E3593" i="2"/>
  <c r="E3589" i="2"/>
  <c r="E3582" i="2"/>
  <c r="E3564" i="2"/>
  <c r="E3547" i="2"/>
  <c r="E3538" i="2"/>
  <c r="E3518" i="2"/>
  <c r="E3460" i="2"/>
  <c r="E3453" i="2"/>
  <c r="E3449" i="2"/>
  <c r="E3445" i="2"/>
  <c r="E3441" i="2"/>
  <c r="E3437" i="2"/>
  <c r="E3433" i="2"/>
  <c r="E3407" i="2"/>
  <c r="E3364" i="2"/>
  <c r="E3336" i="2"/>
  <c r="E4327" i="2"/>
  <c r="E4212" i="2"/>
  <c r="E4157" i="2"/>
  <c r="E4135" i="2"/>
  <c r="E4115" i="2"/>
  <c r="E4082" i="2"/>
  <c r="E4072" i="2"/>
  <c r="E4042" i="2"/>
  <c r="E4019" i="2"/>
  <c r="E4002" i="2"/>
  <c r="E3934" i="2"/>
  <c r="E3918" i="2"/>
  <c r="E3901" i="2"/>
  <c r="E3832" i="2"/>
  <c r="E3813" i="2"/>
  <c r="E3795" i="2"/>
  <c r="E3761" i="2"/>
  <c r="E3746" i="2"/>
  <c r="E3711" i="2"/>
  <c r="E3693" i="2"/>
  <c r="E3581" i="2"/>
  <c r="E3562" i="2"/>
  <c r="E3554" i="2"/>
  <c r="E3546" i="2"/>
  <c r="E3500" i="2"/>
  <c r="E3459" i="2"/>
  <c r="E3406" i="2"/>
  <c r="E3391" i="2"/>
  <c r="E3363" i="2"/>
  <c r="E3335" i="2"/>
  <c r="E3307" i="2"/>
  <c r="E3255" i="2"/>
  <c r="E3215" i="2"/>
  <c r="E4479" i="2"/>
  <c r="E4419" i="2"/>
  <c r="E4319" i="2"/>
  <c r="E4278" i="2"/>
  <c r="E4155" i="2"/>
  <c r="E4139" i="2"/>
  <c r="E4130" i="2"/>
  <c r="E4113" i="2"/>
  <c r="E4041" i="2"/>
  <c r="E4017" i="2"/>
  <c r="E4006" i="2"/>
  <c r="E3954" i="2"/>
  <c r="E3933" i="2"/>
  <c r="E3928" i="2"/>
  <c r="E3917" i="2"/>
  <c r="E3900" i="2"/>
  <c r="E3863" i="2"/>
  <c r="E3812" i="2"/>
  <c r="E3745" i="2"/>
  <c r="E3710" i="2"/>
  <c r="E3692" i="2"/>
  <c r="E3580" i="2"/>
  <c r="E3561" i="2"/>
  <c r="E3544" i="2"/>
  <c r="E3499" i="2"/>
  <c r="E3458" i="2"/>
  <c r="E3423" i="2"/>
  <c r="E3419" i="2"/>
  <c r="E3415" i="2"/>
  <c r="E3405" i="2"/>
  <c r="E3390" i="2"/>
  <c r="E3362" i="2"/>
  <c r="E3334" i="2"/>
  <c r="E3282" i="2"/>
  <c r="E3254" i="2"/>
  <c r="E3214" i="2"/>
  <c r="E3200" i="2"/>
  <c r="E3186" i="2"/>
  <c r="E3158" i="2"/>
  <c r="E3118" i="2"/>
  <c r="E3066" i="2"/>
  <c r="E4374" i="2"/>
  <c r="E4239" i="2"/>
  <c r="E4151" i="2"/>
  <c r="E4143" i="2"/>
  <c r="E4110" i="2"/>
  <c r="E4076" i="2"/>
  <c r="E4038" i="2"/>
  <c r="E4015" i="2"/>
  <c r="E3975" i="2"/>
  <c r="E3952" i="2"/>
  <c r="E3932" i="2"/>
  <c r="E3898" i="2"/>
  <c r="E3867" i="2"/>
  <c r="E3744" i="2"/>
  <c r="E3708" i="2"/>
  <c r="E3691" i="2"/>
  <c r="E3648" i="2"/>
  <c r="E3644" i="2"/>
  <c r="E3560" i="2"/>
  <c r="E3543" i="2"/>
  <c r="E3513" i="2"/>
  <c r="E3498" i="2"/>
  <c r="E3487" i="2"/>
  <c r="E3483" i="2"/>
  <c r="E3479" i="2"/>
  <c r="E3475" i="2"/>
  <c r="E3471" i="2"/>
  <c r="E3467" i="2"/>
  <c r="E3457" i="2"/>
  <c r="E3404" i="2"/>
  <c r="E3389" i="2"/>
  <c r="E3361" i="2"/>
  <c r="E4224" i="2"/>
  <c r="E4147" i="2"/>
  <c r="E4106" i="2"/>
  <c r="E4052" i="2"/>
  <c r="E4037" i="2"/>
  <c r="E4014" i="2"/>
  <c r="E3997" i="2"/>
  <c r="E3974" i="2"/>
  <c r="E3951" i="2"/>
  <c r="E3897" i="2"/>
  <c r="E3881" i="2"/>
  <c r="E3871" i="2"/>
  <c r="E3743" i="2"/>
  <c r="E3726" i="2"/>
  <c r="E3707" i="2"/>
  <c r="E3690" i="2"/>
  <c r="E3558" i="2"/>
  <c r="E3542" i="2"/>
  <c r="E3512" i="2"/>
  <c r="E3497" i="2"/>
  <c r="E3432" i="2"/>
  <c r="E3388" i="2"/>
  <c r="E3360" i="2"/>
  <c r="E3332" i="2"/>
  <c r="E3280" i="2"/>
  <c r="E3240" i="2"/>
  <c r="E3212" i="2"/>
  <c r="E3198" i="2"/>
  <c r="E3184" i="2"/>
  <c r="E3156" i="2"/>
  <c r="E4323" i="2"/>
  <c r="E4222" i="2"/>
  <c r="E4167" i="2"/>
  <c r="E4102" i="2"/>
  <c r="E4080" i="2"/>
  <c r="E4056" i="2"/>
  <c r="E4034" i="2"/>
  <c r="E4027" i="2"/>
  <c r="E4013" i="2"/>
  <c r="E4001" i="2"/>
  <c r="E3994" i="2"/>
  <c r="E3979" i="2"/>
  <c r="E3973" i="2"/>
  <c r="E3949" i="2"/>
  <c r="E3943" i="2"/>
  <c r="E3911" i="2"/>
  <c r="E3896" i="2"/>
  <c r="E3880" i="2"/>
  <c r="E3830" i="2"/>
  <c r="E3821" i="2"/>
  <c r="E3793" i="2"/>
  <c r="E3770" i="2"/>
  <c r="E3755" i="2"/>
  <c r="E3742" i="2"/>
  <c r="E3725" i="2"/>
  <c r="E3706" i="2"/>
  <c r="E3689" i="2"/>
  <c r="E3685" i="2"/>
  <c r="E3681" i="2"/>
  <c r="E3677" i="2"/>
  <c r="E3626" i="2"/>
  <c r="E3557" i="2"/>
  <c r="E3553" i="2"/>
  <c r="E3541" i="2"/>
  <c r="E3524" i="2"/>
  <c r="E3511" i="2"/>
  <c r="E3503" i="2"/>
  <c r="E3496" i="2"/>
  <c r="E3430" i="2"/>
  <c r="E4488" i="2"/>
  <c r="E4243" i="2"/>
  <c r="E4221" i="2"/>
  <c r="E4138" i="2"/>
  <c r="E4100" i="2"/>
  <c r="E4060" i="2"/>
  <c r="E4032" i="2"/>
  <c r="E4010" i="2"/>
  <c r="E4005" i="2"/>
  <c r="E3992" i="2"/>
  <c r="E3970" i="2"/>
  <c r="E3948" i="2"/>
  <c r="E3927" i="2"/>
  <c r="E3915" i="2"/>
  <c r="E3895" i="2"/>
  <c r="E3879" i="2"/>
  <c r="E3862" i="2"/>
  <c r="E3843" i="2"/>
  <c r="E3774" i="2"/>
  <c r="E3759" i="2"/>
  <c r="E3741" i="2"/>
  <c r="E3724" i="2"/>
  <c r="E3705" i="2"/>
  <c r="E3676" i="2"/>
  <c r="E3625" i="2"/>
  <c r="E3616" i="2"/>
  <c r="E3607" i="2"/>
  <c r="E3528" i="2"/>
  <c r="E3510" i="2"/>
  <c r="E3494" i="2"/>
  <c r="E3429" i="2"/>
  <c r="E3422" i="2"/>
  <c r="E3418" i="2"/>
  <c r="E3414" i="2"/>
  <c r="E3398" i="2"/>
  <c r="E4349" i="2"/>
  <c r="E4259" i="2"/>
  <c r="E4218" i="2"/>
  <c r="E4120" i="2"/>
  <c r="E4009" i="2"/>
  <c r="E3991" i="2"/>
  <c r="E3969" i="2"/>
  <c r="E3959" i="2"/>
  <c r="E3947" i="2"/>
  <c r="E3931" i="2"/>
  <c r="E3878" i="2"/>
  <c r="E3866" i="2"/>
  <c r="E3861" i="2"/>
  <c r="E3847" i="2"/>
  <c r="E3825" i="2"/>
  <c r="E3778" i="2"/>
  <c r="E3722" i="2"/>
  <c r="E3704" i="2"/>
  <c r="E3675" i="2"/>
  <c r="E3647" i="2"/>
  <c r="E3643" i="2"/>
  <c r="E3624" i="2"/>
  <c r="E3606" i="2"/>
  <c r="E3508" i="2"/>
  <c r="E3493" i="2"/>
  <c r="E3428" i="2"/>
  <c r="E3385" i="2"/>
  <c r="E3357" i="2"/>
  <c r="E3317" i="2"/>
  <c r="E3277" i="2"/>
  <c r="E3237" i="2"/>
  <c r="E3195" i="2"/>
  <c r="E3181" i="2"/>
  <c r="E3141" i="2"/>
  <c r="E3113" i="2"/>
  <c r="E3061" i="2"/>
  <c r="E4124" i="2"/>
  <c r="E4051" i="2"/>
  <c r="E3989" i="2"/>
  <c r="E3906" i="2"/>
  <c r="E3885" i="2"/>
  <c r="E3877" i="2"/>
  <c r="E3860" i="2"/>
  <c r="E3804" i="2"/>
  <c r="E3788" i="2"/>
  <c r="E3721" i="2"/>
  <c r="E3703" i="2"/>
  <c r="E3674" i="2"/>
  <c r="E3642" i="2"/>
  <c r="E3623" i="2"/>
  <c r="E3605" i="2"/>
  <c r="E3507" i="2"/>
  <c r="E3492" i="2"/>
  <c r="E3427" i="2"/>
  <c r="E3384" i="2"/>
  <c r="E3356" i="2"/>
  <c r="E3316" i="2"/>
  <c r="E3276" i="2"/>
  <c r="E3236" i="2"/>
  <c r="E3180" i="2"/>
  <c r="E3140" i="2"/>
  <c r="E3088" i="2"/>
  <c r="E3060" i="2"/>
  <c r="E3034" i="2"/>
  <c r="E3008" i="2"/>
  <c r="E2944" i="2"/>
  <c r="E2904" i="2"/>
  <c r="E2890" i="2"/>
  <c r="E2772" i="2"/>
  <c r="E2744" i="2"/>
  <c r="E4307" i="2"/>
  <c r="E4247" i="2"/>
  <c r="E4193" i="2"/>
  <c r="E4128" i="2"/>
  <c r="E4055" i="2"/>
  <c r="E4026" i="2"/>
  <c r="E3987" i="2"/>
  <c r="E3963" i="2"/>
  <c r="E3910" i="2"/>
  <c r="E3889" i="2"/>
  <c r="E3874" i="2"/>
  <c r="E3858" i="2"/>
  <c r="E3829" i="2"/>
  <c r="E3803" i="2"/>
  <c r="E3792" i="2"/>
  <c r="E3787" i="2"/>
  <c r="E3769" i="2"/>
  <c r="E3735" i="2"/>
  <c r="E3720" i="2"/>
  <c r="E3702" i="2"/>
  <c r="E3688" i="2"/>
  <c r="E3684" i="2"/>
  <c r="E3680" i="2"/>
  <c r="E3673" i="2"/>
  <c r="E3656" i="2"/>
  <c r="E3640" i="2"/>
  <c r="E3622" i="2"/>
  <c r="E3602" i="2"/>
  <c r="E3568" i="2"/>
  <c r="E3556" i="2"/>
  <c r="E3552" i="2"/>
  <c r="E3540" i="2"/>
  <c r="E3522" i="2"/>
  <c r="E3506" i="2"/>
  <c r="E3502" i="2"/>
  <c r="E3491" i="2"/>
  <c r="E3426" i="2"/>
  <c r="E3393" i="2"/>
  <c r="E3383" i="2"/>
  <c r="E4059" i="2"/>
  <c r="E3926" i="2"/>
  <c r="E3914" i="2"/>
  <c r="E3893" i="2"/>
  <c r="E3857" i="2"/>
  <c r="E3841" i="2"/>
  <c r="E3802" i="2"/>
  <c r="E3786" i="2"/>
  <c r="E3670" i="2"/>
  <c r="E3660" i="2"/>
  <c r="E3654" i="2"/>
  <c r="E3639" i="2"/>
  <c r="E3630" i="2"/>
  <c r="E3621" i="2"/>
  <c r="E3615" i="2"/>
  <c r="E3601" i="2"/>
  <c r="E3521" i="2"/>
  <c r="E3490" i="2"/>
  <c r="E3425" i="2"/>
  <c r="E3421" i="2"/>
  <c r="E3417" i="2"/>
  <c r="E3413" i="2"/>
  <c r="E3397" i="2"/>
  <c r="E3370" i="2"/>
  <c r="E3354" i="2"/>
  <c r="E3347" i="2"/>
  <c r="E3343" i="2"/>
  <c r="E3339" i="2"/>
  <c r="E3314" i="2"/>
  <c r="E3304" i="2"/>
  <c r="E4204" i="2"/>
  <c r="E4119" i="2"/>
  <c r="E3967" i="2"/>
  <c r="E3925" i="2"/>
  <c r="E3856" i="2"/>
  <c r="E3840" i="2"/>
  <c r="E3801" i="2"/>
  <c r="E3785" i="2"/>
  <c r="E3669" i="2"/>
  <c r="E3653" i="2"/>
  <c r="E3638" i="2"/>
  <c r="E3620" i="2"/>
  <c r="E3600" i="2"/>
  <c r="E3520" i="2"/>
  <c r="E3465" i="2"/>
  <c r="E3412" i="2"/>
  <c r="E3369" i="2"/>
  <c r="E3353" i="2"/>
  <c r="E3313" i="2"/>
  <c r="E3261" i="2"/>
  <c r="E3233" i="2"/>
  <c r="E3165" i="2"/>
  <c r="E3137" i="2"/>
  <c r="E3085" i="2"/>
  <c r="E2941" i="2"/>
  <c r="E2901" i="2"/>
  <c r="E2887" i="2"/>
  <c r="E2873" i="2"/>
  <c r="E2769" i="2"/>
  <c r="E4410" i="2"/>
  <c r="E4311" i="2"/>
  <c r="E4123" i="2"/>
  <c r="E4069" i="2"/>
  <c r="E4050" i="2"/>
  <c r="E3999" i="2"/>
  <c r="E3940" i="2"/>
  <c r="E3924" i="2"/>
  <c r="E3905" i="2"/>
  <c r="E3884" i="2"/>
  <c r="E3869" i="2"/>
  <c r="E3855" i="2"/>
  <c r="E3839" i="2"/>
  <c r="E3818" i="2"/>
  <c r="E3800" i="2"/>
  <c r="E3784" i="2"/>
  <c r="E3652" i="2"/>
  <c r="E3637" i="2"/>
  <c r="E3586" i="2"/>
  <c r="E3464" i="2"/>
  <c r="E3411" i="2"/>
  <c r="E3368" i="2"/>
  <c r="E3352" i="2"/>
  <c r="E3312" i="2"/>
  <c r="E3260" i="2"/>
  <c r="E3232" i="2"/>
  <c r="E3164" i="2"/>
  <c r="E3136" i="2"/>
  <c r="E3084" i="2"/>
  <c r="E2940" i="2"/>
  <c r="E2900" i="2"/>
  <c r="E2886" i="2"/>
  <c r="E2872" i="2"/>
  <c r="E2768" i="2"/>
  <c r="E4299" i="2"/>
  <c r="E4136" i="2"/>
  <c r="E4127" i="2"/>
  <c r="E4066" i="2"/>
  <c r="E4054" i="2"/>
  <c r="E4048" i="2"/>
  <c r="E4003" i="2"/>
  <c r="E3962" i="2"/>
  <c r="E3939" i="2"/>
  <c r="E3923" i="2"/>
  <c r="E3909" i="2"/>
  <c r="E3888" i="2"/>
  <c r="E3873" i="2"/>
  <c r="E3838" i="2"/>
  <c r="E3817" i="2"/>
  <c r="E3808" i="2"/>
  <c r="E3799" i="2"/>
  <c r="E3791" i="2"/>
  <c r="E3783" i="2"/>
  <c r="E3766" i="2"/>
  <c r="E3757" i="2"/>
  <c r="E3734" i="2"/>
  <c r="E3687" i="2"/>
  <c r="E3683" i="2"/>
  <c r="E3679" i="2"/>
  <c r="E3651" i="2"/>
  <c r="E3636" i="2"/>
  <c r="E3585" i="2"/>
  <c r="E3576" i="2"/>
  <c r="E3567" i="2"/>
  <c r="E3555" i="2"/>
  <c r="E3551" i="2"/>
  <c r="E3526" i="2"/>
  <c r="E3505" i="2"/>
  <c r="E3501" i="2"/>
  <c r="E3463" i="2"/>
  <c r="E3410" i="2"/>
  <c r="E3392" i="2"/>
  <c r="E3382" i="2"/>
  <c r="E3378" i="2"/>
  <c r="E4345" i="2"/>
  <c r="E4208" i="2"/>
  <c r="E4174" i="2"/>
  <c r="E4140" i="2"/>
  <c r="E4087" i="2"/>
  <c r="E4065" i="2"/>
  <c r="E4058" i="2"/>
  <c r="E4047" i="2"/>
  <c r="E4007" i="2"/>
  <c r="E3938" i="2"/>
  <c r="E3921" i="2"/>
  <c r="E3913" i="2"/>
  <c r="E3892" i="2"/>
  <c r="E3845" i="2"/>
  <c r="E3837" i="2"/>
  <c r="E3816" i="2"/>
  <c r="E3798" i="2"/>
  <c r="E3782" i="2"/>
  <c r="E3765" i="2"/>
  <c r="E3738" i="2"/>
  <c r="E3718" i="2"/>
  <c r="E3659" i="2"/>
  <c r="E3650" i="2"/>
  <c r="E3635" i="2"/>
  <c r="E3629" i="2"/>
  <c r="E3584" i="2"/>
  <c r="E3566" i="2"/>
  <c r="E3550" i="2"/>
  <c r="E3530" i="2"/>
  <c r="E3462" i="2"/>
  <c r="E3424" i="2"/>
  <c r="E3420" i="2"/>
  <c r="E3416" i="2"/>
  <c r="E3281" i="2"/>
  <c r="E3221" i="2"/>
  <c r="E3210" i="2"/>
  <c r="E3206" i="2"/>
  <c r="E3185" i="2"/>
  <c r="E3098" i="2"/>
  <c r="E3089" i="2"/>
  <c r="E3047" i="2"/>
  <c r="E3037" i="2"/>
  <c r="E3029" i="2"/>
  <c r="E3025" i="2"/>
  <c r="E3021" i="2"/>
  <c r="E3017" i="2"/>
  <c r="E3010" i="2"/>
  <c r="E2945" i="2"/>
  <c r="E2899" i="2"/>
  <c r="E2882" i="2"/>
  <c r="E2842" i="2"/>
  <c r="E2747" i="2"/>
  <c r="E2706" i="2"/>
  <c r="E2678" i="2"/>
  <c r="E2626" i="2"/>
  <c r="E2600" i="2"/>
  <c r="E2546" i="2"/>
  <c r="E2506" i="2"/>
  <c r="E3394" i="2"/>
  <c r="E3340" i="2"/>
  <c r="E3303" i="2"/>
  <c r="E3279" i="2"/>
  <c r="E3225" i="2"/>
  <c r="E3192" i="2"/>
  <c r="E3183" i="2"/>
  <c r="E3166" i="2"/>
  <c r="E3124" i="2"/>
  <c r="E3051" i="2"/>
  <c r="E3036" i="2"/>
  <c r="E3009" i="2"/>
  <c r="E2943" i="2"/>
  <c r="E2898" i="2"/>
  <c r="E2894" i="2"/>
  <c r="E2881" i="2"/>
  <c r="E2877" i="2"/>
  <c r="E2841" i="2"/>
  <c r="E2821" i="2"/>
  <c r="E2779" i="2"/>
  <c r="E2764" i="2"/>
  <c r="E2746" i="2"/>
  <c r="E2720" i="2"/>
  <c r="E2716" i="2"/>
  <c r="E3278" i="2"/>
  <c r="E3229" i="2"/>
  <c r="E3182" i="2"/>
  <c r="E3170" i="2"/>
  <c r="E3163" i="2"/>
  <c r="E3128" i="2"/>
  <c r="E3102" i="2"/>
  <c r="E3035" i="2"/>
  <c r="E3007" i="2"/>
  <c r="E3003" i="2"/>
  <c r="E2999" i="2"/>
  <c r="E2995" i="2"/>
  <c r="E2991" i="2"/>
  <c r="E2987" i="2"/>
  <c r="E2983" i="2"/>
  <c r="E2979" i="2"/>
  <c r="E2972" i="2"/>
  <c r="E2968" i="2"/>
  <c r="E2958" i="2"/>
  <c r="E2954" i="2"/>
  <c r="E2950" i="2"/>
  <c r="E2942" i="2"/>
  <c r="E2840" i="2"/>
  <c r="E2825" i="2"/>
  <c r="E2783" i="2"/>
  <c r="E3372" i="2"/>
  <c r="E3344" i="2"/>
  <c r="E3315" i="2"/>
  <c r="E3275" i="2"/>
  <c r="E3179" i="2"/>
  <c r="E3174" i="2"/>
  <c r="E3162" i="2"/>
  <c r="E3132" i="2"/>
  <c r="E3068" i="2"/>
  <c r="E3033" i="2"/>
  <c r="E2927" i="2"/>
  <c r="E2839" i="2"/>
  <c r="E2793" i="2"/>
  <c r="E2743" i="2"/>
  <c r="E2703" i="2"/>
  <c r="E2675" i="2"/>
  <c r="E2623" i="2"/>
  <c r="E2597" i="2"/>
  <c r="E2583" i="2"/>
  <c r="E2543" i="2"/>
  <c r="E2503" i="2"/>
  <c r="E2435" i="2"/>
  <c r="E2395" i="2"/>
  <c r="E2267" i="2"/>
  <c r="E2211" i="2"/>
  <c r="E3409" i="2"/>
  <c r="E3376" i="2"/>
  <c r="E3311" i="2"/>
  <c r="E3285" i="2"/>
  <c r="E3274" i="2"/>
  <c r="E3220" i="2"/>
  <c r="E3209" i="2"/>
  <c r="E3205" i="2"/>
  <c r="E3178" i="2"/>
  <c r="E3160" i="2"/>
  <c r="E3106" i="2"/>
  <c r="E3097" i="2"/>
  <c r="E3087" i="2"/>
  <c r="E3067" i="2"/>
  <c r="E3046" i="2"/>
  <c r="E3032" i="2"/>
  <c r="E3028" i="2"/>
  <c r="E3024" i="2"/>
  <c r="E3020" i="2"/>
  <c r="E3016" i="2"/>
  <c r="E2926" i="2"/>
  <c r="E2838" i="2"/>
  <c r="E2792" i="2"/>
  <c r="E2742" i="2"/>
  <c r="E2730" i="2"/>
  <c r="E2702" i="2"/>
  <c r="E2674" i="2"/>
  <c r="E2622" i="2"/>
  <c r="E2596" i="2"/>
  <c r="E2582" i="2"/>
  <c r="E2542" i="2"/>
  <c r="E3348" i="2"/>
  <c r="E3326" i="2"/>
  <c r="E3310" i="2"/>
  <c r="E3289" i="2"/>
  <c r="E3263" i="2"/>
  <c r="E3224" i="2"/>
  <c r="E3204" i="2"/>
  <c r="E3159" i="2"/>
  <c r="E3123" i="2"/>
  <c r="E3086" i="2"/>
  <c r="E3072" i="2"/>
  <c r="E3065" i="2"/>
  <c r="E2925" i="2"/>
  <c r="E2791" i="2"/>
  <c r="E2729" i="2"/>
  <c r="E2701" i="2"/>
  <c r="E2673" i="2"/>
  <c r="E2621" i="2"/>
  <c r="E2595" i="2"/>
  <c r="E2581" i="2"/>
  <c r="E2529" i="2"/>
  <c r="E2501" i="2"/>
  <c r="E2433" i="2"/>
  <c r="E2393" i="2"/>
  <c r="E3380" i="2"/>
  <c r="E3308" i="2"/>
  <c r="E3293" i="2"/>
  <c r="E3241" i="2"/>
  <c r="E3228" i="2"/>
  <c r="E3202" i="2"/>
  <c r="E3157" i="2"/>
  <c r="E3127" i="2"/>
  <c r="E3110" i="2"/>
  <c r="E3101" i="2"/>
  <c r="E3083" i="2"/>
  <c r="E3064" i="2"/>
  <c r="E3054" i="2"/>
  <c r="E3006" i="2"/>
  <c r="E3002" i="2"/>
  <c r="E2998" i="2"/>
  <c r="E2994" i="2"/>
  <c r="E2990" i="2"/>
  <c r="E2986" i="2"/>
  <c r="E2982" i="2"/>
  <c r="E2978" i="2"/>
  <c r="E2971" i="2"/>
  <c r="E2967" i="2"/>
  <c r="E2957" i="2"/>
  <c r="E2953" i="2"/>
  <c r="E2949" i="2"/>
  <c r="E2924" i="2"/>
  <c r="E2805" i="2"/>
  <c r="E2790" i="2"/>
  <c r="E2782" i="2"/>
  <c r="E2728" i="2"/>
  <c r="E2700" i="2"/>
  <c r="E3371" i="2"/>
  <c r="E3297" i="2"/>
  <c r="E3239" i="2"/>
  <c r="E3201" i="2"/>
  <c r="E3155" i="2"/>
  <c r="E3151" i="2"/>
  <c r="E3147" i="2"/>
  <c r="E3143" i="2"/>
  <c r="E3131" i="2"/>
  <c r="E3082" i="2"/>
  <c r="E3076" i="2"/>
  <c r="E3063" i="2"/>
  <c r="E2966" i="2"/>
  <c r="E2923" i="2"/>
  <c r="E2865" i="2"/>
  <c r="E2861" i="2"/>
  <c r="E2857" i="2"/>
  <c r="E2853" i="2"/>
  <c r="E2849" i="2"/>
  <c r="E2845" i="2"/>
  <c r="E2789" i="2"/>
  <c r="E2727" i="2"/>
  <c r="E2699" i="2"/>
  <c r="E2659" i="2"/>
  <c r="E2593" i="2"/>
  <c r="E2579" i="2"/>
  <c r="E3375" i="2"/>
  <c r="E3367" i="2"/>
  <c r="E3338" i="2"/>
  <c r="E3301" i="2"/>
  <c r="E3284" i="2"/>
  <c r="E3238" i="2"/>
  <c r="E3219" i="2"/>
  <c r="E3199" i="2"/>
  <c r="E3142" i="2"/>
  <c r="E3081" i="2"/>
  <c r="E3062" i="2"/>
  <c r="E2965" i="2"/>
  <c r="E2922" i="2"/>
  <c r="E2819" i="2"/>
  <c r="E2788" i="2"/>
  <c r="E2773" i="2"/>
  <c r="E2726" i="2"/>
  <c r="E2698" i="2"/>
  <c r="E2658" i="2"/>
  <c r="E2592" i="2"/>
  <c r="E2578" i="2"/>
  <c r="E2526" i="2"/>
  <c r="E2486" i="2"/>
  <c r="E2472" i="2"/>
  <c r="E2458" i="2"/>
  <c r="E2418" i="2"/>
  <c r="E3366" i="2"/>
  <c r="E3333" i="2"/>
  <c r="E3288" i="2"/>
  <c r="E3245" i="2"/>
  <c r="E3235" i="2"/>
  <c r="E3223" i="2"/>
  <c r="E3218" i="2"/>
  <c r="E3197" i="2"/>
  <c r="E3139" i="2"/>
  <c r="E3122" i="2"/>
  <c r="E3080" i="2"/>
  <c r="E3071" i="2"/>
  <c r="E3059" i="2"/>
  <c r="E2964" i="2"/>
  <c r="E2921" i="2"/>
  <c r="E2896" i="2"/>
  <c r="E2892" i="2"/>
  <c r="E2879" i="2"/>
  <c r="E2875" i="2"/>
  <c r="E2823" i="2"/>
  <c r="E2818" i="2"/>
  <c r="E2800" i="2"/>
  <c r="E3396" i="2"/>
  <c r="E3379" i="2"/>
  <c r="E3359" i="2"/>
  <c r="E3342" i="2"/>
  <c r="E3331" i="2"/>
  <c r="E3305" i="2"/>
  <c r="E3292" i="2"/>
  <c r="E3234" i="2"/>
  <c r="E3227" i="2"/>
  <c r="E3216" i="2"/>
  <c r="E3196" i="2"/>
  <c r="E3138" i="2"/>
  <c r="E3120" i="2"/>
  <c r="E3058" i="2"/>
  <c r="E2977" i="2"/>
  <c r="E2963" i="2"/>
  <c r="E2920" i="2"/>
  <c r="E2891" i="2"/>
  <c r="E2874" i="2"/>
  <c r="E2817" i="2"/>
  <c r="E2786" i="2"/>
  <c r="E2770" i="2"/>
  <c r="E2753" i="2"/>
  <c r="E2724" i="2"/>
  <c r="E2696" i="2"/>
  <c r="E2656" i="2"/>
  <c r="E2576" i="2"/>
  <c r="E3387" i="2"/>
  <c r="E3358" i="2"/>
  <c r="E3330" i="2"/>
  <c r="E3296" i="2"/>
  <c r="E3231" i="2"/>
  <c r="E3213" i="2"/>
  <c r="E3154" i="2"/>
  <c r="E3150" i="2"/>
  <c r="E3146" i="2"/>
  <c r="E3135" i="2"/>
  <c r="E3119" i="2"/>
  <c r="E2976" i="2"/>
  <c r="E2962" i="2"/>
  <c r="E2907" i="2"/>
  <c r="E2889" i="2"/>
  <c r="E2871" i="2"/>
  <c r="E2816" i="2"/>
  <c r="E2767" i="2"/>
  <c r="E2752" i="2"/>
  <c r="E2723" i="2"/>
  <c r="E2695" i="2"/>
  <c r="E2655" i="2"/>
  <c r="E2551" i="2"/>
  <c r="E2523" i="2"/>
  <c r="E2483" i="2"/>
  <c r="E2469" i="2"/>
  <c r="E2455" i="2"/>
  <c r="E2415" i="2"/>
  <c r="E2387" i="2"/>
  <c r="E2337" i="2"/>
  <c r="E2287" i="2"/>
  <c r="E2259" i="2"/>
  <c r="E3386" i="2"/>
  <c r="E3374" i="2"/>
  <c r="E3355" i="2"/>
  <c r="E3346" i="2"/>
  <c r="E3300" i="2"/>
  <c r="E3283" i="2"/>
  <c r="E3259" i="2"/>
  <c r="E3249" i="2"/>
  <c r="E3211" i="2"/>
  <c r="E3207" i="2"/>
  <c r="E3134" i="2"/>
  <c r="E3117" i="2"/>
  <c r="E3090" i="2"/>
  <c r="E3048" i="2"/>
  <c r="E3030" i="2"/>
  <c r="E3026" i="2"/>
  <c r="E3022" i="2"/>
  <c r="E3018" i="2"/>
  <c r="E3014" i="2"/>
  <c r="E2975" i="2"/>
  <c r="E2961" i="2"/>
  <c r="E2906" i="2"/>
  <c r="E2888" i="2"/>
  <c r="E2870" i="2"/>
  <c r="E2835" i="2"/>
  <c r="E2815" i="2"/>
  <c r="E2795" i="2"/>
  <c r="E3351" i="2"/>
  <c r="E3287" i="2"/>
  <c r="E3258" i="2"/>
  <c r="E3167" i="2"/>
  <c r="E3116" i="2"/>
  <c r="E3079" i="2"/>
  <c r="E3052" i="2"/>
  <c r="E3013" i="2"/>
  <c r="E2974" i="2"/>
  <c r="E2960" i="2"/>
  <c r="E2905" i="2"/>
  <c r="E2895" i="2"/>
  <c r="E2885" i="2"/>
  <c r="E2878" i="2"/>
  <c r="E2869" i="2"/>
  <c r="E2822" i="2"/>
  <c r="E2814" i="2"/>
  <c r="E2799" i="2"/>
  <c r="E2765" i="2"/>
  <c r="E2750" i="2"/>
  <c r="E2721" i="2"/>
  <c r="E2717" i="2"/>
  <c r="E2713" i="2"/>
  <c r="E2709" i="2"/>
  <c r="E3350" i="2"/>
  <c r="E3291" i="2"/>
  <c r="E3256" i="2"/>
  <c r="E3188" i="2"/>
  <c r="E3171" i="2"/>
  <c r="E3115" i="2"/>
  <c r="E3094" i="2"/>
  <c r="E3056" i="2"/>
  <c r="E3039" i="2"/>
  <c r="E3012" i="2"/>
  <c r="E2947" i="2"/>
  <c r="E2903" i="2"/>
  <c r="E2884" i="2"/>
  <c r="E2868" i="2"/>
  <c r="E2813" i="2"/>
  <c r="E2749" i="2"/>
  <c r="E2708" i="2"/>
  <c r="E2692" i="2"/>
  <c r="E2652" i="2"/>
  <c r="E2618" i="2"/>
  <c r="E2614" i="2"/>
  <c r="E2610" i="2"/>
  <c r="E3187" i="2"/>
  <c r="E3175" i="2"/>
  <c r="E3153" i="2"/>
  <c r="E3149" i="2"/>
  <c r="E3145" i="2"/>
  <c r="E3114" i="2"/>
  <c r="E3038" i="2"/>
  <c r="E3011" i="2"/>
  <c r="E2946" i="2"/>
  <c r="E2936" i="2"/>
  <c r="E2932" i="2"/>
  <c r="E2928" i="2"/>
  <c r="E2918" i="2"/>
  <c r="E2914" i="2"/>
  <c r="E2910" i="2"/>
  <c r="E2902" i="2"/>
  <c r="E2883" i="2"/>
  <c r="E2843" i="2"/>
  <c r="E2812" i="2"/>
  <c r="E2748" i="2"/>
  <c r="E2707" i="2"/>
  <c r="E2691" i="2"/>
  <c r="E2627" i="2"/>
  <c r="E2601" i="2"/>
  <c r="E2547" i="2"/>
  <c r="E2507" i="2"/>
  <c r="E2465" i="2"/>
  <c r="E2451" i="2"/>
  <c r="E2411" i="2"/>
  <c r="E2283" i="2"/>
  <c r="E2787" i="2"/>
  <c r="E2705" i="2"/>
  <c r="E2620" i="2"/>
  <c r="E2602" i="2"/>
  <c r="E2544" i="2"/>
  <c r="E2525" i="2"/>
  <c r="E2509" i="2"/>
  <c r="E2482" i="2"/>
  <c r="E2466" i="2"/>
  <c r="E2392" i="2"/>
  <c r="E2341" i="2"/>
  <c r="E2302" i="2"/>
  <c r="E2244" i="2"/>
  <c r="E2230" i="2"/>
  <c r="E2215" i="2"/>
  <c r="E2146" i="2"/>
  <c r="E2094" i="2"/>
  <c r="E2066" i="2"/>
  <c r="E2026" i="2"/>
  <c r="E1934" i="2"/>
  <c r="E2718" i="2"/>
  <c r="E2704" i="2"/>
  <c r="E2606" i="2"/>
  <c r="E2599" i="2"/>
  <c r="E2524" i="2"/>
  <c r="E2513" i="2"/>
  <c r="E2508" i="2"/>
  <c r="E2481" i="2"/>
  <c r="E2391" i="2"/>
  <c r="E2340" i="2"/>
  <c r="E2301" i="2"/>
  <c r="E2229" i="2"/>
  <c r="E2214" i="2"/>
  <c r="E2145" i="2"/>
  <c r="E2093" i="2"/>
  <c r="E2065" i="2"/>
  <c r="E2025" i="2"/>
  <c r="E1999" i="2"/>
  <c r="E1933" i="2"/>
  <c r="E1881" i="2"/>
  <c r="E1867" i="2"/>
  <c r="E1853" i="2"/>
  <c r="E1825" i="2"/>
  <c r="E2736" i="2"/>
  <c r="E2697" i="2"/>
  <c r="E2598" i="2"/>
  <c r="E2532" i="2"/>
  <c r="E2522" i="2"/>
  <c r="E2517" i="2"/>
  <c r="E2505" i="2"/>
  <c r="E2480" i="2"/>
  <c r="E2476" i="2"/>
  <c r="E2407" i="2"/>
  <c r="E2403" i="2"/>
  <c r="E2399" i="2"/>
  <c r="E2390" i="2"/>
  <c r="E2339" i="2"/>
  <c r="E2300" i="2"/>
  <c r="E2296" i="2"/>
  <c r="E2292" i="2"/>
  <c r="E2288" i="2"/>
  <c r="E2228" i="2"/>
  <c r="E2223" i="2"/>
  <c r="E2213" i="2"/>
  <c r="E2694" i="2"/>
  <c r="E2657" i="2"/>
  <c r="E2594" i="2"/>
  <c r="E2587" i="2"/>
  <c r="E2536" i="2"/>
  <c r="E2521" i="2"/>
  <c r="E2504" i="2"/>
  <c r="E2495" i="2"/>
  <c r="E2389" i="2"/>
  <c r="E2338" i="2"/>
  <c r="E2286" i="2"/>
  <c r="E2212" i="2"/>
  <c r="E2171" i="2"/>
  <c r="E2143" i="2"/>
  <c r="E2761" i="2"/>
  <c r="E2693" i="2"/>
  <c r="E2654" i="2"/>
  <c r="E2591" i="2"/>
  <c r="E2540" i="2"/>
  <c r="E2502" i="2"/>
  <c r="E2388" i="2"/>
  <c r="E2285" i="2"/>
  <c r="E2210" i="2"/>
  <c r="E2170" i="2"/>
  <c r="E2142" i="2"/>
  <c r="E2090" i="2"/>
  <c r="E2050" i="2"/>
  <c r="E2022" i="2"/>
  <c r="E1996" i="2"/>
  <c r="E1958" i="2"/>
  <c r="E1930" i="2"/>
  <c r="E1878" i="2"/>
  <c r="E1864" i="2"/>
  <c r="E1850" i="2"/>
  <c r="E1822" i="2"/>
  <c r="E1782" i="2"/>
  <c r="E1730" i="2"/>
  <c r="E1702" i="2"/>
  <c r="E1650" i="2"/>
  <c r="E1622" i="2"/>
  <c r="E2740" i="2"/>
  <c r="E2712" i="2"/>
  <c r="E2653" i="2"/>
  <c r="E2605" i="2"/>
  <c r="E2512" i="2"/>
  <c r="E2500" i="2"/>
  <c r="E2463" i="2"/>
  <c r="E2386" i="2"/>
  <c r="E2382" i="2"/>
  <c r="E2378" i="2"/>
  <c r="E2374" i="2"/>
  <c r="E2370" i="2"/>
  <c r="E2366" i="2"/>
  <c r="E2362" i="2"/>
  <c r="E2358" i="2"/>
  <c r="E2354" i="2"/>
  <c r="E2771" i="2"/>
  <c r="E2725" i="2"/>
  <c r="E2609" i="2"/>
  <c r="E2531" i="2"/>
  <c r="E2516" i="2"/>
  <c r="E2499" i="2"/>
  <c r="E2479" i="2"/>
  <c r="E2475" i="2"/>
  <c r="E2439" i="2"/>
  <c r="E2419" i="2"/>
  <c r="E2406" i="2"/>
  <c r="E2402" i="2"/>
  <c r="E2398" i="2"/>
  <c r="E2766" i="2"/>
  <c r="E2722" i="2"/>
  <c r="E2586" i="2"/>
  <c r="E2535" i="2"/>
  <c r="E2520" i="2"/>
  <c r="E2417" i="2"/>
  <c r="E2281" i="2"/>
  <c r="E2167" i="2"/>
  <c r="E2127" i="2"/>
  <c r="E2087" i="2"/>
  <c r="E2047" i="2"/>
  <c r="E2019" i="2"/>
  <c r="E1993" i="2"/>
  <c r="E1955" i="2"/>
  <c r="E1903" i="2"/>
  <c r="E1861" i="2"/>
  <c r="E1847" i="2"/>
  <c r="E1807" i="2"/>
  <c r="E1767" i="2"/>
  <c r="E1727" i="2"/>
  <c r="E1699" i="2"/>
  <c r="E1647" i="2"/>
  <c r="E2679" i="2"/>
  <c r="E2613" i="2"/>
  <c r="E2590" i="2"/>
  <c r="E2539" i="2"/>
  <c r="E2457" i="2"/>
  <c r="E2416" i="2"/>
  <c r="E2268" i="2"/>
  <c r="E2252" i="2"/>
  <c r="E2166" i="2"/>
  <c r="E2126" i="2"/>
  <c r="E2086" i="2"/>
  <c r="E2046" i="2"/>
  <c r="E2018" i="2"/>
  <c r="E1992" i="2"/>
  <c r="E1954" i="2"/>
  <c r="E1902" i="2"/>
  <c r="E1846" i="2"/>
  <c r="E1806" i="2"/>
  <c r="E1766" i="2"/>
  <c r="E1726" i="2"/>
  <c r="E1698" i="2"/>
  <c r="E1646" i="2"/>
  <c r="E1570" i="2"/>
  <c r="E1556" i="2"/>
  <c r="E1514" i="2"/>
  <c r="E1462" i="2"/>
  <c r="E2777" i="2"/>
  <c r="E2604" i="2"/>
  <c r="E2456" i="2"/>
  <c r="E2414" i="2"/>
  <c r="E2266" i="2"/>
  <c r="E2251" i="2"/>
  <c r="E2237" i="2"/>
  <c r="E2165" i="2"/>
  <c r="E2125" i="2"/>
  <c r="E2085" i="2"/>
  <c r="E2045" i="2"/>
  <c r="E1991" i="2"/>
  <c r="E1953" i="2"/>
  <c r="E1901" i="2"/>
  <c r="E1845" i="2"/>
  <c r="E1805" i="2"/>
  <c r="E1765" i="2"/>
  <c r="E1725" i="2"/>
  <c r="E2617" i="2"/>
  <c r="E2608" i="2"/>
  <c r="E2530" i="2"/>
  <c r="E2478" i="2"/>
  <c r="E2474" i="2"/>
  <c r="E2454" i="2"/>
  <c r="E2438" i="2"/>
  <c r="E2413" i="2"/>
  <c r="E2265" i="2"/>
  <c r="E2250" i="2"/>
  <c r="E2236" i="2"/>
  <c r="E2164" i="2"/>
  <c r="E2124" i="2"/>
  <c r="E2072" i="2"/>
  <c r="E2044" i="2"/>
  <c r="E1990" i="2"/>
  <c r="E1952" i="2"/>
  <c r="E1927" i="2"/>
  <c r="E1923" i="2"/>
  <c r="E1919" i="2"/>
  <c r="E1915" i="2"/>
  <c r="E2683" i="2"/>
  <c r="E2585" i="2"/>
  <c r="E2534" i="2"/>
  <c r="E2473" i="2"/>
  <c r="E2453" i="2"/>
  <c r="E2437" i="2"/>
  <c r="E2412" i="2"/>
  <c r="E2264" i="2"/>
  <c r="E2249" i="2"/>
  <c r="E2235" i="2"/>
  <c r="E2151" i="2"/>
  <c r="E2123" i="2"/>
  <c r="E2071" i="2"/>
  <c r="E2043" i="2"/>
  <c r="E1989" i="2"/>
  <c r="E1939" i="2"/>
  <c r="E1899" i="2"/>
  <c r="E1831" i="2"/>
  <c r="E1803" i="2"/>
  <c r="E1763" i="2"/>
  <c r="E1711" i="2"/>
  <c r="E2710" i="2"/>
  <c r="E2677" i="2"/>
  <c r="E2612" i="2"/>
  <c r="E2589" i="2"/>
  <c r="E2584" i="2"/>
  <c r="E2550" i="2"/>
  <c r="E2538" i="2"/>
  <c r="E2510" i="2"/>
  <c r="E2471" i="2"/>
  <c r="E2452" i="2"/>
  <c r="E2436" i="2"/>
  <c r="E2410" i="2"/>
  <c r="E2306" i="2"/>
  <c r="E2263" i="2"/>
  <c r="E2248" i="2"/>
  <c r="E2234" i="2"/>
  <c r="E2150" i="2"/>
  <c r="E2122" i="2"/>
  <c r="E2070" i="2"/>
  <c r="E2042" i="2"/>
  <c r="E1938" i="2"/>
  <c r="E1898" i="2"/>
  <c r="E1830" i="2"/>
  <c r="E1802" i="2"/>
  <c r="E2751" i="2"/>
  <c r="E2676" i="2"/>
  <c r="E2580" i="2"/>
  <c r="E2549" i="2"/>
  <c r="E2514" i="2"/>
  <c r="E2487" i="2"/>
  <c r="E2470" i="2"/>
  <c r="E2450" i="2"/>
  <c r="E2434" i="2"/>
  <c r="E2409" i="2"/>
  <c r="E2384" i="2"/>
  <c r="E2380" i="2"/>
  <c r="E2376" i="2"/>
  <c r="E2372" i="2"/>
  <c r="E2368" i="2"/>
  <c r="E2364" i="2"/>
  <c r="E2360" i="2"/>
  <c r="E2356" i="2"/>
  <c r="E2352" i="2"/>
  <c r="E2348" i="2"/>
  <c r="E2344" i="2"/>
  <c r="E2745" i="2"/>
  <c r="E2714" i="2"/>
  <c r="E2687" i="2"/>
  <c r="E2672" i="2"/>
  <c r="E2625" i="2"/>
  <c r="E2616" i="2"/>
  <c r="E2577" i="2"/>
  <c r="E2560" i="2"/>
  <c r="E2548" i="2"/>
  <c r="E2528" i="2"/>
  <c r="E2518" i="2"/>
  <c r="E2485" i="2"/>
  <c r="E2477" i="2"/>
  <c r="E2468" i="2"/>
  <c r="E2432" i="2"/>
  <c r="E2408" i="2"/>
  <c r="E2404" i="2"/>
  <c r="E2400" i="2"/>
  <c r="E2396" i="2"/>
  <c r="E2343" i="2"/>
  <c r="E2304" i="2"/>
  <c r="E2297" i="2"/>
  <c r="E2293" i="2"/>
  <c r="E2289" i="2"/>
  <c r="E2732" i="2"/>
  <c r="E2624" i="2"/>
  <c r="E2545" i="2"/>
  <c r="E2527" i="2"/>
  <c r="E2484" i="2"/>
  <c r="E2467" i="2"/>
  <c r="E2441" i="2"/>
  <c r="E2431" i="2"/>
  <c r="E2394" i="2"/>
  <c r="E2342" i="2"/>
  <c r="E2303" i="2"/>
  <c r="E2260" i="2"/>
  <c r="E2245" i="2"/>
  <c r="E2231" i="2"/>
  <c r="E2205" i="2"/>
  <c r="E2188" i="2"/>
  <c r="E2184" i="2"/>
  <c r="E2180" i="2"/>
  <c r="E2176" i="2"/>
  <c r="E2172" i="2"/>
  <c r="E2162" i="2"/>
  <c r="E2158" i="2"/>
  <c r="E2232" i="2"/>
  <c r="E2149" i="2"/>
  <c r="E2133" i="2"/>
  <c r="E2121" i="2"/>
  <c r="E2082" i="2"/>
  <c r="E2048" i="2"/>
  <c r="E2032" i="2"/>
  <c r="E2027" i="2"/>
  <c r="E1935" i="2"/>
  <c r="E1912" i="2"/>
  <c r="E1908" i="2"/>
  <c r="E1904" i="2"/>
  <c r="E1893" i="2"/>
  <c r="E1880" i="2"/>
  <c r="E1863" i="2"/>
  <c r="E1837" i="2"/>
  <c r="E1811" i="2"/>
  <c r="E1769" i="2"/>
  <c r="E1758" i="2"/>
  <c r="E1735" i="2"/>
  <c r="E1701" i="2"/>
  <c r="E1626" i="2"/>
  <c r="E1607" i="2"/>
  <c r="E1577" i="2"/>
  <c r="E1564" i="2"/>
  <c r="E1549" i="2"/>
  <c r="E2148" i="2"/>
  <c r="E2120" i="2"/>
  <c r="E2041" i="2"/>
  <c r="E2036" i="2"/>
  <c r="E2024" i="2"/>
  <c r="E1932" i="2"/>
  <c r="E1916" i="2"/>
  <c r="E1900" i="2"/>
  <c r="E1879" i="2"/>
  <c r="E1862" i="2"/>
  <c r="E1815" i="2"/>
  <c r="E1798" i="2"/>
  <c r="E1734" i="2"/>
  <c r="E1700" i="2"/>
  <c r="E1656" i="2"/>
  <c r="E1625" i="2"/>
  <c r="E1611" i="2"/>
  <c r="E1581" i="2"/>
  <c r="E1563" i="2"/>
  <c r="E1559" i="2"/>
  <c r="E1548" i="2"/>
  <c r="E1534" i="2"/>
  <c r="E1490" i="2"/>
  <c r="E1435" i="2"/>
  <c r="E1395" i="2"/>
  <c r="E1385" i="2"/>
  <c r="E1381" i="2"/>
  <c r="E1377" i="2"/>
  <c r="E1367" i="2"/>
  <c r="E2147" i="2"/>
  <c r="E2137" i="2"/>
  <c r="E2119" i="2"/>
  <c r="E2073" i="2"/>
  <c r="E2040" i="2"/>
  <c r="E2023" i="2"/>
  <c r="E1957" i="2"/>
  <c r="E1931" i="2"/>
  <c r="E1920" i="2"/>
  <c r="E1877" i="2"/>
  <c r="E1733" i="2"/>
  <c r="E1722" i="2"/>
  <c r="E1718" i="2"/>
  <c r="E1714" i="2"/>
  <c r="E1697" i="2"/>
  <c r="E1624" i="2"/>
  <c r="E1533" i="2"/>
  <c r="E1489" i="2"/>
  <c r="E1434" i="2"/>
  <c r="E1394" i="2"/>
  <c r="E2199" i="2"/>
  <c r="E2144" i="2"/>
  <c r="E2077" i="2"/>
  <c r="E2021" i="2"/>
  <c r="E1956" i="2"/>
  <c r="E1942" i="2"/>
  <c r="E1929" i="2"/>
  <c r="E1924" i="2"/>
  <c r="E1876" i="2"/>
  <c r="E1872" i="2"/>
  <c r="E1732" i="2"/>
  <c r="E1696" i="2"/>
  <c r="E1623" i="2"/>
  <c r="E1520" i="2"/>
  <c r="E1488" i="2"/>
  <c r="E1484" i="2"/>
  <c r="E1480" i="2"/>
  <c r="E1476" i="2"/>
  <c r="E1472" i="2"/>
  <c r="E1468" i="2"/>
  <c r="E1464" i="2"/>
  <c r="E1421" i="2"/>
  <c r="E1393" i="2"/>
  <c r="E1337" i="2"/>
  <c r="E1297" i="2"/>
  <c r="E1181" i="2"/>
  <c r="E1117" i="2"/>
  <c r="E1089" i="2"/>
  <c r="E1063" i="2"/>
  <c r="E1049" i="2"/>
  <c r="E997" i="2"/>
  <c r="E2291" i="2"/>
  <c r="E2262" i="2"/>
  <c r="E2240" i="2"/>
  <c r="E2141" i="2"/>
  <c r="E2095" i="2"/>
  <c r="E2081" i="2"/>
  <c r="E2031" i="2"/>
  <c r="E2020" i="2"/>
  <c r="E2008" i="2"/>
  <c r="E1998" i="2"/>
  <c r="E1928" i="2"/>
  <c r="E1911" i="2"/>
  <c r="E1907" i="2"/>
  <c r="E1810" i="2"/>
  <c r="E1777" i="2"/>
  <c r="E1768" i="2"/>
  <c r="E1743" i="2"/>
  <c r="E1731" i="2"/>
  <c r="E1695" i="2"/>
  <c r="E1621" i="2"/>
  <c r="E2346" i="2"/>
  <c r="E2261" i="2"/>
  <c r="E2203" i="2"/>
  <c r="E2092" i="2"/>
  <c r="E2035" i="2"/>
  <c r="E1997" i="2"/>
  <c r="E1946" i="2"/>
  <c r="E1887" i="2"/>
  <c r="E1854" i="2"/>
  <c r="E1829" i="2"/>
  <c r="E1814" i="2"/>
  <c r="E1729" i="2"/>
  <c r="E1694" i="2"/>
  <c r="E1655" i="2"/>
  <c r="E1620" i="2"/>
  <c r="E1518" i="2"/>
  <c r="E1461" i="2"/>
  <c r="E1419" i="2"/>
  <c r="E1391" i="2"/>
  <c r="E1323" i="2"/>
  <c r="E1295" i="2"/>
  <c r="E1179" i="2"/>
  <c r="E1115" i="2"/>
  <c r="E2305" i="2"/>
  <c r="E2154" i="2"/>
  <c r="E2099" i="2"/>
  <c r="E2091" i="2"/>
  <c r="E2069" i="2"/>
  <c r="E2039" i="2"/>
  <c r="E1995" i="2"/>
  <c r="E1852" i="2"/>
  <c r="E1828" i="2"/>
  <c r="E1728" i="2"/>
  <c r="E1721" i="2"/>
  <c r="E1717" i="2"/>
  <c r="E1713" i="2"/>
  <c r="E1669" i="2"/>
  <c r="E1619" i="2"/>
  <c r="E1517" i="2"/>
  <c r="E1460" i="2"/>
  <c r="E1418" i="2"/>
  <c r="E1390" i="2"/>
  <c r="E1322" i="2"/>
  <c r="E1294" i="2"/>
  <c r="E1178" i="2"/>
  <c r="E1114" i="2"/>
  <c r="E1046" i="2"/>
  <c r="E994" i="2"/>
  <c r="E930" i="2"/>
  <c r="E2295" i="2"/>
  <c r="E2220" i="2"/>
  <c r="E2209" i="2"/>
  <c r="E2089" i="2"/>
  <c r="E2068" i="2"/>
  <c r="E1994" i="2"/>
  <c r="E1950" i="2"/>
  <c r="E1941" i="2"/>
  <c r="E1891" i="2"/>
  <c r="E1875" i="2"/>
  <c r="E1871" i="2"/>
  <c r="E1851" i="2"/>
  <c r="E1827" i="2"/>
  <c r="E1787" i="2"/>
  <c r="E1712" i="2"/>
  <c r="E1668" i="2"/>
  <c r="E1659" i="2"/>
  <c r="E1649" i="2"/>
  <c r="E1637" i="2"/>
  <c r="E1633" i="2"/>
  <c r="E1629" i="2"/>
  <c r="E1605" i="2"/>
  <c r="E1588" i="2"/>
  <c r="E1571" i="2"/>
  <c r="E1531" i="2"/>
  <c r="E1527" i="2"/>
  <c r="E1523" i="2"/>
  <c r="E1516" i="2"/>
  <c r="E2350" i="2"/>
  <c r="E2247" i="2"/>
  <c r="E2208" i="2"/>
  <c r="E2103" i="2"/>
  <c r="E2088" i="2"/>
  <c r="E2067" i="2"/>
  <c r="E2030" i="2"/>
  <c r="E1849" i="2"/>
  <c r="E1826" i="2"/>
  <c r="E1809" i="2"/>
  <c r="E1786" i="2"/>
  <c r="E1764" i="2"/>
  <c r="E1710" i="2"/>
  <c r="E1667" i="2"/>
  <c r="E1648" i="2"/>
  <c r="E1515" i="2"/>
  <c r="E1458" i="2"/>
  <c r="E1416" i="2"/>
  <c r="E1388" i="2"/>
  <c r="E1320" i="2"/>
  <c r="E2246" i="2"/>
  <c r="E2169" i="2"/>
  <c r="E2135" i="2"/>
  <c r="E2064" i="2"/>
  <c r="E2034" i="2"/>
  <c r="E2002" i="2"/>
  <c r="E1945" i="2"/>
  <c r="E1918" i="2"/>
  <c r="E1895" i="2"/>
  <c r="E1848" i="2"/>
  <c r="E1824" i="2"/>
  <c r="E1813" i="2"/>
  <c r="E1808" i="2"/>
  <c r="E1791" i="2"/>
  <c r="E1785" i="2"/>
  <c r="E1762" i="2"/>
  <c r="E1709" i="2"/>
  <c r="E1666" i="2"/>
  <c r="E1645" i="2"/>
  <c r="E1613" i="2"/>
  <c r="E1596" i="2"/>
  <c r="E1579" i="2"/>
  <c r="E1561" i="2"/>
  <c r="E1557" i="2"/>
  <c r="E1513" i="2"/>
  <c r="E1498" i="2"/>
  <c r="E1457" i="2"/>
  <c r="E1415" i="2"/>
  <c r="E1387" i="2"/>
  <c r="E1383" i="2"/>
  <c r="E1379" i="2"/>
  <c r="E1375" i="2"/>
  <c r="E2299" i="2"/>
  <c r="E2224" i="2"/>
  <c r="E2197" i="2"/>
  <c r="E2168" i="2"/>
  <c r="E2107" i="2"/>
  <c r="E2098" i="2"/>
  <c r="E2075" i="2"/>
  <c r="E2063" i="2"/>
  <c r="E2038" i="2"/>
  <c r="E1922" i="2"/>
  <c r="E1844" i="2"/>
  <c r="E1834" i="2"/>
  <c r="E1823" i="2"/>
  <c r="E1817" i="2"/>
  <c r="E1804" i="2"/>
  <c r="E1784" i="2"/>
  <c r="E1761" i="2"/>
  <c r="E1755" i="2"/>
  <c r="E1746" i="2"/>
  <c r="E1724" i="2"/>
  <c r="E1720" i="2"/>
  <c r="E1716" i="2"/>
  <c r="E1708" i="2"/>
  <c r="E1692" i="2"/>
  <c r="E1688" i="2"/>
  <c r="E1684" i="2"/>
  <c r="E2238" i="2"/>
  <c r="E2079" i="2"/>
  <c r="E2006" i="2"/>
  <c r="E1870" i="2"/>
  <c r="E1821" i="2"/>
  <c r="E1801" i="2"/>
  <c r="E1783" i="2"/>
  <c r="E1760" i="2"/>
  <c r="E1707" i="2"/>
  <c r="E1664" i="2"/>
  <c r="E1643" i="2"/>
  <c r="E1569" i="2"/>
  <c r="E1554" i="2"/>
  <c r="E1540" i="2"/>
  <c r="E1511" i="2"/>
  <c r="E1496" i="2"/>
  <c r="E1455" i="2"/>
  <c r="E1441" i="2"/>
  <c r="E1413" i="2"/>
  <c r="E1373" i="2"/>
  <c r="E1359" i="2"/>
  <c r="E1345" i="2"/>
  <c r="E1317" i="2"/>
  <c r="E1277" i="2"/>
  <c r="E1215" i="2"/>
  <c r="E1201" i="2"/>
  <c r="E1173" i="2"/>
  <c r="E1097" i="2"/>
  <c r="E1017" i="2"/>
  <c r="E977" i="2"/>
  <c r="E2201" i="2"/>
  <c r="E2111" i="2"/>
  <c r="E2083" i="2"/>
  <c r="E1913" i="2"/>
  <c r="E1909" i="2"/>
  <c r="E1905" i="2"/>
  <c r="E1885" i="2"/>
  <c r="E1869" i="2"/>
  <c r="E1838" i="2"/>
  <c r="E1800" i="2"/>
  <c r="E1781" i="2"/>
  <c r="E1706" i="2"/>
  <c r="E1663" i="2"/>
  <c r="E1642" i="2"/>
  <c r="E1568" i="2"/>
  <c r="E1553" i="2"/>
  <c r="E1539" i="2"/>
  <c r="E1495" i="2"/>
  <c r="E1440" i="2"/>
  <c r="E1412" i="2"/>
  <c r="E1372" i="2"/>
  <c r="E1358" i="2"/>
  <c r="E1344" i="2"/>
  <c r="E1316" i="2"/>
  <c r="E1276" i="2"/>
  <c r="E1214" i="2"/>
  <c r="E2242" i="2"/>
  <c r="E2010" i="2"/>
  <c r="E1917" i="2"/>
  <c r="E1884" i="2"/>
  <c r="E1868" i="2"/>
  <c r="E1780" i="2"/>
  <c r="E1705" i="2"/>
  <c r="E1641" i="2"/>
  <c r="E1567" i="2"/>
  <c r="E1552" i="2"/>
  <c r="E1538" i="2"/>
  <c r="E1494" i="2"/>
  <c r="E1439" i="2"/>
  <c r="E1411" i="2"/>
  <c r="E1371" i="2"/>
  <c r="E1357" i="2"/>
  <c r="E1343" i="2"/>
  <c r="E1303" i="2"/>
  <c r="E1275" i="2"/>
  <c r="E1213" i="2"/>
  <c r="E1199" i="2"/>
  <c r="E1147" i="2"/>
  <c r="E2284" i="2"/>
  <c r="E2129" i="2"/>
  <c r="E2106" i="2"/>
  <c r="E2074" i="2"/>
  <c r="E1937" i="2"/>
  <c r="E1921" i="2"/>
  <c r="E1883" i="2"/>
  <c r="E1866" i="2"/>
  <c r="E1842" i="2"/>
  <c r="E1704" i="2"/>
  <c r="E1691" i="2"/>
  <c r="E1687" i="2"/>
  <c r="E1683" i="2"/>
  <c r="E1679" i="2"/>
  <c r="E1675" i="2"/>
  <c r="E1671" i="2"/>
  <c r="E1640" i="2"/>
  <c r="E1566" i="2"/>
  <c r="E1551" i="2"/>
  <c r="E1537" i="2"/>
  <c r="E1493" i="2"/>
  <c r="E1438" i="2"/>
  <c r="E2282" i="2"/>
  <c r="E2233" i="2"/>
  <c r="E2128" i="2"/>
  <c r="E2115" i="2"/>
  <c r="E2078" i="2"/>
  <c r="E2049" i="2"/>
  <c r="E2028" i="2"/>
  <c r="E2014" i="2"/>
  <c r="E1936" i="2"/>
  <c r="E1925" i="2"/>
  <c r="E1882" i="2"/>
  <c r="E1873" i="2"/>
  <c r="E1865" i="2"/>
  <c r="E1794" i="2"/>
  <c r="E1703" i="2"/>
  <c r="E1652" i="2"/>
  <c r="E1639" i="2"/>
  <c r="E1635" i="2"/>
  <c r="E1631" i="2"/>
  <c r="E1627" i="2"/>
  <c r="E1603" i="2"/>
  <c r="E1573" i="2"/>
  <c r="E1565" i="2"/>
  <c r="E1550" i="2"/>
  <c r="E1536" i="2"/>
  <c r="E1529" i="2"/>
  <c r="E1525" i="2"/>
  <c r="E1521" i="2"/>
  <c r="E1505" i="2"/>
  <c r="E1676" i="2"/>
  <c r="E1469" i="2"/>
  <c r="E1446" i="2"/>
  <c r="E1374" i="2"/>
  <c r="E1346" i="2"/>
  <c r="E1324" i="2"/>
  <c r="E1255" i="2"/>
  <c r="E1223" i="2"/>
  <c r="E1202" i="2"/>
  <c r="E1182" i="2"/>
  <c r="E1126" i="2"/>
  <c r="E1116" i="2"/>
  <c r="E1095" i="2"/>
  <c r="E1068" i="2"/>
  <c r="E1051" i="2"/>
  <c r="E1011" i="2"/>
  <c r="E1007" i="2"/>
  <c r="E1003" i="2"/>
  <c r="E995" i="2"/>
  <c r="E976" i="2"/>
  <c r="E920" i="2"/>
  <c r="E908" i="2"/>
  <c r="E868" i="2"/>
  <c r="E1487" i="2"/>
  <c r="E1428" i="2"/>
  <c r="E1370" i="2"/>
  <c r="E1363" i="2"/>
  <c r="E1312" i="2"/>
  <c r="E1302" i="2"/>
  <c r="E1281" i="2"/>
  <c r="E1241" i="2"/>
  <c r="E1200" i="2"/>
  <c r="E1187" i="2"/>
  <c r="E1180" i="2"/>
  <c r="E1113" i="2"/>
  <c r="E1094" i="2"/>
  <c r="E1067" i="2"/>
  <c r="E1050" i="2"/>
  <c r="E1041" i="2"/>
  <c r="E1037" i="2"/>
  <c r="E1033" i="2"/>
  <c r="E1029" i="2"/>
  <c r="E1025" i="2"/>
  <c r="E1021" i="2"/>
  <c r="E993" i="2"/>
  <c r="E975" i="2"/>
  <c r="E907" i="2"/>
  <c r="E855" i="2"/>
  <c r="E799" i="2"/>
  <c r="E1519" i="2"/>
  <c r="E1473" i="2"/>
  <c r="E1463" i="2"/>
  <c r="E1369" i="2"/>
  <c r="E1328" i="2"/>
  <c r="E1301" i="2"/>
  <c r="E1280" i="2"/>
  <c r="E1259" i="2"/>
  <c r="E1227" i="2"/>
  <c r="E1198" i="2"/>
  <c r="E1177" i="2"/>
  <c r="E1112" i="2"/>
  <c r="E1093" i="2"/>
  <c r="E1066" i="2"/>
  <c r="E1048" i="2"/>
  <c r="E992" i="2"/>
  <c r="E974" i="2"/>
  <c r="E906" i="2"/>
  <c r="E854" i="2"/>
  <c r="E798" i="2"/>
  <c r="E758" i="2"/>
  <c r="E694" i="2"/>
  <c r="E630" i="2"/>
  <c r="E566" i="2"/>
  <c r="E1680" i="2"/>
  <c r="E1576" i="2"/>
  <c r="E1512" i="2"/>
  <c r="E1459" i="2"/>
  <c r="E1432" i="2"/>
  <c r="E1399" i="2"/>
  <c r="E1368" i="2"/>
  <c r="E1300" i="2"/>
  <c r="E1285" i="2"/>
  <c r="E1279" i="2"/>
  <c r="E1245" i="2"/>
  <c r="E1197" i="2"/>
  <c r="E1191" i="2"/>
  <c r="E1176" i="2"/>
  <c r="E1111" i="2"/>
  <c r="E1092" i="2"/>
  <c r="E1084" i="2"/>
  <c r="E1080" i="2"/>
  <c r="E1076" i="2"/>
  <c r="E1072" i="2"/>
  <c r="E1065" i="2"/>
  <c r="E1047" i="2"/>
  <c r="E991" i="2"/>
  <c r="E1617" i="2"/>
  <c r="E1477" i="2"/>
  <c r="E1456" i="2"/>
  <c r="E1342" i="2"/>
  <c r="E1332" i="2"/>
  <c r="E1321" i="2"/>
  <c r="E1299" i="2"/>
  <c r="E1278" i="2"/>
  <c r="E1263" i="2"/>
  <c r="E1231" i="2"/>
  <c r="E1196" i="2"/>
  <c r="E1175" i="2"/>
  <c r="E1110" i="2"/>
  <c r="E1091" i="2"/>
  <c r="E1064" i="2"/>
  <c r="E1045" i="2"/>
  <c r="E990" i="2"/>
  <c r="E972" i="2"/>
  <c r="E919" i="2"/>
  <c r="E904" i="2"/>
  <c r="E867" i="2"/>
  <c r="E863" i="2"/>
  <c r="E859" i="2"/>
  <c r="E1403" i="2"/>
  <c r="E1341" i="2"/>
  <c r="E1319" i="2"/>
  <c r="E1298" i="2"/>
  <c r="E1289" i="2"/>
  <c r="E1274" i="2"/>
  <c r="E1249" i="2"/>
  <c r="E1217" i="2"/>
  <c r="E1195" i="2"/>
  <c r="E1174" i="2"/>
  <c r="E1090" i="2"/>
  <c r="E1062" i="2"/>
  <c r="E1020" i="2"/>
  <c r="E971" i="2"/>
  <c r="E879" i="2"/>
  <c r="E851" i="2"/>
  <c r="E837" i="2"/>
  <c r="E795" i="2"/>
  <c r="E755" i="2"/>
  <c r="E691" i="2"/>
  <c r="E603" i="2"/>
  <c r="E1481" i="2"/>
  <c r="E1449" i="2"/>
  <c r="E1422" i="2"/>
  <c r="E1340" i="2"/>
  <c r="E1318" i="2"/>
  <c r="E1306" i="2"/>
  <c r="E1296" i="2"/>
  <c r="E1273" i="2"/>
  <c r="E1267" i="2"/>
  <c r="E1235" i="2"/>
  <c r="E1216" i="2"/>
  <c r="E1148" i="2"/>
  <c r="E1088" i="2"/>
  <c r="E1061" i="2"/>
  <c r="E1019" i="2"/>
  <c r="E970" i="2"/>
  <c r="E878" i="2"/>
  <c r="E850" i="2"/>
  <c r="E836" i="2"/>
  <c r="E822" i="2"/>
  <c r="E794" i="2"/>
  <c r="E1665" i="2"/>
  <c r="E1509" i="2"/>
  <c r="E1467" i="2"/>
  <c r="E1407" i="2"/>
  <c r="E1398" i="2"/>
  <c r="E1339" i="2"/>
  <c r="E1293" i="2"/>
  <c r="E1272" i="2"/>
  <c r="E1253" i="2"/>
  <c r="E1221" i="2"/>
  <c r="E1212" i="2"/>
  <c r="E1146" i="2"/>
  <c r="E1124" i="2"/>
  <c r="E1087" i="2"/>
  <c r="E1083" i="2"/>
  <c r="E1079" i="2"/>
  <c r="E1075" i="2"/>
  <c r="E1071" i="2"/>
  <c r="E1018" i="2"/>
  <c r="E969" i="2"/>
  <c r="E914" i="2"/>
  <c r="E877" i="2"/>
  <c r="E1600" i="2"/>
  <c r="E1555" i="2"/>
  <c r="E1485" i="2"/>
  <c r="E1453" i="2"/>
  <c r="E1426" i="2"/>
  <c r="E1397" i="2"/>
  <c r="E1361" i="2"/>
  <c r="E1338" i="2"/>
  <c r="E1310" i="2"/>
  <c r="E1271" i="2"/>
  <c r="E1239" i="2"/>
  <c r="E1211" i="2"/>
  <c r="E1185" i="2"/>
  <c r="E1145" i="2"/>
  <c r="E1108" i="2"/>
  <c r="E1016" i="2"/>
  <c r="E1009" i="2"/>
  <c r="E1005" i="2"/>
  <c r="E1001" i="2"/>
  <c r="E988" i="2"/>
  <c r="E979" i="2"/>
  <c r="E968" i="2"/>
  <c r="E1471" i="2"/>
  <c r="E1396" i="2"/>
  <c r="E1360" i="2"/>
  <c r="E1336" i="2"/>
  <c r="E1326" i="2"/>
  <c r="E1257" i="2"/>
  <c r="E1225" i="2"/>
  <c r="E1144" i="2"/>
  <c r="E1015" i="2"/>
  <c r="E931" i="2"/>
  <c r="E875" i="2"/>
  <c r="E847" i="2"/>
  <c r="E833" i="2"/>
  <c r="E819" i="2"/>
  <c r="E791" i="2"/>
  <c r="E739" i="2"/>
  <c r="E687" i="2"/>
  <c r="E599" i="2"/>
  <c r="E547" i="2"/>
  <c r="E521" i="2"/>
  <c r="E507" i="2"/>
  <c r="E467" i="2"/>
  <c r="E1430" i="2"/>
  <c r="E1420" i="2"/>
  <c r="E1392" i="2"/>
  <c r="E1365" i="2"/>
  <c r="E1356" i="2"/>
  <c r="E1314" i="2"/>
  <c r="E1243" i="2"/>
  <c r="E1189" i="2"/>
  <c r="E1143" i="2"/>
  <c r="E1014" i="2"/>
  <c r="E929" i="2"/>
  <c r="E874" i="2"/>
  <c r="E846" i="2"/>
  <c r="E832" i="2"/>
  <c r="E818" i="2"/>
  <c r="E790" i="2"/>
  <c r="E738" i="2"/>
  <c r="E686" i="2"/>
  <c r="E682" i="2"/>
  <c r="E678" i="2"/>
  <c r="E674" i="2"/>
  <c r="E670" i="2"/>
  <c r="E666" i="2"/>
  <c r="E662" i="2"/>
  <c r="E658" i="2"/>
  <c r="E654" i="2"/>
  <c r="E650" i="2"/>
  <c r="E646" i="2"/>
  <c r="E642" i="2"/>
  <c r="E638" i="2"/>
  <c r="E1508" i="2"/>
  <c r="E1497" i="2"/>
  <c r="E1475" i="2"/>
  <c r="E1417" i="2"/>
  <c r="E1406" i="2"/>
  <c r="E1389" i="2"/>
  <c r="E1355" i="2"/>
  <c r="E1330" i="2"/>
  <c r="E1644" i="2"/>
  <c r="E1541" i="2"/>
  <c r="E1492" i="2"/>
  <c r="E1414" i="2"/>
  <c r="E1354" i="2"/>
  <c r="E1247" i="2"/>
  <c r="E1193" i="2"/>
  <c r="E1000" i="2"/>
  <c r="E927" i="2"/>
  <c r="E912" i="2"/>
  <c r="E872" i="2"/>
  <c r="E830" i="2"/>
  <c r="E816" i="2"/>
  <c r="E764" i="2"/>
  <c r="E736" i="2"/>
  <c r="E636" i="2"/>
  <c r="E572" i="2"/>
  <c r="E544" i="2"/>
  <c r="E518" i="2"/>
  <c r="E504" i="2"/>
  <c r="E464" i="2"/>
  <c r="E364" i="2"/>
  <c r="E324" i="2"/>
  <c r="E296" i="2"/>
  <c r="E1672" i="2"/>
  <c r="E1583" i="2"/>
  <c r="E1535" i="2"/>
  <c r="E1491" i="2"/>
  <c r="E1479" i="2"/>
  <c r="E1442" i="2"/>
  <c r="E1410" i="2"/>
  <c r="E1353" i="2"/>
  <c r="E1334" i="2"/>
  <c r="E1304" i="2"/>
  <c r="E1265" i="2"/>
  <c r="E1233" i="2"/>
  <c r="E1205" i="2"/>
  <c r="E1136" i="2"/>
  <c r="E1102" i="2"/>
  <c r="E1054" i="2"/>
  <c r="E1042" i="2"/>
  <c r="E1038" i="2"/>
  <c r="E1034" i="2"/>
  <c r="E1030" i="2"/>
  <c r="E1026" i="2"/>
  <c r="E1022" i="2"/>
  <c r="E999" i="2"/>
  <c r="E982" i="2"/>
  <c r="E966" i="2"/>
  <c r="E1593" i="2"/>
  <c r="E1502" i="2"/>
  <c r="E1465" i="2"/>
  <c r="E1437" i="2"/>
  <c r="E1352" i="2"/>
  <c r="E1291" i="2"/>
  <c r="E1251" i="2"/>
  <c r="E1219" i="2"/>
  <c r="E1204" i="2"/>
  <c r="E1170" i="2"/>
  <c r="E1166" i="2"/>
  <c r="E1162" i="2"/>
  <c r="E1158" i="2"/>
  <c r="E1154" i="2"/>
  <c r="E1150" i="2"/>
  <c r="E1122" i="2"/>
  <c r="E1058" i="2"/>
  <c r="E1053" i="2"/>
  <c r="E998" i="2"/>
  <c r="E910" i="2"/>
  <c r="E870" i="2"/>
  <c r="E1545" i="2"/>
  <c r="E1483" i="2"/>
  <c r="E1451" i="2"/>
  <c r="E1436" i="2"/>
  <c r="E1424" i="2"/>
  <c r="E1308" i="2"/>
  <c r="E1269" i="2"/>
  <c r="E1237" i="2"/>
  <c r="E1203" i="2"/>
  <c r="E1183" i="2"/>
  <c r="E1096" i="2"/>
  <c r="E1069" i="2"/>
  <c r="E1052" i="2"/>
  <c r="E996" i="2"/>
  <c r="E909" i="2"/>
  <c r="E869" i="2"/>
  <c r="E813" i="2"/>
  <c r="E761" i="2"/>
  <c r="E733" i="2"/>
  <c r="E633" i="2"/>
  <c r="E569" i="2"/>
  <c r="E515" i="2"/>
  <c r="E501" i="2"/>
  <c r="E942" i="2"/>
  <c r="E817" i="2"/>
  <c r="E775" i="2"/>
  <c r="E754" i="2"/>
  <c r="E749" i="2"/>
  <c r="E737" i="2"/>
  <c r="E720" i="2"/>
  <c r="E703" i="2"/>
  <c r="E688" i="2"/>
  <c r="E677" i="2"/>
  <c r="E645" i="2"/>
  <c r="E620" i="2"/>
  <c r="E593" i="2"/>
  <c r="E560" i="2"/>
  <c r="E546" i="2"/>
  <c r="E530" i="2"/>
  <c r="E496" i="2"/>
  <c r="E479" i="2"/>
  <c r="E454" i="2"/>
  <c r="E437" i="2"/>
  <c r="E1082" i="2"/>
  <c r="E815" i="2"/>
  <c r="E779" i="2"/>
  <c r="E753" i="2"/>
  <c r="E735" i="2"/>
  <c r="E724" i="2"/>
  <c r="E707" i="2"/>
  <c r="E663" i="2"/>
  <c r="E624" i="2"/>
  <c r="E607" i="2"/>
  <c r="E597" i="2"/>
  <c r="E564" i="2"/>
  <c r="E545" i="2"/>
  <c r="E534" i="2"/>
  <c r="E508" i="2"/>
  <c r="E483" i="2"/>
  <c r="E458" i="2"/>
  <c r="E441" i="2"/>
  <c r="E411" i="2"/>
  <c r="E401" i="2"/>
  <c r="E388" i="2"/>
  <c r="E344" i="2"/>
  <c r="E1142" i="2"/>
  <c r="E897" i="2"/>
  <c r="E858" i="2"/>
  <c r="E814" i="2"/>
  <c r="E783" i="2"/>
  <c r="E734" i="2"/>
  <c r="E728" i="2"/>
  <c r="E628" i="2"/>
  <c r="E543" i="2"/>
  <c r="E400" i="2"/>
  <c r="E343" i="2"/>
  <c r="E299" i="2"/>
  <c r="E246" i="2"/>
  <c r="E242" i="2"/>
  <c r="E238" i="2"/>
  <c r="E234" i="2"/>
  <c r="E230" i="2"/>
  <c r="E226" i="2"/>
  <c r="E222" i="2"/>
  <c r="E218" i="2"/>
  <c r="E214" i="2"/>
  <c r="E210" i="2"/>
  <c r="E206" i="2"/>
  <c r="E202" i="2"/>
  <c r="E198" i="2"/>
  <c r="E146" i="2"/>
  <c r="E946" i="2"/>
  <c r="E812" i="2"/>
  <c r="E787" i="2"/>
  <c r="E732" i="2"/>
  <c r="E698" i="2"/>
  <c r="E399" i="2"/>
  <c r="E371" i="2"/>
  <c r="E342" i="2"/>
  <c r="E298" i="2"/>
  <c r="E197" i="2"/>
  <c r="E145" i="2"/>
  <c r="E81" i="2"/>
  <c r="E53" i="2"/>
  <c r="E1086" i="2"/>
  <c r="E928" i="2"/>
  <c r="E862" i="2"/>
  <c r="E839" i="2"/>
  <c r="E774" i="2"/>
  <c r="E748" i="2"/>
  <c r="E719" i="2"/>
  <c r="E702" i="2"/>
  <c r="E685" i="2"/>
  <c r="E653" i="2"/>
  <c r="E619" i="2"/>
  <c r="E579" i="2"/>
  <c r="E559" i="2"/>
  <c r="E495" i="2"/>
  <c r="E398" i="2"/>
  <c r="E370" i="2"/>
  <c r="E341" i="2"/>
  <c r="E297" i="2"/>
  <c r="E926" i="2"/>
  <c r="E915" i="2"/>
  <c r="E901" i="2"/>
  <c r="E843" i="2"/>
  <c r="E838" i="2"/>
  <c r="E778" i="2"/>
  <c r="E706" i="2"/>
  <c r="E506" i="2"/>
  <c r="E397" i="2"/>
  <c r="E369" i="2"/>
  <c r="E340" i="2"/>
  <c r="E295" i="2"/>
  <c r="E195" i="2"/>
  <c r="E107" i="2"/>
  <c r="E79" i="2"/>
  <c r="E1013" i="2"/>
  <c r="E950" i="2"/>
  <c r="E881" i="2"/>
  <c r="E866" i="2"/>
  <c r="E835" i="2"/>
  <c r="E782" i="2"/>
  <c r="E765" i="2"/>
  <c r="E727" i="2"/>
  <c r="E710" i="2"/>
  <c r="E657" i="2"/>
  <c r="E627" i="2"/>
  <c r="E587" i="2"/>
  <c r="E524" i="2"/>
  <c r="E505" i="2"/>
  <c r="E473" i="2"/>
  <c r="E461" i="2"/>
  <c r="E431" i="2"/>
  <c r="E414" i="2"/>
  <c r="E396" i="2"/>
  <c r="E391" i="2"/>
  <c r="E834" i="2"/>
  <c r="E824" i="2"/>
  <c r="E800" i="2"/>
  <c r="E786" i="2"/>
  <c r="E769" i="2"/>
  <c r="E731" i="2"/>
  <c r="E714" i="2"/>
  <c r="E675" i="2"/>
  <c r="E643" i="2"/>
  <c r="E591" i="2"/>
  <c r="E574" i="2"/>
  <c r="E528" i="2"/>
  <c r="E523" i="2"/>
  <c r="E503" i="2"/>
  <c r="E477" i="2"/>
  <c r="E472" i="2"/>
  <c r="E1070" i="2"/>
  <c r="E831" i="2"/>
  <c r="E773" i="2"/>
  <c r="E718" i="2"/>
  <c r="E605" i="2"/>
  <c r="E578" i="2"/>
  <c r="E573" i="2"/>
  <c r="E522" i="2"/>
  <c r="E502" i="2"/>
  <c r="E471" i="2"/>
  <c r="E366" i="2"/>
  <c r="E325" i="2"/>
  <c r="E256" i="2"/>
  <c r="E192" i="2"/>
  <c r="E954" i="2"/>
  <c r="E885" i="2"/>
  <c r="E856" i="2"/>
  <c r="E842" i="2"/>
  <c r="E829" i="2"/>
  <c r="E777" i="2"/>
  <c r="E722" i="2"/>
  <c r="E637" i="2"/>
  <c r="E609" i="2"/>
  <c r="E604" i="2"/>
  <c r="E582" i="2"/>
  <c r="E571" i="2"/>
  <c r="E520" i="2"/>
  <c r="E510" i="2"/>
  <c r="E500" i="2"/>
  <c r="E470" i="2"/>
  <c r="E365" i="2"/>
  <c r="E323" i="2"/>
  <c r="E255" i="2"/>
  <c r="E191" i="2"/>
  <c r="E103" i="2"/>
  <c r="E75" i="2"/>
  <c r="E934" i="2"/>
  <c r="E853" i="2"/>
  <c r="E828" i="2"/>
  <c r="E804" i="2"/>
  <c r="E781" i="2"/>
  <c r="E763" i="2"/>
  <c r="E742" i="2"/>
  <c r="E726" i="2"/>
  <c r="E696" i="2"/>
  <c r="E665" i="2"/>
  <c r="E635" i="2"/>
  <c r="E613" i="2"/>
  <c r="E602" i="2"/>
  <c r="E586" i="2"/>
  <c r="E570" i="2"/>
  <c r="E553" i="2"/>
  <c r="E540" i="2"/>
  <c r="E519" i="2"/>
  <c r="E1074" i="2"/>
  <c r="E918" i="2"/>
  <c r="E860" i="2"/>
  <c r="E852" i="2"/>
  <c r="E797" i="2"/>
  <c r="E785" i="2"/>
  <c r="E762" i="2"/>
  <c r="E746" i="2"/>
  <c r="E730" i="2"/>
  <c r="E700" i="2"/>
  <c r="E695" i="2"/>
  <c r="E683" i="2"/>
  <c r="E651" i="2"/>
  <c r="E634" i="2"/>
  <c r="E617" i="2"/>
  <c r="E601" i="2"/>
  <c r="E590" i="2"/>
  <c r="E568" i="2"/>
  <c r="E958" i="2"/>
  <c r="E913" i="2"/>
  <c r="E889" i="2"/>
  <c r="E849" i="2"/>
  <c r="E796" i="2"/>
  <c r="E760" i="2"/>
  <c r="E750" i="2"/>
  <c r="E704" i="2"/>
  <c r="E693" i="2"/>
  <c r="E632" i="2"/>
  <c r="E621" i="2"/>
  <c r="E600" i="2"/>
  <c r="E594" i="2"/>
  <c r="E567" i="2"/>
  <c r="E551" i="2"/>
  <c r="E531" i="2"/>
  <c r="E516" i="2"/>
  <c r="E480" i="2"/>
  <c r="E466" i="2"/>
  <c r="E349" i="2"/>
  <c r="E320" i="2"/>
  <c r="E252" i="2"/>
  <c r="E152" i="2"/>
  <c r="E100" i="2"/>
  <c r="E60" i="2"/>
  <c r="E1098" i="2"/>
  <c r="E938" i="2"/>
  <c r="E911" i="2"/>
  <c r="E876" i="2"/>
  <c r="E864" i="2"/>
  <c r="E848" i="2"/>
  <c r="E808" i="2"/>
  <c r="E793" i="2"/>
  <c r="E759" i="2"/>
  <c r="E708" i="2"/>
  <c r="E692" i="2"/>
  <c r="E631" i="2"/>
  <c r="E625" i="2"/>
  <c r="E608" i="2"/>
  <c r="E598" i="2"/>
  <c r="E550" i="2"/>
  <c r="E535" i="2"/>
  <c r="E514" i="2"/>
  <c r="E484" i="2"/>
  <c r="E465" i="2"/>
  <c r="E348" i="2"/>
  <c r="E319" i="2"/>
  <c r="E304" i="2"/>
  <c r="E251" i="2"/>
  <c r="E1261" i="2"/>
  <c r="E1132" i="2"/>
  <c r="E1078" i="2"/>
  <c r="E905" i="2"/>
  <c r="E873" i="2"/>
  <c r="E845" i="2"/>
  <c r="E821" i="2"/>
  <c r="E792" i="2"/>
  <c r="E767" i="2"/>
  <c r="E757" i="2"/>
  <c r="E741" i="2"/>
  <c r="E712" i="2"/>
  <c r="E690" i="2"/>
  <c r="E673" i="2"/>
  <c r="E641" i="2"/>
  <c r="E629" i="2"/>
  <c r="E612" i="2"/>
  <c r="E585" i="2"/>
  <c r="E549" i="2"/>
  <c r="E539" i="2"/>
  <c r="E513" i="2"/>
  <c r="E488" i="2"/>
  <c r="E1229" i="2"/>
  <c r="E973" i="2"/>
  <c r="E962" i="2"/>
  <c r="E893" i="2"/>
  <c r="E871" i="2"/>
  <c r="E820" i="2"/>
  <c r="E789" i="2"/>
  <c r="E771" i="2"/>
  <c r="E756" i="2"/>
  <c r="E745" i="2"/>
  <c r="E740" i="2"/>
  <c r="E716" i="2"/>
  <c r="E699" i="2"/>
  <c r="E689" i="2"/>
  <c r="E659" i="2"/>
  <c r="E616" i="2"/>
  <c r="E589" i="2"/>
  <c r="E556" i="2"/>
  <c r="E548" i="2"/>
  <c r="E526" i="2"/>
  <c r="E492" i="2"/>
  <c r="E475" i="2"/>
  <c r="E78" i="2"/>
  <c r="E110" i="2"/>
  <c r="E193" i="2"/>
  <c r="E240" i="2"/>
  <c r="E292" i="2"/>
  <c r="E362" i="2"/>
  <c r="E379" i="2"/>
  <c r="E406" i="2"/>
  <c r="E416" i="2"/>
  <c r="E426" i="2"/>
  <c r="E455" i="2"/>
  <c r="E485" i="2"/>
  <c r="E536" i="2"/>
  <c r="E288" i="2"/>
  <c r="E307" i="2"/>
  <c r="E338" i="2"/>
  <c r="E357" i="2"/>
  <c r="E363" i="2"/>
  <c r="E375" i="2"/>
  <c r="E389" i="2"/>
  <c r="E421" i="2"/>
  <c r="E435" i="2"/>
  <c r="E450" i="2"/>
  <c r="E557" i="2"/>
  <c r="E577" i="2"/>
  <c r="E715" i="2"/>
  <c r="E140" i="2"/>
  <c r="E147" i="2"/>
  <c r="E196" i="2"/>
  <c r="E232" i="2"/>
  <c r="E284" i="2"/>
  <c r="E316" i="2"/>
  <c r="E334" i="2"/>
  <c r="E352" i="2"/>
  <c r="E367" i="2"/>
  <c r="E542" i="2"/>
  <c r="E563" i="2"/>
  <c r="E611" i="2"/>
  <c r="E317" i="2"/>
  <c r="E330" i="2"/>
  <c r="E368" i="2"/>
  <c r="E384" i="2"/>
  <c r="E412" i="2"/>
  <c r="E427" i="2"/>
  <c r="E446" i="2"/>
  <c r="E456" i="2"/>
  <c r="E491" i="2"/>
  <c r="E583" i="2"/>
  <c r="E647" i="2"/>
  <c r="E679" i="2"/>
  <c r="E259" i="2"/>
  <c r="E276" i="2"/>
  <c r="E293" i="2"/>
  <c r="E312" i="2"/>
  <c r="E318" i="2"/>
  <c r="E353" i="2"/>
  <c r="E358" i="2"/>
  <c r="E390" i="2"/>
  <c r="E422" i="2"/>
  <c r="E481" i="2"/>
  <c r="E532" i="2"/>
  <c r="E552" i="2"/>
  <c r="E187" i="2"/>
  <c r="E294" i="2"/>
  <c r="E321" i="2"/>
  <c r="E339" i="2"/>
  <c r="E380" i="2"/>
  <c r="E385" i="2"/>
  <c r="E407" i="2"/>
  <c r="E417" i="2"/>
  <c r="E442" i="2"/>
  <c r="E451" i="2"/>
  <c r="E462" i="2"/>
  <c r="E669" i="2"/>
  <c r="E711" i="2"/>
  <c r="E752" i="2"/>
  <c r="E183" i="2"/>
  <c r="E308" i="2"/>
  <c r="E322" i="2"/>
  <c r="E335" i="2"/>
  <c r="E345" i="2"/>
  <c r="E376" i="2"/>
  <c r="E395" i="2"/>
  <c r="E457" i="2"/>
  <c r="E476" i="2"/>
  <c r="E487" i="2"/>
  <c r="E497" i="2"/>
  <c r="E527" i="2"/>
  <c r="E538" i="2"/>
  <c r="E623" i="2"/>
  <c r="E179" i="2"/>
  <c r="E290" i="2"/>
  <c r="E301" i="2"/>
  <c r="E326" i="2"/>
  <c r="E331" i="2"/>
  <c r="E346" i="2"/>
  <c r="E354" i="2"/>
  <c r="E359" i="2"/>
  <c r="E372" i="2"/>
  <c r="E402" i="2"/>
  <c r="E408" i="2"/>
  <c r="E423" i="2"/>
  <c r="E447" i="2"/>
  <c r="E512" i="2"/>
  <c r="E595" i="2"/>
  <c r="E142" i="2"/>
  <c r="E175" i="2"/>
  <c r="E248" i="2"/>
  <c r="E260" i="2"/>
  <c r="E277" i="2"/>
  <c r="E286" i="2"/>
  <c r="E302" i="2"/>
  <c r="E313" i="2"/>
  <c r="E327" i="2"/>
  <c r="E336" i="2"/>
  <c r="E347" i="2"/>
  <c r="E386" i="2"/>
  <c r="E403" i="2"/>
  <c r="E413" i="2"/>
  <c r="E443" i="2"/>
  <c r="E498" i="2"/>
  <c r="E565" i="2"/>
  <c r="E138" i="2"/>
  <c r="E171" i="2"/>
  <c r="E249" i="2"/>
  <c r="E273" i="2"/>
  <c r="E282" i="2"/>
  <c r="E303" i="2"/>
  <c r="E332" i="2"/>
  <c r="E381" i="2"/>
  <c r="E418" i="2"/>
  <c r="E433" i="2"/>
  <c r="E438" i="2"/>
  <c r="E499" i="2"/>
  <c r="E555" i="2"/>
  <c r="E649" i="2"/>
  <c r="E681" i="2"/>
  <c r="E723" i="2"/>
  <c r="E664" i="2"/>
  <c r="E725" i="2"/>
  <c r="E780" i="2"/>
  <c r="E803" i="2"/>
  <c r="E827" i="2"/>
  <c r="E933" i="2"/>
  <c r="E1028" i="2"/>
  <c r="E1044" i="2"/>
  <c r="E1103" i="2"/>
  <c r="E1160" i="2"/>
  <c r="E1287" i="2"/>
  <c r="E721" i="2"/>
  <c r="E776" i="2"/>
  <c r="E884" i="2"/>
  <c r="E943" i="2"/>
  <c r="E948" i="2"/>
  <c r="E953" i="2"/>
  <c r="E983" i="2"/>
  <c r="E1010" i="2"/>
  <c r="E1023" i="2"/>
  <c r="E1039" i="2"/>
  <c r="E1155" i="2"/>
  <c r="E1171" i="2"/>
  <c r="E404" i="2"/>
  <c r="E660" i="2"/>
  <c r="E717" i="2"/>
  <c r="E772" i="2"/>
  <c r="E894" i="2"/>
  <c r="E899" i="2"/>
  <c r="E923" i="2"/>
  <c r="E963" i="2"/>
  <c r="E978" i="2"/>
  <c r="E1138" i="2"/>
  <c r="E394" i="2"/>
  <c r="E713" i="2"/>
  <c r="E768" i="2"/>
  <c r="E823" i="2"/>
  <c r="E1055" i="2"/>
  <c r="E1104" i="2"/>
  <c r="E1128" i="2"/>
  <c r="E1161" i="2"/>
  <c r="E1348" i="2"/>
  <c r="E626" i="2"/>
  <c r="E656" i="2"/>
  <c r="E709" i="2"/>
  <c r="E809" i="2"/>
  <c r="E865" i="2"/>
  <c r="E880" i="2"/>
  <c r="E939" i="2"/>
  <c r="E944" i="2"/>
  <c r="E949" i="2"/>
  <c r="E984" i="2"/>
  <c r="E1024" i="2"/>
  <c r="E1040" i="2"/>
  <c r="E1156" i="2"/>
  <c r="E1172" i="2"/>
  <c r="E1209" i="2"/>
  <c r="E1283" i="2"/>
  <c r="E562" i="2"/>
  <c r="E622" i="2"/>
  <c r="E705" i="2"/>
  <c r="E751" i="2"/>
  <c r="E890" i="2"/>
  <c r="E895" i="2"/>
  <c r="E900" i="2"/>
  <c r="E924" i="2"/>
  <c r="E959" i="2"/>
  <c r="E964" i="2"/>
  <c r="E1006" i="2"/>
  <c r="E1035" i="2"/>
  <c r="E1118" i="2"/>
  <c r="E1151" i="2"/>
  <c r="E1167" i="2"/>
  <c r="E314" i="2"/>
  <c r="E382" i="2"/>
  <c r="E452" i="2"/>
  <c r="E494" i="2"/>
  <c r="E558" i="2"/>
  <c r="E618" i="2"/>
  <c r="E652" i="2"/>
  <c r="E684" i="2"/>
  <c r="E701" i="2"/>
  <c r="E747" i="2"/>
  <c r="E861" i="2"/>
  <c r="E1085" i="2"/>
  <c r="E1134" i="2"/>
  <c r="E310" i="2"/>
  <c r="E448" i="2"/>
  <c r="E490" i="2"/>
  <c r="E541" i="2"/>
  <c r="E554" i="2"/>
  <c r="E614" i="2"/>
  <c r="E697" i="2"/>
  <c r="E743" i="2"/>
  <c r="E805" i="2"/>
  <c r="E810" i="2"/>
  <c r="E935" i="2"/>
  <c r="E940" i="2"/>
  <c r="E945" i="2"/>
  <c r="E1012" i="2"/>
  <c r="E1100" i="2"/>
  <c r="E1157" i="2"/>
  <c r="E444" i="2"/>
  <c r="E486" i="2"/>
  <c r="E511" i="2"/>
  <c r="E537" i="2"/>
  <c r="E610" i="2"/>
  <c r="E648" i="2"/>
  <c r="E680" i="2"/>
  <c r="E857" i="2"/>
  <c r="E886" i="2"/>
  <c r="E891" i="2"/>
  <c r="E896" i="2"/>
  <c r="E955" i="2"/>
  <c r="E960" i="2"/>
  <c r="E965" i="2"/>
  <c r="E980" i="2"/>
  <c r="E1036" i="2"/>
  <c r="E1140" i="2"/>
  <c r="E1152" i="2"/>
  <c r="E1168" i="2"/>
  <c r="E440" i="2"/>
  <c r="E482" i="2"/>
  <c r="E533" i="2"/>
  <c r="E596" i="2"/>
  <c r="E606" i="2"/>
  <c r="E1002" i="2"/>
  <c r="E1031" i="2"/>
  <c r="E1057" i="2"/>
  <c r="E1081" i="2"/>
  <c r="E1106" i="2"/>
  <c r="E1130" i="2"/>
  <c r="E1163" i="2"/>
  <c r="E1350" i="2"/>
  <c r="E436" i="2"/>
  <c r="E478" i="2"/>
  <c r="E529" i="2"/>
  <c r="E592" i="2"/>
  <c r="E644" i="2"/>
  <c r="E676" i="2"/>
  <c r="E801" i="2"/>
  <c r="E806" i="2"/>
  <c r="E811" i="2"/>
  <c r="E825" i="2"/>
  <c r="E936" i="2"/>
  <c r="E941" i="2"/>
  <c r="E986" i="2"/>
  <c r="E432" i="2"/>
  <c r="E474" i="2"/>
  <c r="E525" i="2"/>
  <c r="E588" i="2"/>
  <c r="E882" i="2"/>
  <c r="E887" i="2"/>
  <c r="E892" i="2"/>
  <c r="E951" i="2"/>
  <c r="E956" i="2"/>
  <c r="E961" i="2"/>
  <c r="E1008" i="2"/>
  <c r="E1120" i="2"/>
  <c r="E1153" i="2"/>
  <c r="E1169" i="2"/>
  <c r="E1206" i="2"/>
  <c r="E428" i="2"/>
  <c r="E584" i="2"/>
  <c r="E640" i="2"/>
  <c r="E672" i="2"/>
  <c r="E844" i="2"/>
  <c r="E902" i="2"/>
  <c r="E916" i="2"/>
  <c r="E1032" i="2"/>
  <c r="E1077" i="2"/>
  <c r="E1164" i="2"/>
  <c r="E424" i="2"/>
  <c r="E580" i="2"/>
  <c r="E802" i="2"/>
  <c r="E807" i="2"/>
  <c r="E826" i="2"/>
  <c r="E840" i="2"/>
  <c r="E932" i="2"/>
  <c r="E937" i="2"/>
  <c r="E1027" i="2"/>
  <c r="E1043" i="2"/>
  <c r="E1159" i="2"/>
  <c r="E420" i="2"/>
  <c r="E576" i="2"/>
  <c r="E668" i="2"/>
  <c r="E788" i="2"/>
  <c r="E883" i="2"/>
  <c r="E888" i="2"/>
  <c r="E947" i="2"/>
  <c r="E952" i="2"/>
  <c r="E957" i="2"/>
  <c r="E967" i="2"/>
  <c r="E1207" i="2"/>
  <c r="E1234" i="2"/>
  <c r="E1402" i="2"/>
  <c r="E729" i="2"/>
  <c r="E784" i="2"/>
  <c r="E898" i="2"/>
  <c r="E903" i="2"/>
  <c r="E917" i="2"/>
  <c r="E922" i="2"/>
  <c r="E1004" i="2"/>
  <c r="E1059" i="2"/>
  <c r="E1073" i="2"/>
  <c r="E1137" i="2"/>
  <c r="E1149" i="2"/>
  <c r="E1165" i="2"/>
  <c r="E925" i="2"/>
  <c r="E1188" i="2"/>
  <c r="E1242" i="2"/>
  <c r="E1282" i="2"/>
  <c r="E1313" i="2"/>
  <c r="E1364" i="2"/>
  <c r="E1429" i="2"/>
  <c r="E1532" i="2"/>
  <c r="E1628" i="2"/>
  <c r="E1660" i="2"/>
  <c r="E1723" i="2"/>
  <c r="E1773" i="2"/>
  <c r="E1833" i="2"/>
  <c r="E921" i="2"/>
  <c r="E1127" i="2"/>
  <c r="E1224" i="2"/>
  <c r="E1256" i="2"/>
  <c r="E1325" i="2"/>
  <c r="E1347" i="2"/>
  <c r="E1376" i="2"/>
  <c r="E1401" i="2"/>
  <c r="E1447" i="2"/>
  <c r="E1470" i="2"/>
  <c r="E1609" i="2"/>
  <c r="E1677" i="2"/>
  <c r="E1682" i="2"/>
  <c r="E1818" i="2"/>
  <c r="E987" i="2"/>
  <c r="E1107" i="2"/>
  <c r="E1141" i="2"/>
  <c r="E1184" i="2"/>
  <c r="E1210" i="2"/>
  <c r="E1238" i="2"/>
  <c r="E1270" i="2"/>
  <c r="E1309" i="2"/>
  <c r="E1425" i="2"/>
  <c r="E1522" i="2"/>
  <c r="E1546" i="2"/>
  <c r="E1599" i="2"/>
  <c r="E1604" i="2"/>
  <c r="E1634" i="2"/>
  <c r="E1693" i="2"/>
  <c r="E1739" i="2"/>
  <c r="E1123" i="2"/>
  <c r="E1220" i="2"/>
  <c r="E1252" i="2"/>
  <c r="E1292" i="2"/>
  <c r="E1382" i="2"/>
  <c r="E1466" i="2"/>
  <c r="E1589" i="2"/>
  <c r="E1615" i="2"/>
  <c r="E1750" i="2"/>
  <c r="E2012" i="2"/>
  <c r="E2102" i="2"/>
  <c r="E1266" i="2"/>
  <c r="E1305" i="2"/>
  <c r="E1335" i="2"/>
  <c r="E1443" i="2"/>
  <c r="E1448" i="2"/>
  <c r="E1528" i="2"/>
  <c r="E1584" i="2"/>
  <c r="E1673" i="2"/>
  <c r="E1678" i="2"/>
  <c r="E1719" i="2"/>
  <c r="E1819" i="2"/>
  <c r="E1914" i="2"/>
  <c r="E2139" i="2"/>
  <c r="E1119" i="2"/>
  <c r="E1194" i="2"/>
  <c r="E1248" i="2"/>
  <c r="E1288" i="2"/>
  <c r="E1542" i="2"/>
  <c r="E1547" i="2"/>
  <c r="E1562" i="2"/>
  <c r="E1651" i="2"/>
  <c r="E1099" i="2"/>
  <c r="E1133" i="2"/>
  <c r="E1230" i="2"/>
  <c r="E1262" i="2"/>
  <c r="E1331" i="2"/>
  <c r="E1499" i="2"/>
  <c r="E1504" i="2"/>
  <c r="E1595" i="2"/>
  <c r="E1616" i="2"/>
  <c r="E1630" i="2"/>
  <c r="E1689" i="2"/>
  <c r="E1751" i="2"/>
  <c r="E1799" i="2"/>
  <c r="E1897" i="2"/>
  <c r="E1060" i="2"/>
  <c r="E1190" i="2"/>
  <c r="E1244" i="2"/>
  <c r="E1284" i="2"/>
  <c r="E1315" i="2"/>
  <c r="E1366" i="2"/>
  <c r="E1378" i="2"/>
  <c r="E1431" i="2"/>
  <c r="E1444" i="2"/>
  <c r="E1575" i="2"/>
  <c r="E1580" i="2"/>
  <c r="E1585" i="2"/>
  <c r="E1674" i="2"/>
  <c r="E1056" i="2"/>
  <c r="E1129" i="2"/>
  <c r="E1226" i="2"/>
  <c r="E1258" i="2"/>
  <c r="E1327" i="2"/>
  <c r="E1349" i="2"/>
  <c r="E1524" i="2"/>
  <c r="E1543" i="2"/>
  <c r="E1636" i="2"/>
  <c r="E1715" i="2"/>
  <c r="E1841" i="2"/>
  <c r="E1910" i="2"/>
  <c r="E1926" i="2"/>
  <c r="E989" i="2"/>
  <c r="E1109" i="2"/>
  <c r="E1186" i="2"/>
  <c r="E1240" i="2"/>
  <c r="E1311" i="2"/>
  <c r="E1362" i="2"/>
  <c r="E1384" i="2"/>
  <c r="E1427" i="2"/>
  <c r="E1454" i="2"/>
  <c r="E1486" i="2"/>
  <c r="E1500" i="2"/>
  <c r="E1558" i="2"/>
  <c r="E1591" i="2"/>
  <c r="E1601" i="2"/>
  <c r="E1690" i="2"/>
  <c r="E1776" i="2"/>
  <c r="E1125" i="2"/>
  <c r="E1222" i="2"/>
  <c r="E1254" i="2"/>
  <c r="E1408" i="2"/>
  <c r="E1445" i="2"/>
  <c r="E1510" i="2"/>
  <c r="E1530" i="2"/>
  <c r="E1612" i="2"/>
  <c r="E1670" i="2"/>
  <c r="E1685" i="2"/>
  <c r="E1747" i="2"/>
  <c r="E1795" i="2"/>
  <c r="E1858" i="2"/>
  <c r="E985" i="2"/>
  <c r="E1105" i="2"/>
  <c r="E1139" i="2"/>
  <c r="E1208" i="2"/>
  <c r="E1236" i="2"/>
  <c r="E1268" i="2"/>
  <c r="E1307" i="2"/>
  <c r="E1423" i="2"/>
  <c r="E1450" i="2"/>
  <c r="E1482" i="2"/>
  <c r="E1544" i="2"/>
  <c r="E1742" i="2"/>
  <c r="E1790" i="2"/>
  <c r="E2004" i="2"/>
  <c r="E2110" i="2"/>
  <c r="E1121" i="2"/>
  <c r="E1218" i="2"/>
  <c r="E1250" i="2"/>
  <c r="E1290" i="2"/>
  <c r="E1404" i="2"/>
  <c r="E1501" i="2"/>
  <c r="E1506" i="2"/>
  <c r="E1592" i="2"/>
  <c r="E1597" i="2"/>
  <c r="E1602" i="2"/>
  <c r="E1632" i="2"/>
  <c r="E1874" i="2"/>
  <c r="E1906" i="2"/>
  <c r="E1949" i="2"/>
  <c r="E2131" i="2"/>
  <c r="E981" i="2"/>
  <c r="E1101" i="2"/>
  <c r="E1135" i="2"/>
  <c r="E1232" i="2"/>
  <c r="E1264" i="2"/>
  <c r="E1333" i="2"/>
  <c r="E1380" i="2"/>
  <c r="E1409" i="2"/>
  <c r="E1478" i="2"/>
  <c r="E1587" i="2"/>
  <c r="E1686" i="2"/>
  <c r="E1772" i="2"/>
  <c r="E1192" i="2"/>
  <c r="E1246" i="2"/>
  <c r="E1286" i="2"/>
  <c r="E1400" i="2"/>
  <c r="E1433" i="2"/>
  <c r="E1526" i="2"/>
  <c r="E1572" i="2"/>
  <c r="E1608" i="2"/>
  <c r="E1638" i="2"/>
  <c r="E1654" i="2"/>
  <c r="E1681" i="2"/>
  <c r="E1759" i="2"/>
  <c r="E1889" i="2"/>
  <c r="E1131" i="2"/>
  <c r="E1228" i="2"/>
  <c r="E1260" i="2"/>
  <c r="E1329" i="2"/>
  <c r="E1351" i="2"/>
  <c r="E1386" i="2"/>
  <c r="E1405" i="2"/>
  <c r="E1474" i="2"/>
  <c r="E1560" i="2"/>
  <c r="E1738" i="2"/>
  <c r="E1754" i="2"/>
  <c r="E2000" i="2"/>
  <c r="E2016" i="2"/>
  <c r="E1582" i="2"/>
  <c r="E1657" i="2"/>
  <c r="E1745" i="2"/>
  <c r="E1779" i="2"/>
  <c r="E1816" i="2"/>
  <c r="E1970" i="2"/>
  <c r="E1986" i="2"/>
  <c r="E2037" i="2"/>
  <c r="E2061" i="2"/>
  <c r="E2097" i="2"/>
  <c r="E2196" i="2"/>
  <c r="E2218" i="2"/>
  <c r="E2270" i="2"/>
  <c r="E2298" i="2"/>
  <c r="E2314" i="2"/>
  <c r="E2330" i="2"/>
  <c r="E2464" i="2"/>
  <c r="E1578" i="2"/>
  <c r="E1662" i="2"/>
  <c r="E1736" i="2"/>
  <c r="E1770" i="2"/>
  <c r="E1812" i="2"/>
  <c r="E1894" i="2"/>
  <c r="E1944" i="2"/>
  <c r="E1965" i="2"/>
  <c r="E1981" i="2"/>
  <c r="E2001" i="2"/>
  <c r="E2033" i="2"/>
  <c r="E2056" i="2"/>
  <c r="E2134" i="2"/>
  <c r="E2152" i="2"/>
  <c r="E2157" i="2"/>
  <c r="E2175" i="2"/>
  <c r="E2191" i="2"/>
  <c r="E2309" i="2"/>
  <c r="E2325" i="2"/>
  <c r="E2359" i="2"/>
  <c r="E2375" i="2"/>
  <c r="E2401" i="2"/>
  <c r="E2459" i="2"/>
  <c r="E2552" i="2"/>
  <c r="E2568" i="2"/>
  <c r="E1574" i="2"/>
  <c r="E1653" i="2"/>
  <c r="E1741" i="2"/>
  <c r="E1775" i="2"/>
  <c r="E1857" i="2"/>
  <c r="E1960" i="2"/>
  <c r="E1976" i="2"/>
  <c r="E2015" i="2"/>
  <c r="E2029" i="2"/>
  <c r="E2051" i="2"/>
  <c r="E2116" i="2"/>
  <c r="E2186" i="2"/>
  <c r="E2206" i="2"/>
  <c r="E2256" i="2"/>
  <c r="E2276" i="2"/>
  <c r="E2320" i="2"/>
  <c r="E2336" i="2"/>
  <c r="E2349" i="2"/>
  <c r="E2423" i="2"/>
  <c r="E2446" i="2"/>
  <c r="E1658" i="2"/>
  <c r="E1843" i="2"/>
  <c r="E1890" i="2"/>
  <c r="E1940" i="2"/>
  <c r="E1971" i="2"/>
  <c r="E1987" i="2"/>
  <c r="E2062" i="2"/>
  <c r="E2130" i="2"/>
  <c r="E2163" i="2"/>
  <c r="E2181" i="2"/>
  <c r="E2219" i="2"/>
  <c r="E2271" i="2"/>
  <c r="E2294" i="2"/>
  <c r="E2315" i="2"/>
  <c r="E2331" i="2"/>
  <c r="E2365" i="2"/>
  <c r="E2381" i="2"/>
  <c r="E1737" i="2"/>
  <c r="E1771" i="2"/>
  <c r="E1966" i="2"/>
  <c r="E1982" i="2"/>
  <c r="E2011" i="2"/>
  <c r="E2057" i="2"/>
  <c r="E2153" i="2"/>
  <c r="E2243" i="2"/>
  <c r="E2310" i="2"/>
  <c r="E2326" i="2"/>
  <c r="E2460" i="2"/>
  <c r="E1839" i="2"/>
  <c r="E1886" i="2"/>
  <c r="E1961" i="2"/>
  <c r="E1977" i="2"/>
  <c r="E2052" i="2"/>
  <c r="E2084" i="2"/>
  <c r="E2112" i="2"/>
  <c r="E2117" i="2"/>
  <c r="E2187" i="2"/>
  <c r="E2202" i="2"/>
  <c r="E2207" i="2"/>
  <c r="E2257" i="2"/>
  <c r="E2277" i="2"/>
  <c r="E2321" i="2"/>
  <c r="E2345" i="2"/>
  <c r="E2355" i="2"/>
  <c r="E2371" i="2"/>
  <c r="E2397" i="2"/>
  <c r="E2447" i="2"/>
  <c r="E2564" i="2"/>
  <c r="E1507" i="2"/>
  <c r="E1796" i="2"/>
  <c r="E1972" i="2"/>
  <c r="E1988" i="2"/>
  <c r="E2007" i="2"/>
  <c r="E2080" i="2"/>
  <c r="E2140" i="2"/>
  <c r="E2182" i="2"/>
  <c r="E2239" i="2"/>
  <c r="E2272" i="2"/>
  <c r="E2290" i="2"/>
  <c r="E2316" i="2"/>
  <c r="E2332" i="2"/>
  <c r="E2442" i="2"/>
  <c r="E1503" i="2"/>
  <c r="E1618" i="2"/>
  <c r="E1756" i="2"/>
  <c r="E1835" i="2"/>
  <c r="E1967" i="2"/>
  <c r="E1983" i="2"/>
  <c r="E2058" i="2"/>
  <c r="E2076" i="2"/>
  <c r="E2108" i="2"/>
  <c r="E2159" i="2"/>
  <c r="E2177" i="2"/>
  <c r="E2193" i="2"/>
  <c r="E2198" i="2"/>
  <c r="E2225" i="2"/>
  <c r="E2311" i="2"/>
  <c r="E2327" i="2"/>
  <c r="E2361" i="2"/>
  <c r="E2377" i="2"/>
  <c r="E2461" i="2"/>
  <c r="E1614" i="2"/>
  <c r="E1792" i="2"/>
  <c r="E1840" i="2"/>
  <c r="E1896" i="2"/>
  <c r="E1962" i="2"/>
  <c r="E1978" i="2"/>
  <c r="E2003" i="2"/>
  <c r="E2053" i="2"/>
  <c r="E2113" i="2"/>
  <c r="E2118" i="2"/>
  <c r="E2136" i="2"/>
  <c r="E2258" i="2"/>
  <c r="E2278" i="2"/>
  <c r="E2322" i="2"/>
  <c r="E1610" i="2"/>
  <c r="E1752" i="2"/>
  <c r="E1797" i="2"/>
  <c r="E1859" i="2"/>
  <c r="E1973" i="2"/>
  <c r="E2017" i="2"/>
  <c r="E2104" i="2"/>
  <c r="E2183" i="2"/>
  <c r="E2253" i="2"/>
  <c r="E2273" i="2"/>
  <c r="E2317" i="2"/>
  <c r="E2333" i="2"/>
  <c r="E2351" i="2"/>
  <c r="E2367" i="2"/>
  <c r="E2383" i="2"/>
  <c r="E2443" i="2"/>
  <c r="E1452" i="2"/>
  <c r="E1606" i="2"/>
  <c r="E1757" i="2"/>
  <c r="E1788" i="2"/>
  <c r="E1836" i="2"/>
  <c r="E1892" i="2"/>
  <c r="E1951" i="2"/>
  <c r="E1968" i="2"/>
  <c r="E1984" i="2"/>
  <c r="E2059" i="2"/>
  <c r="E2109" i="2"/>
  <c r="E2132" i="2"/>
  <c r="E2160" i="2"/>
  <c r="E2178" i="2"/>
  <c r="E2194" i="2"/>
  <c r="E2216" i="2"/>
  <c r="E2221" i="2"/>
  <c r="E2312" i="2"/>
  <c r="E2328" i="2"/>
  <c r="E1748" i="2"/>
  <c r="E1793" i="2"/>
  <c r="E1963" i="2"/>
  <c r="E1979" i="2"/>
  <c r="E2013" i="2"/>
  <c r="E2054" i="2"/>
  <c r="E2100" i="2"/>
  <c r="E2114" i="2"/>
  <c r="E2155" i="2"/>
  <c r="E2173" i="2"/>
  <c r="E2189" i="2"/>
  <c r="E2279" i="2"/>
  <c r="E2307" i="2"/>
  <c r="E2323" i="2"/>
  <c r="E2357" i="2"/>
  <c r="E2373" i="2"/>
  <c r="E2449" i="2"/>
  <c r="E1598" i="2"/>
  <c r="E1753" i="2"/>
  <c r="E1832" i="2"/>
  <c r="E1855" i="2"/>
  <c r="E1860" i="2"/>
  <c r="E1888" i="2"/>
  <c r="E1947" i="2"/>
  <c r="E1974" i="2"/>
  <c r="E2105" i="2"/>
  <c r="E2254" i="2"/>
  <c r="E2274" i="2"/>
  <c r="E2318" i="2"/>
  <c r="E2334" i="2"/>
  <c r="E2347" i="2"/>
  <c r="E1594" i="2"/>
  <c r="E1744" i="2"/>
  <c r="E1778" i="2"/>
  <c r="E1789" i="2"/>
  <c r="E1969" i="2"/>
  <c r="E1985" i="2"/>
  <c r="E2009" i="2"/>
  <c r="E2060" i="2"/>
  <c r="E2096" i="2"/>
  <c r="E2161" i="2"/>
  <c r="E2179" i="2"/>
  <c r="E2195" i="2"/>
  <c r="E2217" i="2"/>
  <c r="E2227" i="2"/>
  <c r="E2241" i="2"/>
  <c r="E2269" i="2"/>
  <c r="E2313" i="2"/>
  <c r="E2329" i="2"/>
  <c r="E2363" i="2"/>
  <c r="E2379" i="2"/>
  <c r="E2405" i="2"/>
  <c r="E2556" i="2"/>
  <c r="E1590" i="2"/>
  <c r="E1661" i="2"/>
  <c r="E1749" i="2"/>
  <c r="E1943" i="2"/>
  <c r="E1964" i="2"/>
  <c r="E1980" i="2"/>
  <c r="E2055" i="2"/>
  <c r="E2101" i="2"/>
  <c r="E2156" i="2"/>
  <c r="E2174" i="2"/>
  <c r="E2190" i="2"/>
  <c r="E2280" i="2"/>
  <c r="E2308" i="2"/>
  <c r="E2324" i="2"/>
  <c r="E2427" i="2"/>
  <c r="E2491" i="2"/>
  <c r="E1586" i="2"/>
  <c r="E1740" i="2"/>
  <c r="E1774" i="2"/>
  <c r="E1820" i="2"/>
  <c r="E1856" i="2"/>
  <c r="E1948" i="2"/>
  <c r="E1959" i="2"/>
  <c r="E1975" i="2"/>
  <c r="E2005" i="2"/>
  <c r="E2138" i="2"/>
  <c r="E2185" i="2"/>
  <c r="E2255" i="2"/>
  <c r="E2275" i="2"/>
  <c r="E2319" i="2"/>
  <c r="E2335" i="2"/>
  <c r="E2353" i="2"/>
  <c r="E2369" i="2"/>
  <c r="E2385" i="2"/>
  <c r="E2445" i="2"/>
  <c r="E2565" i="2"/>
  <c r="E2570" i="2"/>
  <c r="E2607" i="2"/>
  <c r="E2643" i="2"/>
  <c r="E2666" i="2"/>
  <c r="E2719" i="2"/>
  <c r="E2758" i="2"/>
  <c r="E2763" i="2"/>
  <c r="E2929" i="2"/>
  <c r="E2981" i="2"/>
  <c r="E2997" i="2"/>
  <c r="E3043" i="2"/>
  <c r="E3267" i="2"/>
  <c r="E2422" i="2"/>
  <c r="E2492" i="2"/>
  <c r="E2497" i="2"/>
  <c r="E2603" i="2"/>
  <c r="E2638" i="2"/>
  <c r="E2661" i="2"/>
  <c r="E2781" i="2"/>
  <c r="E2834" i="2"/>
  <c r="E2856" i="2"/>
  <c r="E2880" i="2"/>
  <c r="E2916" i="2"/>
  <c r="E2948" i="2"/>
  <c r="E2992" i="2"/>
  <c r="E3015" i="2"/>
  <c r="E3031" i="2"/>
  <c r="E3105" i="2"/>
  <c r="E2633" i="2"/>
  <c r="E2649" i="2"/>
  <c r="E2733" i="2"/>
  <c r="E2738" i="2"/>
  <c r="E2829" i="2"/>
  <c r="E2851" i="2"/>
  <c r="E2867" i="2"/>
  <c r="E2911" i="2"/>
  <c r="E2935" i="2"/>
  <c r="E2959" i="2"/>
  <c r="E3126" i="2"/>
  <c r="E2519" i="2"/>
  <c r="E2561" i="2"/>
  <c r="E2566" i="2"/>
  <c r="E2571" i="2"/>
  <c r="E2628" i="2"/>
  <c r="E2644" i="2"/>
  <c r="E2667" i="2"/>
  <c r="E2688" i="2"/>
  <c r="E2715" i="2"/>
  <c r="E2759" i="2"/>
  <c r="E2846" i="2"/>
  <c r="E2862" i="2"/>
  <c r="E2897" i="2"/>
  <c r="E2930" i="2"/>
  <c r="E3044" i="2"/>
  <c r="E3173" i="2"/>
  <c r="E2488" i="2"/>
  <c r="E2493" i="2"/>
  <c r="E2498" i="2"/>
  <c r="E2515" i="2"/>
  <c r="E2639" i="2"/>
  <c r="E2662" i="2"/>
  <c r="E2811" i="2"/>
  <c r="E2917" i="2"/>
  <c r="E2973" i="2"/>
  <c r="E2993" i="2"/>
  <c r="E3055" i="2"/>
  <c r="E2428" i="2"/>
  <c r="E2462" i="2"/>
  <c r="E2511" i="2"/>
  <c r="E2634" i="2"/>
  <c r="E2650" i="2"/>
  <c r="E2711" i="2"/>
  <c r="E2734" i="2"/>
  <c r="E2739" i="2"/>
  <c r="E2830" i="2"/>
  <c r="E2852" i="2"/>
  <c r="E2876" i="2"/>
  <c r="E2912" i="2"/>
  <c r="E2988" i="2"/>
  <c r="E3004" i="2"/>
  <c r="E3027" i="2"/>
  <c r="E3050" i="2"/>
  <c r="E3152" i="2"/>
  <c r="E3299" i="2"/>
  <c r="E2557" i="2"/>
  <c r="E2562" i="2"/>
  <c r="E2567" i="2"/>
  <c r="E2572" i="2"/>
  <c r="E2629" i="2"/>
  <c r="E2645" i="2"/>
  <c r="E2668" i="2"/>
  <c r="E2684" i="2"/>
  <c r="E2689" i="2"/>
  <c r="E2760" i="2"/>
  <c r="E2801" i="2"/>
  <c r="E2847" i="2"/>
  <c r="E2863" i="2"/>
  <c r="E2931" i="2"/>
  <c r="E2955" i="2"/>
  <c r="E2226" i="2"/>
  <c r="E2489" i="2"/>
  <c r="E2494" i="2"/>
  <c r="E2640" i="2"/>
  <c r="E2663" i="2"/>
  <c r="E2755" i="2"/>
  <c r="E2796" i="2"/>
  <c r="E2858" i="2"/>
  <c r="E2893" i="2"/>
  <c r="E3040" i="2"/>
  <c r="E3169" i="2"/>
  <c r="E2222" i="2"/>
  <c r="E2424" i="2"/>
  <c r="E2429" i="2"/>
  <c r="E2635" i="2"/>
  <c r="E2651" i="2"/>
  <c r="E2735" i="2"/>
  <c r="E2778" i="2"/>
  <c r="E2807" i="2"/>
  <c r="E2831" i="2"/>
  <c r="E2913" i="2"/>
  <c r="E2937" i="2"/>
  <c r="E2969" i="2"/>
  <c r="E2989" i="2"/>
  <c r="E3005" i="2"/>
  <c r="E2448" i="2"/>
  <c r="E2553" i="2"/>
  <c r="E2558" i="2"/>
  <c r="E2563" i="2"/>
  <c r="E2573" i="2"/>
  <c r="E2630" i="2"/>
  <c r="E2646" i="2"/>
  <c r="E2669" i="2"/>
  <c r="E2680" i="2"/>
  <c r="E2685" i="2"/>
  <c r="E2690" i="2"/>
  <c r="E2826" i="2"/>
  <c r="E2848" i="2"/>
  <c r="E2864" i="2"/>
  <c r="E2908" i="2"/>
  <c r="E2956" i="2"/>
  <c r="E2984" i="2"/>
  <c r="E3000" i="2"/>
  <c r="E3023" i="2"/>
  <c r="E3148" i="2"/>
  <c r="E3295" i="2"/>
  <c r="E3322" i="2"/>
  <c r="E2444" i="2"/>
  <c r="E2490" i="2"/>
  <c r="E2619" i="2"/>
  <c r="E2641" i="2"/>
  <c r="E2664" i="2"/>
  <c r="E2756" i="2"/>
  <c r="E2797" i="2"/>
  <c r="E2837" i="2"/>
  <c r="E2859" i="2"/>
  <c r="E2919" i="2"/>
  <c r="E2951" i="2"/>
  <c r="E2204" i="2"/>
  <c r="E2420" i="2"/>
  <c r="E2425" i="2"/>
  <c r="E2430" i="2"/>
  <c r="E2440" i="2"/>
  <c r="E2636" i="2"/>
  <c r="E2731" i="2"/>
  <c r="E2774" i="2"/>
  <c r="E2808" i="2"/>
  <c r="E2854" i="2"/>
  <c r="E2938" i="2"/>
  <c r="E2970" i="2"/>
  <c r="E2200" i="2"/>
  <c r="E2554" i="2"/>
  <c r="E2559" i="2"/>
  <c r="E2574" i="2"/>
  <c r="E2615" i="2"/>
  <c r="E2631" i="2"/>
  <c r="E2647" i="2"/>
  <c r="E2670" i="2"/>
  <c r="E2681" i="2"/>
  <c r="E2686" i="2"/>
  <c r="E2741" i="2"/>
  <c r="E2803" i="2"/>
  <c r="E2827" i="2"/>
  <c r="E2909" i="2"/>
  <c r="E2933" i="2"/>
  <c r="E2985" i="2"/>
  <c r="E3001" i="2"/>
  <c r="E3271" i="2"/>
  <c r="E2541" i="2"/>
  <c r="E2569" i="2"/>
  <c r="E2642" i="2"/>
  <c r="E2665" i="2"/>
  <c r="E2757" i="2"/>
  <c r="E2785" i="2"/>
  <c r="E2844" i="2"/>
  <c r="E2860" i="2"/>
  <c r="E2952" i="2"/>
  <c r="E2980" i="2"/>
  <c r="E2996" i="2"/>
  <c r="E3019" i="2"/>
  <c r="E3042" i="2"/>
  <c r="E3093" i="2"/>
  <c r="E3109" i="2"/>
  <c r="E3144" i="2"/>
  <c r="E3208" i="2"/>
  <c r="E3318" i="2"/>
  <c r="E2192" i="2"/>
  <c r="E2421" i="2"/>
  <c r="E2426" i="2"/>
  <c r="E2496" i="2"/>
  <c r="E2537" i="2"/>
  <c r="E2588" i="2"/>
  <c r="E2611" i="2"/>
  <c r="E2637" i="2"/>
  <c r="E2660" i="2"/>
  <c r="E2775" i="2"/>
  <c r="E2809" i="2"/>
  <c r="E2833" i="2"/>
  <c r="E2855" i="2"/>
  <c r="E2915" i="2"/>
  <c r="E2939" i="2"/>
  <c r="E3130" i="2"/>
  <c r="E3253" i="2"/>
  <c r="E2533" i="2"/>
  <c r="E2555" i="2"/>
  <c r="E2575" i="2"/>
  <c r="E2632" i="2"/>
  <c r="E2648" i="2"/>
  <c r="E2671" i="2"/>
  <c r="E2682" i="2"/>
  <c r="E2737" i="2"/>
  <c r="E2804" i="2"/>
  <c r="E2850" i="2"/>
  <c r="E2866" i="2"/>
  <c r="E2934" i="2"/>
  <c r="E3075" i="2"/>
  <c r="E3177" i="2"/>
  <c r="E2780" i="2"/>
  <c r="E3108" i="2"/>
  <c r="E3125" i="2"/>
  <c r="E3193" i="2"/>
  <c r="E3226" i="2"/>
  <c r="E3341" i="2"/>
  <c r="E3400" i="2"/>
  <c r="E3438" i="2"/>
  <c r="E3454" i="2"/>
  <c r="E3533" i="2"/>
  <c r="E3592" i="2"/>
  <c r="E3658" i="2"/>
  <c r="E3844" i="2"/>
  <c r="E2776" i="2"/>
  <c r="E3070" i="2"/>
  <c r="E3099" i="2"/>
  <c r="E3222" i="2"/>
  <c r="E3244" i="2"/>
  <c r="E3474" i="2"/>
  <c r="E3587" i="2"/>
  <c r="E3612" i="2"/>
  <c r="E3646" i="2"/>
  <c r="E3678" i="2"/>
  <c r="E3737" i="2"/>
  <c r="E3887" i="2"/>
  <c r="E3980" i="2"/>
  <c r="E4074" i="2"/>
  <c r="E3104" i="2"/>
  <c r="E3176" i="2"/>
  <c r="E3266" i="2"/>
  <c r="E3319" i="2"/>
  <c r="E3324" i="2"/>
  <c r="E3329" i="2"/>
  <c r="E3444" i="2"/>
  <c r="E3469" i="2"/>
  <c r="E3485" i="2"/>
  <c r="E3519" i="2"/>
  <c r="E3575" i="2"/>
  <c r="E3598" i="2"/>
  <c r="E3664" i="2"/>
  <c r="E3756" i="2"/>
  <c r="E4091" i="2"/>
  <c r="E4126" i="2"/>
  <c r="E3057" i="2"/>
  <c r="E3095" i="2"/>
  <c r="E3172" i="2"/>
  <c r="E3189" i="2"/>
  <c r="E3194" i="2"/>
  <c r="E3401" i="2"/>
  <c r="E3439" i="2"/>
  <c r="E3455" i="2"/>
  <c r="E3480" i="2"/>
  <c r="E3751" i="2"/>
  <c r="E3775" i="2"/>
  <c r="E4022" i="2"/>
  <c r="E4142" i="2"/>
  <c r="E3053" i="2"/>
  <c r="E3100" i="2"/>
  <c r="E3168" i="2"/>
  <c r="E3434" i="2"/>
  <c r="E3450" i="2"/>
  <c r="E3529" i="2"/>
  <c r="E3588" i="2"/>
  <c r="E3958" i="2"/>
  <c r="E2762" i="2"/>
  <c r="E2836" i="2"/>
  <c r="E3049" i="2"/>
  <c r="E3091" i="2"/>
  <c r="E3250" i="2"/>
  <c r="E3262" i="2"/>
  <c r="E3320" i="2"/>
  <c r="E3325" i="2"/>
  <c r="E3470" i="2"/>
  <c r="E3486" i="2"/>
  <c r="E3608" i="2"/>
  <c r="E3733" i="2"/>
  <c r="E3789" i="2"/>
  <c r="E3851" i="2"/>
  <c r="E3883" i="2"/>
  <c r="E3944" i="2"/>
  <c r="E4070" i="2"/>
  <c r="E2832" i="2"/>
  <c r="E3045" i="2"/>
  <c r="E3096" i="2"/>
  <c r="E3190" i="2"/>
  <c r="E3272" i="2"/>
  <c r="E3402" i="2"/>
  <c r="E3440" i="2"/>
  <c r="E3456" i="2"/>
  <c r="E3481" i="2"/>
  <c r="E3515" i="2"/>
  <c r="E3594" i="2"/>
  <c r="E3619" i="2"/>
  <c r="E3719" i="2"/>
  <c r="E3811" i="2"/>
  <c r="E3870" i="2"/>
  <c r="E3930" i="2"/>
  <c r="E4023" i="2"/>
  <c r="E4122" i="2"/>
  <c r="E4176" i="2"/>
  <c r="E2754" i="2"/>
  <c r="E2828" i="2"/>
  <c r="E3041" i="2"/>
  <c r="E3306" i="2"/>
  <c r="E3435" i="2"/>
  <c r="E3451" i="2"/>
  <c r="E3476" i="2"/>
  <c r="E3714" i="2"/>
  <c r="E3739" i="2"/>
  <c r="E3771" i="2"/>
  <c r="E3865" i="2"/>
  <c r="E4171" i="2"/>
  <c r="E2824" i="2"/>
  <c r="E3092" i="2"/>
  <c r="E3246" i="2"/>
  <c r="E3251" i="2"/>
  <c r="E3321" i="2"/>
  <c r="E3446" i="2"/>
  <c r="E3525" i="2"/>
  <c r="E3666" i="2"/>
  <c r="E3698" i="2"/>
  <c r="E3852" i="2"/>
  <c r="E4190" i="2"/>
  <c r="E2820" i="2"/>
  <c r="E3191" i="2"/>
  <c r="E3268" i="2"/>
  <c r="E3273" i="2"/>
  <c r="E3302" i="2"/>
  <c r="E3466" i="2"/>
  <c r="E3482" i="2"/>
  <c r="E3536" i="2"/>
  <c r="E3572" i="2"/>
  <c r="E3595" i="2"/>
  <c r="E3686" i="2"/>
  <c r="E3753" i="2"/>
  <c r="E3777" i="2"/>
  <c r="E2810" i="2"/>
  <c r="E3077" i="2"/>
  <c r="E3298" i="2"/>
  <c r="E3436" i="2"/>
  <c r="E3452" i="2"/>
  <c r="E3477" i="2"/>
  <c r="E3504" i="2"/>
  <c r="E3590" i="2"/>
  <c r="E3715" i="2"/>
  <c r="E3807" i="2"/>
  <c r="E3983" i="2"/>
  <c r="E4099" i="2"/>
  <c r="E2806" i="2"/>
  <c r="E3111" i="2"/>
  <c r="E3242" i="2"/>
  <c r="E3247" i="2"/>
  <c r="E3252" i="2"/>
  <c r="E3294" i="2"/>
  <c r="E3381" i="2"/>
  <c r="E3447" i="2"/>
  <c r="E3472" i="2"/>
  <c r="E3488" i="2"/>
  <c r="E3699" i="2"/>
  <c r="E3826" i="2"/>
  <c r="E4030" i="2"/>
  <c r="E2802" i="2"/>
  <c r="E3073" i="2"/>
  <c r="E3264" i="2"/>
  <c r="E3269" i="2"/>
  <c r="E3290" i="2"/>
  <c r="E3327" i="2"/>
  <c r="E3349" i="2"/>
  <c r="E3442" i="2"/>
  <c r="E3517" i="2"/>
  <c r="E3537" i="2"/>
  <c r="E3596" i="2"/>
  <c r="E3662" i="2"/>
  <c r="E3730" i="2"/>
  <c r="E3848" i="2"/>
  <c r="E2798" i="2"/>
  <c r="E3078" i="2"/>
  <c r="E3107" i="2"/>
  <c r="E3286" i="2"/>
  <c r="E3377" i="2"/>
  <c r="E3478" i="2"/>
  <c r="E3532" i="2"/>
  <c r="E3591" i="2"/>
  <c r="E3682" i="2"/>
  <c r="E3749" i="2"/>
  <c r="E3773" i="2"/>
  <c r="E3891" i="2"/>
  <c r="E3984" i="2"/>
  <c r="E4078" i="2"/>
  <c r="E2794" i="2"/>
  <c r="E3069" i="2"/>
  <c r="E3112" i="2"/>
  <c r="E3133" i="2"/>
  <c r="E3243" i="2"/>
  <c r="E3248" i="2"/>
  <c r="E3345" i="2"/>
  <c r="E3373" i="2"/>
  <c r="E3448" i="2"/>
  <c r="E3473" i="2"/>
  <c r="E3489" i="2"/>
  <c r="E3579" i="2"/>
  <c r="E3611" i="2"/>
  <c r="E3668" i="2"/>
  <c r="E3760" i="2"/>
  <c r="E4031" i="2"/>
  <c r="E4095" i="2"/>
  <c r="E2784" i="2"/>
  <c r="E3074" i="2"/>
  <c r="E3103" i="2"/>
  <c r="E3129" i="2"/>
  <c r="E3230" i="2"/>
  <c r="E3265" i="2"/>
  <c r="E3270" i="2"/>
  <c r="E3323" i="2"/>
  <c r="E3328" i="2"/>
  <c r="E3443" i="2"/>
  <c r="E3468" i="2"/>
  <c r="E3484" i="2"/>
  <c r="E3731" i="2"/>
  <c r="E3779" i="2"/>
  <c r="E3822" i="2"/>
  <c r="E3907" i="2"/>
  <c r="E4146" i="2"/>
  <c r="E3539" i="2"/>
  <c r="E3701" i="2"/>
  <c r="E3828" i="2"/>
  <c r="E3854" i="2"/>
  <c r="E3986" i="2"/>
  <c r="E4025" i="2"/>
  <c r="E4187" i="2"/>
  <c r="E4236" i="2"/>
  <c r="E4363" i="2"/>
  <c r="E4561" i="2"/>
  <c r="E3535" i="2"/>
  <c r="E3610" i="2"/>
  <c r="E3697" i="2"/>
  <c r="E3850" i="2"/>
  <c r="E3977" i="2"/>
  <c r="E4145" i="2"/>
  <c r="E4288" i="2"/>
  <c r="E4358" i="2"/>
  <c r="E3531" i="2"/>
  <c r="E3824" i="2"/>
  <c r="E3846" i="2"/>
  <c r="E3946" i="2"/>
  <c r="E3982" i="2"/>
  <c r="E4008" i="2"/>
  <c r="E4021" i="2"/>
  <c r="E4088" i="2"/>
  <c r="E4093" i="2"/>
  <c r="E4141" i="2"/>
  <c r="E4175" i="2"/>
  <c r="E4209" i="2"/>
  <c r="E4214" i="2"/>
  <c r="E3527" i="2"/>
  <c r="E3577" i="2"/>
  <c r="E3758" i="2"/>
  <c r="E3809" i="2"/>
  <c r="E4004" i="2"/>
  <c r="E4137" i="2"/>
  <c r="E4188" i="2"/>
  <c r="E4252" i="2"/>
  <c r="E4381" i="2"/>
  <c r="E3754" i="2"/>
  <c r="E3820" i="2"/>
  <c r="E3942" i="2"/>
  <c r="E3978" i="2"/>
  <c r="E4000" i="2"/>
  <c r="E4079" i="2"/>
  <c r="E4166" i="2"/>
  <c r="E4275" i="2"/>
  <c r="E4359" i="2"/>
  <c r="E4522" i="2"/>
  <c r="E3516" i="2"/>
  <c r="E3573" i="2"/>
  <c r="E3665" i="2"/>
  <c r="E3750" i="2"/>
  <c r="E3968" i="2"/>
  <c r="E4089" i="2"/>
  <c r="E4205" i="2"/>
  <c r="E4210" i="2"/>
  <c r="E4337" i="2"/>
  <c r="E4354" i="2"/>
  <c r="E3578" i="2"/>
  <c r="E3631" i="2"/>
  <c r="E3661" i="2"/>
  <c r="E3740" i="2"/>
  <c r="E3810" i="2"/>
  <c r="E3894" i="2"/>
  <c r="E4075" i="2"/>
  <c r="E3569" i="2"/>
  <c r="E3657" i="2"/>
  <c r="E3736" i="2"/>
  <c r="E3890" i="2"/>
  <c r="E3964" i="2"/>
  <c r="E4129" i="2"/>
  <c r="E4194" i="2"/>
  <c r="E4248" i="2"/>
  <c r="E4615" i="2"/>
  <c r="E3574" i="2"/>
  <c r="E3716" i="2"/>
  <c r="E3732" i="2"/>
  <c r="E3806" i="2"/>
  <c r="E3886" i="2"/>
  <c r="E4071" i="2"/>
  <c r="E4125" i="2"/>
  <c r="E4172" i="2"/>
  <c r="E4206" i="2"/>
  <c r="E4355" i="2"/>
  <c r="E4518" i="2"/>
  <c r="E3403" i="2"/>
  <c r="E3632" i="2"/>
  <c r="E3960" i="2"/>
  <c r="E4121" i="2"/>
  <c r="E4185" i="2"/>
  <c r="E4296" i="2"/>
  <c r="E4350" i="2"/>
  <c r="E4366" i="2"/>
  <c r="E4371" i="2"/>
  <c r="E3399" i="2"/>
  <c r="E3570" i="2"/>
  <c r="E3617" i="2"/>
  <c r="E3916" i="2"/>
  <c r="E3965" i="2"/>
  <c r="E4061" i="2"/>
  <c r="E4195" i="2"/>
  <c r="E4244" i="2"/>
  <c r="E4403" i="2"/>
  <c r="E3395" i="2"/>
  <c r="E3628" i="2"/>
  <c r="E3717" i="2"/>
  <c r="E3794" i="2"/>
  <c r="E3831" i="2"/>
  <c r="E3912" i="2"/>
  <c r="E4028" i="2"/>
  <c r="E4057" i="2"/>
  <c r="E4168" i="2"/>
  <c r="E4272" i="2"/>
  <c r="E4389" i="2"/>
  <c r="E4519" i="2"/>
  <c r="E3613" i="2"/>
  <c r="E3790" i="2"/>
  <c r="E3872" i="2"/>
  <c r="E3908" i="2"/>
  <c r="E3961" i="2"/>
  <c r="E4053" i="2"/>
  <c r="E4096" i="2"/>
  <c r="E4351" i="2"/>
  <c r="E4565" i="2"/>
  <c r="E3618" i="2"/>
  <c r="E3780" i="2"/>
  <c r="E3827" i="2"/>
  <c r="E3868" i="2"/>
  <c r="E3985" i="2"/>
  <c r="E4024" i="2"/>
  <c r="E4240" i="2"/>
  <c r="E4292" i="2"/>
  <c r="E3609" i="2"/>
  <c r="E3776" i="2"/>
  <c r="E3864" i="2"/>
  <c r="E3929" i="2"/>
  <c r="E3957" i="2"/>
  <c r="E4029" i="2"/>
  <c r="E4169" i="2"/>
  <c r="E4340" i="2"/>
  <c r="E3614" i="2"/>
  <c r="E3772" i="2"/>
  <c r="E3823" i="2"/>
  <c r="E3945" i="2"/>
  <c r="E3981" i="2"/>
  <c r="E4020" i="2"/>
  <c r="E4092" i="2"/>
  <c r="E4097" i="2"/>
  <c r="E4213" i="2"/>
  <c r="E4256" i="2"/>
  <c r="E4385" i="2"/>
  <c r="E4430" i="2"/>
  <c r="E4477" i="2"/>
  <c r="E4586" i="2"/>
  <c r="E4631" i="2"/>
  <c r="E4683" i="2"/>
  <c r="E4752" i="2"/>
  <c r="E4773" i="2"/>
  <c r="E4830" i="2"/>
  <c r="E4906" i="2"/>
  <c r="E4931" i="2"/>
  <c r="E4955" i="2"/>
  <c r="E4989" i="2"/>
  <c r="E5076" i="2"/>
  <c r="E5092" i="2"/>
  <c r="E4335" i="2"/>
  <c r="E4370" i="2"/>
  <c r="E4482" i="2"/>
  <c r="E4517" i="2"/>
  <c r="E4534" i="2"/>
  <c r="E4539" i="2"/>
  <c r="E4647" i="2"/>
  <c r="E4785" i="2"/>
  <c r="E4835" i="2"/>
  <c r="E4901" i="2"/>
  <c r="E4950" i="2"/>
  <c r="E4984" i="2"/>
  <c r="E5042" i="2"/>
  <c r="E5071" i="2"/>
  <c r="E5087" i="2"/>
  <c r="E5120" i="2"/>
  <c r="E4473" i="2"/>
  <c r="E4582" i="2"/>
  <c r="E4627" i="2"/>
  <c r="E4642" i="2"/>
  <c r="E4658" i="2"/>
  <c r="E4673" i="2"/>
  <c r="E4708" i="2"/>
  <c r="E4713" i="2"/>
  <c r="E4718" i="2"/>
  <c r="E4738" i="2"/>
  <c r="E4769" i="2"/>
  <c r="E4809" i="2"/>
  <c r="E4823" i="2"/>
  <c r="E4869" i="2"/>
  <c r="E4887" i="2"/>
  <c r="E4945" i="2"/>
  <c r="E4971" i="2"/>
  <c r="E5026" i="2"/>
  <c r="E5063" i="2"/>
  <c r="E5115" i="2"/>
  <c r="E4478" i="2"/>
  <c r="E4513" i="2"/>
  <c r="E4567" i="2"/>
  <c r="E4632" i="2"/>
  <c r="E4753" i="2"/>
  <c r="E4774" i="2"/>
  <c r="E4831" i="2"/>
  <c r="E4907" i="2"/>
  <c r="E4932" i="2"/>
  <c r="E5014" i="2"/>
  <c r="E5160" i="2"/>
  <c r="E4336" i="2"/>
  <c r="E4405" i="2"/>
  <c r="E4535" i="2"/>
  <c r="E4578" i="2"/>
  <c r="E4724" i="2"/>
  <c r="E4765" i="2"/>
  <c r="E4805" i="2"/>
  <c r="E4902" i="2"/>
  <c r="E4927" i="2"/>
  <c r="E4951" i="2"/>
  <c r="E4985" i="2"/>
  <c r="E5043" i="2"/>
  <c r="E5072" i="2"/>
  <c r="E5088" i="2"/>
  <c r="E5178" i="2"/>
  <c r="E5205" i="2"/>
  <c r="E4274" i="2"/>
  <c r="E4474" i="2"/>
  <c r="E4563" i="2"/>
  <c r="E4583" i="2"/>
  <c r="E4628" i="2"/>
  <c r="E4643" i="2"/>
  <c r="E4659" i="2"/>
  <c r="E4694" i="2"/>
  <c r="E4704" i="2"/>
  <c r="E4709" i="2"/>
  <c r="E4714" i="2"/>
  <c r="E4739" i="2"/>
  <c r="E4770" i="2"/>
  <c r="E4824" i="2"/>
  <c r="E4865" i="2"/>
  <c r="E4870" i="2"/>
  <c r="E4888" i="2"/>
  <c r="E4946" i="2"/>
  <c r="E5064" i="2"/>
  <c r="E5083" i="2"/>
  <c r="E5116" i="2"/>
  <c r="E5320" i="2"/>
  <c r="E4401" i="2"/>
  <c r="E4654" i="2"/>
  <c r="E4792" i="2"/>
  <c r="E4819" i="2"/>
  <c r="E4883" i="2"/>
  <c r="E4933" i="2"/>
  <c r="E4957" i="2"/>
  <c r="E5015" i="2"/>
  <c r="E5059" i="2"/>
  <c r="E5094" i="2"/>
  <c r="E5130" i="2"/>
  <c r="E4270" i="2"/>
  <c r="E4459" i="2"/>
  <c r="E4470" i="2"/>
  <c r="E4493" i="2"/>
  <c r="E4559" i="2"/>
  <c r="E4579" i="2"/>
  <c r="E4613" i="2"/>
  <c r="E4624" i="2"/>
  <c r="E4766" i="2"/>
  <c r="E4806" i="2"/>
  <c r="E4903" i="2"/>
  <c r="E4928" i="2"/>
  <c r="E5010" i="2"/>
  <c r="E5044" i="2"/>
  <c r="E5122" i="2"/>
  <c r="E5156" i="2"/>
  <c r="E5206" i="2"/>
  <c r="E4564" i="2"/>
  <c r="E4690" i="2"/>
  <c r="E4705" i="2"/>
  <c r="E4710" i="2"/>
  <c r="E4720" i="2"/>
  <c r="E4735" i="2"/>
  <c r="E4861" i="2"/>
  <c r="E4866" i="2"/>
  <c r="E4923" i="2"/>
  <c r="E4947" i="2"/>
  <c r="E5084" i="2"/>
  <c r="E5146" i="2"/>
  <c r="E5174" i="2"/>
  <c r="E4191" i="2"/>
  <c r="E4266" i="2"/>
  <c r="E4402" i="2"/>
  <c r="E4437" i="2"/>
  <c r="E4455" i="2"/>
  <c r="E4575" i="2"/>
  <c r="E4609" i="2"/>
  <c r="E4655" i="2"/>
  <c r="E4675" i="2"/>
  <c r="E4755" i="2"/>
  <c r="E4793" i="2"/>
  <c r="E4820" i="2"/>
  <c r="E4884" i="2"/>
  <c r="E4909" i="2"/>
  <c r="E4942" i="2"/>
  <c r="E4958" i="2"/>
  <c r="E4992" i="2"/>
  <c r="E5060" i="2"/>
  <c r="E5079" i="2"/>
  <c r="E5112" i="2"/>
  <c r="E5316" i="2"/>
  <c r="E4271" i="2"/>
  <c r="E4420" i="2"/>
  <c r="E4460" i="2"/>
  <c r="E4489" i="2"/>
  <c r="E4524" i="2"/>
  <c r="E4560" i="2"/>
  <c r="E4614" i="2"/>
  <c r="E4650" i="2"/>
  <c r="E4788" i="2"/>
  <c r="E4929" i="2"/>
  <c r="E4953" i="2"/>
  <c r="E5011" i="2"/>
  <c r="E5123" i="2"/>
  <c r="E4433" i="2"/>
  <c r="E4451" i="2"/>
  <c r="E4542" i="2"/>
  <c r="E4605" i="2"/>
  <c r="E4686" i="2"/>
  <c r="E4691" i="2"/>
  <c r="E4701" i="2"/>
  <c r="E4706" i="2"/>
  <c r="E4721" i="2"/>
  <c r="E4862" i="2"/>
  <c r="E4924" i="2"/>
  <c r="E4974" i="2"/>
  <c r="E5006" i="2"/>
  <c r="E5040" i="2"/>
  <c r="E5118" i="2"/>
  <c r="E4267" i="2"/>
  <c r="E4438" i="2"/>
  <c r="E4456" i="2"/>
  <c r="E4485" i="2"/>
  <c r="E4520" i="2"/>
  <c r="E4556" i="2"/>
  <c r="E4610" i="2"/>
  <c r="E4671" i="2"/>
  <c r="E4676" i="2"/>
  <c r="E4716" i="2"/>
  <c r="E4756" i="2"/>
  <c r="E4821" i="2"/>
  <c r="E4838" i="2"/>
  <c r="E4880" i="2"/>
  <c r="E4910" i="2"/>
  <c r="E4943" i="2"/>
  <c r="E4959" i="2"/>
  <c r="E4993" i="2"/>
  <c r="E5080" i="2"/>
  <c r="E5197" i="2"/>
  <c r="E5297" i="2"/>
  <c r="E4173" i="2"/>
  <c r="E4429" i="2"/>
  <c r="E4490" i="2"/>
  <c r="E4651" i="2"/>
  <c r="E4751" i="2"/>
  <c r="E4789" i="2"/>
  <c r="E4905" i="2"/>
  <c r="E4954" i="2"/>
  <c r="E4988" i="2"/>
  <c r="E5056" i="2"/>
  <c r="E5075" i="2"/>
  <c r="E5091" i="2"/>
  <c r="E5312" i="2"/>
  <c r="E4434" i="2"/>
  <c r="E4452" i="2"/>
  <c r="E4481" i="2"/>
  <c r="E4516" i="2"/>
  <c r="E4538" i="2"/>
  <c r="E4543" i="2"/>
  <c r="E4606" i="2"/>
  <c r="E4635" i="2"/>
  <c r="E4646" i="2"/>
  <c r="E4687" i="2"/>
  <c r="E4702" i="2"/>
  <c r="E4722" i="2"/>
  <c r="E4784" i="2"/>
  <c r="E4834" i="2"/>
  <c r="E4891" i="2"/>
  <c r="E4925" i="2"/>
  <c r="E4949" i="2"/>
  <c r="E4975" i="2"/>
  <c r="E5007" i="2"/>
  <c r="E5067" i="2"/>
  <c r="E5119" i="2"/>
  <c r="E4165" i="2"/>
  <c r="E4339" i="2"/>
  <c r="E4486" i="2"/>
  <c r="E4521" i="2"/>
  <c r="E4672" i="2"/>
  <c r="E4712" i="2"/>
  <c r="E4717" i="2"/>
  <c r="E4839" i="2"/>
  <c r="E4911" i="2"/>
  <c r="E4970" i="2"/>
  <c r="E5025" i="2"/>
  <c r="E5114" i="2"/>
  <c r="E5164" i="2"/>
  <c r="E5196" i="2"/>
  <c r="E5249" i="2"/>
  <c r="E5296" i="2"/>
  <c r="E5314" i="2"/>
  <c r="E5319" i="2"/>
  <c r="E5345" i="2"/>
  <c r="E5361" i="2"/>
  <c r="E5453" i="2"/>
  <c r="E5472" i="2"/>
  <c r="E5498" i="2"/>
  <c r="E5520" i="2"/>
  <c r="E5536" i="2"/>
  <c r="E5552" i="2"/>
  <c r="E5568" i="2"/>
  <c r="E5596" i="2"/>
  <c r="E5624" i="2"/>
  <c r="E5652" i="2"/>
  <c r="E5668" i="2"/>
  <c r="E5684" i="2"/>
  <c r="E5700" i="2"/>
  <c r="E5716" i="2"/>
  <c r="E5756" i="2"/>
  <c r="E5093" i="2"/>
  <c r="E5277" i="2"/>
  <c r="E5306" i="2"/>
  <c r="E5356" i="2"/>
  <c r="E5429" i="2"/>
  <c r="E5493" i="2"/>
  <c r="E5515" i="2"/>
  <c r="E5531" i="2"/>
  <c r="E5547" i="2"/>
  <c r="E5563" i="2"/>
  <c r="E5591" i="2"/>
  <c r="E5619" i="2"/>
  <c r="E5647" i="2"/>
  <c r="E5663" i="2"/>
  <c r="E5679" i="2"/>
  <c r="E5695" i="2"/>
  <c r="E5711" i="2"/>
  <c r="E5739" i="2"/>
  <c r="E5255" i="2"/>
  <c r="E5272" i="2"/>
  <c r="E5351" i="2"/>
  <c r="E5424" i="2"/>
  <c r="E5478" i="2"/>
  <c r="E5526" i="2"/>
  <c r="E5542" i="2"/>
  <c r="E5558" i="2"/>
  <c r="E5574" i="2"/>
  <c r="E5614" i="2"/>
  <c r="E5630" i="2"/>
  <c r="E5658" i="2"/>
  <c r="E5674" i="2"/>
  <c r="E5690" i="2"/>
  <c r="E5706" i="2"/>
  <c r="E5734" i="2"/>
  <c r="E5762" i="2"/>
  <c r="E5250" i="2"/>
  <c r="E5267" i="2"/>
  <c r="E5315" i="2"/>
  <c r="E5346" i="2"/>
  <c r="E5362" i="2"/>
  <c r="E5454" i="2"/>
  <c r="E5473" i="2"/>
  <c r="E5499" i="2"/>
  <c r="E5521" i="2"/>
  <c r="E5537" i="2"/>
  <c r="E5553" i="2"/>
  <c r="E5569" i="2"/>
  <c r="E5597" i="2"/>
  <c r="E5625" i="2"/>
  <c r="E5653" i="2"/>
  <c r="E5669" i="2"/>
  <c r="E5685" i="2"/>
  <c r="E5701" i="2"/>
  <c r="E5717" i="2"/>
  <c r="E5757" i="2"/>
  <c r="E5278" i="2"/>
  <c r="E5302" i="2"/>
  <c r="E5307" i="2"/>
  <c r="E5357" i="2"/>
  <c r="E5430" i="2"/>
  <c r="E5468" i="2"/>
  <c r="E5494" i="2"/>
  <c r="E5516" i="2"/>
  <c r="E5532" i="2"/>
  <c r="E5548" i="2"/>
  <c r="E5564" i="2"/>
  <c r="E5592" i="2"/>
  <c r="E5620" i="2"/>
  <c r="E5648" i="2"/>
  <c r="E5664" i="2"/>
  <c r="E5680" i="2"/>
  <c r="E5696" i="2"/>
  <c r="E5712" i="2"/>
  <c r="E5740" i="2"/>
  <c r="E5256" i="2"/>
  <c r="E5273" i="2"/>
  <c r="E5352" i="2"/>
  <c r="E5425" i="2"/>
  <c r="E5479" i="2"/>
  <c r="E5527" i="2"/>
  <c r="E5543" i="2"/>
  <c r="E5559" i="2"/>
  <c r="E5587" i="2"/>
  <c r="E5615" i="2"/>
  <c r="E5631" i="2"/>
  <c r="E5659" i="2"/>
  <c r="E5675" i="2"/>
  <c r="E5691" i="2"/>
  <c r="E5707" i="2"/>
  <c r="E5735" i="2"/>
  <c r="E5763" i="2"/>
  <c r="E5251" i="2"/>
  <c r="E5268" i="2"/>
  <c r="E5347" i="2"/>
  <c r="E5420" i="2"/>
  <c r="E5455" i="2"/>
  <c r="E5474" i="2"/>
  <c r="E5500" i="2"/>
  <c r="E5522" i="2"/>
  <c r="E5538" i="2"/>
  <c r="E5554" i="2"/>
  <c r="E5570" i="2"/>
  <c r="E5598" i="2"/>
  <c r="E5626" i="2"/>
  <c r="E5654" i="2"/>
  <c r="E5670" i="2"/>
  <c r="E5686" i="2"/>
  <c r="E5702" i="2"/>
  <c r="E5718" i="2"/>
  <c r="E5758" i="2"/>
  <c r="E5207" i="2"/>
  <c r="E5298" i="2"/>
  <c r="E5303" i="2"/>
  <c r="E5321" i="2"/>
  <c r="E5358" i="2"/>
  <c r="E5431" i="2"/>
  <c r="E5469" i="2"/>
  <c r="E5495" i="2"/>
  <c r="E5517" i="2"/>
  <c r="E5533" i="2"/>
  <c r="E5549" i="2"/>
  <c r="E5565" i="2"/>
  <c r="E5593" i="2"/>
  <c r="E5621" i="2"/>
  <c r="E5649" i="2"/>
  <c r="E5665" i="2"/>
  <c r="E5681" i="2"/>
  <c r="E5697" i="2"/>
  <c r="E5713" i="2"/>
  <c r="E5741" i="2"/>
  <c r="E5131" i="2"/>
  <c r="E5257" i="2"/>
  <c r="E5274" i="2"/>
  <c r="E5353" i="2"/>
  <c r="E5426" i="2"/>
  <c r="E5528" i="2"/>
  <c r="E5544" i="2"/>
  <c r="E5560" i="2"/>
  <c r="E5588" i="2"/>
  <c r="E5616" i="2"/>
  <c r="E5632" i="2"/>
  <c r="E5660" i="2"/>
  <c r="E5676" i="2"/>
  <c r="E5692" i="2"/>
  <c r="E5708" i="2"/>
  <c r="E5736" i="2"/>
  <c r="E5764" i="2"/>
  <c r="E5203" i="2"/>
  <c r="E5252" i="2"/>
  <c r="E5269" i="2"/>
  <c r="E5348" i="2"/>
  <c r="E5421" i="2"/>
  <c r="E5456" i="2"/>
  <c r="E5475" i="2"/>
  <c r="E5501" i="2"/>
  <c r="E5523" i="2"/>
  <c r="E5539" i="2"/>
  <c r="E5555" i="2"/>
  <c r="E5571" i="2"/>
  <c r="E5611" i="2"/>
  <c r="E5627" i="2"/>
  <c r="E5655" i="2"/>
  <c r="E5671" i="2"/>
  <c r="E5687" i="2"/>
  <c r="E5703" i="2"/>
  <c r="E5731" i="2"/>
  <c r="E5759" i="2"/>
  <c r="E5127" i="2"/>
  <c r="E5247" i="2"/>
  <c r="E5299" i="2"/>
  <c r="E5304" i="2"/>
  <c r="E5317" i="2"/>
  <c r="E5322" i="2"/>
  <c r="E5359" i="2"/>
  <c r="E5470" i="2"/>
  <c r="E5496" i="2"/>
  <c r="E5518" i="2"/>
  <c r="E5534" i="2"/>
  <c r="E5550" i="2"/>
  <c r="E5566" i="2"/>
  <c r="E5594" i="2"/>
  <c r="E5622" i="2"/>
  <c r="E5650" i="2"/>
  <c r="E5666" i="2"/>
  <c r="E5682" i="2"/>
  <c r="E5698" i="2"/>
  <c r="E5714" i="2"/>
  <c r="E5742" i="2"/>
  <c r="E5132" i="2"/>
  <c r="E5199" i="2"/>
  <c r="E5258" i="2"/>
  <c r="E5275" i="2"/>
  <c r="E5354" i="2"/>
  <c r="E5427" i="2"/>
  <c r="E5491" i="2"/>
  <c r="E5529" i="2"/>
  <c r="E5545" i="2"/>
  <c r="E5561" i="2"/>
  <c r="E5589" i="2"/>
  <c r="E5617" i="2"/>
  <c r="E5633" i="2"/>
  <c r="E5661" i="2"/>
  <c r="E5677" i="2"/>
  <c r="E5693" i="2"/>
  <c r="E5709" i="2"/>
  <c r="E5737" i="2"/>
  <c r="E5765" i="2"/>
  <c r="E5204" i="2"/>
  <c r="E5253" i="2"/>
  <c r="E5270" i="2"/>
  <c r="E5349" i="2"/>
  <c r="E5422" i="2"/>
  <c r="E5457" i="2"/>
  <c r="E5476" i="2"/>
  <c r="E5502" i="2"/>
  <c r="E5524" i="2"/>
  <c r="E5540" i="2"/>
  <c r="E5556" i="2"/>
  <c r="E5572" i="2"/>
  <c r="E5612" i="2"/>
  <c r="E5628" i="2"/>
  <c r="E5656" i="2"/>
  <c r="E5672" i="2"/>
  <c r="E5688" i="2"/>
  <c r="E5704" i="2"/>
  <c r="E5732" i="2"/>
  <c r="E5760" i="2"/>
  <c r="E5128" i="2"/>
  <c r="E5248" i="2"/>
  <c r="E5300" i="2"/>
  <c r="E5313" i="2"/>
  <c r="E5318" i="2"/>
  <c r="E5323" i="2"/>
  <c r="E5360" i="2"/>
  <c r="E5471" i="2"/>
  <c r="E5497" i="2"/>
  <c r="E5519" i="2"/>
  <c r="E5535" i="2"/>
  <c r="E5551" i="2"/>
  <c r="E5567" i="2"/>
  <c r="E5595" i="2"/>
  <c r="E5623" i="2"/>
  <c r="E5651" i="2"/>
  <c r="E5667" i="2"/>
  <c r="E5683" i="2"/>
  <c r="E5699" i="2"/>
  <c r="E5715" i="2"/>
  <c r="E5755" i="2"/>
  <c r="E5200" i="2"/>
  <c r="E5276" i="2"/>
  <c r="E5355" i="2"/>
  <c r="E5428" i="2"/>
  <c r="E5492" i="2"/>
  <c r="E5530" i="2"/>
  <c r="E5546" i="2"/>
  <c r="E5562" i="2"/>
  <c r="E5590" i="2"/>
  <c r="E5618" i="2"/>
  <c r="E5634" i="2"/>
  <c r="E5662" i="2"/>
  <c r="E5678" i="2"/>
  <c r="E5694" i="2"/>
  <c r="E5710" i="2"/>
  <c r="E5738" i="2"/>
  <c r="E5766" i="2"/>
  <c r="E5254" i="2"/>
  <c r="E5271" i="2"/>
  <c r="E5350" i="2"/>
  <c r="E5423" i="2"/>
  <c r="E5458" i="2"/>
  <c r="E5477" i="2"/>
  <c r="E5525" i="2"/>
  <c r="E5541" i="2"/>
  <c r="E5557" i="2"/>
  <c r="E5573" i="2"/>
  <c r="E5613" i="2"/>
  <c r="E5629" i="2"/>
  <c r="E5657" i="2"/>
  <c r="E5673" i="2"/>
  <c r="E5689" i="2"/>
  <c r="E5705" i="2"/>
  <c r="E5733" i="2"/>
  <c r="E5761" i="2"/>
</calcChain>
</file>

<file path=xl/sharedStrings.xml><?xml version="1.0" encoding="utf-8"?>
<sst xmlns="http://schemas.openxmlformats.org/spreadsheetml/2006/main" count="11640" uniqueCount="32">
  <si>
    <t>Nro.</t>
  </si>
  <si>
    <t>Fecha de despacho</t>
  </si>
  <si>
    <t>Producto / Alimento</t>
  </si>
  <si>
    <t>Peso unitario (kg)</t>
  </si>
  <si>
    <t>Peso bruto total (kg)</t>
  </si>
  <si>
    <t>Nº Beneficiarios</t>
  </si>
  <si>
    <t>Nº Niños</t>
  </si>
  <si>
    <t>N°Adultos</t>
  </si>
  <si>
    <t>Aceite o grasas</t>
  </si>
  <si>
    <t>Panadería</t>
  </si>
  <si>
    <t>Vegetales y hojas</t>
  </si>
  <si>
    <t>Fideo</t>
  </si>
  <si>
    <t>Carnes rojas</t>
  </si>
  <si>
    <t>Azúcar o dulce</t>
  </si>
  <si>
    <t>Menestras</t>
  </si>
  <si>
    <t>Otros almidones</t>
  </si>
  <si>
    <t>Carnes blancas</t>
  </si>
  <si>
    <t>Lácteos</t>
  </si>
  <si>
    <t>Salsas</t>
  </si>
  <si>
    <t>Avena</t>
  </si>
  <si>
    <t>azúcar</t>
  </si>
  <si>
    <t>Azúcar</t>
  </si>
  <si>
    <t>Aceite</t>
  </si>
  <si>
    <t>Fecha</t>
  </si>
  <si>
    <t>Categoría de Alimento</t>
  </si>
  <si>
    <t>Tipo Movimiento</t>
  </si>
  <si>
    <t>Cantidad (kg)</t>
  </si>
  <si>
    <t>Stock Disponible (kg)</t>
  </si>
  <si>
    <t>ENTRADA</t>
  </si>
  <si>
    <t>SALIDA</t>
  </si>
  <si>
    <t>Categoría</t>
  </si>
  <si>
    <t>Stock inicial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</si>
</sst>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#,##0.000"/>
    <numFmt numFmtId="165" formatCode="0.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6E4F7"/>
      </patternFill>
    </fill>
    <fill>
      <patternFill patternType="solid">
        <fgColor theme="0"/>
        <bgColor rgb="FFE2EFDA"/>
      </patternFill>
    </fill>
    <fill>
      <patternFill patternType="solid">
        <fgColor rgb="FFFFFF00"/>
        <bgColor rgb="FF1F4E79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 style="thin">
        <color rgb="FFAAAAAA"/>
      </right>
      <top/>
      <bottom/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4" fontId="1" fillId="0" borderId="0"/>
  </cellStyleXfs>
  <cellXfs count="28">
    <xf numFmtId="0" fontId="0" fillId="0" borderId="0" xfId="0"/>
    <xf numFmtId="0" fontId="3" fillId="2" borderId="2" xfId="0" applyFont="1" applyFill="1" applyBorder="1" applyAlignment="1">
      <alignment horizontal="center" wrapText="1"/>
    </xf>
    <xf numFmtId="164" fontId="4" fillId="3" borderId="1" xfId="0" applyNumberFormat="1" applyFont="1" applyFill="1" applyBorder="1"/>
    <xf numFmtId="0" fontId="4" fillId="3" borderId="1" xfId="0" applyFont="1" applyFill="1" applyBorder="1"/>
    <xf numFmtId="164" fontId="4" fillId="5" borderId="1" xfId="0" applyNumberFormat="1" applyFont="1" applyFill="1" applyBorder="1"/>
    <xf numFmtId="0" fontId="4" fillId="5" borderId="1" xfId="0" applyFont="1" applyFill="1" applyBorder="1"/>
    <xf numFmtId="0" fontId="0" fillId="0" borderId="0" xfId="0" applyAlignment="1">
      <alignment horizontal="center"/>
    </xf>
    <xf numFmtId="164" fontId="4" fillId="4" borderId="1" xfId="0" applyNumberFormat="1" applyFont="1" applyFill="1" applyBorder="1"/>
    <xf numFmtId="0" fontId="4" fillId="4" borderId="1" xfId="0" applyFont="1" applyFill="1" applyBorder="1"/>
    <xf numFmtId="14" fontId="1" fillId="0" borderId="0" xfId="0" applyNumberFormat="1" applyFont="1"/>
    <xf numFmtId="0" fontId="1" fillId="0" borderId="0" xfId="0" applyFont="1"/>
    <xf numFmtId="0" fontId="3" fillId="2" borderId="0" xfId="0" applyFont="1" applyFill="1" applyAlignment="1">
      <alignment horizontal="center" wrapText="1"/>
    </xf>
    <xf numFmtId="165" fontId="1" fillId="0" borderId="0" xfId="0" applyNumberFormat="1" applyFont="1"/>
    <xf numFmtId="0" fontId="0" fillId="0" borderId="0" xfId="0" applyAlignment="1">
      <alignment horizontal="center"/>
    </xf>
    <xf numFmtId="1" fontId="0" fillId="3" borderId="1" xfId="0" applyNumberFormat="1" applyFill="1" applyBorder="1" applyAlignment="1">
      <alignment horizontal="center"/>
    </xf>
    <xf numFmtId="0" fontId="0" fillId="0" borderId="6" xfId="0" applyBorder="1"/>
    <xf numFmtId="0" fontId="0" fillId="0" borderId="7" xfId="0" applyBorder="1"/>
    <xf numFmtId="3" fontId="0" fillId="3" borderId="1" xfId="0" applyNumberFormat="1" applyFill="1" applyBorder="1" applyAlignment="1">
      <alignment horizontal="center"/>
    </xf>
    <xf numFmtId="1" fontId="2" fillId="3" borderId="1" xfId="0" applyNumberFormat="1" applyFon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4" fontId="0" fillId="3" borderId="1" xfId="5" applyNumberFormat="1" applyFont="1" applyFill="1" applyBorder="1" applyAlignment="1">
      <alignment horizontal="center"/>
    </xf>
    <xf numFmtId="1" fontId="2" fillId="0" borderId="0" xfId="0" applyNumberFormat="1" applyFont="1" applyAlignment="1">
      <alignment horizontal="center"/>
    </xf>
    <xf numFmtId="0" fontId="5" fillId="6" borderId="2" xfId="0" applyFont="1" applyFill="1" applyBorder="1" applyAlignment="1">
      <alignment horizontal="center" wrapText="1"/>
    </xf>
    <xf numFmtId="0" fontId="0" fillId="0" borderId="5" xfId="0" applyBorder="1"/>
    <xf numFmtId="0" fontId="5" fillId="6" borderId="3" xfId="0" applyFont="1" applyFill="1" applyBorder="1" applyAlignment="1">
      <alignment horizontal="center" wrapText="1"/>
    </xf>
    <xf numFmtId="0" fontId="0" fillId="0" borderId="4" xfId="0" applyBorder="1"/>
    <xf numFmtId="14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6">
    <cellStyle name="Millares 2" xfId="1" xr:uid="{00000000-0005-0000-0000-000001000000}"/>
    <cellStyle name="Millares 3" xfId="2" xr:uid="{00000000-0005-0000-0000-000002000000}"/>
    <cellStyle name="Millares 4" xfId="3" xr:uid="{00000000-0005-0000-0000-000003000000}"/>
    <cellStyle name="Millares 5" xfId="4" xr:uid="{00000000-0005-0000-0000-000004000000}"/>
    <cellStyle name="Moneda" xfId="5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stock_inicial" displayName="tbl_stock_inicial" ref="A1:B12">
  <autoFilter ref="A1:B12" xr:uid="{00000000-0009-0000-0100-000001000000}"/>
  <tableColumns count="2">
    <tableColumn id="1" xr3:uid="{00000000-0010-0000-0000-000001000000}" name="Categoría"/>
    <tableColumn id="2" xr3:uid="{00000000-0010-0000-0000-000002000000}" name="Stock inicial (kg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66"/>
  <sheetViews>
    <sheetView zoomScaleNormal="100" zoomScaleSheetLayoutView="90" workbookViewId="0">
      <selection activeCell="I6" sqref="I6"/>
    </sheetView>
  </sheetViews>
  <sheetFormatPr baseColWidth="10" defaultColWidth="11.5546875" defaultRowHeight="14.4" x14ac:dyDescent="0.3"/>
  <cols>
    <col min="1" max="1" width="8" style="6" bestFit="1" customWidth="1"/>
    <col min="2" max="2" width="16" style="6" bestFit="1" customWidth="1"/>
    <col min="3" max="3" width="28" style="6" bestFit="1" customWidth="1"/>
    <col min="4" max="4" width="18" style="6" bestFit="1" customWidth="1"/>
    <col min="5" max="5" width="20" style="6" bestFit="1" customWidth="1"/>
    <col min="6" max="6" width="16" style="6" bestFit="1" customWidth="1"/>
    <col min="7" max="7" width="12" style="6" customWidth="1"/>
    <col min="8" max="8" width="20" style="6" customWidth="1"/>
    <col min="9" max="9" width="59.109375" style="6" customWidth="1"/>
    <col min="10" max="10" width="35" style="6" customWidth="1"/>
    <col min="11" max="11" width="16" style="6" customWidth="1"/>
    <col min="12" max="12" width="31.33203125" style="6" customWidth="1"/>
    <col min="13" max="13" width="12.6640625" style="6" customWidth="1"/>
    <col min="14" max="14" width="11.5546875" style="6" customWidth="1"/>
    <col min="15" max="15" width="3" style="6" customWidth="1"/>
    <col min="16" max="16" width="71.6640625" style="6" bestFit="1" customWidth="1"/>
    <col min="17" max="17" width="14.109375" style="6" bestFit="1" customWidth="1"/>
    <col min="18" max="19" width="11.5546875" style="6" customWidth="1"/>
    <col min="20" max="16384" width="11.5546875" style="6"/>
  </cols>
  <sheetData>
    <row r="1" spans="1:8" x14ac:dyDescent="0.3">
      <c r="A1" s="22" t="s">
        <v>0</v>
      </c>
      <c r="B1" s="22" t="s">
        <v>1</v>
      </c>
      <c r="C1" s="24" t="s">
        <v>2</v>
      </c>
      <c r="D1" s="22" t="s">
        <v>3</v>
      </c>
      <c r="E1" s="22" t="s">
        <v>4</v>
      </c>
      <c r="F1" s="22" t="s">
        <v>5</v>
      </c>
      <c r="G1" s="24" t="s">
        <v>6</v>
      </c>
      <c r="H1" s="24" t="s">
        <v>7</v>
      </c>
    </row>
    <row r="2" spans="1:8" x14ac:dyDescent="0.3">
      <c r="A2" s="23"/>
      <c r="B2" s="23"/>
      <c r="C2" s="25"/>
      <c r="D2" s="23"/>
      <c r="E2" s="23"/>
      <c r="F2" s="23"/>
      <c r="G2" s="25"/>
      <c r="H2" s="25"/>
    </row>
    <row r="3" spans="1:8" x14ac:dyDescent="0.3">
      <c r="A3" s="18">
        <v>1</v>
      </c>
      <c r="B3" s="26">
        <v>44047</v>
      </c>
      <c r="C3" s="8" t="s">
        <v>8</v>
      </c>
      <c r="D3" s="2">
        <v>23</v>
      </c>
      <c r="E3" s="19">
        <f>SUM(D3:D8)</f>
        <v>138</v>
      </c>
      <c r="F3" s="27">
        <f>INT(MAX(D3:D8))</f>
        <v>23</v>
      </c>
      <c r="G3" s="14">
        <f>INT((F3/10)*2)</f>
        <v>4</v>
      </c>
      <c r="H3" s="14">
        <f>F3-G3</f>
        <v>19</v>
      </c>
    </row>
    <row r="4" spans="1:8" x14ac:dyDescent="0.3">
      <c r="A4" s="15"/>
      <c r="B4" s="15"/>
      <c r="C4" s="3" t="s">
        <v>9</v>
      </c>
      <c r="D4" s="2">
        <v>23</v>
      </c>
      <c r="E4" s="15"/>
      <c r="F4" s="15"/>
      <c r="G4" s="15"/>
      <c r="H4" s="15"/>
    </row>
    <row r="5" spans="1:8" x14ac:dyDescent="0.3">
      <c r="A5" s="15"/>
      <c r="B5" s="15"/>
      <c r="C5" s="3" t="s">
        <v>10</v>
      </c>
      <c r="D5" s="2">
        <v>23</v>
      </c>
      <c r="E5" s="15"/>
      <c r="F5" s="15"/>
      <c r="G5" s="15"/>
      <c r="H5" s="15"/>
    </row>
    <row r="6" spans="1:8" x14ac:dyDescent="0.3">
      <c r="A6" s="15"/>
      <c r="B6" s="15"/>
      <c r="C6" s="3" t="s">
        <v>11</v>
      </c>
      <c r="D6" s="2">
        <v>23</v>
      </c>
      <c r="E6" s="15"/>
      <c r="F6" s="15"/>
      <c r="G6" s="15"/>
      <c r="H6" s="15"/>
    </row>
    <row r="7" spans="1:8" x14ac:dyDescent="0.3">
      <c r="A7" s="15"/>
      <c r="B7" s="15"/>
      <c r="C7" s="3" t="s">
        <v>12</v>
      </c>
      <c r="D7" s="2">
        <v>23</v>
      </c>
      <c r="E7" s="15"/>
      <c r="F7" s="15"/>
      <c r="G7" s="15"/>
      <c r="H7" s="15"/>
    </row>
    <row r="8" spans="1:8" x14ac:dyDescent="0.3">
      <c r="A8" s="16"/>
      <c r="B8" s="16"/>
      <c r="C8" s="8" t="s">
        <v>13</v>
      </c>
      <c r="D8" s="2">
        <v>23</v>
      </c>
      <c r="E8" s="16"/>
      <c r="F8" s="16"/>
      <c r="G8" s="16"/>
      <c r="H8" s="16"/>
    </row>
    <row r="9" spans="1:8" x14ac:dyDescent="0.3">
      <c r="A9" s="18">
        <v>2</v>
      </c>
      <c r="B9" s="20">
        <v>44050</v>
      </c>
      <c r="C9" s="3" t="s">
        <v>14</v>
      </c>
      <c r="D9" s="2">
        <v>11.59</v>
      </c>
      <c r="E9" s="19">
        <f>SUM(D9:D14)</f>
        <v>103.351</v>
      </c>
      <c r="F9" s="17">
        <f>INT(MAX(D9:D14))</f>
        <v>25</v>
      </c>
      <c r="G9" s="14">
        <f>INT((F9/10)*2)</f>
        <v>5</v>
      </c>
      <c r="H9" s="14">
        <f>F9-G9</f>
        <v>20</v>
      </c>
    </row>
    <row r="10" spans="1:8" x14ac:dyDescent="0.3">
      <c r="A10" s="15"/>
      <c r="B10" s="15"/>
      <c r="C10" s="3" t="s">
        <v>10</v>
      </c>
      <c r="D10" s="2">
        <v>25.83</v>
      </c>
      <c r="E10" s="15"/>
      <c r="F10" s="15"/>
      <c r="G10" s="15"/>
      <c r="H10" s="15"/>
    </row>
    <row r="11" spans="1:8" x14ac:dyDescent="0.3">
      <c r="A11" s="15"/>
      <c r="B11" s="15"/>
      <c r="C11" s="3" t="s">
        <v>15</v>
      </c>
      <c r="D11" s="7">
        <v>8.3710000000000004</v>
      </c>
      <c r="E11" s="15"/>
      <c r="F11" s="15"/>
      <c r="G11" s="15"/>
      <c r="H11" s="15"/>
    </row>
    <row r="12" spans="1:8" x14ac:dyDescent="0.3">
      <c r="A12" s="15"/>
      <c r="B12" s="15"/>
      <c r="C12" s="8" t="s">
        <v>16</v>
      </c>
      <c r="D12" s="2">
        <v>20.34</v>
      </c>
      <c r="E12" s="15"/>
      <c r="F12" s="15"/>
      <c r="G12" s="15"/>
      <c r="H12" s="15"/>
    </row>
    <row r="13" spans="1:8" x14ac:dyDescent="0.3">
      <c r="A13" s="15"/>
      <c r="B13" s="15"/>
      <c r="C13" s="3" t="s">
        <v>13</v>
      </c>
      <c r="D13" s="2">
        <v>22.34</v>
      </c>
      <c r="E13" s="15"/>
      <c r="F13" s="15"/>
      <c r="G13" s="15"/>
      <c r="H13" s="15"/>
    </row>
    <row r="14" spans="1:8" x14ac:dyDescent="0.3">
      <c r="A14" s="16"/>
      <c r="B14" s="16"/>
      <c r="C14" s="3" t="s">
        <v>11</v>
      </c>
      <c r="D14" s="2">
        <v>14.88</v>
      </c>
      <c r="E14" s="16"/>
      <c r="F14" s="16"/>
      <c r="G14" s="16"/>
      <c r="H14" s="16"/>
    </row>
    <row r="15" spans="1:8" x14ac:dyDescent="0.3">
      <c r="A15" s="18">
        <v>3</v>
      </c>
      <c r="B15" s="20">
        <v>44054</v>
      </c>
      <c r="C15" s="3" t="s">
        <v>17</v>
      </c>
      <c r="D15" s="2">
        <v>4.2300000000000004</v>
      </c>
      <c r="E15" s="19">
        <f>SUM(D15:D20)</f>
        <v>61.616000000000007</v>
      </c>
      <c r="F15" s="17">
        <f>INT(MAX(D15:D20))</f>
        <v>33</v>
      </c>
      <c r="G15" s="14">
        <f>INT((F15/10)*2)</f>
        <v>6</v>
      </c>
      <c r="H15" s="14">
        <f>F15-G15</f>
        <v>27</v>
      </c>
    </row>
    <row r="16" spans="1:8" x14ac:dyDescent="0.3">
      <c r="A16" s="15"/>
      <c r="B16" s="15"/>
      <c r="C16" s="3" t="s">
        <v>10</v>
      </c>
      <c r="D16" s="7">
        <v>5.306</v>
      </c>
      <c r="E16" s="15"/>
      <c r="F16" s="15"/>
      <c r="G16" s="15"/>
      <c r="H16" s="15"/>
    </row>
    <row r="17" spans="1:8" x14ac:dyDescent="0.3">
      <c r="A17" s="15"/>
      <c r="B17" s="15"/>
      <c r="C17" s="8" t="s">
        <v>16</v>
      </c>
      <c r="D17" s="2">
        <v>7.09</v>
      </c>
      <c r="E17" s="15"/>
      <c r="F17" s="15"/>
      <c r="G17" s="15"/>
      <c r="H17" s="15"/>
    </row>
    <row r="18" spans="1:8" x14ac:dyDescent="0.3">
      <c r="A18" s="15"/>
      <c r="B18" s="15"/>
      <c r="C18" s="3" t="s">
        <v>8</v>
      </c>
      <c r="D18" s="2">
        <v>6.87</v>
      </c>
      <c r="E18" s="15"/>
      <c r="F18" s="15"/>
      <c r="G18" s="15"/>
      <c r="H18" s="15"/>
    </row>
    <row r="19" spans="1:8" x14ac:dyDescent="0.3">
      <c r="A19" s="15"/>
      <c r="B19" s="15"/>
      <c r="C19" s="3" t="s">
        <v>14</v>
      </c>
      <c r="D19" s="2">
        <v>33.06</v>
      </c>
      <c r="E19" s="15"/>
      <c r="F19" s="15"/>
      <c r="G19" s="15"/>
      <c r="H19" s="15"/>
    </row>
    <row r="20" spans="1:8" x14ac:dyDescent="0.3">
      <c r="A20" s="16"/>
      <c r="B20" s="16"/>
      <c r="C20" s="3" t="s">
        <v>13</v>
      </c>
      <c r="D20" s="2">
        <v>5.0599999999999996</v>
      </c>
      <c r="E20" s="16"/>
      <c r="F20" s="16"/>
      <c r="G20" s="16"/>
      <c r="H20" s="16"/>
    </row>
    <row r="21" spans="1:8" x14ac:dyDescent="0.3">
      <c r="A21" s="18">
        <v>4</v>
      </c>
      <c r="B21" s="20">
        <v>44057</v>
      </c>
      <c r="C21" s="3" t="s">
        <v>12</v>
      </c>
      <c r="D21" s="7">
        <v>66.275999999999996</v>
      </c>
      <c r="E21" s="19">
        <f>SUM(D21:D26)</f>
        <v>458.68599999999998</v>
      </c>
      <c r="F21" s="17">
        <f>INT(MAX(D21:D26))</f>
        <v>119</v>
      </c>
      <c r="G21" s="14">
        <f>INT((F21/10)*2)</f>
        <v>23</v>
      </c>
      <c r="H21" s="14">
        <f>F21-G21</f>
        <v>96</v>
      </c>
    </row>
    <row r="22" spans="1:8" x14ac:dyDescent="0.3">
      <c r="A22" s="15"/>
      <c r="B22" s="15"/>
      <c r="C22" s="8" t="s">
        <v>14</v>
      </c>
      <c r="D22" s="2">
        <v>34.630000000000003</v>
      </c>
      <c r="E22" s="15"/>
      <c r="F22" s="15"/>
      <c r="G22" s="15"/>
      <c r="H22" s="15"/>
    </row>
    <row r="23" spans="1:8" x14ac:dyDescent="0.3">
      <c r="A23" s="15"/>
      <c r="B23" s="15"/>
      <c r="C23" s="3" t="s">
        <v>8</v>
      </c>
      <c r="D23" s="2">
        <v>77.75</v>
      </c>
      <c r="E23" s="15"/>
      <c r="F23" s="15"/>
      <c r="G23" s="15"/>
      <c r="H23" s="15"/>
    </row>
    <row r="24" spans="1:8" x14ac:dyDescent="0.3">
      <c r="A24" s="15"/>
      <c r="B24" s="15"/>
      <c r="C24" s="3" t="s">
        <v>9</v>
      </c>
      <c r="D24" s="2">
        <v>103.38</v>
      </c>
      <c r="E24" s="15"/>
      <c r="F24" s="15"/>
      <c r="G24" s="15"/>
      <c r="H24" s="15"/>
    </row>
    <row r="25" spans="1:8" x14ac:dyDescent="0.3">
      <c r="A25" s="15"/>
      <c r="B25" s="15"/>
      <c r="C25" s="3" t="s">
        <v>15</v>
      </c>
      <c r="D25" s="2">
        <v>119.26</v>
      </c>
      <c r="E25" s="15"/>
      <c r="F25" s="15"/>
      <c r="G25" s="15"/>
      <c r="H25" s="15"/>
    </row>
    <row r="26" spans="1:8" x14ac:dyDescent="0.3">
      <c r="A26" s="16"/>
      <c r="B26" s="16"/>
      <c r="C26" s="3" t="s">
        <v>13</v>
      </c>
      <c r="D26" s="7">
        <v>57.39</v>
      </c>
      <c r="E26" s="16"/>
      <c r="F26" s="16"/>
      <c r="G26" s="16"/>
      <c r="H26" s="16"/>
    </row>
    <row r="27" spans="1:8" x14ac:dyDescent="0.3">
      <c r="A27" s="18">
        <v>5</v>
      </c>
      <c r="B27" s="20">
        <v>44061</v>
      </c>
      <c r="C27" s="8" t="s">
        <v>15</v>
      </c>
      <c r="D27" s="2">
        <v>49.58</v>
      </c>
      <c r="E27" s="19">
        <f>SUM(D27:D32)</f>
        <v>339.18099999999998</v>
      </c>
      <c r="F27" s="17">
        <f>INT(MAX(D27:D32))</f>
        <v>134</v>
      </c>
      <c r="G27" s="14">
        <f>INT((F27/10)*2)</f>
        <v>26</v>
      </c>
      <c r="H27" s="14">
        <f>F27-G27</f>
        <v>108</v>
      </c>
    </row>
    <row r="28" spans="1:8" x14ac:dyDescent="0.3">
      <c r="A28" s="15"/>
      <c r="B28" s="15"/>
      <c r="C28" s="3" t="s">
        <v>16</v>
      </c>
      <c r="D28" s="2">
        <v>72.34</v>
      </c>
      <c r="E28" s="15"/>
      <c r="F28" s="15"/>
      <c r="G28" s="15"/>
      <c r="H28" s="15"/>
    </row>
    <row r="29" spans="1:8" x14ac:dyDescent="0.3">
      <c r="A29" s="15"/>
      <c r="B29" s="15"/>
      <c r="C29" s="3" t="s">
        <v>9</v>
      </c>
      <c r="D29" s="2">
        <v>35.47</v>
      </c>
      <c r="E29" s="15"/>
      <c r="F29" s="15"/>
      <c r="G29" s="15"/>
      <c r="H29" s="15"/>
    </row>
    <row r="30" spans="1:8" x14ac:dyDescent="0.3">
      <c r="A30" s="15"/>
      <c r="B30" s="15"/>
      <c r="C30" s="3" t="s">
        <v>8</v>
      </c>
      <c r="D30" s="2">
        <v>12.21</v>
      </c>
      <c r="E30" s="15"/>
      <c r="F30" s="15"/>
      <c r="G30" s="15"/>
      <c r="H30" s="15"/>
    </row>
    <row r="31" spans="1:8" x14ac:dyDescent="0.3">
      <c r="A31" s="15"/>
      <c r="B31" s="15"/>
      <c r="C31" s="3" t="s">
        <v>10</v>
      </c>
      <c r="D31" s="2">
        <v>134.52000000000001</v>
      </c>
      <c r="E31" s="15"/>
      <c r="F31" s="15"/>
      <c r="G31" s="15"/>
      <c r="H31" s="15"/>
    </row>
    <row r="32" spans="1:8" x14ac:dyDescent="0.3">
      <c r="A32" s="16"/>
      <c r="B32" s="16"/>
      <c r="C32" s="3" t="s">
        <v>11</v>
      </c>
      <c r="D32" s="7">
        <v>35.061</v>
      </c>
      <c r="E32" s="16"/>
      <c r="F32" s="16"/>
      <c r="G32" s="16"/>
      <c r="H32" s="16"/>
    </row>
    <row r="33" spans="1:8" x14ac:dyDescent="0.3">
      <c r="A33" s="18">
        <v>6</v>
      </c>
      <c r="B33" s="20">
        <v>44064</v>
      </c>
      <c r="C33" s="8" t="s">
        <v>18</v>
      </c>
      <c r="D33" s="2">
        <v>60</v>
      </c>
      <c r="E33" s="19">
        <f>SUM(D33:D38)</f>
        <v>352.49300000000005</v>
      </c>
      <c r="F33" s="17">
        <f>INT(MAX(D33:D38))</f>
        <v>80</v>
      </c>
      <c r="G33" s="14">
        <f>INT((F33/10)*2)</f>
        <v>16</v>
      </c>
      <c r="H33" s="14">
        <f>F33-G33</f>
        <v>64</v>
      </c>
    </row>
    <row r="34" spans="1:8" x14ac:dyDescent="0.3">
      <c r="A34" s="15"/>
      <c r="B34" s="15"/>
      <c r="C34" s="3" t="s">
        <v>17</v>
      </c>
      <c r="D34" s="2">
        <v>55.62</v>
      </c>
      <c r="E34" s="15"/>
      <c r="F34" s="15"/>
      <c r="G34" s="15"/>
      <c r="H34" s="15"/>
    </row>
    <row r="35" spans="1:8" x14ac:dyDescent="0.3">
      <c r="A35" s="15"/>
      <c r="B35" s="15"/>
      <c r="C35" s="3" t="s">
        <v>16</v>
      </c>
      <c r="D35" s="2">
        <v>58.76</v>
      </c>
      <c r="E35" s="15"/>
      <c r="F35" s="15"/>
      <c r="G35" s="15"/>
      <c r="H35" s="15"/>
    </row>
    <row r="36" spans="1:8" x14ac:dyDescent="0.3">
      <c r="A36" s="15"/>
      <c r="B36" s="15"/>
      <c r="C36" s="3" t="s">
        <v>14</v>
      </c>
      <c r="D36" s="7">
        <v>21.823</v>
      </c>
      <c r="E36" s="15"/>
      <c r="F36" s="15"/>
      <c r="G36" s="15"/>
      <c r="H36" s="15"/>
    </row>
    <row r="37" spans="1:8" x14ac:dyDescent="0.3">
      <c r="A37" s="15"/>
      <c r="B37" s="15"/>
      <c r="C37" s="8" t="s">
        <v>8</v>
      </c>
      <c r="D37" s="2">
        <v>80.180000000000007</v>
      </c>
      <c r="E37" s="15"/>
      <c r="F37" s="15"/>
      <c r="G37" s="15"/>
      <c r="H37" s="15"/>
    </row>
    <row r="38" spans="1:8" x14ac:dyDescent="0.3">
      <c r="A38" s="16"/>
      <c r="B38" s="16"/>
      <c r="C38" s="3" t="s">
        <v>9</v>
      </c>
      <c r="D38" s="2">
        <v>76.11</v>
      </c>
      <c r="E38" s="16"/>
      <c r="F38" s="16"/>
      <c r="G38" s="16"/>
      <c r="H38" s="16"/>
    </row>
    <row r="39" spans="1:8" x14ac:dyDescent="0.3">
      <c r="A39" s="18">
        <v>7</v>
      </c>
      <c r="B39" s="20">
        <v>44068</v>
      </c>
      <c r="C39" s="3" t="s">
        <v>13</v>
      </c>
      <c r="D39" s="7">
        <v>11.72</v>
      </c>
      <c r="E39" s="19">
        <f>SUM(D39:D44)</f>
        <v>85.272000000000006</v>
      </c>
      <c r="F39" s="17">
        <f>INT(MAX(D39:D44))</f>
        <v>38</v>
      </c>
      <c r="G39" s="14">
        <f>INT((F39/10)*2)</f>
        <v>7</v>
      </c>
      <c r="H39" s="14">
        <f>F39-G39</f>
        <v>31</v>
      </c>
    </row>
    <row r="40" spans="1:8" x14ac:dyDescent="0.3">
      <c r="A40" s="15"/>
      <c r="B40" s="15"/>
      <c r="C40" s="8" t="s">
        <v>15</v>
      </c>
      <c r="D40" s="2">
        <v>11.88</v>
      </c>
      <c r="E40" s="15"/>
      <c r="F40" s="15"/>
      <c r="G40" s="15"/>
      <c r="H40" s="15"/>
    </row>
    <row r="41" spans="1:8" x14ac:dyDescent="0.3">
      <c r="A41" s="15"/>
      <c r="B41" s="15"/>
      <c r="C41" s="3" t="s">
        <v>14</v>
      </c>
      <c r="D41" s="2">
        <v>4.49</v>
      </c>
      <c r="E41" s="15"/>
      <c r="F41" s="15"/>
      <c r="G41" s="15"/>
      <c r="H41" s="15"/>
    </row>
    <row r="42" spans="1:8" x14ac:dyDescent="0.3">
      <c r="A42" s="15"/>
      <c r="B42" s="15"/>
      <c r="C42" s="3" t="s">
        <v>18</v>
      </c>
      <c r="D42" s="2">
        <v>6.71</v>
      </c>
      <c r="E42" s="15"/>
      <c r="F42" s="15"/>
      <c r="G42" s="15"/>
      <c r="H42" s="15"/>
    </row>
    <row r="43" spans="1:8" x14ac:dyDescent="0.3">
      <c r="A43" s="15"/>
      <c r="B43" s="15"/>
      <c r="C43" s="3" t="s">
        <v>17</v>
      </c>
      <c r="D43" s="2">
        <v>11.58</v>
      </c>
      <c r="E43" s="15"/>
      <c r="F43" s="15"/>
      <c r="G43" s="15"/>
      <c r="H43" s="15"/>
    </row>
    <row r="44" spans="1:8" x14ac:dyDescent="0.3">
      <c r="A44" s="16"/>
      <c r="B44" s="16"/>
      <c r="C44" s="3" t="s">
        <v>16</v>
      </c>
      <c r="D44" s="7">
        <v>38.892000000000003</v>
      </c>
      <c r="E44" s="16"/>
      <c r="F44" s="16"/>
      <c r="G44" s="16"/>
      <c r="H44" s="16"/>
    </row>
    <row r="45" spans="1:8" x14ac:dyDescent="0.3">
      <c r="A45" s="18">
        <v>8</v>
      </c>
      <c r="B45" s="20">
        <v>44071</v>
      </c>
      <c r="C45" s="8" t="s">
        <v>14</v>
      </c>
      <c r="D45" s="2">
        <v>18.23</v>
      </c>
      <c r="E45" s="19">
        <f>SUM(D45:D50)</f>
        <v>92.402000000000001</v>
      </c>
      <c r="F45" s="17">
        <f>INT(MAX(D45:D50))</f>
        <v>23</v>
      </c>
      <c r="G45" s="14">
        <f>INT((F45/10)*2)</f>
        <v>4</v>
      </c>
      <c r="H45" s="14">
        <f>F45-G45</f>
        <v>19</v>
      </c>
    </row>
    <row r="46" spans="1:8" x14ac:dyDescent="0.3">
      <c r="A46" s="15"/>
      <c r="B46" s="15"/>
      <c r="C46" s="3" t="s">
        <v>8</v>
      </c>
      <c r="D46" s="2">
        <v>12</v>
      </c>
      <c r="E46" s="15"/>
      <c r="F46" s="15"/>
      <c r="G46" s="15"/>
      <c r="H46" s="15"/>
    </row>
    <row r="47" spans="1:8" x14ac:dyDescent="0.3">
      <c r="A47" s="15"/>
      <c r="B47" s="15"/>
      <c r="C47" s="3" t="s">
        <v>17</v>
      </c>
      <c r="D47" s="2">
        <v>11.13</v>
      </c>
      <c r="E47" s="15"/>
      <c r="F47" s="15"/>
      <c r="G47" s="15"/>
      <c r="H47" s="15"/>
    </row>
    <row r="48" spans="1:8" x14ac:dyDescent="0.3">
      <c r="A48" s="15"/>
      <c r="B48" s="15"/>
      <c r="C48" s="3" t="s">
        <v>16</v>
      </c>
      <c r="D48" s="2">
        <v>23.26</v>
      </c>
      <c r="E48" s="15"/>
      <c r="F48" s="15"/>
      <c r="G48" s="15"/>
      <c r="H48" s="15"/>
    </row>
    <row r="49" spans="1:8" x14ac:dyDescent="0.3">
      <c r="A49" s="15"/>
      <c r="B49" s="15"/>
      <c r="C49" s="3" t="s">
        <v>15</v>
      </c>
      <c r="D49" s="2">
        <v>21.06</v>
      </c>
      <c r="E49" s="15"/>
      <c r="F49" s="15"/>
      <c r="G49" s="15"/>
      <c r="H49" s="15"/>
    </row>
    <row r="50" spans="1:8" x14ac:dyDescent="0.3">
      <c r="A50" s="16"/>
      <c r="B50" s="16"/>
      <c r="C50" s="3" t="s">
        <v>10</v>
      </c>
      <c r="D50" s="7">
        <v>6.7220000000000004</v>
      </c>
      <c r="E50" s="16"/>
      <c r="F50" s="16"/>
      <c r="G50" s="16"/>
      <c r="H50" s="16"/>
    </row>
    <row r="51" spans="1:8" x14ac:dyDescent="0.3">
      <c r="A51" s="18">
        <v>9</v>
      </c>
      <c r="B51" s="20">
        <v>44075</v>
      </c>
      <c r="C51" s="8" t="s">
        <v>8</v>
      </c>
      <c r="D51" s="2">
        <v>12.04</v>
      </c>
      <c r="E51" s="19">
        <f>SUM(D51:D56)</f>
        <v>83.608999999999995</v>
      </c>
      <c r="F51" s="17">
        <f>INT(MAX(D51:D56))</f>
        <v>22</v>
      </c>
      <c r="G51" s="14">
        <f>INT((F51/10)*2)</f>
        <v>4</v>
      </c>
      <c r="H51" s="14">
        <f>F51-G51</f>
        <v>18</v>
      </c>
    </row>
    <row r="52" spans="1:8" x14ac:dyDescent="0.3">
      <c r="A52" s="15"/>
      <c r="B52" s="15"/>
      <c r="C52" s="3" t="s">
        <v>16</v>
      </c>
      <c r="D52" s="2">
        <v>7.18</v>
      </c>
      <c r="E52" s="15"/>
      <c r="F52" s="15"/>
      <c r="G52" s="15"/>
      <c r="H52" s="15"/>
    </row>
    <row r="53" spans="1:8" x14ac:dyDescent="0.3">
      <c r="A53" s="15"/>
      <c r="B53" s="15"/>
      <c r="C53" s="3" t="s">
        <v>10</v>
      </c>
      <c r="D53" s="7">
        <v>19.565999999999999</v>
      </c>
      <c r="E53" s="15"/>
      <c r="F53" s="15"/>
      <c r="G53" s="15"/>
      <c r="H53" s="15"/>
    </row>
    <row r="54" spans="1:8" x14ac:dyDescent="0.3">
      <c r="A54" s="15"/>
      <c r="B54" s="15"/>
      <c r="C54" s="8" t="s">
        <v>14</v>
      </c>
      <c r="D54" s="2">
        <v>22.52</v>
      </c>
      <c r="E54" s="15"/>
      <c r="F54" s="15"/>
      <c r="G54" s="15"/>
      <c r="H54" s="15"/>
    </row>
    <row r="55" spans="1:8" x14ac:dyDescent="0.3">
      <c r="A55" s="15"/>
      <c r="B55" s="15"/>
      <c r="C55" s="3" t="s">
        <v>15</v>
      </c>
      <c r="D55" s="2">
        <v>10.19</v>
      </c>
      <c r="E55" s="15"/>
      <c r="F55" s="15"/>
      <c r="G55" s="15"/>
      <c r="H55" s="15"/>
    </row>
    <row r="56" spans="1:8" x14ac:dyDescent="0.3">
      <c r="A56" s="16"/>
      <c r="B56" s="16"/>
      <c r="C56" s="3" t="s">
        <v>10</v>
      </c>
      <c r="D56" s="7">
        <v>12.113</v>
      </c>
      <c r="E56" s="16"/>
      <c r="F56" s="16"/>
      <c r="G56" s="16"/>
      <c r="H56" s="16"/>
    </row>
    <row r="57" spans="1:8" x14ac:dyDescent="0.3">
      <c r="A57" s="18">
        <v>10</v>
      </c>
      <c r="B57" s="20">
        <v>44078</v>
      </c>
      <c r="C57" s="8" t="s">
        <v>12</v>
      </c>
      <c r="D57" s="2">
        <v>45.18</v>
      </c>
      <c r="E57" s="19">
        <f>SUM(D57:D62)</f>
        <v>216.47499999999997</v>
      </c>
      <c r="F57" s="17">
        <f>INT(MAX(D57:D62))</f>
        <v>59</v>
      </c>
      <c r="G57" s="14">
        <f>INT((F57/10)*2)</f>
        <v>11</v>
      </c>
      <c r="H57" s="14">
        <f>F57-G57</f>
        <v>48</v>
      </c>
    </row>
    <row r="58" spans="1:8" x14ac:dyDescent="0.3">
      <c r="A58" s="15"/>
      <c r="B58" s="15"/>
      <c r="C58" s="3" t="s">
        <v>11</v>
      </c>
      <c r="D58" s="2">
        <v>13.76</v>
      </c>
      <c r="E58" s="15"/>
      <c r="F58" s="15"/>
      <c r="G58" s="15"/>
      <c r="H58" s="15"/>
    </row>
    <row r="59" spans="1:8" x14ac:dyDescent="0.3">
      <c r="A59" s="15"/>
      <c r="B59" s="15"/>
      <c r="C59" s="3" t="s">
        <v>18</v>
      </c>
      <c r="D59" s="2">
        <v>31.83</v>
      </c>
      <c r="E59" s="15"/>
      <c r="F59" s="15"/>
      <c r="G59" s="15"/>
      <c r="H59" s="15"/>
    </row>
    <row r="60" spans="1:8" x14ac:dyDescent="0.3">
      <c r="A60" s="15"/>
      <c r="B60" s="15"/>
      <c r="C60" s="3" t="s">
        <v>13</v>
      </c>
      <c r="D60" s="2">
        <v>35.909999999999997</v>
      </c>
      <c r="E60" s="15"/>
      <c r="F60" s="15"/>
      <c r="G60" s="15"/>
      <c r="H60" s="15"/>
    </row>
    <row r="61" spans="1:8" x14ac:dyDescent="0.3">
      <c r="A61" s="15"/>
      <c r="B61" s="15"/>
      <c r="C61" s="3" t="s">
        <v>16</v>
      </c>
      <c r="D61" s="2">
        <v>29.87</v>
      </c>
      <c r="E61" s="15"/>
      <c r="F61" s="15"/>
      <c r="G61" s="15"/>
      <c r="H61" s="15"/>
    </row>
    <row r="62" spans="1:8" x14ac:dyDescent="0.3">
      <c r="A62" s="16"/>
      <c r="B62" s="16"/>
      <c r="C62" s="3" t="s">
        <v>17</v>
      </c>
      <c r="D62" s="7">
        <v>59.924999999999997</v>
      </c>
      <c r="E62" s="16"/>
      <c r="F62" s="16"/>
      <c r="G62" s="16"/>
      <c r="H62" s="16"/>
    </row>
    <row r="63" spans="1:8" x14ac:dyDescent="0.3">
      <c r="A63" s="18">
        <v>11</v>
      </c>
      <c r="B63" s="20">
        <v>44082</v>
      </c>
      <c r="C63" s="8" t="s">
        <v>14</v>
      </c>
      <c r="D63" s="2">
        <v>107.36</v>
      </c>
      <c r="E63" s="19">
        <f>SUM(D63:D68)</f>
        <v>240.12399999999997</v>
      </c>
      <c r="F63" s="17">
        <f>INT(MAX(D63:D68))</f>
        <v>107</v>
      </c>
      <c r="G63" s="14">
        <f>INT((F63/10)*2)</f>
        <v>21</v>
      </c>
      <c r="H63" s="14">
        <f>F63-G63</f>
        <v>86</v>
      </c>
    </row>
    <row r="64" spans="1:8" x14ac:dyDescent="0.3">
      <c r="A64" s="15"/>
      <c r="B64" s="15"/>
      <c r="C64" s="3" t="s">
        <v>11</v>
      </c>
      <c r="D64" s="2">
        <v>49.34</v>
      </c>
      <c r="E64" s="15"/>
      <c r="F64" s="15"/>
      <c r="G64" s="15"/>
      <c r="H64" s="15"/>
    </row>
    <row r="65" spans="1:8" x14ac:dyDescent="0.3">
      <c r="A65" s="15"/>
      <c r="B65" s="15"/>
      <c r="C65" s="3" t="s">
        <v>16</v>
      </c>
      <c r="D65" s="2">
        <v>26.53</v>
      </c>
      <c r="E65" s="15"/>
      <c r="F65" s="15"/>
      <c r="G65" s="15"/>
      <c r="H65" s="15"/>
    </row>
    <row r="66" spans="1:8" x14ac:dyDescent="0.3">
      <c r="A66" s="15"/>
      <c r="B66" s="15"/>
      <c r="C66" s="3" t="s">
        <v>8</v>
      </c>
      <c r="D66" s="7">
        <v>24.974</v>
      </c>
      <c r="E66" s="15"/>
      <c r="F66" s="15"/>
      <c r="G66" s="15"/>
      <c r="H66" s="15"/>
    </row>
    <row r="67" spans="1:8" x14ac:dyDescent="0.3">
      <c r="A67" s="15"/>
      <c r="B67" s="15"/>
      <c r="C67" s="8" t="s">
        <v>13</v>
      </c>
      <c r="D67" s="2">
        <v>12.29</v>
      </c>
      <c r="E67" s="15"/>
      <c r="F67" s="15"/>
      <c r="G67" s="15"/>
      <c r="H67" s="15"/>
    </row>
    <row r="68" spans="1:8" x14ac:dyDescent="0.3">
      <c r="A68" s="16"/>
      <c r="B68" s="16"/>
      <c r="C68" s="3" t="s">
        <v>15</v>
      </c>
      <c r="D68" s="2">
        <v>19.63</v>
      </c>
      <c r="E68" s="16"/>
      <c r="F68" s="16"/>
      <c r="G68" s="16"/>
      <c r="H68" s="16"/>
    </row>
    <row r="69" spans="1:8" x14ac:dyDescent="0.3">
      <c r="A69" s="18">
        <v>12</v>
      </c>
      <c r="B69" s="20">
        <v>44085</v>
      </c>
      <c r="C69" s="3" t="s">
        <v>11</v>
      </c>
      <c r="D69" s="2">
        <v>11.66</v>
      </c>
      <c r="E69" s="19">
        <f>SUM(D69:D74)</f>
        <v>82.57</v>
      </c>
      <c r="F69" s="17">
        <f>INT(MAX(D69:D74))</f>
        <v>27</v>
      </c>
      <c r="G69" s="14">
        <f>INT((F69/10)*2)</f>
        <v>5</v>
      </c>
      <c r="H69" s="14">
        <f>F69-G69</f>
        <v>22</v>
      </c>
    </row>
    <row r="70" spans="1:8" x14ac:dyDescent="0.3">
      <c r="A70" s="15"/>
      <c r="B70" s="15"/>
      <c r="C70" s="3" t="s">
        <v>16</v>
      </c>
      <c r="D70" s="2">
        <v>4.87</v>
      </c>
      <c r="E70" s="15"/>
      <c r="F70" s="15"/>
      <c r="G70" s="15"/>
      <c r="H70" s="15"/>
    </row>
    <row r="71" spans="1:8" x14ac:dyDescent="0.3">
      <c r="A71" s="15"/>
      <c r="B71" s="15"/>
      <c r="C71" s="3" t="s">
        <v>17</v>
      </c>
      <c r="D71" s="2">
        <v>19.64</v>
      </c>
      <c r="E71" s="15"/>
      <c r="F71" s="15"/>
      <c r="G71" s="15"/>
      <c r="H71" s="15"/>
    </row>
    <row r="72" spans="1:8" x14ac:dyDescent="0.3">
      <c r="A72" s="15"/>
      <c r="B72" s="15"/>
      <c r="C72" s="3" t="s">
        <v>9</v>
      </c>
      <c r="D72" s="7">
        <v>27.06</v>
      </c>
      <c r="E72" s="15"/>
      <c r="F72" s="15"/>
      <c r="G72" s="15"/>
      <c r="H72" s="15"/>
    </row>
    <row r="73" spans="1:8" x14ac:dyDescent="0.3">
      <c r="A73" s="15"/>
      <c r="B73" s="15"/>
      <c r="C73" s="8" t="s">
        <v>15</v>
      </c>
      <c r="D73" s="2">
        <v>10.3</v>
      </c>
      <c r="E73" s="15"/>
      <c r="F73" s="15"/>
      <c r="G73" s="15"/>
      <c r="H73" s="15"/>
    </row>
    <row r="74" spans="1:8" x14ac:dyDescent="0.3">
      <c r="A74" s="16"/>
      <c r="B74" s="16"/>
      <c r="C74" s="3" t="s">
        <v>9</v>
      </c>
      <c r="D74" s="2">
        <v>9.0399999999999991</v>
      </c>
      <c r="E74" s="16"/>
      <c r="F74" s="16"/>
      <c r="G74" s="16"/>
      <c r="H74" s="16"/>
    </row>
    <row r="75" spans="1:8" x14ac:dyDescent="0.3">
      <c r="A75" s="18">
        <v>13</v>
      </c>
      <c r="B75" s="20">
        <v>44089</v>
      </c>
      <c r="C75" s="3" t="s">
        <v>18</v>
      </c>
      <c r="D75" s="2">
        <v>6.73</v>
      </c>
      <c r="E75" s="19">
        <f>SUM(D75:D80)</f>
        <v>166.596</v>
      </c>
      <c r="F75" s="17">
        <f>INT(MAX(D75:D80))</f>
        <v>56</v>
      </c>
      <c r="G75" s="14">
        <f>INT((F75/10)*2)</f>
        <v>11</v>
      </c>
      <c r="H75" s="14">
        <f>F75-G75</f>
        <v>45</v>
      </c>
    </row>
    <row r="76" spans="1:8" x14ac:dyDescent="0.3">
      <c r="A76" s="15"/>
      <c r="B76" s="15"/>
      <c r="C76" s="3" t="s">
        <v>8</v>
      </c>
      <c r="D76" s="7">
        <v>56.588000000000001</v>
      </c>
      <c r="E76" s="15"/>
      <c r="F76" s="15"/>
      <c r="G76" s="15"/>
      <c r="H76" s="15"/>
    </row>
    <row r="77" spans="1:8" x14ac:dyDescent="0.3">
      <c r="A77" s="15"/>
      <c r="B77" s="15"/>
      <c r="C77" s="8" t="s">
        <v>9</v>
      </c>
      <c r="D77" s="2">
        <v>23.79</v>
      </c>
      <c r="E77" s="15"/>
      <c r="F77" s="15"/>
      <c r="G77" s="15"/>
      <c r="H77" s="15"/>
    </row>
    <row r="78" spans="1:8" x14ac:dyDescent="0.3">
      <c r="A78" s="15"/>
      <c r="B78" s="15"/>
      <c r="C78" s="3" t="s">
        <v>12</v>
      </c>
      <c r="D78" s="2">
        <v>23.26</v>
      </c>
      <c r="E78" s="15"/>
      <c r="F78" s="15"/>
      <c r="G78" s="15"/>
      <c r="H78" s="15"/>
    </row>
    <row r="79" spans="1:8" x14ac:dyDescent="0.3">
      <c r="A79" s="15"/>
      <c r="B79" s="15"/>
      <c r="C79" s="3" t="s">
        <v>17</v>
      </c>
      <c r="D79" s="2">
        <v>13.52</v>
      </c>
      <c r="E79" s="15"/>
      <c r="F79" s="15"/>
      <c r="G79" s="15"/>
      <c r="H79" s="15"/>
    </row>
    <row r="80" spans="1:8" x14ac:dyDescent="0.3">
      <c r="A80" s="16"/>
      <c r="B80" s="16"/>
      <c r="C80" s="3" t="s">
        <v>16</v>
      </c>
      <c r="D80" s="7">
        <v>42.707999999999998</v>
      </c>
      <c r="E80" s="16"/>
      <c r="F80" s="16"/>
      <c r="G80" s="16"/>
      <c r="H80" s="16"/>
    </row>
    <row r="81" spans="1:8" x14ac:dyDescent="0.3">
      <c r="A81" s="18">
        <v>14</v>
      </c>
      <c r="B81" s="20">
        <v>44092</v>
      </c>
      <c r="C81" s="8" t="s">
        <v>9</v>
      </c>
      <c r="D81" s="2">
        <v>32.65</v>
      </c>
      <c r="E81" s="19">
        <f>SUM(D81:D86)</f>
        <v>235.58700000000002</v>
      </c>
      <c r="F81" s="17">
        <f>INT(MAX(D81:D86))</f>
        <v>71</v>
      </c>
      <c r="G81" s="14">
        <f>INT((F81/10)*2)</f>
        <v>14</v>
      </c>
      <c r="H81" s="14">
        <f>F81-G81</f>
        <v>57</v>
      </c>
    </row>
    <row r="82" spans="1:8" x14ac:dyDescent="0.3">
      <c r="A82" s="15"/>
      <c r="B82" s="15"/>
      <c r="C82" s="3" t="s">
        <v>8</v>
      </c>
      <c r="D82" s="2">
        <v>31.97</v>
      </c>
      <c r="E82" s="15"/>
      <c r="F82" s="15"/>
      <c r="G82" s="15"/>
      <c r="H82" s="15"/>
    </row>
    <row r="83" spans="1:8" x14ac:dyDescent="0.3">
      <c r="A83" s="15"/>
      <c r="B83" s="15"/>
      <c r="C83" s="3" t="s">
        <v>10</v>
      </c>
      <c r="D83" s="7">
        <v>34.651000000000003</v>
      </c>
      <c r="E83" s="15"/>
      <c r="F83" s="15"/>
      <c r="G83" s="15"/>
      <c r="H83" s="15"/>
    </row>
    <row r="84" spans="1:8" x14ac:dyDescent="0.3">
      <c r="A84" s="15"/>
      <c r="B84" s="15"/>
      <c r="C84" s="8" t="s">
        <v>15</v>
      </c>
      <c r="D84" s="2">
        <v>29.73</v>
      </c>
      <c r="E84" s="15"/>
      <c r="F84" s="15"/>
      <c r="G84" s="15"/>
      <c r="H84" s="15"/>
    </row>
    <row r="85" spans="1:8" x14ac:dyDescent="0.3">
      <c r="A85" s="15"/>
      <c r="B85" s="15"/>
      <c r="C85" s="3" t="s">
        <v>14</v>
      </c>
      <c r="D85" s="2">
        <v>71.02</v>
      </c>
      <c r="E85" s="15"/>
      <c r="F85" s="15"/>
      <c r="G85" s="15"/>
      <c r="H85" s="15"/>
    </row>
    <row r="86" spans="1:8" x14ac:dyDescent="0.3">
      <c r="A86" s="16"/>
      <c r="B86" s="16"/>
      <c r="C86" s="3" t="s">
        <v>11</v>
      </c>
      <c r="D86" s="7">
        <v>35.566000000000003</v>
      </c>
      <c r="E86" s="16"/>
      <c r="F86" s="16"/>
      <c r="G86" s="16"/>
      <c r="H86" s="16"/>
    </row>
    <row r="87" spans="1:8" x14ac:dyDescent="0.3">
      <c r="A87" s="18">
        <v>15</v>
      </c>
      <c r="B87" s="20">
        <v>44096</v>
      </c>
      <c r="C87" s="8" t="s">
        <v>15</v>
      </c>
      <c r="D87" s="2">
        <v>19.03</v>
      </c>
      <c r="E87" s="19">
        <f>SUM(D87:D92)</f>
        <v>183.447</v>
      </c>
      <c r="F87" s="17">
        <f>INT(MAX(D87:D92))</f>
        <v>45</v>
      </c>
      <c r="G87" s="14">
        <f>INT((F87/10)*2)</f>
        <v>9</v>
      </c>
      <c r="H87" s="14">
        <f>F87-G87</f>
        <v>36</v>
      </c>
    </row>
    <row r="88" spans="1:8" x14ac:dyDescent="0.3">
      <c r="A88" s="15"/>
      <c r="B88" s="15"/>
      <c r="C88" s="3" t="s">
        <v>18</v>
      </c>
      <c r="D88" s="2">
        <v>27.13</v>
      </c>
      <c r="E88" s="15"/>
      <c r="F88" s="15"/>
      <c r="G88" s="15"/>
      <c r="H88" s="15"/>
    </row>
    <row r="89" spans="1:8" x14ac:dyDescent="0.3">
      <c r="A89" s="15"/>
      <c r="B89" s="15"/>
      <c r="C89" s="3" t="s">
        <v>14</v>
      </c>
      <c r="D89" s="2">
        <v>28.91</v>
      </c>
      <c r="E89" s="15"/>
      <c r="F89" s="15"/>
      <c r="G89" s="15"/>
      <c r="H89" s="15"/>
    </row>
    <row r="90" spans="1:8" x14ac:dyDescent="0.3">
      <c r="A90" s="15"/>
      <c r="B90" s="15"/>
      <c r="C90" s="3" t="s">
        <v>9</v>
      </c>
      <c r="D90" s="2">
        <v>29.18</v>
      </c>
      <c r="E90" s="15"/>
      <c r="F90" s="15"/>
      <c r="G90" s="15"/>
      <c r="H90" s="15"/>
    </row>
    <row r="91" spans="1:8" x14ac:dyDescent="0.3">
      <c r="A91" s="15"/>
      <c r="B91" s="15"/>
      <c r="C91" s="3" t="s">
        <v>16</v>
      </c>
      <c r="D91" s="7">
        <v>34.167000000000002</v>
      </c>
      <c r="E91" s="15"/>
      <c r="F91" s="15"/>
      <c r="G91" s="15"/>
      <c r="H91" s="15"/>
    </row>
    <row r="92" spans="1:8" x14ac:dyDescent="0.3">
      <c r="A92" s="16"/>
      <c r="B92" s="16"/>
      <c r="C92" s="8" t="s">
        <v>16</v>
      </c>
      <c r="D92" s="2">
        <v>45.03</v>
      </c>
      <c r="E92" s="16"/>
      <c r="F92" s="16"/>
      <c r="G92" s="16"/>
      <c r="H92" s="16"/>
    </row>
    <row r="93" spans="1:8" x14ac:dyDescent="0.3">
      <c r="A93" s="18">
        <v>16</v>
      </c>
      <c r="B93" s="20">
        <v>44099</v>
      </c>
      <c r="C93" s="3" t="s">
        <v>17</v>
      </c>
      <c r="D93" s="2">
        <v>53.59</v>
      </c>
      <c r="E93" s="19">
        <f>SUM(D93:D98)</f>
        <v>284.76799999999997</v>
      </c>
      <c r="F93" s="17">
        <f>INT(MAX(D93:D98))</f>
        <v>80</v>
      </c>
      <c r="G93" s="14">
        <f>INT((F93/10)*2)</f>
        <v>16</v>
      </c>
      <c r="H93" s="14">
        <f>F93-G93</f>
        <v>64</v>
      </c>
    </row>
    <row r="94" spans="1:8" x14ac:dyDescent="0.3">
      <c r="A94" s="15"/>
      <c r="B94" s="15"/>
      <c r="C94" s="3" t="s">
        <v>12</v>
      </c>
      <c r="D94" s="7">
        <v>80.501999999999995</v>
      </c>
      <c r="E94" s="15"/>
      <c r="F94" s="15"/>
      <c r="G94" s="15"/>
      <c r="H94" s="15"/>
    </row>
    <row r="95" spans="1:8" x14ac:dyDescent="0.3">
      <c r="A95" s="15"/>
      <c r="B95" s="15"/>
      <c r="C95" s="8" t="s">
        <v>13</v>
      </c>
      <c r="D95" s="2">
        <v>66.19</v>
      </c>
      <c r="E95" s="15"/>
      <c r="F95" s="15"/>
      <c r="G95" s="15"/>
      <c r="H95" s="15"/>
    </row>
    <row r="96" spans="1:8" x14ac:dyDescent="0.3">
      <c r="A96" s="15"/>
      <c r="B96" s="15"/>
      <c r="C96" s="3" t="s">
        <v>15</v>
      </c>
      <c r="D96" s="2">
        <v>38.42</v>
      </c>
      <c r="E96" s="15"/>
      <c r="F96" s="15"/>
      <c r="G96" s="15"/>
      <c r="H96" s="15"/>
    </row>
    <row r="97" spans="1:8" x14ac:dyDescent="0.3">
      <c r="A97" s="15"/>
      <c r="B97" s="15"/>
      <c r="C97" s="3" t="s">
        <v>17</v>
      </c>
      <c r="D97" s="7">
        <v>29.936</v>
      </c>
      <c r="E97" s="15"/>
      <c r="F97" s="15"/>
      <c r="G97" s="15"/>
      <c r="H97" s="15"/>
    </row>
    <row r="98" spans="1:8" x14ac:dyDescent="0.3">
      <c r="A98" s="16"/>
      <c r="B98" s="16"/>
      <c r="C98" s="8" t="s">
        <v>15</v>
      </c>
      <c r="D98" s="2">
        <v>16.13</v>
      </c>
      <c r="E98" s="16"/>
      <c r="F98" s="16"/>
      <c r="G98" s="16"/>
      <c r="H98" s="16"/>
    </row>
    <row r="99" spans="1:8" x14ac:dyDescent="0.3">
      <c r="A99" s="18">
        <v>17</v>
      </c>
      <c r="B99" s="20">
        <v>44103</v>
      </c>
      <c r="C99" s="3" t="s">
        <v>10</v>
      </c>
      <c r="D99" s="2">
        <v>11.01</v>
      </c>
      <c r="E99" s="19">
        <f>SUM(D99:D104)</f>
        <v>221.44799999999998</v>
      </c>
      <c r="F99" s="17">
        <f>INT(MAX(D99:D104))</f>
        <v>86</v>
      </c>
      <c r="G99" s="14">
        <f>INT((F99/10)*2)</f>
        <v>17</v>
      </c>
      <c r="H99" s="14">
        <f>F99-G99</f>
        <v>69</v>
      </c>
    </row>
    <row r="100" spans="1:8" x14ac:dyDescent="0.3">
      <c r="A100" s="15"/>
      <c r="B100" s="15"/>
      <c r="C100" s="3" t="s">
        <v>18</v>
      </c>
      <c r="D100" s="2">
        <v>23.99</v>
      </c>
      <c r="E100" s="15"/>
      <c r="F100" s="15"/>
      <c r="G100" s="15"/>
      <c r="H100" s="15"/>
    </row>
    <row r="101" spans="1:8" x14ac:dyDescent="0.3">
      <c r="A101" s="15"/>
      <c r="B101" s="15"/>
      <c r="C101" s="3" t="s">
        <v>9</v>
      </c>
      <c r="D101" s="7">
        <v>45.814999999999998</v>
      </c>
      <c r="E101" s="15"/>
      <c r="F101" s="15"/>
      <c r="G101" s="15"/>
      <c r="H101" s="15"/>
    </row>
    <row r="102" spans="1:8" x14ac:dyDescent="0.3">
      <c r="A102" s="15"/>
      <c r="B102" s="15"/>
      <c r="C102" s="8" t="s">
        <v>15</v>
      </c>
      <c r="D102" s="2">
        <v>86.52</v>
      </c>
      <c r="E102" s="15"/>
      <c r="F102" s="15"/>
      <c r="G102" s="15"/>
      <c r="H102" s="15"/>
    </row>
    <row r="103" spans="1:8" x14ac:dyDescent="0.3">
      <c r="A103" s="15"/>
      <c r="B103" s="15"/>
      <c r="C103" s="3" t="s">
        <v>13</v>
      </c>
      <c r="D103" s="2">
        <v>34.130000000000003</v>
      </c>
      <c r="E103" s="15"/>
      <c r="F103" s="15"/>
      <c r="G103" s="15"/>
      <c r="H103" s="15"/>
    </row>
    <row r="104" spans="1:8" x14ac:dyDescent="0.3">
      <c r="A104" s="16"/>
      <c r="B104" s="16"/>
      <c r="C104" s="3" t="s">
        <v>10</v>
      </c>
      <c r="D104" s="7">
        <v>19.983000000000001</v>
      </c>
      <c r="E104" s="16"/>
      <c r="F104" s="16"/>
      <c r="G104" s="16"/>
      <c r="H104" s="16"/>
    </row>
    <row r="105" spans="1:8" x14ac:dyDescent="0.3">
      <c r="A105" s="18">
        <v>18</v>
      </c>
      <c r="B105" s="20">
        <v>44106</v>
      </c>
      <c r="C105" s="8" t="s">
        <v>9</v>
      </c>
      <c r="D105" s="2">
        <v>12.82</v>
      </c>
      <c r="E105" s="19">
        <f>SUM(D105:D110)</f>
        <v>201.17400000000001</v>
      </c>
      <c r="F105" s="17">
        <f>INT(MAX(D105:D110))</f>
        <v>71</v>
      </c>
      <c r="G105" s="14">
        <f>INT((F105/10)*2)</f>
        <v>14</v>
      </c>
      <c r="H105" s="14">
        <f>F105-G105</f>
        <v>57</v>
      </c>
    </row>
    <row r="106" spans="1:8" x14ac:dyDescent="0.3">
      <c r="A106" s="15"/>
      <c r="B106" s="15"/>
      <c r="C106" s="3" t="s">
        <v>18</v>
      </c>
      <c r="D106" s="2">
        <v>47.47</v>
      </c>
      <c r="E106" s="15"/>
      <c r="F106" s="15"/>
      <c r="G106" s="15"/>
      <c r="H106" s="15"/>
    </row>
    <row r="107" spans="1:8" x14ac:dyDescent="0.3">
      <c r="A107" s="15"/>
      <c r="B107" s="15"/>
      <c r="C107" s="3" t="s">
        <v>14</v>
      </c>
      <c r="D107" s="2">
        <v>16.600000000000001</v>
      </c>
      <c r="E107" s="15"/>
      <c r="F107" s="15"/>
      <c r="G107" s="15"/>
      <c r="H107" s="15"/>
    </row>
    <row r="108" spans="1:8" x14ac:dyDescent="0.3">
      <c r="A108" s="15"/>
      <c r="B108" s="15"/>
      <c r="C108" s="3" t="s">
        <v>17</v>
      </c>
      <c r="D108" s="2">
        <v>71.040000000000006</v>
      </c>
      <c r="E108" s="15"/>
      <c r="F108" s="15"/>
      <c r="G108" s="15"/>
      <c r="H108" s="15"/>
    </row>
    <row r="109" spans="1:8" x14ac:dyDescent="0.3">
      <c r="A109" s="15"/>
      <c r="B109" s="15"/>
      <c r="C109" s="3" t="s">
        <v>13</v>
      </c>
      <c r="D109" s="2">
        <v>39.840000000000003</v>
      </c>
      <c r="E109" s="15"/>
      <c r="F109" s="15"/>
      <c r="G109" s="15"/>
      <c r="H109" s="15"/>
    </row>
    <row r="110" spans="1:8" x14ac:dyDescent="0.3">
      <c r="A110" s="16"/>
      <c r="B110" s="16"/>
      <c r="C110" s="3" t="s">
        <v>15</v>
      </c>
      <c r="D110" s="7">
        <v>13.404</v>
      </c>
      <c r="E110" s="16"/>
      <c r="F110" s="16"/>
      <c r="G110" s="16"/>
      <c r="H110" s="16"/>
    </row>
    <row r="111" spans="1:8" x14ac:dyDescent="0.3">
      <c r="A111" s="18">
        <v>19</v>
      </c>
      <c r="B111" s="20">
        <v>44110</v>
      </c>
      <c r="C111" s="8" t="s">
        <v>16</v>
      </c>
      <c r="D111" s="2">
        <v>33.17</v>
      </c>
      <c r="E111" s="19">
        <f>SUM(D111:D116)</f>
        <v>107.86499999999999</v>
      </c>
      <c r="F111" s="17">
        <f>INT(MAX(D111:D116))</f>
        <v>33</v>
      </c>
      <c r="G111" s="14">
        <f>INT((F111/10)*2)</f>
        <v>6</v>
      </c>
      <c r="H111" s="14">
        <f>F111-G111</f>
        <v>27</v>
      </c>
    </row>
    <row r="112" spans="1:8" x14ac:dyDescent="0.3">
      <c r="A112" s="15"/>
      <c r="B112" s="15"/>
      <c r="C112" s="3" t="s">
        <v>11</v>
      </c>
      <c r="D112" s="2">
        <v>15.84</v>
      </c>
      <c r="E112" s="15"/>
      <c r="F112" s="15"/>
      <c r="G112" s="15"/>
      <c r="H112" s="15"/>
    </row>
    <row r="113" spans="1:8" x14ac:dyDescent="0.3">
      <c r="A113" s="15"/>
      <c r="B113" s="15"/>
      <c r="C113" s="3" t="s">
        <v>9</v>
      </c>
      <c r="D113" s="2">
        <v>16.22</v>
      </c>
      <c r="E113" s="15"/>
      <c r="F113" s="15"/>
      <c r="G113" s="15"/>
      <c r="H113" s="15"/>
    </row>
    <row r="114" spans="1:8" x14ac:dyDescent="0.3">
      <c r="A114" s="15"/>
      <c r="B114" s="15"/>
      <c r="C114" s="3" t="s">
        <v>14</v>
      </c>
      <c r="D114" s="2">
        <v>8.64</v>
      </c>
      <c r="E114" s="15"/>
      <c r="F114" s="15"/>
      <c r="G114" s="15"/>
      <c r="H114" s="15"/>
    </row>
    <row r="115" spans="1:8" x14ac:dyDescent="0.3">
      <c r="A115" s="15"/>
      <c r="B115" s="15"/>
      <c r="C115" s="3" t="s">
        <v>15</v>
      </c>
      <c r="D115" s="2">
        <v>24.6</v>
      </c>
      <c r="E115" s="15"/>
      <c r="F115" s="15"/>
      <c r="G115" s="15"/>
      <c r="H115" s="15"/>
    </row>
    <row r="116" spans="1:8" x14ac:dyDescent="0.3">
      <c r="A116" s="16"/>
      <c r="B116" s="16"/>
      <c r="C116" s="3" t="s">
        <v>13</v>
      </c>
      <c r="D116" s="7">
        <v>9.3949999999999996</v>
      </c>
      <c r="E116" s="16"/>
      <c r="F116" s="16"/>
      <c r="G116" s="16"/>
      <c r="H116" s="16"/>
    </row>
    <row r="117" spans="1:8" x14ac:dyDescent="0.3">
      <c r="A117" s="18">
        <v>20</v>
      </c>
      <c r="B117" s="20">
        <v>44113</v>
      </c>
      <c r="C117" s="8" t="s">
        <v>18</v>
      </c>
      <c r="D117" s="2">
        <v>31.28</v>
      </c>
      <c r="E117" s="19">
        <f>SUM(D117:D122)</f>
        <v>282.87800000000004</v>
      </c>
      <c r="F117" s="17">
        <f>INT(MAX(D117:D122))</f>
        <v>132</v>
      </c>
      <c r="G117" s="14">
        <f>INT((F117/10)*2)</f>
        <v>26</v>
      </c>
      <c r="H117" s="14">
        <f>F117-G117</f>
        <v>106</v>
      </c>
    </row>
    <row r="118" spans="1:8" x14ac:dyDescent="0.3">
      <c r="A118" s="15"/>
      <c r="B118" s="15"/>
      <c r="C118" s="3" t="s">
        <v>13</v>
      </c>
      <c r="D118" s="2">
        <v>3.19</v>
      </c>
      <c r="E118" s="15"/>
      <c r="F118" s="15"/>
      <c r="G118" s="15"/>
      <c r="H118" s="15"/>
    </row>
    <row r="119" spans="1:8" x14ac:dyDescent="0.3">
      <c r="A119" s="15"/>
      <c r="B119" s="15"/>
      <c r="C119" s="3" t="s">
        <v>10</v>
      </c>
      <c r="D119" s="2">
        <v>8.86</v>
      </c>
      <c r="E119" s="15"/>
      <c r="F119" s="15"/>
      <c r="G119" s="15"/>
      <c r="H119" s="15"/>
    </row>
    <row r="120" spans="1:8" x14ac:dyDescent="0.3">
      <c r="A120" s="15"/>
      <c r="B120" s="15"/>
      <c r="C120" s="3" t="s">
        <v>15</v>
      </c>
      <c r="D120" s="7">
        <v>70.608000000000004</v>
      </c>
      <c r="E120" s="15"/>
      <c r="F120" s="15"/>
      <c r="G120" s="15"/>
      <c r="H120" s="15"/>
    </row>
    <row r="121" spans="1:8" x14ac:dyDescent="0.3">
      <c r="A121" s="15"/>
      <c r="B121" s="15"/>
      <c r="C121" s="8" t="s">
        <v>9</v>
      </c>
      <c r="D121" s="2">
        <v>36.14</v>
      </c>
      <c r="E121" s="15"/>
      <c r="F121" s="15"/>
      <c r="G121" s="15"/>
      <c r="H121" s="15"/>
    </row>
    <row r="122" spans="1:8" x14ac:dyDescent="0.3">
      <c r="A122" s="16"/>
      <c r="B122" s="16"/>
      <c r="C122" s="3" t="s">
        <v>8</v>
      </c>
      <c r="D122" s="2">
        <v>132.80000000000001</v>
      </c>
      <c r="E122" s="16"/>
      <c r="F122" s="16"/>
      <c r="G122" s="16"/>
      <c r="H122" s="16"/>
    </row>
    <row r="123" spans="1:8" x14ac:dyDescent="0.3">
      <c r="A123" s="18">
        <v>21</v>
      </c>
      <c r="B123" s="20">
        <v>44117</v>
      </c>
      <c r="C123" s="3" t="s">
        <v>13</v>
      </c>
      <c r="D123" s="2">
        <v>96.96</v>
      </c>
      <c r="E123" s="19">
        <f>SUM(D123:D128)</f>
        <v>251.91299999999998</v>
      </c>
      <c r="F123" s="17">
        <f>INT(MAX(D123:D128))</f>
        <v>96</v>
      </c>
      <c r="G123" s="14">
        <f>INT((F123/10)*2)</f>
        <v>19</v>
      </c>
      <c r="H123" s="14">
        <f>F123-G123</f>
        <v>77</v>
      </c>
    </row>
    <row r="124" spans="1:8" x14ac:dyDescent="0.3">
      <c r="A124" s="15"/>
      <c r="B124" s="15"/>
      <c r="C124" s="3" t="s">
        <v>15</v>
      </c>
      <c r="D124" s="7">
        <v>19.353000000000002</v>
      </c>
      <c r="E124" s="15"/>
      <c r="F124" s="15"/>
      <c r="G124" s="15"/>
      <c r="H124" s="15"/>
    </row>
    <row r="125" spans="1:8" x14ac:dyDescent="0.3">
      <c r="A125" s="15"/>
      <c r="B125" s="15"/>
      <c r="C125" s="8" t="s">
        <v>14</v>
      </c>
      <c r="D125" s="2">
        <v>44.24</v>
      </c>
      <c r="E125" s="15"/>
      <c r="F125" s="15"/>
      <c r="G125" s="15"/>
      <c r="H125" s="15"/>
    </row>
    <row r="126" spans="1:8" x14ac:dyDescent="0.3">
      <c r="A126" s="15"/>
      <c r="B126" s="15"/>
      <c r="C126" s="3" t="s">
        <v>9</v>
      </c>
      <c r="D126" s="2">
        <v>19.32</v>
      </c>
      <c r="E126" s="15"/>
      <c r="F126" s="15"/>
      <c r="G126" s="15"/>
      <c r="H126" s="15"/>
    </row>
    <row r="127" spans="1:8" x14ac:dyDescent="0.3">
      <c r="A127" s="15"/>
      <c r="B127" s="15"/>
      <c r="C127" s="3" t="s">
        <v>12</v>
      </c>
      <c r="D127" s="2">
        <v>17.95</v>
      </c>
      <c r="E127" s="15"/>
      <c r="F127" s="15"/>
      <c r="G127" s="15"/>
      <c r="H127" s="15"/>
    </row>
    <row r="128" spans="1:8" x14ac:dyDescent="0.3">
      <c r="A128" s="16"/>
      <c r="B128" s="16"/>
      <c r="C128" s="3" t="s">
        <v>17</v>
      </c>
      <c r="D128" s="2">
        <v>54.09</v>
      </c>
      <c r="E128" s="16"/>
      <c r="F128" s="16"/>
      <c r="G128" s="16"/>
      <c r="H128" s="16"/>
    </row>
    <row r="129" spans="1:8" x14ac:dyDescent="0.3">
      <c r="A129" s="18">
        <v>22</v>
      </c>
      <c r="B129" s="20">
        <v>44120</v>
      </c>
      <c r="C129" s="3" t="s">
        <v>15</v>
      </c>
      <c r="D129" s="7">
        <v>16.91</v>
      </c>
      <c r="E129" s="19">
        <f>SUM(D129:D134)</f>
        <v>139.125</v>
      </c>
      <c r="F129" s="17">
        <f>INT(MAX(D129:D134))</f>
        <v>40</v>
      </c>
      <c r="G129" s="14">
        <f>INT((F129/10)*2)</f>
        <v>8</v>
      </c>
      <c r="H129" s="14">
        <f>F129-G129</f>
        <v>32</v>
      </c>
    </row>
    <row r="130" spans="1:8" x14ac:dyDescent="0.3">
      <c r="A130" s="15"/>
      <c r="B130" s="15"/>
      <c r="C130" s="8" t="s">
        <v>15</v>
      </c>
      <c r="D130" s="2">
        <v>40.76</v>
      </c>
      <c r="E130" s="15"/>
      <c r="F130" s="15"/>
      <c r="G130" s="15"/>
      <c r="H130" s="15"/>
    </row>
    <row r="131" spans="1:8" x14ac:dyDescent="0.3">
      <c r="A131" s="15"/>
      <c r="B131" s="15"/>
      <c r="C131" s="3" t="s">
        <v>11</v>
      </c>
      <c r="D131" s="2">
        <v>11.33</v>
      </c>
      <c r="E131" s="15"/>
      <c r="F131" s="15"/>
      <c r="G131" s="15"/>
      <c r="H131" s="15"/>
    </row>
    <row r="132" spans="1:8" x14ac:dyDescent="0.3">
      <c r="A132" s="15"/>
      <c r="B132" s="15"/>
      <c r="C132" s="3" t="s">
        <v>10</v>
      </c>
      <c r="D132" s="7">
        <v>28.605</v>
      </c>
      <c r="E132" s="15"/>
      <c r="F132" s="15"/>
      <c r="G132" s="15"/>
      <c r="H132" s="15"/>
    </row>
    <row r="133" spans="1:8" x14ac:dyDescent="0.3">
      <c r="A133" s="15"/>
      <c r="B133" s="15"/>
      <c r="C133" s="8" t="s">
        <v>12</v>
      </c>
      <c r="D133" s="2">
        <v>17.850000000000001</v>
      </c>
      <c r="E133" s="15"/>
      <c r="F133" s="15"/>
      <c r="G133" s="15"/>
      <c r="H133" s="15"/>
    </row>
    <row r="134" spans="1:8" x14ac:dyDescent="0.3">
      <c r="A134" s="16"/>
      <c r="B134" s="16"/>
      <c r="C134" s="3" t="s">
        <v>16</v>
      </c>
      <c r="D134" s="2">
        <v>23.67</v>
      </c>
      <c r="E134" s="16"/>
      <c r="F134" s="16"/>
      <c r="G134" s="16"/>
      <c r="H134" s="16"/>
    </row>
    <row r="135" spans="1:8" x14ac:dyDescent="0.3">
      <c r="A135" s="18">
        <v>23</v>
      </c>
      <c r="B135" s="20">
        <v>44124</v>
      </c>
      <c r="C135" s="3" t="s">
        <v>14</v>
      </c>
      <c r="D135" s="2">
        <v>39.78</v>
      </c>
      <c r="E135" s="19">
        <f>SUM(D135:D140)</f>
        <v>370.11400000000003</v>
      </c>
      <c r="F135" s="17">
        <f>INT(MAX(D135:D140))</f>
        <v>134</v>
      </c>
      <c r="G135" s="14">
        <f>INT((F135/10)*2)</f>
        <v>26</v>
      </c>
      <c r="H135" s="14">
        <f>F135-G135</f>
        <v>108</v>
      </c>
    </row>
    <row r="136" spans="1:8" x14ac:dyDescent="0.3">
      <c r="A136" s="15"/>
      <c r="B136" s="15"/>
      <c r="C136" s="3" t="s">
        <v>11</v>
      </c>
      <c r="D136" s="7">
        <v>26.484000000000002</v>
      </c>
      <c r="E136" s="15"/>
      <c r="F136" s="15"/>
      <c r="G136" s="15"/>
      <c r="H136" s="15"/>
    </row>
    <row r="137" spans="1:8" x14ac:dyDescent="0.3">
      <c r="A137" s="15"/>
      <c r="B137" s="15"/>
      <c r="C137" s="8" t="s">
        <v>8</v>
      </c>
      <c r="D137" s="2">
        <v>86</v>
      </c>
      <c r="E137" s="15"/>
      <c r="F137" s="15"/>
      <c r="G137" s="15"/>
      <c r="H137" s="15"/>
    </row>
    <row r="138" spans="1:8" x14ac:dyDescent="0.3">
      <c r="A138" s="15"/>
      <c r="B138" s="15"/>
      <c r="C138" s="3" t="s">
        <v>15</v>
      </c>
      <c r="D138" s="2">
        <v>134.97</v>
      </c>
      <c r="E138" s="15"/>
      <c r="F138" s="15"/>
      <c r="G138" s="15"/>
      <c r="H138" s="15"/>
    </row>
    <row r="139" spans="1:8" x14ac:dyDescent="0.3">
      <c r="A139" s="15"/>
      <c r="B139" s="15"/>
      <c r="C139" s="3" t="s">
        <v>11</v>
      </c>
      <c r="D139" s="2">
        <v>24.93</v>
      </c>
      <c r="E139" s="15"/>
      <c r="F139" s="15"/>
      <c r="G139" s="15"/>
      <c r="H139" s="15"/>
    </row>
    <row r="140" spans="1:8" x14ac:dyDescent="0.3">
      <c r="A140" s="16"/>
      <c r="B140" s="16"/>
      <c r="C140" s="3" t="s">
        <v>14</v>
      </c>
      <c r="D140" s="2">
        <v>57.95</v>
      </c>
      <c r="E140" s="16"/>
      <c r="F140" s="16"/>
      <c r="G140" s="16"/>
      <c r="H140" s="16"/>
    </row>
    <row r="141" spans="1:8" x14ac:dyDescent="0.3">
      <c r="A141" s="18">
        <v>24</v>
      </c>
      <c r="B141" s="20">
        <v>44127</v>
      </c>
      <c r="C141" s="3" t="s">
        <v>13</v>
      </c>
      <c r="D141" s="7">
        <v>127.72499999999999</v>
      </c>
      <c r="E141" s="19">
        <f>SUM(D141:D146)</f>
        <v>305.52199999999999</v>
      </c>
      <c r="F141" s="17">
        <f>INT(MAX(D141:D146))</f>
        <v>127</v>
      </c>
      <c r="G141" s="14">
        <f>INT((F141/10)*2)</f>
        <v>25</v>
      </c>
      <c r="H141" s="14">
        <f>F141-G141</f>
        <v>102</v>
      </c>
    </row>
    <row r="142" spans="1:8" x14ac:dyDescent="0.3">
      <c r="A142" s="15"/>
      <c r="B142" s="15"/>
      <c r="C142" s="8" t="s">
        <v>9</v>
      </c>
      <c r="D142" s="2">
        <v>48.77</v>
      </c>
      <c r="E142" s="15"/>
      <c r="F142" s="15"/>
      <c r="G142" s="15"/>
      <c r="H142" s="15"/>
    </row>
    <row r="143" spans="1:8" x14ac:dyDescent="0.3">
      <c r="A143" s="15"/>
      <c r="B143" s="15"/>
      <c r="C143" s="3" t="s">
        <v>12</v>
      </c>
      <c r="D143" s="2">
        <v>50</v>
      </c>
      <c r="E143" s="15"/>
      <c r="F143" s="15"/>
      <c r="G143" s="15"/>
      <c r="H143" s="15"/>
    </row>
    <row r="144" spans="1:8" x14ac:dyDescent="0.3">
      <c r="A144" s="15"/>
      <c r="B144" s="15"/>
      <c r="C144" s="3" t="s">
        <v>10</v>
      </c>
      <c r="D144" s="2">
        <v>19.010000000000002</v>
      </c>
      <c r="E144" s="15"/>
      <c r="F144" s="15"/>
      <c r="G144" s="15"/>
      <c r="H144" s="15"/>
    </row>
    <row r="145" spans="1:8" x14ac:dyDescent="0.3">
      <c r="A145" s="15"/>
      <c r="B145" s="15"/>
      <c r="C145" s="3" t="s">
        <v>18</v>
      </c>
      <c r="D145" s="7">
        <v>20.207000000000001</v>
      </c>
      <c r="E145" s="15"/>
      <c r="F145" s="15"/>
      <c r="G145" s="15"/>
      <c r="H145" s="15"/>
    </row>
    <row r="146" spans="1:8" x14ac:dyDescent="0.3">
      <c r="A146" s="16"/>
      <c r="B146" s="16"/>
      <c r="C146" s="8" t="s">
        <v>8</v>
      </c>
      <c r="D146" s="2">
        <v>39.81</v>
      </c>
      <c r="E146" s="16"/>
      <c r="F146" s="16"/>
      <c r="G146" s="16"/>
      <c r="H146" s="16"/>
    </row>
    <row r="147" spans="1:8" x14ac:dyDescent="0.3">
      <c r="A147" s="18">
        <v>25</v>
      </c>
      <c r="B147" s="20">
        <v>44131</v>
      </c>
      <c r="C147" s="3" t="s">
        <v>13</v>
      </c>
      <c r="D147" s="2">
        <v>36.89</v>
      </c>
      <c r="E147" s="19">
        <f>SUM(D147:D152)</f>
        <v>158.68199999999999</v>
      </c>
      <c r="F147" s="17">
        <f>INT(MAX(D147:D152))</f>
        <v>43</v>
      </c>
      <c r="G147" s="14">
        <f>INT((F147/10)*2)</f>
        <v>8</v>
      </c>
      <c r="H147" s="14">
        <f>F147-G147</f>
        <v>35</v>
      </c>
    </row>
    <row r="148" spans="1:8" x14ac:dyDescent="0.3">
      <c r="A148" s="15"/>
      <c r="B148" s="15"/>
      <c r="C148" s="3" t="s">
        <v>10</v>
      </c>
      <c r="D148" s="2">
        <v>18.54</v>
      </c>
      <c r="E148" s="15"/>
      <c r="F148" s="15"/>
      <c r="G148" s="15"/>
      <c r="H148" s="15"/>
    </row>
    <row r="149" spans="1:8" x14ac:dyDescent="0.3">
      <c r="A149" s="15"/>
      <c r="B149" s="15"/>
      <c r="C149" s="3" t="s">
        <v>12</v>
      </c>
      <c r="D149" s="2">
        <v>29.89</v>
      </c>
      <c r="E149" s="15"/>
      <c r="F149" s="15"/>
      <c r="G149" s="15"/>
      <c r="H149" s="15"/>
    </row>
    <row r="150" spans="1:8" x14ac:dyDescent="0.3">
      <c r="A150" s="15"/>
      <c r="B150" s="15"/>
      <c r="C150" s="3" t="s">
        <v>16</v>
      </c>
      <c r="D150" s="7">
        <v>11.571999999999999</v>
      </c>
      <c r="E150" s="15"/>
      <c r="F150" s="15"/>
      <c r="G150" s="15"/>
      <c r="H150" s="15"/>
    </row>
    <row r="151" spans="1:8" x14ac:dyDescent="0.3">
      <c r="A151" s="15"/>
      <c r="B151" s="15"/>
      <c r="C151" s="8" t="s">
        <v>16</v>
      </c>
      <c r="D151" s="2">
        <v>18.41</v>
      </c>
      <c r="E151" s="15"/>
      <c r="F151" s="15"/>
      <c r="G151" s="15"/>
      <c r="H151" s="15"/>
    </row>
    <row r="152" spans="1:8" x14ac:dyDescent="0.3">
      <c r="A152" s="16"/>
      <c r="B152" s="16"/>
      <c r="C152" s="3" t="s">
        <v>15</v>
      </c>
      <c r="D152" s="2">
        <v>43.38</v>
      </c>
      <c r="E152" s="16"/>
      <c r="F152" s="16"/>
      <c r="G152" s="16"/>
      <c r="H152" s="16"/>
    </row>
    <row r="153" spans="1:8" x14ac:dyDescent="0.3">
      <c r="A153" s="18">
        <v>26</v>
      </c>
      <c r="B153" s="20">
        <v>44134</v>
      </c>
      <c r="C153" s="3" t="s">
        <v>11</v>
      </c>
      <c r="D153" s="7">
        <v>14.445</v>
      </c>
      <c r="E153" s="19">
        <f>SUM(D153:D158)</f>
        <v>161.73499999999999</v>
      </c>
      <c r="F153" s="17">
        <f>INT(MAX(D153:D158))</f>
        <v>82</v>
      </c>
      <c r="G153" s="14">
        <f>INT((F153/10)*2)</f>
        <v>16</v>
      </c>
      <c r="H153" s="14">
        <f>F153-G153</f>
        <v>66</v>
      </c>
    </row>
    <row r="154" spans="1:8" x14ac:dyDescent="0.3">
      <c r="A154" s="15"/>
      <c r="B154" s="15"/>
      <c r="C154" s="8" t="s">
        <v>10</v>
      </c>
      <c r="D154" s="2">
        <v>82.72</v>
      </c>
      <c r="E154" s="15"/>
      <c r="F154" s="15"/>
      <c r="G154" s="15"/>
      <c r="H154" s="15"/>
    </row>
    <row r="155" spans="1:8" x14ac:dyDescent="0.3">
      <c r="A155" s="15"/>
      <c r="B155" s="15"/>
      <c r="C155" s="3" t="s">
        <v>11</v>
      </c>
      <c r="D155" s="2">
        <v>27.45</v>
      </c>
      <c r="E155" s="15"/>
      <c r="F155" s="15"/>
      <c r="G155" s="15"/>
      <c r="H155" s="15"/>
    </row>
    <row r="156" spans="1:8" x14ac:dyDescent="0.3">
      <c r="A156" s="15"/>
      <c r="B156" s="15"/>
      <c r="C156" s="3" t="s">
        <v>13</v>
      </c>
      <c r="D156" s="2">
        <v>15.74</v>
      </c>
      <c r="E156" s="15"/>
      <c r="F156" s="15"/>
      <c r="G156" s="15"/>
      <c r="H156" s="15"/>
    </row>
    <row r="157" spans="1:8" x14ac:dyDescent="0.3">
      <c r="A157" s="15"/>
      <c r="B157" s="15"/>
      <c r="C157" s="3" t="s">
        <v>14</v>
      </c>
      <c r="D157" s="2">
        <v>6.35</v>
      </c>
      <c r="E157" s="15"/>
      <c r="F157" s="15"/>
      <c r="G157" s="15"/>
      <c r="H157" s="15"/>
    </row>
    <row r="158" spans="1:8" x14ac:dyDescent="0.3">
      <c r="A158" s="16"/>
      <c r="B158" s="16"/>
      <c r="C158" s="3" t="s">
        <v>8</v>
      </c>
      <c r="D158" s="2">
        <v>15.03</v>
      </c>
      <c r="E158" s="16"/>
      <c r="F158" s="16"/>
      <c r="G158" s="16"/>
      <c r="H158" s="16"/>
    </row>
    <row r="159" spans="1:8" x14ac:dyDescent="0.3">
      <c r="A159" s="18">
        <v>27</v>
      </c>
      <c r="B159" s="20">
        <v>44138</v>
      </c>
      <c r="C159" s="3" t="s">
        <v>18</v>
      </c>
      <c r="D159" s="7">
        <v>65.158000000000001</v>
      </c>
      <c r="E159" s="19">
        <f>SUM(D159:D164)</f>
        <v>252.13000000000002</v>
      </c>
      <c r="F159" s="17">
        <f>INT(MAX(D159:D164))</f>
        <v>85</v>
      </c>
      <c r="G159" s="14">
        <f>INT((F159/10)*2)</f>
        <v>17</v>
      </c>
      <c r="H159" s="14">
        <f>F159-G159</f>
        <v>68</v>
      </c>
    </row>
    <row r="160" spans="1:8" x14ac:dyDescent="0.3">
      <c r="A160" s="15"/>
      <c r="B160" s="15"/>
      <c r="C160" s="8" t="s">
        <v>16</v>
      </c>
      <c r="D160" s="2">
        <v>85.99</v>
      </c>
      <c r="E160" s="15"/>
      <c r="F160" s="15"/>
      <c r="G160" s="15"/>
      <c r="H160" s="15"/>
    </row>
    <row r="161" spans="1:8" x14ac:dyDescent="0.3">
      <c r="A161" s="15"/>
      <c r="B161" s="15"/>
      <c r="C161" s="3" t="s">
        <v>9</v>
      </c>
      <c r="D161" s="2">
        <v>41.77</v>
      </c>
      <c r="E161" s="15"/>
      <c r="F161" s="15"/>
      <c r="G161" s="15"/>
      <c r="H161" s="15"/>
    </row>
    <row r="162" spans="1:8" x14ac:dyDescent="0.3">
      <c r="A162" s="15"/>
      <c r="B162" s="15"/>
      <c r="C162" s="3" t="s">
        <v>11</v>
      </c>
      <c r="D162" s="2">
        <v>37.49</v>
      </c>
      <c r="E162" s="15"/>
      <c r="F162" s="15"/>
      <c r="G162" s="15"/>
      <c r="H162" s="15"/>
    </row>
    <row r="163" spans="1:8" x14ac:dyDescent="0.3">
      <c r="A163" s="15"/>
      <c r="B163" s="15"/>
      <c r="C163" s="3" t="s">
        <v>10</v>
      </c>
      <c r="D163" s="7">
        <v>14.561999999999999</v>
      </c>
      <c r="E163" s="15"/>
      <c r="F163" s="15"/>
      <c r="G163" s="15"/>
      <c r="H163" s="15"/>
    </row>
    <row r="164" spans="1:8" x14ac:dyDescent="0.3">
      <c r="A164" s="16"/>
      <c r="B164" s="16"/>
      <c r="C164" s="8" t="s">
        <v>12</v>
      </c>
      <c r="D164" s="2">
        <v>7.16</v>
      </c>
      <c r="E164" s="16"/>
      <c r="F164" s="16"/>
      <c r="G164" s="16"/>
      <c r="H164" s="16"/>
    </row>
    <row r="165" spans="1:8" x14ac:dyDescent="0.3">
      <c r="A165" s="18">
        <v>28</v>
      </c>
      <c r="B165" s="20">
        <v>44141</v>
      </c>
      <c r="C165" s="3" t="s">
        <v>9</v>
      </c>
      <c r="D165" s="2">
        <v>18.079999999999998</v>
      </c>
      <c r="E165" s="19">
        <f>SUM(D165:D170)</f>
        <v>158.82599999999999</v>
      </c>
      <c r="F165" s="17">
        <f>INT(MAX(D165:D170))</f>
        <v>46</v>
      </c>
      <c r="G165" s="14">
        <f>INT((F165/10)*2)</f>
        <v>9</v>
      </c>
      <c r="H165" s="14">
        <f>F165-G165</f>
        <v>37</v>
      </c>
    </row>
    <row r="166" spans="1:8" x14ac:dyDescent="0.3">
      <c r="A166" s="15"/>
      <c r="B166" s="15"/>
      <c r="C166" s="3" t="s">
        <v>14</v>
      </c>
      <c r="D166" s="2">
        <v>44.34</v>
      </c>
      <c r="E166" s="15"/>
      <c r="F166" s="15"/>
      <c r="G166" s="15"/>
      <c r="H166" s="15"/>
    </row>
    <row r="167" spans="1:8" x14ac:dyDescent="0.3">
      <c r="A167" s="15"/>
      <c r="B167" s="15"/>
      <c r="C167" s="3" t="s">
        <v>11</v>
      </c>
      <c r="D167" s="2">
        <v>6.45</v>
      </c>
      <c r="E167" s="15"/>
      <c r="F167" s="15"/>
      <c r="G167" s="15"/>
      <c r="H167" s="15"/>
    </row>
    <row r="168" spans="1:8" x14ac:dyDescent="0.3">
      <c r="A168" s="15"/>
      <c r="B168" s="15"/>
      <c r="C168" s="3" t="s">
        <v>17</v>
      </c>
      <c r="D168" s="2">
        <v>15.02</v>
      </c>
      <c r="E168" s="15"/>
      <c r="F168" s="15"/>
      <c r="G168" s="15"/>
      <c r="H168" s="15"/>
    </row>
    <row r="169" spans="1:8" x14ac:dyDescent="0.3">
      <c r="A169" s="15"/>
      <c r="B169" s="15"/>
      <c r="C169" s="3" t="s">
        <v>16</v>
      </c>
      <c r="D169" s="7">
        <v>28.245999999999999</v>
      </c>
      <c r="E169" s="15"/>
      <c r="F169" s="15"/>
      <c r="G169" s="15"/>
      <c r="H169" s="15"/>
    </row>
    <row r="170" spans="1:8" x14ac:dyDescent="0.3">
      <c r="A170" s="16"/>
      <c r="B170" s="16"/>
      <c r="C170" s="8" t="s">
        <v>17</v>
      </c>
      <c r="D170" s="2">
        <v>46.69</v>
      </c>
      <c r="E170" s="16"/>
      <c r="F170" s="16"/>
      <c r="G170" s="16"/>
      <c r="H170" s="16"/>
    </row>
    <row r="171" spans="1:8" x14ac:dyDescent="0.3">
      <c r="A171" s="18">
        <v>29</v>
      </c>
      <c r="B171" s="20">
        <v>44145</v>
      </c>
      <c r="C171" s="3" t="s">
        <v>9</v>
      </c>
      <c r="D171" s="2">
        <v>61.07</v>
      </c>
      <c r="E171" s="19">
        <f>SUM(D171:D176)</f>
        <v>120.75699999999999</v>
      </c>
      <c r="F171" s="17">
        <f>INT(MAX(D171:D176))</f>
        <v>61</v>
      </c>
      <c r="G171" s="14">
        <f>INT((F171/10)*2)</f>
        <v>12</v>
      </c>
      <c r="H171" s="14">
        <f>F171-G171</f>
        <v>49</v>
      </c>
    </row>
    <row r="172" spans="1:8" x14ac:dyDescent="0.3">
      <c r="A172" s="15"/>
      <c r="B172" s="15"/>
      <c r="C172" s="3" t="s">
        <v>13</v>
      </c>
      <c r="D172" s="2">
        <v>11.5</v>
      </c>
      <c r="E172" s="15"/>
      <c r="F172" s="15"/>
      <c r="G172" s="15"/>
      <c r="H172" s="15"/>
    </row>
    <row r="173" spans="1:8" x14ac:dyDescent="0.3">
      <c r="A173" s="15"/>
      <c r="B173" s="15"/>
      <c r="C173" s="3" t="s">
        <v>8</v>
      </c>
      <c r="D173" s="7">
        <v>10.266999999999999</v>
      </c>
      <c r="E173" s="15"/>
      <c r="F173" s="15"/>
      <c r="G173" s="15"/>
      <c r="H173" s="15"/>
    </row>
    <row r="174" spans="1:8" x14ac:dyDescent="0.3">
      <c r="A174" s="15"/>
      <c r="B174" s="15"/>
      <c r="C174" s="8" t="s">
        <v>14</v>
      </c>
      <c r="D174" s="2">
        <v>4.29</v>
      </c>
      <c r="E174" s="15"/>
      <c r="F174" s="15"/>
      <c r="G174" s="15"/>
      <c r="H174" s="15"/>
    </row>
    <row r="175" spans="1:8" x14ac:dyDescent="0.3">
      <c r="A175" s="15"/>
      <c r="B175" s="15"/>
      <c r="C175" s="3" t="s">
        <v>10</v>
      </c>
      <c r="D175" s="2">
        <v>16.989999999999998</v>
      </c>
      <c r="E175" s="15"/>
      <c r="F175" s="15"/>
      <c r="G175" s="15"/>
      <c r="H175" s="15"/>
    </row>
    <row r="176" spans="1:8" x14ac:dyDescent="0.3">
      <c r="A176" s="16"/>
      <c r="B176" s="16"/>
      <c r="C176" s="3" t="s">
        <v>16</v>
      </c>
      <c r="D176" s="2">
        <v>16.64</v>
      </c>
      <c r="E176" s="16"/>
      <c r="F176" s="16"/>
      <c r="G176" s="16"/>
      <c r="H176" s="16"/>
    </row>
    <row r="177" spans="1:8" x14ac:dyDescent="0.3">
      <c r="A177" s="18">
        <v>30</v>
      </c>
      <c r="B177" s="20">
        <v>44148</v>
      </c>
      <c r="C177" s="3" t="s">
        <v>13</v>
      </c>
      <c r="D177" s="2">
        <v>3.31</v>
      </c>
      <c r="E177" s="19">
        <f>SUM(D177:D182)</f>
        <v>161.66999999999999</v>
      </c>
      <c r="F177" s="17">
        <f>INT(MAX(D177:D182))</f>
        <v>73</v>
      </c>
      <c r="G177" s="14">
        <f>INT((F177/10)*2)</f>
        <v>14</v>
      </c>
      <c r="H177" s="14">
        <f>F177-G177</f>
        <v>59</v>
      </c>
    </row>
    <row r="178" spans="1:8" x14ac:dyDescent="0.3">
      <c r="A178" s="15"/>
      <c r="B178" s="15"/>
      <c r="C178" s="3" t="s">
        <v>18</v>
      </c>
      <c r="D178" s="2">
        <v>27.38</v>
      </c>
      <c r="E178" s="15"/>
      <c r="F178" s="15"/>
      <c r="G178" s="15"/>
      <c r="H178" s="15"/>
    </row>
    <row r="179" spans="1:8" x14ac:dyDescent="0.3">
      <c r="A179" s="15"/>
      <c r="B179" s="15"/>
      <c r="C179" s="3" t="s">
        <v>11</v>
      </c>
      <c r="D179" s="7">
        <v>15.826000000000001</v>
      </c>
      <c r="E179" s="15"/>
      <c r="F179" s="15"/>
      <c r="G179" s="15"/>
      <c r="H179" s="15"/>
    </row>
    <row r="180" spans="1:8" x14ac:dyDescent="0.3">
      <c r="A180" s="15"/>
      <c r="B180" s="15"/>
      <c r="C180" s="8" t="s">
        <v>12</v>
      </c>
      <c r="D180" s="2">
        <v>10.88</v>
      </c>
      <c r="E180" s="15"/>
      <c r="F180" s="15"/>
      <c r="G180" s="15"/>
      <c r="H180" s="15"/>
    </row>
    <row r="181" spans="1:8" x14ac:dyDescent="0.3">
      <c r="A181" s="15"/>
      <c r="B181" s="15"/>
      <c r="C181" s="3" t="s">
        <v>17</v>
      </c>
      <c r="D181" s="2">
        <v>30.68</v>
      </c>
      <c r="E181" s="15"/>
      <c r="F181" s="15"/>
      <c r="G181" s="15"/>
      <c r="H181" s="15"/>
    </row>
    <row r="182" spans="1:8" x14ac:dyDescent="0.3">
      <c r="A182" s="16"/>
      <c r="B182" s="16"/>
      <c r="C182" s="3" t="s">
        <v>9</v>
      </c>
      <c r="D182" s="7">
        <v>73.593999999999994</v>
      </c>
      <c r="E182" s="16"/>
      <c r="F182" s="16"/>
      <c r="G182" s="16"/>
      <c r="H182" s="16"/>
    </row>
    <row r="183" spans="1:8" x14ac:dyDescent="0.3">
      <c r="A183" s="18">
        <v>31</v>
      </c>
      <c r="B183" s="20">
        <v>44152</v>
      </c>
      <c r="C183" s="8" t="s">
        <v>13</v>
      </c>
      <c r="D183" s="2">
        <v>53.79</v>
      </c>
      <c r="E183" s="19">
        <f>SUM(D183:D188)</f>
        <v>319.68700000000001</v>
      </c>
      <c r="F183" s="17">
        <f>INT(MAX(D183:D188))</f>
        <v>111</v>
      </c>
      <c r="G183" s="14">
        <f>INT((F183/10)*2)</f>
        <v>22</v>
      </c>
      <c r="H183" s="14">
        <f>F183-G183</f>
        <v>89</v>
      </c>
    </row>
    <row r="184" spans="1:8" x14ac:dyDescent="0.3">
      <c r="A184" s="15"/>
      <c r="B184" s="15"/>
      <c r="C184" s="3" t="s">
        <v>16</v>
      </c>
      <c r="D184" s="2">
        <v>45.21</v>
      </c>
      <c r="E184" s="15"/>
      <c r="F184" s="15"/>
      <c r="G184" s="15"/>
      <c r="H184" s="15"/>
    </row>
    <row r="185" spans="1:8" x14ac:dyDescent="0.3">
      <c r="A185" s="15"/>
      <c r="B185" s="15"/>
      <c r="C185" s="3" t="s">
        <v>17</v>
      </c>
      <c r="D185" s="2">
        <v>111.76</v>
      </c>
      <c r="E185" s="15"/>
      <c r="F185" s="15"/>
      <c r="G185" s="15"/>
      <c r="H185" s="15"/>
    </row>
    <row r="186" spans="1:8" x14ac:dyDescent="0.3">
      <c r="A186" s="15"/>
      <c r="B186" s="15"/>
      <c r="C186" s="3" t="s">
        <v>11</v>
      </c>
      <c r="D186" s="7">
        <v>46.116999999999997</v>
      </c>
      <c r="E186" s="15"/>
      <c r="F186" s="15"/>
      <c r="G186" s="15"/>
      <c r="H186" s="15"/>
    </row>
    <row r="187" spans="1:8" x14ac:dyDescent="0.3">
      <c r="A187" s="15"/>
      <c r="B187" s="15"/>
      <c r="C187" s="8" t="s">
        <v>8</v>
      </c>
      <c r="D187" s="2">
        <v>23.18</v>
      </c>
      <c r="E187" s="15"/>
      <c r="F187" s="15"/>
      <c r="G187" s="15"/>
      <c r="H187" s="15"/>
    </row>
    <row r="188" spans="1:8" x14ac:dyDescent="0.3">
      <c r="A188" s="16"/>
      <c r="B188" s="16"/>
      <c r="C188" s="3" t="s">
        <v>18</v>
      </c>
      <c r="D188" s="2">
        <v>39.630000000000003</v>
      </c>
      <c r="E188" s="16"/>
      <c r="F188" s="16"/>
      <c r="G188" s="16"/>
      <c r="H188" s="16"/>
    </row>
    <row r="189" spans="1:8" x14ac:dyDescent="0.3">
      <c r="A189" s="18">
        <v>32</v>
      </c>
      <c r="B189" s="20">
        <v>44155</v>
      </c>
      <c r="C189" s="3" t="s">
        <v>14</v>
      </c>
      <c r="D189" s="2">
        <v>24.02</v>
      </c>
      <c r="E189" s="19">
        <f>SUM(D189:D194)</f>
        <v>169.94399999999999</v>
      </c>
      <c r="F189" s="17">
        <f>INT(MAX(D189:D194))</f>
        <v>112</v>
      </c>
      <c r="G189" s="14">
        <f>INT((F189/10)*2)</f>
        <v>22</v>
      </c>
      <c r="H189" s="14">
        <f>F189-G189</f>
        <v>90</v>
      </c>
    </row>
    <row r="190" spans="1:8" x14ac:dyDescent="0.3">
      <c r="A190" s="15"/>
      <c r="B190" s="15"/>
      <c r="C190" s="3" t="s">
        <v>16</v>
      </c>
      <c r="D190" s="2">
        <v>112.63</v>
      </c>
      <c r="E190" s="15"/>
      <c r="F190" s="15"/>
      <c r="G190" s="15"/>
      <c r="H190" s="15"/>
    </row>
    <row r="191" spans="1:8" x14ac:dyDescent="0.3">
      <c r="A191" s="15"/>
      <c r="B191" s="15"/>
      <c r="C191" s="3" t="s">
        <v>11</v>
      </c>
      <c r="D191" s="7">
        <v>13.144</v>
      </c>
      <c r="E191" s="15"/>
      <c r="F191" s="15"/>
      <c r="G191" s="15"/>
      <c r="H191" s="15"/>
    </row>
    <row r="192" spans="1:8" x14ac:dyDescent="0.3">
      <c r="A192" s="15"/>
      <c r="B192" s="15"/>
      <c r="C192" s="8" t="s">
        <v>16</v>
      </c>
      <c r="D192" s="2">
        <v>7.98</v>
      </c>
      <c r="E192" s="15"/>
      <c r="F192" s="15"/>
      <c r="G192" s="15"/>
      <c r="H192" s="15"/>
    </row>
    <row r="193" spans="1:8" x14ac:dyDescent="0.3">
      <c r="A193" s="15"/>
      <c r="B193" s="15"/>
      <c r="C193" s="3" t="s">
        <v>8</v>
      </c>
      <c r="D193" s="2">
        <v>5.01</v>
      </c>
      <c r="E193" s="15"/>
      <c r="F193" s="15"/>
      <c r="G193" s="15"/>
      <c r="H193" s="15"/>
    </row>
    <row r="194" spans="1:8" x14ac:dyDescent="0.3">
      <c r="A194" s="16"/>
      <c r="B194" s="16"/>
      <c r="C194" s="3" t="s">
        <v>14</v>
      </c>
      <c r="D194" s="2">
        <v>7.16</v>
      </c>
      <c r="E194" s="16"/>
      <c r="F194" s="16"/>
      <c r="G194" s="16"/>
      <c r="H194" s="16"/>
    </row>
    <row r="195" spans="1:8" x14ac:dyDescent="0.3">
      <c r="A195" s="18">
        <v>33</v>
      </c>
      <c r="B195" s="20">
        <v>44159</v>
      </c>
      <c r="C195" s="3" t="s">
        <v>17</v>
      </c>
      <c r="D195" s="7">
        <v>14.608000000000001</v>
      </c>
      <c r="E195" s="19">
        <f>SUM(D195:D200)</f>
        <v>110.364</v>
      </c>
      <c r="F195" s="17">
        <f>INT(MAX(D195:D200))</f>
        <v>58</v>
      </c>
      <c r="G195" s="14">
        <f>INT((F195/10)*2)</f>
        <v>11</v>
      </c>
      <c r="H195" s="14">
        <f>F195-G195</f>
        <v>47</v>
      </c>
    </row>
    <row r="196" spans="1:8" x14ac:dyDescent="0.3">
      <c r="A196" s="15"/>
      <c r="B196" s="15"/>
      <c r="C196" s="8" t="s">
        <v>16</v>
      </c>
      <c r="D196" s="2">
        <v>4.0999999999999996</v>
      </c>
      <c r="E196" s="15"/>
      <c r="F196" s="15"/>
      <c r="G196" s="15"/>
      <c r="H196" s="15"/>
    </row>
    <row r="197" spans="1:8" x14ac:dyDescent="0.3">
      <c r="A197" s="15"/>
      <c r="B197" s="15"/>
      <c r="C197" s="3" t="s">
        <v>18</v>
      </c>
      <c r="D197" s="2">
        <v>7.23</v>
      </c>
      <c r="E197" s="15"/>
      <c r="F197" s="15"/>
      <c r="G197" s="15"/>
      <c r="H197" s="15"/>
    </row>
    <row r="198" spans="1:8" x14ac:dyDescent="0.3">
      <c r="A198" s="15"/>
      <c r="B198" s="15"/>
      <c r="C198" s="3" t="s">
        <v>8</v>
      </c>
      <c r="D198" s="2">
        <v>11.51</v>
      </c>
      <c r="E198" s="15"/>
      <c r="F198" s="15"/>
      <c r="G198" s="15"/>
      <c r="H198" s="15"/>
    </row>
    <row r="199" spans="1:8" x14ac:dyDescent="0.3">
      <c r="A199" s="15"/>
      <c r="B199" s="15"/>
      <c r="C199" s="3" t="s">
        <v>10</v>
      </c>
      <c r="D199" s="2">
        <v>14.75</v>
      </c>
      <c r="E199" s="15"/>
      <c r="F199" s="15"/>
      <c r="G199" s="15"/>
      <c r="H199" s="15"/>
    </row>
    <row r="200" spans="1:8" x14ac:dyDescent="0.3">
      <c r="A200" s="16"/>
      <c r="B200" s="16"/>
      <c r="C200" s="3" t="s">
        <v>12</v>
      </c>
      <c r="D200" s="7">
        <v>58.165999999999997</v>
      </c>
      <c r="E200" s="16"/>
      <c r="F200" s="16"/>
      <c r="G200" s="16"/>
      <c r="H200" s="16"/>
    </row>
    <row r="201" spans="1:8" x14ac:dyDescent="0.3">
      <c r="A201" s="18">
        <v>34</v>
      </c>
      <c r="B201" s="20">
        <v>44162</v>
      </c>
      <c r="C201" s="8" t="s">
        <v>11</v>
      </c>
      <c r="D201" s="2">
        <v>19.23</v>
      </c>
      <c r="E201" s="19">
        <f>SUM(D201:D206)</f>
        <v>89.817000000000007</v>
      </c>
      <c r="F201" s="17">
        <f>INT(MAX(D201:D206))</f>
        <v>21</v>
      </c>
      <c r="G201" s="14">
        <f>INT((F201/10)*2)</f>
        <v>4</v>
      </c>
      <c r="H201" s="14">
        <f>F201-G201</f>
        <v>17</v>
      </c>
    </row>
    <row r="202" spans="1:8" x14ac:dyDescent="0.3">
      <c r="A202" s="15"/>
      <c r="B202" s="15"/>
      <c r="C202" s="3" t="s">
        <v>10</v>
      </c>
      <c r="D202" s="2">
        <v>11.47</v>
      </c>
      <c r="E202" s="15"/>
      <c r="F202" s="15"/>
      <c r="G202" s="15"/>
      <c r="H202" s="15"/>
    </row>
    <row r="203" spans="1:8" x14ac:dyDescent="0.3">
      <c r="A203" s="15"/>
      <c r="B203" s="15"/>
      <c r="C203" s="3" t="s">
        <v>16</v>
      </c>
      <c r="D203" s="2">
        <v>21.93</v>
      </c>
      <c r="E203" s="15"/>
      <c r="F203" s="15"/>
      <c r="G203" s="15"/>
      <c r="H203" s="15"/>
    </row>
    <row r="204" spans="1:8" x14ac:dyDescent="0.3">
      <c r="A204" s="15"/>
      <c r="B204" s="15"/>
      <c r="C204" s="3" t="s">
        <v>15</v>
      </c>
      <c r="D204" s="2">
        <v>20.6</v>
      </c>
      <c r="E204" s="15"/>
      <c r="F204" s="15"/>
      <c r="G204" s="15"/>
      <c r="H204" s="15"/>
    </row>
    <row r="205" spans="1:8" x14ac:dyDescent="0.3">
      <c r="A205" s="15"/>
      <c r="B205" s="15"/>
      <c r="C205" s="3" t="s">
        <v>17</v>
      </c>
      <c r="D205" s="7">
        <v>10.977</v>
      </c>
      <c r="E205" s="15"/>
      <c r="F205" s="15"/>
      <c r="G205" s="15"/>
      <c r="H205" s="15"/>
    </row>
    <row r="206" spans="1:8" x14ac:dyDescent="0.3">
      <c r="A206" s="16"/>
      <c r="B206" s="16"/>
      <c r="C206" s="8" t="s">
        <v>11</v>
      </c>
      <c r="D206" s="2">
        <v>5.61</v>
      </c>
      <c r="E206" s="16"/>
      <c r="F206" s="16"/>
      <c r="G206" s="16"/>
      <c r="H206" s="16"/>
    </row>
    <row r="207" spans="1:8" x14ac:dyDescent="0.3">
      <c r="A207" s="18">
        <v>35</v>
      </c>
      <c r="B207" s="20">
        <v>44166</v>
      </c>
      <c r="C207" s="3" t="s">
        <v>18</v>
      </c>
      <c r="D207" s="2">
        <v>20.100000000000001</v>
      </c>
      <c r="E207" s="19">
        <f>SUM(D207:D212)</f>
        <v>188.10300000000001</v>
      </c>
      <c r="F207" s="17">
        <f>INT(MAX(D207:D212))</f>
        <v>74</v>
      </c>
      <c r="G207" s="14">
        <f>INT((F207/10)*2)</f>
        <v>14</v>
      </c>
      <c r="H207" s="14">
        <f>F207-G207</f>
        <v>60</v>
      </c>
    </row>
    <row r="208" spans="1:8" x14ac:dyDescent="0.3">
      <c r="A208" s="15"/>
      <c r="B208" s="15"/>
      <c r="C208" s="3" t="s">
        <v>15</v>
      </c>
      <c r="D208" s="2">
        <v>4.4400000000000004</v>
      </c>
      <c r="E208" s="15"/>
      <c r="F208" s="15"/>
      <c r="G208" s="15"/>
      <c r="H208" s="15"/>
    </row>
    <row r="209" spans="1:8" x14ac:dyDescent="0.3">
      <c r="A209" s="15"/>
      <c r="B209" s="15"/>
      <c r="C209" s="3" t="s">
        <v>8</v>
      </c>
      <c r="D209" s="7">
        <v>19.213000000000001</v>
      </c>
      <c r="E209" s="15"/>
      <c r="F209" s="15"/>
      <c r="G209" s="15"/>
      <c r="H209" s="15"/>
    </row>
    <row r="210" spans="1:8" x14ac:dyDescent="0.3">
      <c r="A210" s="15"/>
      <c r="B210" s="15"/>
      <c r="C210" s="8" t="s">
        <v>16</v>
      </c>
      <c r="D210" s="2">
        <v>74.05</v>
      </c>
      <c r="E210" s="15"/>
      <c r="F210" s="15"/>
      <c r="G210" s="15"/>
      <c r="H210" s="15"/>
    </row>
    <row r="211" spans="1:8" x14ac:dyDescent="0.3">
      <c r="A211" s="15"/>
      <c r="B211" s="15"/>
      <c r="C211" s="3" t="s">
        <v>11</v>
      </c>
      <c r="D211" s="2">
        <v>27.85</v>
      </c>
      <c r="E211" s="15"/>
      <c r="F211" s="15"/>
      <c r="G211" s="15"/>
      <c r="H211" s="15"/>
    </row>
    <row r="212" spans="1:8" x14ac:dyDescent="0.3">
      <c r="A212" s="16"/>
      <c r="B212" s="16"/>
      <c r="C212" s="3" t="s">
        <v>13</v>
      </c>
      <c r="D212" s="2">
        <v>42.45</v>
      </c>
      <c r="E212" s="16"/>
      <c r="F212" s="16"/>
      <c r="G212" s="16"/>
      <c r="H212" s="16"/>
    </row>
    <row r="213" spans="1:8" x14ac:dyDescent="0.3">
      <c r="A213" s="18">
        <v>36</v>
      </c>
      <c r="B213" s="20">
        <v>44169</v>
      </c>
      <c r="C213" s="3" t="s">
        <v>15</v>
      </c>
      <c r="D213" s="7">
        <v>11.968</v>
      </c>
      <c r="E213" s="19">
        <f>SUM(D213:D218)</f>
        <v>193.381</v>
      </c>
      <c r="F213" s="17">
        <f>INT(MAX(D213:D218))</f>
        <v>99</v>
      </c>
      <c r="G213" s="14">
        <f>INT((F213/10)*2)</f>
        <v>19</v>
      </c>
      <c r="H213" s="14">
        <f>F213-G213</f>
        <v>80</v>
      </c>
    </row>
    <row r="214" spans="1:8" x14ac:dyDescent="0.3">
      <c r="A214" s="15"/>
      <c r="B214" s="15"/>
      <c r="C214" s="8" t="s">
        <v>18</v>
      </c>
      <c r="D214" s="2">
        <v>47.06</v>
      </c>
      <c r="E214" s="15"/>
      <c r="F214" s="15"/>
      <c r="G214" s="15"/>
      <c r="H214" s="15"/>
    </row>
    <row r="215" spans="1:8" x14ac:dyDescent="0.3">
      <c r="A215" s="15"/>
      <c r="B215" s="15"/>
      <c r="C215" s="3" t="s">
        <v>15</v>
      </c>
      <c r="D215" s="2">
        <v>22.69</v>
      </c>
      <c r="E215" s="15"/>
      <c r="F215" s="15"/>
      <c r="G215" s="15"/>
      <c r="H215" s="15"/>
    </row>
    <row r="216" spans="1:8" x14ac:dyDescent="0.3">
      <c r="A216" s="15"/>
      <c r="B216" s="15"/>
      <c r="C216" s="3" t="s">
        <v>17</v>
      </c>
      <c r="D216" s="2">
        <v>99.03</v>
      </c>
      <c r="E216" s="15"/>
      <c r="F216" s="15"/>
      <c r="G216" s="15"/>
      <c r="H216" s="15"/>
    </row>
    <row r="217" spans="1:8" x14ac:dyDescent="0.3">
      <c r="A217" s="15"/>
      <c r="B217" s="15"/>
      <c r="C217" s="3" t="s">
        <v>11</v>
      </c>
      <c r="D217" s="7">
        <v>5.673</v>
      </c>
      <c r="E217" s="15"/>
      <c r="F217" s="15"/>
      <c r="G217" s="15"/>
      <c r="H217" s="15"/>
    </row>
    <row r="218" spans="1:8" x14ac:dyDescent="0.3">
      <c r="A218" s="16"/>
      <c r="B218" s="16"/>
      <c r="C218" s="8" t="s">
        <v>10</v>
      </c>
      <c r="D218" s="2">
        <v>6.96</v>
      </c>
      <c r="E218" s="16"/>
      <c r="F218" s="16"/>
      <c r="G218" s="16"/>
      <c r="H218" s="16"/>
    </row>
    <row r="219" spans="1:8" x14ac:dyDescent="0.3">
      <c r="A219" s="18">
        <v>37</v>
      </c>
      <c r="B219" s="20">
        <v>44173</v>
      </c>
      <c r="C219" s="3" t="s">
        <v>8</v>
      </c>
      <c r="D219" s="2">
        <v>3.69</v>
      </c>
      <c r="E219" s="19">
        <f>SUM(D219:D224)</f>
        <v>98.908999999999992</v>
      </c>
      <c r="F219" s="17">
        <f>INT(MAX(D219:D224))</f>
        <v>36</v>
      </c>
      <c r="G219" s="14">
        <f>INT((F219/10)*2)</f>
        <v>7</v>
      </c>
      <c r="H219" s="14">
        <f>F219-G219</f>
        <v>29</v>
      </c>
    </row>
    <row r="220" spans="1:8" x14ac:dyDescent="0.3">
      <c r="A220" s="15"/>
      <c r="B220" s="15"/>
      <c r="C220" s="3" t="s">
        <v>18</v>
      </c>
      <c r="D220" s="2">
        <v>15.63</v>
      </c>
      <c r="E220" s="15"/>
      <c r="F220" s="15"/>
      <c r="G220" s="15"/>
      <c r="H220" s="15"/>
    </row>
    <row r="221" spans="1:8" x14ac:dyDescent="0.3">
      <c r="A221" s="15"/>
      <c r="B221" s="15"/>
      <c r="C221" s="3" t="s">
        <v>16</v>
      </c>
      <c r="D221" s="2">
        <v>8.9499999999999993</v>
      </c>
      <c r="E221" s="15"/>
      <c r="F221" s="15"/>
      <c r="G221" s="15"/>
      <c r="H221" s="15"/>
    </row>
    <row r="222" spans="1:8" x14ac:dyDescent="0.3">
      <c r="A222" s="15"/>
      <c r="B222" s="15"/>
      <c r="C222" s="3" t="s">
        <v>17</v>
      </c>
      <c r="D222" s="2">
        <v>16.28</v>
      </c>
      <c r="E222" s="15"/>
      <c r="F222" s="15"/>
      <c r="G222" s="15"/>
      <c r="H222" s="15"/>
    </row>
    <row r="223" spans="1:8" x14ac:dyDescent="0.3">
      <c r="A223" s="15"/>
      <c r="B223" s="15"/>
      <c r="C223" s="3" t="s">
        <v>14</v>
      </c>
      <c r="D223" s="7">
        <v>17.928999999999998</v>
      </c>
      <c r="E223" s="15"/>
      <c r="F223" s="15"/>
      <c r="G223" s="15"/>
      <c r="H223" s="15"/>
    </row>
    <row r="224" spans="1:8" x14ac:dyDescent="0.3">
      <c r="A224" s="16"/>
      <c r="B224" s="16"/>
      <c r="C224" s="8" t="s">
        <v>8</v>
      </c>
      <c r="D224" s="2">
        <v>36.43</v>
      </c>
      <c r="E224" s="16"/>
      <c r="F224" s="16"/>
      <c r="G224" s="16"/>
      <c r="H224" s="16"/>
    </row>
    <row r="225" spans="1:8" x14ac:dyDescent="0.3">
      <c r="A225" s="18">
        <v>38</v>
      </c>
      <c r="B225" s="20">
        <v>44176</v>
      </c>
      <c r="C225" s="3" t="s">
        <v>9</v>
      </c>
      <c r="D225" s="2">
        <v>30.86</v>
      </c>
      <c r="E225" s="19">
        <f>SUM(D225:D230)</f>
        <v>199.07899999999995</v>
      </c>
      <c r="F225" s="17">
        <f>INT(MAX(D225:D230))</f>
        <v>79</v>
      </c>
      <c r="G225" s="14">
        <f>INT((F225/10)*2)</f>
        <v>15</v>
      </c>
      <c r="H225" s="14">
        <f>F225-G225</f>
        <v>64</v>
      </c>
    </row>
    <row r="226" spans="1:8" x14ac:dyDescent="0.3">
      <c r="A226" s="15"/>
      <c r="B226" s="15"/>
      <c r="C226" s="3" t="s">
        <v>14</v>
      </c>
      <c r="D226" s="2">
        <v>25.56</v>
      </c>
      <c r="E226" s="15"/>
      <c r="F226" s="15"/>
      <c r="G226" s="15"/>
      <c r="H226" s="15"/>
    </row>
    <row r="227" spans="1:8" x14ac:dyDescent="0.3">
      <c r="A227" s="15"/>
      <c r="B227" s="15"/>
      <c r="C227" s="3" t="s">
        <v>17</v>
      </c>
      <c r="D227" s="2">
        <v>79.91</v>
      </c>
      <c r="E227" s="15"/>
      <c r="F227" s="15"/>
      <c r="G227" s="15"/>
      <c r="H227" s="15"/>
    </row>
    <row r="228" spans="1:8" x14ac:dyDescent="0.3">
      <c r="A228" s="15"/>
      <c r="B228" s="15"/>
      <c r="C228" s="3" t="s">
        <v>13</v>
      </c>
      <c r="D228" s="2">
        <v>19.95</v>
      </c>
      <c r="E228" s="15"/>
      <c r="F228" s="15"/>
      <c r="G228" s="15"/>
      <c r="H228" s="15"/>
    </row>
    <row r="229" spans="1:8" x14ac:dyDescent="0.3">
      <c r="A229" s="15"/>
      <c r="B229" s="15"/>
      <c r="C229" s="3" t="s">
        <v>12</v>
      </c>
      <c r="D229" s="7">
        <v>22.789000000000001</v>
      </c>
      <c r="E229" s="15"/>
      <c r="F229" s="15"/>
      <c r="G229" s="15"/>
      <c r="H229" s="15"/>
    </row>
    <row r="230" spans="1:8" x14ac:dyDescent="0.3">
      <c r="A230" s="16"/>
      <c r="B230" s="16"/>
      <c r="C230" s="8" t="s">
        <v>9</v>
      </c>
      <c r="D230" s="2">
        <v>20.010000000000002</v>
      </c>
      <c r="E230" s="16"/>
      <c r="F230" s="16"/>
      <c r="G230" s="16"/>
      <c r="H230" s="16"/>
    </row>
    <row r="231" spans="1:8" x14ac:dyDescent="0.3">
      <c r="A231" s="18">
        <v>39</v>
      </c>
      <c r="B231" s="20">
        <v>44180</v>
      </c>
      <c r="C231" s="3" t="s">
        <v>14</v>
      </c>
      <c r="D231" s="2">
        <v>33.03</v>
      </c>
      <c r="E231" s="19">
        <f>SUM(D231:D236)</f>
        <v>285.82100000000003</v>
      </c>
      <c r="F231" s="17">
        <f>INT(MAX(D231:D236))</f>
        <v>86</v>
      </c>
      <c r="G231" s="14">
        <f>INT((F231/10)*2)</f>
        <v>17</v>
      </c>
      <c r="H231" s="14">
        <f>F231-G231</f>
        <v>69</v>
      </c>
    </row>
    <row r="232" spans="1:8" x14ac:dyDescent="0.3">
      <c r="A232" s="15"/>
      <c r="B232" s="15"/>
      <c r="C232" s="3" t="s">
        <v>15</v>
      </c>
      <c r="D232" s="2">
        <v>15.43</v>
      </c>
      <c r="E232" s="15"/>
      <c r="F232" s="15"/>
      <c r="G232" s="15"/>
      <c r="H232" s="15"/>
    </row>
    <row r="233" spans="1:8" x14ac:dyDescent="0.3">
      <c r="A233" s="15"/>
      <c r="B233" s="15"/>
      <c r="C233" s="3" t="s">
        <v>17</v>
      </c>
      <c r="D233" s="7">
        <v>86.631</v>
      </c>
      <c r="E233" s="15"/>
      <c r="F233" s="15"/>
      <c r="G233" s="15"/>
      <c r="H233" s="15"/>
    </row>
    <row r="234" spans="1:8" x14ac:dyDescent="0.3">
      <c r="A234" s="15"/>
      <c r="B234" s="15"/>
      <c r="C234" s="8" t="s">
        <v>9</v>
      </c>
      <c r="D234" s="2">
        <v>47.71</v>
      </c>
      <c r="E234" s="15"/>
      <c r="F234" s="15"/>
      <c r="G234" s="15"/>
      <c r="H234" s="15"/>
    </row>
    <row r="235" spans="1:8" x14ac:dyDescent="0.3">
      <c r="A235" s="15"/>
      <c r="B235" s="15"/>
      <c r="C235" s="3" t="s">
        <v>8</v>
      </c>
      <c r="D235" s="2">
        <v>69.86</v>
      </c>
      <c r="E235" s="15"/>
      <c r="F235" s="15"/>
      <c r="G235" s="15"/>
      <c r="H235" s="15"/>
    </row>
    <row r="236" spans="1:8" x14ac:dyDescent="0.3">
      <c r="A236" s="16"/>
      <c r="B236" s="16"/>
      <c r="C236" s="3" t="s">
        <v>13</v>
      </c>
      <c r="D236" s="2">
        <v>33.159999999999997</v>
      </c>
      <c r="E236" s="16"/>
      <c r="F236" s="16"/>
      <c r="G236" s="16"/>
      <c r="H236" s="16"/>
    </row>
    <row r="237" spans="1:8" x14ac:dyDescent="0.3">
      <c r="A237" s="18">
        <v>40</v>
      </c>
      <c r="B237" s="20">
        <v>44183</v>
      </c>
      <c r="C237" s="3" t="s">
        <v>17</v>
      </c>
      <c r="D237" s="2">
        <v>73.5</v>
      </c>
      <c r="E237" s="19">
        <f>SUM(D237:D242)</f>
        <v>149.446</v>
      </c>
      <c r="F237" s="17">
        <f>INT(MAX(D237:D242))</f>
        <v>73</v>
      </c>
      <c r="G237" s="14">
        <f>INT((F237/10)*2)</f>
        <v>14</v>
      </c>
      <c r="H237" s="14">
        <f>F237-G237</f>
        <v>59</v>
      </c>
    </row>
    <row r="238" spans="1:8" x14ac:dyDescent="0.3">
      <c r="A238" s="15"/>
      <c r="B238" s="15"/>
      <c r="C238" s="3" t="s">
        <v>14</v>
      </c>
      <c r="D238" s="2">
        <v>43.43</v>
      </c>
      <c r="E238" s="15"/>
      <c r="F238" s="15"/>
      <c r="G238" s="15"/>
      <c r="H238" s="15"/>
    </row>
    <row r="239" spans="1:8" x14ac:dyDescent="0.3">
      <c r="A239" s="15"/>
      <c r="B239" s="15"/>
      <c r="C239" s="3" t="s">
        <v>10</v>
      </c>
      <c r="D239" s="7">
        <v>8.1059999999999999</v>
      </c>
      <c r="E239" s="15"/>
      <c r="F239" s="15"/>
      <c r="G239" s="15"/>
      <c r="H239" s="15"/>
    </row>
    <row r="240" spans="1:8" x14ac:dyDescent="0.3">
      <c r="A240" s="15"/>
      <c r="B240" s="15"/>
      <c r="C240" s="8" t="s">
        <v>18</v>
      </c>
      <c r="D240" s="2">
        <v>8.7899999999999991</v>
      </c>
      <c r="E240" s="15"/>
      <c r="F240" s="15"/>
      <c r="G240" s="15"/>
      <c r="H240" s="15"/>
    </row>
    <row r="241" spans="1:8" x14ac:dyDescent="0.3">
      <c r="A241" s="15"/>
      <c r="B241" s="15"/>
      <c r="C241" s="3" t="s">
        <v>17</v>
      </c>
      <c r="D241" s="2">
        <v>5.58</v>
      </c>
      <c r="E241" s="15"/>
      <c r="F241" s="15"/>
      <c r="G241" s="15"/>
      <c r="H241" s="15"/>
    </row>
    <row r="242" spans="1:8" x14ac:dyDescent="0.3">
      <c r="A242" s="16"/>
      <c r="B242" s="16"/>
      <c r="C242" s="3" t="s">
        <v>9</v>
      </c>
      <c r="D242" s="2">
        <v>10.039999999999999</v>
      </c>
      <c r="E242" s="16"/>
      <c r="F242" s="16"/>
      <c r="G242" s="16"/>
      <c r="H242" s="16"/>
    </row>
    <row r="243" spans="1:8" x14ac:dyDescent="0.3">
      <c r="A243" s="18">
        <v>41</v>
      </c>
      <c r="B243" s="20">
        <v>44187</v>
      </c>
      <c r="C243" s="3" t="s">
        <v>14</v>
      </c>
      <c r="D243" s="7">
        <v>10.481</v>
      </c>
      <c r="E243" s="19">
        <f>SUM(D243:D248)</f>
        <v>159.126</v>
      </c>
      <c r="F243" s="17">
        <f>INT(MAX(D243:D248))</f>
        <v>61</v>
      </c>
      <c r="G243" s="14">
        <f>INT((F243/10)*2)</f>
        <v>12</v>
      </c>
      <c r="H243" s="14">
        <f>F243-G243</f>
        <v>49</v>
      </c>
    </row>
    <row r="244" spans="1:8" x14ac:dyDescent="0.3">
      <c r="A244" s="15"/>
      <c r="B244" s="15"/>
      <c r="C244" s="8" t="s">
        <v>8</v>
      </c>
      <c r="D244" s="2">
        <v>13.98</v>
      </c>
      <c r="E244" s="15"/>
      <c r="F244" s="15"/>
      <c r="G244" s="15"/>
      <c r="H244" s="15"/>
    </row>
    <row r="245" spans="1:8" x14ac:dyDescent="0.3">
      <c r="A245" s="15"/>
      <c r="B245" s="15"/>
      <c r="C245" s="3" t="s">
        <v>17</v>
      </c>
      <c r="D245" s="2">
        <v>33.68</v>
      </c>
      <c r="E245" s="15"/>
      <c r="F245" s="15"/>
      <c r="G245" s="15"/>
      <c r="H245" s="15"/>
    </row>
    <row r="246" spans="1:8" x14ac:dyDescent="0.3">
      <c r="A246" s="15"/>
      <c r="B246" s="15"/>
      <c r="C246" s="3" t="s">
        <v>11</v>
      </c>
      <c r="D246" s="2">
        <v>26.57</v>
      </c>
      <c r="E246" s="15"/>
      <c r="F246" s="15"/>
      <c r="G246" s="15"/>
      <c r="H246" s="15"/>
    </row>
    <row r="247" spans="1:8" x14ac:dyDescent="0.3">
      <c r="A247" s="15"/>
      <c r="B247" s="15"/>
      <c r="C247" s="3" t="s">
        <v>13</v>
      </c>
      <c r="D247" s="7">
        <v>61.064999999999998</v>
      </c>
      <c r="E247" s="15"/>
      <c r="F247" s="15"/>
      <c r="G247" s="15"/>
      <c r="H247" s="15"/>
    </row>
    <row r="248" spans="1:8" x14ac:dyDescent="0.3">
      <c r="A248" s="16"/>
      <c r="B248" s="16"/>
      <c r="C248" s="8" t="s">
        <v>15</v>
      </c>
      <c r="D248" s="2">
        <v>13.35</v>
      </c>
      <c r="E248" s="16"/>
      <c r="F248" s="16"/>
      <c r="G248" s="16"/>
      <c r="H248" s="16"/>
    </row>
    <row r="249" spans="1:8" x14ac:dyDescent="0.3">
      <c r="A249" s="18">
        <v>42</v>
      </c>
      <c r="B249" s="20">
        <v>44190</v>
      </c>
      <c r="C249" s="3" t="s">
        <v>18</v>
      </c>
      <c r="D249" s="2">
        <v>34.64</v>
      </c>
      <c r="E249" s="19">
        <f>SUM(D249:D254)</f>
        <v>140.327</v>
      </c>
      <c r="F249" s="17">
        <f>INT(MAX(D249:D254))</f>
        <v>64</v>
      </c>
      <c r="G249" s="14">
        <f>INT((F249/10)*2)</f>
        <v>12</v>
      </c>
      <c r="H249" s="14">
        <f>F249-G249</f>
        <v>52</v>
      </c>
    </row>
    <row r="250" spans="1:8" x14ac:dyDescent="0.3">
      <c r="A250" s="15"/>
      <c r="B250" s="15"/>
      <c r="C250" s="3" t="s">
        <v>9</v>
      </c>
      <c r="D250" s="2">
        <v>64.099999999999994</v>
      </c>
      <c r="E250" s="15"/>
      <c r="F250" s="15"/>
      <c r="G250" s="15"/>
      <c r="H250" s="15"/>
    </row>
    <row r="251" spans="1:8" x14ac:dyDescent="0.3">
      <c r="A251" s="15"/>
      <c r="B251" s="15"/>
      <c r="C251" s="3" t="s">
        <v>13</v>
      </c>
      <c r="D251" s="7">
        <v>14.276999999999999</v>
      </c>
      <c r="E251" s="15"/>
      <c r="F251" s="15"/>
      <c r="G251" s="15"/>
      <c r="H251" s="15"/>
    </row>
    <row r="252" spans="1:8" x14ac:dyDescent="0.3">
      <c r="A252" s="15"/>
      <c r="B252" s="15"/>
      <c r="C252" s="8" t="s">
        <v>12</v>
      </c>
      <c r="D252" s="2">
        <v>12.05</v>
      </c>
      <c r="E252" s="15"/>
      <c r="F252" s="15"/>
      <c r="G252" s="15"/>
      <c r="H252" s="15"/>
    </row>
    <row r="253" spans="1:8" x14ac:dyDescent="0.3">
      <c r="A253" s="15"/>
      <c r="B253" s="15"/>
      <c r="C253" s="3" t="s">
        <v>14</v>
      </c>
      <c r="D253" s="2">
        <v>12.24</v>
      </c>
      <c r="E253" s="15"/>
      <c r="F253" s="15"/>
      <c r="G253" s="15"/>
      <c r="H253" s="15"/>
    </row>
    <row r="254" spans="1:8" x14ac:dyDescent="0.3">
      <c r="A254" s="16"/>
      <c r="B254" s="16"/>
      <c r="C254" s="3" t="s">
        <v>17</v>
      </c>
      <c r="D254" s="2">
        <v>3.02</v>
      </c>
      <c r="E254" s="16"/>
      <c r="F254" s="16"/>
      <c r="G254" s="16"/>
      <c r="H254" s="16"/>
    </row>
    <row r="255" spans="1:8" x14ac:dyDescent="0.3">
      <c r="A255" s="18">
        <v>43</v>
      </c>
      <c r="B255" s="20">
        <v>44194</v>
      </c>
      <c r="C255" s="3" t="s">
        <v>8</v>
      </c>
      <c r="D255" s="2">
        <v>12.02</v>
      </c>
      <c r="E255" s="19">
        <f>SUM(D255:D260)</f>
        <v>136.173</v>
      </c>
      <c r="F255" s="17">
        <f>INT(MAX(D255:D260))</f>
        <v>39</v>
      </c>
      <c r="G255" s="14">
        <f>INT((F255/10)*2)</f>
        <v>7</v>
      </c>
      <c r="H255" s="14">
        <f>F255-G255</f>
        <v>32</v>
      </c>
    </row>
    <row r="256" spans="1:8" x14ac:dyDescent="0.3">
      <c r="A256" s="15"/>
      <c r="B256" s="15"/>
      <c r="C256" s="3" t="s">
        <v>10</v>
      </c>
      <c r="D256" s="2">
        <v>15.61</v>
      </c>
      <c r="E256" s="15"/>
      <c r="F256" s="15"/>
      <c r="G256" s="15"/>
      <c r="H256" s="15"/>
    </row>
    <row r="257" spans="1:8" x14ac:dyDescent="0.3">
      <c r="A257" s="15"/>
      <c r="B257" s="15"/>
      <c r="C257" s="3" t="s">
        <v>13</v>
      </c>
      <c r="D257" s="7">
        <v>36.999000000000002</v>
      </c>
      <c r="E257" s="15"/>
      <c r="F257" s="15"/>
      <c r="G257" s="15"/>
      <c r="H257" s="15"/>
    </row>
    <row r="258" spans="1:8" x14ac:dyDescent="0.3">
      <c r="A258" s="15"/>
      <c r="B258" s="15"/>
      <c r="C258" s="8" t="s">
        <v>15</v>
      </c>
      <c r="D258" s="2">
        <v>23.97</v>
      </c>
      <c r="E258" s="15"/>
      <c r="F258" s="15"/>
      <c r="G258" s="15"/>
      <c r="H258" s="15"/>
    </row>
    <row r="259" spans="1:8" x14ac:dyDescent="0.3">
      <c r="A259" s="15"/>
      <c r="B259" s="15"/>
      <c r="C259" s="3" t="s">
        <v>13</v>
      </c>
      <c r="D259" s="2">
        <v>8.49</v>
      </c>
      <c r="E259" s="15"/>
      <c r="F259" s="15"/>
      <c r="G259" s="15"/>
      <c r="H259" s="15"/>
    </row>
    <row r="260" spans="1:8" x14ac:dyDescent="0.3">
      <c r="A260" s="16"/>
      <c r="B260" s="16"/>
      <c r="C260" s="3" t="s">
        <v>14</v>
      </c>
      <c r="D260" s="7">
        <v>39.084000000000003</v>
      </c>
      <c r="E260" s="16"/>
      <c r="F260" s="16"/>
      <c r="G260" s="16"/>
      <c r="H260" s="16"/>
    </row>
    <row r="261" spans="1:8" x14ac:dyDescent="0.3">
      <c r="A261" s="18">
        <v>44</v>
      </c>
      <c r="B261" s="20">
        <v>44197</v>
      </c>
      <c r="C261" s="8" t="s">
        <v>11</v>
      </c>
      <c r="D261" s="2">
        <v>45.68</v>
      </c>
      <c r="E261" s="19">
        <f>SUM(D261:D266)</f>
        <v>224.48499999999999</v>
      </c>
      <c r="F261" s="17">
        <f>INT(MAX(D261:D266))</f>
        <v>106</v>
      </c>
      <c r="G261" s="14">
        <f>INT((F261/10)*2)</f>
        <v>21</v>
      </c>
      <c r="H261" s="14">
        <f>F261-G261</f>
        <v>85</v>
      </c>
    </row>
    <row r="262" spans="1:8" x14ac:dyDescent="0.3">
      <c r="A262" s="15"/>
      <c r="B262" s="15"/>
      <c r="C262" s="3" t="s">
        <v>15</v>
      </c>
      <c r="D262" s="2">
        <v>15.03</v>
      </c>
      <c r="E262" s="15"/>
      <c r="F262" s="15"/>
      <c r="G262" s="15"/>
      <c r="H262" s="15"/>
    </row>
    <row r="263" spans="1:8" x14ac:dyDescent="0.3">
      <c r="A263" s="15"/>
      <c r="B263" s="15"/>
      <c r="C263" s="3" t="s">
        <v>14</v>
      </c>
      <c r="D263" s="2">
        <v>14.11</v>
      </c>
      <c r="E263" s="15"/>
      <c r="F263" s="15"/>
      <c r="G263" s="15"/>
      <c r="H263" s="15"/>
    </row>
    <row r="264" spans="1:8" x14ac:dyDescent="0.3">
      <c r="A264" s="15"/>
      <c r="B264" s="15"/>
      <c r="C264" s="3" t="s">
        <v>18</v>
      </c>
      <c r="D264" s="2">
        <v>28.19</v>
      </c>
      <c r="E264" s="15"/>
      <c r="F264" s="15"/>
      <c r="G264" s="15"/>
      <c r="H264" s="15"/>
    </row>
    <row r="265" spans="1:8" x14ac:dyDescent="0.3">
      <c r="A265" s="15"/>
      <c r="B265" s="15"/>
      <c r="C265" s="3" t="s">
        <v>16</v>
      </c>
      <c r="D265" s="2">
        <v>14.58</v>
      </c>
      <c r="E265" s="15"/>
      <c r="F265" s="15"/>
      <c r="G265" s="15"/>
      <c r="H265" s="15"/>
    </row>
    <row r="266" spans="1:8" x14ac:dyDescent="0.3">
      <c r="A266" s="16"/>
      <c r="B266" s="16"/>
      <c r="C266" s="3" t="s">
        <v>9</v>
      </c>
      <c r="D266" s="7">
        <v>106.895</v>
      </c>
      <c r="E266" s="16"/>
      <c r="F266" s="16"/>
      <c r="G266" s="16"/>
      <c r="H266" s="16"/>
    </row>
    <row r="267" spans="1:8" x14ac:dyDescent="0.3">
      <c r="A267" s="18">
        <v>45</v>
      </c>
      <c r="B267" s="20">
        <v>44201</v>
      </c>
      <c r="C267" s="8" t="s">
        <v>11</v>
      </c>
      <c r="D267" s="2">
        <v>25.94</v>
      </c>
      <c r="E267" s="19">
        <f>SUM(D267:D272)</f>
        <v>130.77500000000001</v>
      </c>
      <c r="F267" s="17">
        <f>INT(MAX(D267:D272))</f>
        <v>53</v>
      </c>
      <c r="G267" s="14">
        <f>INT((F267/10)*2)</f>
        <v>10</v>
      </c>
      <c r="H267" s="14">
        <f>F267-G267</f>
        <v>43</v>
      </c>
    </row>
    <row r="268" spans="1:8" x14ac:dyDescent="0.3">
      <c r="A268" s="15"/>
      <c r="B268" s="15"/>
      <c r="C268" s="3" t="s">
        <v>8</v>
      </c>
      <c r="D268" s="2">
        <v>53.67</v>
      </c>
      <c r="E268" s="15"/>
      <c r="F268" s="15"/>
      <c r="G268" s="15"/>
      <c r="H268" s="15"/>
    </row>
    <row r="269" spans="1:8" x14ac:dyDescent="0.3">
      <c r="A269" s="15"/>
      <c r="B269" s="15"/>
      <c r="C269" s="3" t="s">
        <v>13</v>
      </c>
      <c r="D269" s="7">
        <v>9.3550000000000004</v>
      </c>
      <c r="E269" s="15"/>
      <c r="F269" s="15"/>
      <c r="G269" s="15"/>
      <c r="H269" s="15"/>
    </row>
    <row r="270" spans="1:8" x14ac:dyDescent="0.3">
      <c r="A270" s="15"/>
      <c r="B270" s="15"/>
      <c r="C270" s="8" t="s">
        <v>16</v>
      </c>
      <c r="D270" s="2">
        <v>21.44</v>
      </c>
      <c r="E270" s="15"/>
      <c r="F270" s="15"/>
      <c r="G270" s="15"/>
      <c r="H270" s="15"/>
    </row>
    <row r="271" spans="1:8" x14ac:dyDescent="0.3">
      <c r="A271" s="15"/>
      <c r="B271" s="15"/>
      <c r="C271" s="3" t="s">
        <v>15</v>
      </c>
      <c r="D271" s="2">
        <v>11.03</v>
      </c>
      <c r="E271" s="15"/>
      <c r="F271" s="15"/>
      <c r="G271" s="15"/>
      <c r="H271" s="15"/>
    </row>
    <row r="272" spans="1:8" x14ac:dyDescent="0.3">
      <c r="A272" s="16"/>
      <c r="B272" s="16"/>
      <c r="C272" s="3" t="s">
        <v>9</v>
      </c>
      <c r="D272" s="2">
        <v>9.34</v>
      </c>
      <c r="E272" s="16"/>
      <c r="F272" s="16"/>
      <c r="G272" s="16"/>
      <c r="H272" s="16"/>
    </row>
    <row r="273" spans="1:8" x14ac:dyDescent="0.3">
      <c r="A273" s="18">
        <v>46</v>
      </c>
      <c r="B273" s="20">
        <v>44204</v>
      </c>
      <c r="C273" s="3" t="s">
        <v>8</v>
      </c>
      <c r="D273" s="7">
        <v>51.533999999999999</v>
      </c>
      <c r="E273" s="19">
        <f>SUM(D273:D278)</f>
        <v>114.05100000000002</v>
      </c>
      <c r="F273" s="17">
        <f>INT(MAX(D273:D278))</f>
        <v>51</v>
      </c>
      <c r="G273" s="14">
        <f>INT((F273/10)*2)</f>
        <v>10</v>
      </c>
      <c r="H273" s="14">
        <f>F273-G273</f>
        <v>41</v>
      </c>
    </row>
    <row r="274" spans="1:8" x14ac:dyDescent="0.3">
      <c r="A274" s="15"/>
      <c r="B274" s="15"/>
      <c r="C274" s="8" t="s">
        <v>15</v>
      </c>
      <c r="D274" s="2">
        <v>21.52</v>
      </c>
      <c r="E274" s="15"/>
      <c r="F274" s="15"/>
      <c r="G274" s="15"/>
      <c r="H274" s="15"/>
    </row>
    <row r="275" spans="1:8" x14ac:dyDescent="0.3">
      <c r="A275" s="15"/>
      <c r="B275" s="15"/>
      <c r="C275" s="3" t="s">
        <v>16</v>
      </c>
      <c r="D275" s="2">
        <v>13.65</v>
      </c>
      <c r="E275" s="15"/>
      <c r="F275" s="15"/>
      <c r="G275" s="15"/>
      <c r="H275" s="15"/>
    </row>
    <row r="276" spans="1:8" x14ac:dyDescent="0.3">
      <c r="A276" s="15"/>
      <c r="B276" s="15"/>
      <c r="C276" s="3" t="s">
        <v>10</v>
      </c>
      <c r="D276" s="7">
        <v>7.3570000000000002</v>
      </c>
      <c r="E276" s="15"/>
      <c r="F276" s="15"/>
      <c r="G276" s="15"/>
      <c r="H276" s="15"/>
    </row>
    <row r="277" spans="1:8" x14ac:dyDescent="0.3">
      <c r="A277" s="15"/>
      <c r="B277" s="15"/>
      <c r="C277" s="8" t="s">
        <v>18</v>
      </c>
      <c r="D277" s="2">
        <v>5.42</v>
      </c>
      <c r="E277" s="15"/>
      <c r="F277" s="15"/>
      <c r="G277" s="15"/>
      <c r="H277" s="15"/>
    </row>
    <row r="278" spans="1:8" x14ac:dyDescent="0.3">
      <c r="A278" s="16"/>
      <c r="B278" s="16"/>
      <c r="C278" s="3" t="s">
        <v>16</v>
      </c>
      <c r="D278" s="2">
        <v>14.57</v>
      </c>
      <c r="E278" s="16"/>
      <c r="F278" s="16"/>
      <c r="G278" s="16"/>
      <c r="H278" s="16"/>
    </row>
    <row r="279" spans="1:8" x14ac:dyDescent="0.3">
      <c r="A279" s="18">
        <v>47</v>
      </c>
      <c r="B279" s="20">
        <v>44208</v>
      </c>
      <c r="C279" s="3" t="s">
        <v>17</v>
      </c>
      <c r="D279" s="7">
        <v>36.53</v>
      </c>
      <c r="E279" s="19">
        <f>SUM(D279:D284)</f>
        <v>325.7</v>
      </c>
      <c r="F279" s="17">
        <f>INT(MAX(D279:D284))</f>
        <v>155</v>
      </c>
      <c r="G279" s="14">
        <f>INT((F279/10)*2)</f>
        <v>31</v>
      </c>
      <c r="H279" s="14">
        <f>F279-G279</f>
        <v>124</v>
      </c>
    </row>
    <row r="280" spans="1:8" x14ac:dyDescent="0.3">
      <c r="A280" s="15"/>
      <c r="B280" s="15"/>
      <c r="C280" s="8" t="s">
        <v>8</v>
      </c>
      <c r="D280" s="2">
        <v>155.58000000000001</v>
      </c>
      <c r="E280" s="15"/>
      <c r="F280" s="15"/>
      <c r="G280" s="15"/>
      <c r="H280" s="15"/>
    </row>
    <row r="281" spans="1:8" x14ac:dyDescent="0.3">
      <c r="A281" s="15"/>
      <c r="B281" s="15"/>
      <c r="C281" s="3" t="s">
        <v>11</v>
      </c>
      <c r="D281" s="2">
        <v>24.47</v>
      </c>
      <c r="E281" s="15"/>
      <c r="F281" s="15"/>
      <c r="G281" s="15"/>
      <c r="H281" s="15"/>
    </row>
    <row r="282" spans="1:8" x14ac:dyDescent="0.3">
      <c r="A282" s="15"/>
      <c r="B282" s="15"/>
      <c r="C282" s="3" t="s">
        <v>16</v>
      </c>
      <c r="D282" s="2">
        <v>33.86</v>
      </c>
      <c r="E282" s="15"/>
      <c r="F282" s="15"/>
      <c r="G282" s="15"/>
      <c r="H282" s="15"/>
    </row>
    <row r="283" spans="1:8" x14ac:dyDescent="0.3">
      <c r="A283" s="15"/>
      <c r="B283" s="15"/>
      <c r="C283" s="3" t="s">
        <v>10</v>
      </c>
      <c r="D283" s="2">
        <v>36.049999999999997</v>
      </c>
      <c r="E283" s="15"/>
      <c r="F283" s="15"/>
      <c r="G283" s="15"/>
      <c r="H283" s="15"/>
    </row>
    <row r="284" spans="1:8" x14ac:dyDescent="0.3">
      <c r="A284" s="16"/>
      <c r="B284" s="16"/>
      <c r="C284" s="3" t="s">
        <v>12</v>
      </c>
      <c r="D284" s="2">
        <v>39.21</v>
      </c>
      <c r="E284" s="16"/>
      <c r="F284" s="16"/>
      <c r="G284" s="16"/>
      <c r="H284" s="16"/>
    </row>
    <row r="285" spans="1:8" x14ac:dyDescent="0.3">
      <c r="A285" s="18">
        <v>48</v>
      </c>
      <c r="B285" s="20">
        <v>44211</v>
      </c>
      <c r="C285" s="3" t="s">
        <v>14</v>
      </c>
      <c r="D285" s="7">
        <v>27.265000000000001</v>
      </c>
      <c r="E285" s="19">
        <f>SUM(D285:D290)</f>
        <v>184.626</v>
      </c>
      <c r="F285" s="17">
        <f>INT(MAX(D285:D290))</f>
        <v>61</v>
      </c>
      <c r="G285" s="14">
        <f>INT((F285/10)*2)</f>
        <v>12</v>
      </c>
      <c r="H285" s="14">
        <f>F285-G285</f>
        <v>49</v>
      </c>
    </row>
    <row r="286" spans="1:8" x14ac:dyDescent="0.3">
      <c r="A286" s="15"/>
      <c r="B286" s="15"/>
      <c r="C286" s="8" t="s">
        <v>16</v>
      </c>
      <c r="D286" s="2">
        <v>28.62</v>
      </c>
      <c r="E286" s="15"/>
      <c r="F286" s="15"/>
      <c r="G286" s="15"/>
      <c r="H286" s="15"/>
    </row>
    <row r="287" spans="1:8" x14ac:dyDescent="0.3">
      <c r="A287" s="15"/>
      <c r="B287" s="15"/>
      <c r="C287" s="3" t="s">
        <v>12</v>
      </c>
      <c r="D287" s="2">
        <v>17.78</v>
      </c>
      <c r="E287" s="15"/>
      <c r="F287" s="15"/>
      <c r="G287" s="15"/>
      <c r="H287" s="15"/>
    </row>
    <row r="288" spans="1:8" x14ac:dyDescent="0.3">
      <c r="A288" s="15"/>
      <c r="B288" s="15"/>
      <c r="C288" s="3" t="s">
        <v>9</v>
      </c>
      <c r="D288" s="2">
        <v>30.23</v>
      </c>
      <c r="E288" s="15"/>
      <c r="F288" s="15"/>
      <c r="G288" s="15"/>
      <c r="H288" s="15"/>
    </row>
    <row r="289" spans="1:8" x14ac:dyDescent="0.3">
      <c r="A289" s="15"/>
      <c r="B289" s="15"/>
      <c r="C289" s="3" t="s">
        <v>15</v>
      </c>
      <c r="D289" s="2">
        <v>61.94</v>
      </c>
      <c r="E289" s="15"/>
      <c r="F289" s="15"/>
      <c r="G289" s="15"/>
      <c r="H289" s="15"/>
    </row>
    <row r="290" spans="1:8" x14ac:dyDescent="0.3">
      <c r="A290" s="16"/>
      <c r="B290" s="16"/>
      <c r="C290" s="3" t="s">
        <v>11</v>
      </c>
      <c r="D290" s="7">
        <v>18.791</v>
      </c>
      <c r="E290" s="16"/>
      <c r="F290" s="16"/>
      <c r="G290" s="16"/>
      <c r="H290" s="16"/>
    </row>
    <row r="291" spans="1:8" x14ac:dyDescent="0.3">
      <c r="A291" s="18">
        <v>49</v>
      </c>
      <c r="B291" s="20">
        <v>44215</v>
      </c>
      <c r="C291" s="8" t="s">
        <v>16</v>
      </c>
      <c r="D291" s="2">
        <v>32.5</v>
      </c>
      <c r="E291" s="19">
        <f>SUM(D291:D296)</f>
        <v>314.65300000000002</v>
      </c>
      <c r="F291" s="17">
        <f>INT(MAX(D291:D296))</f>
        <v>151</v>
      </c>
      <c r="G291" s="14">
        <f>INT((F291/10)*2)</f>
        <v>30</v>
      </c>
      <c r="H291" s="14">
        <f>F291-G291</f>
        <v>121</v>
      </c>
    </row>
    <row r="292" spans="1:8" x14ac:dyDescent="0.3">
      <c r="A292" s="15"/>
      <c r="B292" s="15"/>
      <c r="C292" s="3" t="s">
        <v>12</v>
      </c>
      <c r="D292" s="2">
        <v>51.95</v>
      </c>
      <c r="E292" s="15"/>
      <c r="F292" s="15"/>
      <c r="G292" s="15"/>
      <c r="H292" s="15"/>
    </row>
    <row r="293" spans="1:8" x14ac:dyDescent="0.3">
      <c r="A293" s="15"/>
      <c r="B293" s="15"/>
      <c r="C293" s="3" t="s">
        <v>11</v>
      </c>
      <c r="D293" s="2">
        <v>20.03</v>
      </c>
      <c r="E293" s="15"/>
      <c r="F293" s="15"/>
      <c r="G293" s="15"/>
      <c r="H293" s="15"/>
    </row>
    <row r="294" spans="1:8" x14ac:dyDescent="0.3">
      <c r="A294" s="15"/>
      <c r="B294" s="15"/>
      <c r="C294" s="3" t="s">
        <v>18</v>
      </c>
      <c r="D294" s="2">
        <v>47.35</v>
      </c>
      <c r="E294" s="15"/>
      <c r="F294" s="15"/>
      <c r="G294" s="15"/>
      <c r="H294" s="15"/>
    </row>
    <row r="295" spans="1:8" x14ac:dyDescent="0.3">
      <c r="A295" s="15"/>
      <c r="B295" s="15"/>
      <c r="C295" s="3" t="s">
        <v>15</v>
      </c>
      <c r="D295" s="2">
        <v>11.58</v>
      </c>
      <c r="E295" s="15"/>
      <c r="F295" s="15"/>
      <c r="G295" s="15"/>
      <c r="H295" s="15"/>
    </row>
    <row r="296" spans="1:8" x14ac:dyDescent="0.3">
      <c r="A296" s="16"/>
      <c r="B296" s="16"/>
      <c r="C296" s="3" t="s">
        <v>10</v>
      </c>
      <c r="D296" s="7">
        <v>151.24299999999999</v>
      </c>
      <c r="E296" s="16"/>
      <c r="F296" s="16"/>
      <c r="G296" s="16"/>
      <c r="H296" s="16"/>
    </row>
    <row r="297" spans="1:8" x14ac:dyDescent="0.3">
      <c r="A297" s="18">
        <v>50</v>
      </c>
      <c r="B297" s="20">
        <v>44218</v>
      </c>
      <c r="C297" s="8" t="s">
        <v>13</v>
      </c>
      <c r="D297" s="2">
        <v>194.98</v>
      </c>
      <c r="E297" s="19">
        <f>SUM(D297:D302)</f>
        <v>385.50800000000004</v>
      </c>
      <c r="F297" s="17">
        <f>INT(MAX(D297:D302))</f>
        <v>194</v>
      </c>
      <c r="G297" s="14">
        <f>INT((F297/10)*2)</f>
        <v>38</v>
      </c>
      <c r="H297" s="14">
        <f>F297-G297</f>
        <v>156</v>
      </c>
    </row>
    <row r="298" spans="1:8" x14ac:dyDescent="0.3">
      <c r="A298" s="15"/>
      <c r="B298" s="15"/>
      <c r="C298" s="3" t="s">
        <v>11</v>
      </c>
      <c r="D298" s="2">
        <v>80</v>
      </c>
      <c r="E298" s="15"/>
      <c r="F298" s="15"/>
      <c r="G298" s="15"/>
      <c r="H298" s="15"/>
    </row>
    <row r="299" spans="1:8" x14ac:dyDescent="0.3">
      <c r="A299" s="15"/>
      <c r="B299" s="15"/>
      <c r="C299" s="3" t="s">
        <v>14</v>
      </c>
      <c r="D299" s="2">
        <v>60</v>
      </c>
      <c r="E299" s="15"/>
      <c r="F299" s="15"/>
      <c r="G299" s="15"/>
      <c r="H299" s="15"/>
    </row>
    <row r="300" spans="1:8" x14ac:dyDescent="0.3">
      <c r="A300" s="15"/>
      <c r="B300" s="15"/>
      <c r="C300" s="3" t="s">
        <v>17</v>
      </c>
      <c r="D300" s="7">
        <v>9.6180000000000003</v>
      </c>
      <c r="E300" s="15"/>
      <c r="F300" s="15"/>
      <c r="G300" s="15"/>
      <c r="H300" s="15"/>
    </row>
    <row r="301" spans="1:8" x14ac:dyDescent="0.3">
      <c r="A301" s="15"/>
      <c r="B301" s="15"/>
      <c r="C301" s="8" t="s">
        <v>8</v>
      </c>
      <c r="D301" s="2">
        <v>27.29</v>
      </c>
      <c r="E301" s="15"/>
      <c r="F301" s="15"/>
      <c r="G301" s="15"/>
      <c r="H301" s="15"/>
    </row>
    <row r="302" spans="1:8" x14ac:dyDescent="0.3">
      <c r="A302" s="16"/>
      <c r="B302" s="16"/>
      <c r="C302" s="3" t="s">
        <v>13</v>
      </c>
      <c r="D302" s="2">
        <v>13.62</v>
      </c>
      <c r="E302" s="16"/>
      <c r="F302" s="16"/>
      <c r="G302" s="16"/>
      <c r="H302" s="16"/>
    </row>
    <row r="303" spans="1:8" x14ac:dyDescent="0.3">
      <c r="A303" s="18">
        <v>51</v>
      </c>
      <c r="B303" s="20">
        <v>44222</v>
      </c>
      <c r="C303" s="3" t="s">
        <v>15</v>
      </c>
      <c r="D303" s="2">
        <v>13.72</v>
      </c>
      <c r="E303" s="19">
        <f>SUM(D303:D308)</f>
        <v>159.69999999999999</v>
      </c>
      <c r="F303" s="17">
        <f>INT(MAX(D303:D308))</f>
        <v>76</v>
      </c>
      <c r="G303" s="14">
        <f>INT((F303/10)*2)</f>
        <v>15</v>
      </c>
      <c r="H303" s="14">
        <f>F303-G303</f>
        <v>61</v>
      </c>
    </row>
    <row r="304" spans="1:8" x14ac:dyDescent="0.3">
      <c r="A304" s="15"/>
      <c r="B304" s="15"/>
      <c r="C304" s="3" t="s">
        <v>14</v>
      </c>
      <c r="D304" s="2">
        <v>6.05</v>
      </c>
      <c r="E304" s="15"/>
      <c r="F304" s="15"/>
      <c r="G304" s="15"/>
      <c r="H304" s="15"/>
    </row>
    <row r="305" spans="1:8" x14ac:dyDescent="0.3">
      <c r="A305" s="15"/>
      <c r="B305" s="15"/>
      <c r="C305" s="3" t="s">
        <v>18</v>
      </c>
      <c r="D305" s="2">
        <v>15.62</v>
      </c>
      <c r="E305" s="15"/>
      <c r="F305" s="15"/>
      <c r="G305" s="15"/>
      <c r="H305" s="15"/>
    </row>
    <row r="306" spans="1:8" x14ac:dyDescent="0.3">
      <c r="A306" s="15"/>
      <c r="B306" s="15"/>
      <c r="C306" s="3" t="s">
        <v>9</v>
      </c>
      <c r="D306" s="7">
        <v>76.8</v>
      </c>
      <c r="E306" s="15"/>
      <c r="F306" s="15"/>
      <c r="G306" s="15"/>
      <c r="H306" s="15"/>
    </row>
    <row r="307" spans="1:8" x14ac:dyDescent="0.3">
      <c r="A307" s="15"/>
      <c r="B307" s="15"/>
      <c r="C307" s="8" t="s">
        <v>16</v>
      </c>
      <c r="D307" s="2">
        <v>32.53</v>
      </c>
      <c r="E307" s="15"/>
      <c r="F307" s="15"/>
      <c r="G307" s="15"/>
      <c r="H307" s="15"/>
    </row>
    <row r="308" spans="1:8" x14ac:dyDescent="0.3">
      <c r="A308" s="16"/>
      <c r="B308" s="16"/>
      <c r="C308" s="3" t="s">
        <v>12</v>
      </c>
      <c r="D308" s="2">
        <v>14.98</v>
      </c>
      <c r="E308" s="16"/>
      <c r="F308" s="16"/>
      <c r="G308" s="16"/>
      <c r="H308" s="16"/>
    </row>
    <row r="309" spans="1:8" x14ac:dyDescent="0.3">
      <c r="A309" s="18">
        <v>52</v>
      </c>
      <c r="B309" s="20">
        <v>44225</v>
      </c>
      <c r="C309" s="3" t="s">
        <v>18</v>
      </c>
      <c r="D309" s="2">
        <v>34.71</v>
      </c>
      <c r="E309" s="19">
        <f>SUM(D309:D314)</f>
        <v>140.67200000000003</v>
      </c>
      <c r="F309" s="17">
        <f>INT(MAX(D309:D314))</f>
        <v>65</v>
      </c>
      <c r="G309" s="14">
        <f>INT((F309/10)*2)</f>
        <v>13</v>
      </c>
      <c r="H309" s="14">
        <f>F309-G309</f>
        <v>52</v>
      </c>
    </row>
    <row r="310" spans="1:8" x14ac:dyDescent="0.3">
      <c r="A310" s="15"/>
      <c r="B310" s="15"/>
      <c r="C310" s="3" t="s">
        <v>14</v>
      </c>
      <c r="D310" s="2">
        <v>65.040000000000006</v>
      </c>
      <c r="E310" s="15"/>
      <c r="F310" s="15"/>
      <c r="G310" s="15"/>
      <c r="H310" s="15"/>
    </row>
    <row r="311" spans="1:8" x14ac:dyDescent="0.3">
      <c r="A311" s="15"/>
      <c r="B311" s="15"/>
      <c r="C311" s="3" t="s">
        <v>11</v>
      </c>
      <c r="D311" s="7">
        <v>9.6319999999999997</v>
      </c>
      <c r="E311" s="15"/>
      <c r="F311" s="15"/>
      <c r="G311" s="15"/>
      <c r="H311" s="15"/>
    </row>
    <row r="312" spans="1:8" x14ac:dyDescent="0.3">
      <c r="A312" s="15"/>
      <c r="B312" s="15"/>
      <c r="C312" s="8" t="s">
        <v>18</v>
      </c>
      <c r="D312" s="2">
        <v>10.53</v>
      </c>
      <c r="E312" s="15"/>
      <c r="F312" s="15"/>
      <c r="G312" s="15"/>
      <c r="H312" s="15"/>
    </row>
    <row r="313" spans="1:8" x14ac:dyDescent="0.3">
      <c r="A313" s="15"/>
      <c r="B313" s="15"/>
      <c r="C313" s="3" t="s">
        <v>9</v>
      </c>
      <c r="D313" s="2">
        <v>8.4</v>
      </c>
      <c r="E313" s="15"/>
      <c r="F313" s="15"/>
      <c r="G313" s="15"/>
      <c r="H313" s="15"/>
    </row>
    <row r="314" spans="1:8" x14ac:dyDescent="0.3">
      <c r="A314" s="16"/>
      <c r="B314" s="16"/>
      <c r="C314" s="3" t="s">
        <v>8</v>
      </c>
      <c r="D314" s="2">
        <v>12.36</v>
      </c>
      <c r="E314" s="16"/>
      <c r="F314" s="16"/>
      <c r="G314" s="16"/>
      <c r="H314" s="16"/>
    </row>
    <row r="315" spans="1:8" x14ac:dyDescent="0.3">
      <c r="A315" s="18">
        <v>53</v>
      </c>
      <c r="B315" s="20">
        <v>44229</v>
      </c>
      <c r="C315" s="3" t="s">
        <v>17</v>
      </c>
      <c r="D315" s="7">
        <v>5.33</v>
      </c>
      <c r="E315" s="19">
        <f>SUM(D315:D320)</f>
        <v>83.19</v>
      </c>
      <c r="F315" s="17">
        <f>INT(MAX(D315:D320))</f>
        <v>27</v>
      </c>
      <c r="G315" s="14">
        <f>INT((F315/10)*2)</f>
        <v>5</v>
      </c>
      <c r="H315" s="14">
        <f>F315-G315</f>
        <v>22</v>
      </c>
    </row>
    <row r="316" spans="1:8" x14ac:dyDescent="0.3">
      <c r="A316" s="15"/>
      <c r="B316" s="15"/>
      <c r="C316" s="8" t="s">
        <v>10</v>
      </c>
      <c r="D316" s="2">
        <v>9.5500000000000007</v>
      </c>
      <c r="E316" s="15"/>
      <c r="F316" s="15"/>
      <c r="G316" s="15"/>
      <c r="H316" s="15"/>
    </row>
    <row r="317" spans="1:8" x14ac:dyDescent="0.3">
      <c r="A317" s="15"/>
      <c r="B317" s="15"/>
      <c r="C317" s="3" t="s">
        <v>9</v>
      </c>
      <c r="D317" s="2">
        <v>7.69</v>
      </c>
      <c r="E317" s="15"/>
      <c r="F317" s="15"/>
      <c r="G317" s="15"/>
      <c r="H317" s="15"/>
    </row>
    <row r="318" spans="1:8" x14ac:dyDescent="0.3">
      <c r="A318" s="15"/>
      <c r="B318" s="15"/>
      <c r="C318" s="3" t="s">
        <v>14</v>
      </c>
      <c r="D318" s="7">
        <v>27.7</v>
      </c>
      <c r="E318" s="15"/>
      <c r="F318" s="15"/>
      <c r="G318" s="15"/>
      <c r="H318" s="15"/>
    </row>
    <row r="319" spans="1:8" x14ac:dyDescent="0.3">
      <c r="A319" s="15"/>
      <c r="B319" s="15"/>
      <c r="C319" s="8" t="s">
        <v>13</v>
      </c>
      <c r="D319" s="2">
        <v>11.47</v>
      </c>
      <c r="E319" s="15"/>
      <c r="F319" s="15"/>
      <c r="G319" s="15"/>
      <c r="H319" s="15"/>
    </row>
    <row r="320" spans="1:8" x14ac:dyDescent="0.3">
      <c r="A320" s="16"/>
      <c r="B320" s="16"/>
      <c r="C320" s="3" t="s">
        <v>12</v>
      </c>
      <c r="D320" s="2">
        <v>21.45</v>
      </c>
      <c r="E320" s="16"/>
      <c r="F320" s="16"/>
      <c r="G320" s="16"/>
      <c r="H320" s="16"/>
    </row>
    <row r="321" spans="1:8" x14ac:dyDescent="0.3">
      <c r="A321" s="18">
        <v>54</v>
      </c>
      <c r="B321" s="20">
        <v>44232</v>
      </c>
      <c r="C321" s="3" t="s">
        <v>15</v>
      </c>
      <c r="D321" s="2">
        <v>3.76</v>
      </c>
      <c r="E321" s="19">
        <f>SUM(D321:D326)</f>
        <v>159.226</v>
      </c>
      <c r="F321" s="17">
        <f>INT(MAX(D321:D326))</f>
        <v>116</v>
      </c>
      <c r="G321" s="14">
        <f>INT((F321/10)*2)</f>
        <v>23</v>
      </c>
      <c r="H321" s="14">
        <f>F321-G321</f>
        <v>93</v>
      </c>
    </row>
    <row r="322" spans="1:8" x14ac:dyDescent="0.3">
      <c r="A322" s="15"/>
      <c r="B322" s="15"/>
      <c r="C322" s="3" t="s">
        <v>10</v>
      </c>
      <c r="D322" s="7">
        <v>5.1280000000000001</v>
      </c>
      <c r="E322" s="15"/>
      <c r="F322" s="15"/>
      <c r="G322" s="15"/>
      <c r="H322" s="15"/>
    </row>
    <row r="323" spans="1:8" x14ac:dyDescent="0.3">
      <c r="A323" s="15"/>
      <c r="B323" s="15"/>
      <c r="C323" s="8" t="s">
        <v>17</v>
      </c>
      <c r="D323" s="2">
        <v>7.19</v>
      </c>
      <c r="E323" s="15"/>
      <c r="F323" s="15"/>
      <c r="G323" s="15"/>
      <c r="H323" s="15"/>
    </row>
    <row r="324" spans="1:8" x14ac:dyDescent="0.3">
      <c r="A324" s="15"/>
      <c r="B324" s="15"/>
      <c r="C324" s="3" t="s">
        <v>8</v>
      </c>
      <c r="D324" s="2">
        <v>11.61</v>
      </c>
      <c r="E324" s="15"/>
      <c r="F324" s="15"/>
      <c r="G324" s="15"/>
      <c r="H324" s="15"/>
    </row>
    <row r="325" spans="1:8" x14ac:dyDescent="0.3">
      <c r="A325" s="15"/>
      <c r="B325" s="15"/>
      <c r="C325" s="3" t="s">
        <v>14</v>
      </c>
      <c r="D325" s="7">
        <v>116.688</v>
      </c>
      <c r="E325" s="15"/>
      <c r="F325" s="15"/>
      <c r="G325" s="15"/>
      <c r="H325" s="15"/>
    </row>
    <row r="326" spans="1:8" x14ac:dyDescent="0.3">
      <c r="A326" s="16"/>
      <c r="B326" s="16"/>
      <c r="C326" s="8" t="s">
        <v>11</v>
      </c>
      <c r="D326" s="2">
        <v>14.85</v>
      </c>
      <c r="E326" s="16"/>
      <c r="F326" s="16"/>
      <c r="G326" s="16"/>
      <c r="H326" s="16"/>
    </row>
    <row r="327" spans="1:8" x14ac:dyDescent="0.3">
      <c r="A327" s="18">
        <v>55</v>
      </c>
      <c r="B327" s="20">
        <v>44236</v>
      </c>
      <c r="C327" s="3" t="s">
        <v>18</v>
      </c>
      <c r="D327" s="2">
        <v>45.7</v>
      </c>
      <c r="E327" s="19">
        <f>SUM(D327:D332)</f>
        <v>199.96699999999998</v>
      </c>
      <c r="F327" s="17">
        <f>INT(MAX(D327:D332))</f>
        <v>45</v>
      </c>
      <c r="G327" s="14">
        <f>INT((F327/10)*2)</f>
        <v>9</v>
      </c>
      <c r="H327" s="14">
        <f>F327-G327</f>
        <v>36</v>
      </c>
    </row>
    <row r="328" spans="1:8" x14ac:dyDescent="0.3">
      <c r="A328" s="15"/>
      <c r="B328" s="15"/>
      <c r="C328" s="3" t="s">
        <v>15</v>
      </c>
      <c r="D328" s="2">
        <v>22.47</v>
      </c>
      <c r="E328" s="15"/>
      <c r="F328" s="15"/>
      <c r="G328" s="15"/>
      <c r="H328" s="15"/>
    </row>
    <row r="329" spans="1:8" x14ac:dyDescent="0.3">
      <c r="A329" s="15"/>
      <c r="B329" s="15"/>
      <c r="C329" s="3" t="s">
        <v>10</v>
      </c>
      <c r="D329" s="2">
        <v>17.46</v>
      </c>
      <c r="E329" s="15"/>
      <c r="F329" s="15"/>
      <c r="G329" s="15"/>
      <c r="H329" s="15"/>
    </row>
    <row r="330" spans="1:8" x14ac:dyDescent="0.3">
      <c r="A330" s="15"/>
      <c r="B330" s="15"/>
      <c r="C330" s="3" t="s">
        <v>14</v>
      </c>
      <c r="D330" s="7">
        <v>31.177</v>
      </c>
      <c r="E330" s="15"/>
      <c r="F330" s="15"/>
      <c r="G330" s="15"/>
      <c r="H330" s="15"/>
    </row>
    <row r="331" spans="1:8" x14ac:dyDescent="0.3">
      <c r="A331" s="15"/>
      <c r="B331" s="15"/>
      <c r="C331" s="8" t="s">
        <v>10</v>
      </c>
      <c r="D331" s="2">
        <v>42.02</v>
      </c>
      <c r="E331" s="15"/>
      <c r="F331" s="15"/>
      <c r="G331" s="15"/>
      <c r="H331" s="15"/>
    </row>
    <row r="332" spans="1:8" x14ac:dyDescent="0.3">
      <c r="A332" s="16"/>
      <c r="B332" s="16"/>
      <c r="C332" s="3" t="s">
        <v>9</v>
      </c>
      <c r="D332" s="2">
        <v>41.14</v>
      </c>
      <c r="E332" s="16"/>
      <c r="F332" s="16"/>
      <c r="G332" s="16"/>
      <c r="H332" s="16"/>
    </row>
    <row r="333" spans="1:8" x14ac:dyDescent="0.3">
      <c r="A333" s="18">
        <v>56</v>
      </c>
      <c r="B333" s="20">
        <v>44239</v>
      </c>
      <c r="C333" s="3" t="s">
        <v>15</v>
      </c>
      <c r="D333" s="7">
        <v>16.652000000000001</v>
      </c>
      <c r="E333" s="19">
        <f>SUM(D333:D338)</f>
        <v>97.313000000000002</v>
      </c>
      <c r="F333" s="17">
        <f>INT(MAX(D333:D338))</f>
        <v>21</v>
      </c>
      <c r="G333" s="14">
        <f>INT((F333/10)*2)</f>
        <v>4</v>
      </c>
      <c r="H333" s="14">
        <f>F333-G333</f>
        <v>17</v>
      </c>
    </row>
    <row r="334" spans="1:8" x14ac:dyDescent="0.3">
      <c r="A334" s="15"/>
      <c r="B334" s="15"/>
      <c r="C334" s="8" t="s">
        <v>10</v>
      </c>
      <c r="D334" s="2">
        <v>14.9</v>
      </c>
      <c r="E334" s="15"/>
      <c r="F334" s="15"/>
      <c r="G334" s="15"/>
      <c r="H334" s="15"/>
    </row>
    <row r="335" spans="1:8" x14ac:dyDescent="0.3">
      <c r="A335" s="15"/>
      <c r="B335" s="15"/>
      <c r="C335" s="3" t="s">
        <v>18</v>
      </c>
      <c r="D335" s="2">
        <v>12.82</v>
      </c>
      <c r="E335" s="15"/>
      <c r="F335" s="15"/>
      <c r="G335" s="15"/>
      <c r="H335" s="15"/>
    </row>
    <row r="336" spans="1:8" x14ac:dyDescent="0.3">
      <c r="A336" s="15"/>
      <c r="B336" s="15"/>
      <c r="C336" s="3" t="s">
        <v>16</v>
      </c>
      <c r="D336" s="2">
        <v>16.760000000000002</v>
      </c>
      <c r="E336" s="15"/>
      <c r="F336" s="15"/>
      <c r="G336" s="15"/>
      <c r="H336" s="15"/>
    </row>
    <row r="337" spans="1:8" x14ac:dyDescent="0.3">
      <c r="A337" s="15"/>
      <c r="B337" s="15"/>
      <c r="C337" s="3" t="s">
        <v>17</v>
      </c>
      <c r="D337" s="7">
        <v>14.621</v>
      </c>
      <c r="E337" s="15"/>
      <c r="F337" s="15"/>
      <c r="G337" s="15"/>
      <c r="H337" s="15"/>
    </row>
    <row r="338" spans="1:8" x14ac:dyDescent="0.3">
      <c r="A338" s="16"/>
      <c r="B338" s="16"/>
      <c r="C338" s="8" t="s">
        <v>16</v>
      </c>
      <c r="D338" s="2">
        <v>21.56</v>
      </c>
      <c r="E338" s="16"/>
      <c r="F338" s="16"/>
      <c r="G338" s="16"/>
      <c r="H338" s="16"/>
    </row>
    <row r="339" spans="1:8" x14ac:dyDescent="0.3">
      <c r="A339" s="18">
        <v>57</v>
      </c>
      <c r="B339" s="20">
        <v>44243</v>
      </c>
      <c r="C339" s="3" t="s">
        <v>8</v>
      </c>
      <c r="D339" s="2">
        <v>20.98</v>
      </c>
      <c r="E339" s="19">
        <f>SUM(D339:D344)</f>
        <v>216.40299999999996</v>
      </c>
      <c r="F339" s="17">
        <f>INT(MAX(D339:D344))</f>
        <v>68</v>
      </c>
      <c r="G339" s="14">
        <f>INT((F339/10)*2)</f>
        <v>13</v>
      </c>
      <c r="H339" s="14">
        <f>F339-G339</f>
        <v>55</v>
      </c>
    </row>
    <row r="340" spans="1:8" x14ac:dyDescent="0.3">
      <c r="A340" s="15"/>
      <c r="B340" s="15"/>
      <c r="C340" s="3" t="s">
        <v>15</v>
      </c>
      <c r="D340" s="7">
        <v>30.879000000000001</v>
      </c>
      <c r="E340" s="15"/>
      <c r="F340" s="15"/>
      <c r="G340" s="15"/>
      <c r="H340" s="15"/>
    </row>
    <row r="341" spans="1:8" x14ac:dyDescent="0.3">
      <c r="A341" s="15"/>
      <c r="B341" s="15"/>
      <c r="C341" s="8" t="s">
        <v>9</v>
      </c>
      <c r="D341" s="2">
        <v>50.86</v>
      </c>
      <c r="E341" s="15"/>
      <c r="F341" s="15"/>
      <c r="G341" s="15"/>
      <c r="H341" s="15"/>
    </row>
    <row r="342" spans="1:8" x14ac:dyDescent="0.3">
      <c r="A342" s="15"/>
      <c r="B342" s="15"/>
      <c r="C342" s="3" t="s">
        <v>11</v>
      </c>
      <c r="D342" s="2">
        <v>18.38</v>
      </c>
      <c r="E342" s="15"/>
      <c r="F342" s="15"/>
      <c r="G342" s="15"/>
      <c r="H342" s="15"/>
    </row>
    <row r="343" spans="1:8" x14ac:dyDescent="0.3">
      <c r="A343" s="15"/>
      <c r="B343" s="15"/>
      <c r="C343" s="3" t="s">
        <v>14</v>
      </c>
      <c r="D343" s="7">
        <v>68.724000000000004</v>
      </c>
      <c r="E343" s="15"/>
      <c r="F343" s="15"/>
      <c r="G343" s="15"/>
      <c r="H343" s="15"/>
    </row>
    <row r="344" spans="1:8" x14ac:dyDescent="0.3">
      <c r="A344" s="16"/>
      <c r="B344" s="16"/>
      <c r="C344" s="8" t="s">
        <v>13</v>
      </c>
      <c r="D344" s="2">
        <v>26.58</v>
      </c>
      <c r="E344" s="16"/>
      <c r="F344" s="16"/>
      <c r="G344" s="16"/>
      <c r="H344" s="16"/>
    </row>
    <row r="345" spans="1:8" x14ac:dyDescent="0.3">
      <c r="A345" s="18">
        <v>58</v>
      </c>
      <c r="B345" s="20">
        <v>44246</v>
      </c>
      <c r="C345" s="3" t="s">
        <v>12</v>
      </c>
      <c r="D345" s="2">
        <v>83.95</v>
      </c>
      <c r="E345" s="19">
        <f>SUM(D345:D350)</f>
        <v>184.328</v>
      </c>
      <c r="F345" s="17">
        <f>INT(MAX(D345:D350))</f>
        <v>83</v>
      </c>
      <c r="G345" s="14">
        <f>INT((F345/10)*2)</f>
        <v>16</v>
      </c>
      <c r="H345" s="14">
        <f>F345-G345</f>
        <v>67</v>
      </c>
    </row>
    <row r="346" spans="1:8" x14ac:dyDescent="0.3">
      <c r="A346" s="15"/>
      <c r="B346" s="15"/>
      <c r="C346" s="3" t="s">
        <v>15</v>
      </c>
      <c r="D346" s="2">
        <v>20.63</v>
      </c>
      <c r="E346" s="15"/>
      <c r="F346" s="15"/>
      <c r="G346" s="15"/>
      <c r="H346" s="15"/>
    </row>
    <row r="347" spans="1:8" x14ac:dyDescent="0.3">
      <c r="A347" s="15"/>
      <c r="B347" s="15"/>
      <c r="C347" s="3" t="s">
        <v>14</v>
      </c>
      <c r="D347" s="2">
        <v>32.869999999999997</v>
      </c>
      <c r="E347" s="15"/>
      <c r="F347" s="15"/>
      <c r="G347" s="15"/>
      <c r="H347" s="15"/>
    </row>
    <row r="348" spans="1:8" x14ac:dyDescent="0.3">
      <c r="A348" s="15"/>
      <c r="B348" s="15"/>
      <c r="C348" s="3" t="s">
        <v>9</v>
      </c>
      <c r="D348" s="2">
        <v>25.74</v>
      </c>
      <c r="E348" s="15"/>
      <c r="F348" s="15"/>
      <c r="G348" s="15"/>
      <c r="H348" s="15"/>
    </row>
    <row r="349" spans="1:8" x14ac:dyDescent="0.3">
      <c r="A349" s="15"/>
      <c r="B349" s="15"/>
      <c r="C349" s="3" t="s">
        <v>16</v>
      </c>
      <c r="D349" s="7">
        <v>8.3979999999999997</v>
      </c>
      <c r="E349" s="15"/>
      <c r="F349" s="15"/>
      <c r="G349" s="15"/>
      <c r="H349" s="15"/>
    </row>
    <row r="350" spans="1:8" x14ac:dyDescent="0.3">
      <c r="A350" s="16"/>
      <c r="B350" s="16"/>
      <c r="C350" s="8" t="s">
        <v>8</v>
      </c>
      <c r="D350" s="2">
        <v>12.74</v>
      </c>
      <c r="E350" s="16"/>
      <c r="F350" s="16"/>
      <c r="G350" s="16"/>
      <c r="H350" s="16"/>
    </row>
    <row r="351" spans="1:8" x14ac:dyDescent="0.3">
      <c r="A351" s="18">
        <v>59</v>
      </c>
      <c r="B351" s="20">
        <v>44250</v>
      </c>
      <c r="C351" s="3" t="s">
        <v>16</v>
      </c>
      <c r="D351" s="2">
        <v>25.67</v>
      </c>
      <c r="E351" s="19">
        <f>SUM(D351:D356)</f>
        <v>88.51</v>
      </c>
      <c r="F351" s="17">
        <f>INT(MAX(D351:D356))</f>
        <v>25</v>
      </c>
      <c r="G351" s="14">
        <f>INT((F351/10)*2)</f>
        <v>5</v>
      </c>
      <c r="H351" s="14">
        <f>F351-G351</f>
        <v>20</v>
      </c>
    </row>
    <row r="352" spans="1:8" x14ac:dyDescent="0.3">
      <c r="A352" s="15"/>
      <c r="B352" s="15"/>
      <c r="C352" s="3" t="s">
        <v>15</v>
      </c>
      <c r="D352" s="2">
        <v>21.53</v>
      </c>
      <c r="E352" s="15"/>
      <c r="F352" s="15"/>
      <c r="G352" s="15"/>
      <c r="H352" s="15"/>
    </row>
    <row r="353" spans="1:8" x14ac:dyDescent="0.3">
      <c r="A353" s="15"/>
      <c r="B353" s="15"/>
      <c r="C353" s="3" t="s">
        <v>9</v>
      </c>
      <c r="D353" s="7">
        <v>12.17</v>
      </c>
      <c r="E353" s="15"/>
      <c r="F353" s="15"/>
      <c r="G353" s="15"/>
      <c r="H353" s="15"/>
    </row>
    <row r="354" spans="1:8" x14ac:dyDescent="0.3">
      <c r="A354" s="15"/>
      <c r="B354" s="15"/>
      <c r="C354" s="8" t="s">
        <v>15</v>
      </c>
      <c r="D354" s="2">
        <v>10.06</v>
      </c>
      <c r="E354" s="15"/>
      <c r="F354" s="15"/>
      <c r="G354" s="15"/>
      <c r="H354" s="15"/>
    </row>
    <row r="355" spans="1:8" x14ac:dyDescent="0.3">
      <c r="A355" s="15"/>
      <c r="B355" s="15"/>
      <c r="C355" s="3" t="s">
        <v>8</v>
      </c>
      <c r="D355" s="2">
        <v>11.35</v>
      </c>
      <c r="E355" s="15"/>
      <c r="F355" s="15"/>
      <c r="G355" s="15"/>
      <c r="H355" s="15"/>
    </row>
    <row r="356" spans="1:8" x14ac:dyDescent="0.3">
      <c r="A356" s="16"/>
      <c r="B356" s="16"/>
      <c r="C356" s="3" t="s">
        <v>12</v>
      </c>
      <c r="D356" s="2">
        <v>7.73</v>
      </c>
      <c r="E356" s="16"/>
      <c r="F356" s="16"/>
      <c r="G356" s="16"/>
      <c r="H356" s="16"/>
    </row>
    <row r="357" spans="1:8" x14ac:dyDescent="0.3">
      <c r="A357" s="18">
        <v>60</v>
      </c>
      <c r="B357" s="20">
        <v>44253</v>
      </c>
      <c r="C357" s="3" t="s">
        <v>18</v>
      </c>
      <c r="D357" s="2">
        <v>23.53</v>
      </c>
      <c r="E357" s="19">
        <f>SUM(D357:D362)</f>
        <v>190.24600000000001</v>
      </c>
      <c r="F357" s="17">
        <f>INT(MAX(D357:D362))</f>
        <v>69</v>
      </c>
      <c r="G357" s="14">
        <f>INT((F357/10)*2)</f>
        <v>13</v>
      </c>
      <c r="H357" s="14">
        <f>F357-G357</f>
        <v>56</v>
      </c>
    </row>
    <row r="358" spans="1:8" x14ac:dyDescent="0.3">
      <c r="A358" s="15"/>
      <c r="B358" s="15"/>
      <c r="C358" s="3" t="s">
        <v>13</v>
      </c>
      <c r="D358" s="7">
        <v>11.166</v>
      </c>
      <c r="E358" s="15"/>
      <c r="F358" s="15"/>
      <c r="G358" s="15"/>
      <c r="H358" s="15"/>
    </row>
    <row r="359" spans="1:8" x14ac:dyDescent="0.3">
      <c r="A359" s="15"/>
      <c r="B359" s="15"/>
      <c r="C359" s="8" t="s">
        <v>18</v>
      </c>
      <c r="D359" s="2">
        <v>20.51</v>
      </c>
      <c r="E359" s="15"/>
      <c r="F359" s="15"/>
      <c r="G359" s="15"/>
      <c r="H359" s="15"/>
    </row>
    <row r="360" spans="1:8" x14ac:dyDescent="0.3">
      <c r="A360" s="15"/>
      <c r="B360" s="15"/>
      <c r="C360" s="3" t="s">
        <v>8</v>
      </c>
      <c r="D360" s="2">
        <v>51.05</v>
      </c>
      <c r="E360" s="15"/>
      <c r="F360" s="15"/>
      <c r="G360" s="15"/>
      <c r="H360" s="15"/>
    </row>
    <row r="361" spans="1:8" x14ac:dyDescent="0.3">
      <c r="A361" s="15"/>
      <c r="B361" s="15"/>
      <c r="C361" s="3" t="s">
        <v>13</v>
      </c>
      <c r="D361" s="7">
        <v>14.01</v>
      </c>
      <c r="E361" s="15"/>
      <c r="F361" s="15"/>
      <c r="G361" s="15"/>
      <c r="H361" s="15"/>
    </row>
    <row r="362" spans="1:8" x14ac:dyDescent="0.3">
      <c r="A362" s="16"/>
      <c r="B362" s="16"/>
      <c r="C362" s="8" t="s">
        <v>10</v>
      </c>
      <c r="D362" s="2">
        <v>69.98</v>
      </c>
      <c r="E362" s="16"/>
      <c r="F362" s="16"/>
      <c r="G362" s="16"/>
      <c r="H362" s="16"/>
    </row>
    <row r="363" spans="1:8" x14ac:dyDescent="0.3">
      <c r="A363" s="18">
        <v>61</v>
      </c>
      <c r="B363" s="20">
        <v>44257</v>
      </c>
      <c r="C363" s="3" t="s">
        <v>9</v>
      </c>
      <c r="D363" s="2">
        <v>75.06</v>
      </c>
      <c r="E363" s="19">
        <f>SUM(D363:D368)</f>
        <v>129.89000000000001</v>
      </c>
      <c r="F363" s="17">
        <f>INT(MAX(D363:D368))</f>
        <v>75</v>
      </c>
      <c r="G363" s="14">
        <f>INT((F363/10)*2)</f>
        <v>15</v>
      </c>
      <c r="H363" s="14">
        <f>F363-G363</f>
        <v>60</v>
      </c>
    </row>
    <row r="364" spans="1:8" x14ac:dyDescent="0.3">
      <c r="A364" s="15"/>
      <c r="B364" s="15"/>
      <c r="C364" s="3" t="s">
        <v>13</v>
      </c>
      <c r="D364" s="7">
        <v>13.644</v>
      </c>
      <c r="E364" s="15"/>
      <c r="F364" s="15"/>
      <c r="G364" s="15"/>
      <c r="H364" s="15"/>
    </row>
    <row r="365" spans="1:8" x14ac:dyDescent="0.3">
      <c r="A365" s="15"/>
      <c r="B365" s="15"/>
      <c r="C365" s="8" t="s">
        <v>14</v>
      </c>
      <c r="D365" s="2">
        <v>9.3699999999999992</v>
      </c>
      <c r="E365" s="15"/>
      <c r="F365" s="15"/>
      <c r="G365" s="15"/>
      <c r="H365" s="15"/>
    </row>
    <row r="366" spans="1:8" x14ac:dyDescent="0.3">
      <c r="A366" s="15"/>
      <c r="B366" s="15"/>
      <c r="C366" s="3" t="s">
        <v>18</v>
      </c>
      <c r="D366" s="2">
        <v>4.3099999999999996</v>
      </c>
      <c r="E366" s="15"/>
      <c r="F366" s="15"/>
      <c r="G366" s="15"/>
      <c r="H366" s="15"/>
    </row>
    <row r="367" spans="1:8" x14ac:dyDescent="0.3">
      <c r="A367" s="15"/>
      <c r="B367" s="15"/>
      <c r="C367" s="3" t="s">
        <v>10</v>
      </c>
      <c r="D367" s="2">
        <v>8.35</v>
      </c>
      <c r="E367" s="15"/>
      <c r="F367" s="15"/>
      <c r="G367" s="15"/>
      <c r="H367" s="15"/>
    </row>
    <row r="368" spans="1:8" x14ac:dyDescent="0.3">
      <c r="A368" s="16"/>
      <c r="B368" s="16"/>
      <c r="C368" s="3" t="s">
        <v>8</v>
      </c>
      <c r="D368" s="7">
        <v>19.155999999999999</v>
      </c>
      <c r="E368" s="16"/>
      <c r="F368" s="16"/>
      <c r="G368" s="16"/>
      <c r="H368" s="16"/>
    </row>
    <row r="369" spans="1:8" x14ac:dyDescent="0.3">
      <c r="A369" s="18">
        <v>62</v>
      </c>
      <c r="B369" s="20">
        <v>44260</v>
      </c>
      <c r="C369" s="8" t="s">
        <v>8</v>
      </c>
      <c r="D369" s="2">
        <v>15.29</v>
      </c>
      <c r="E369" s="19">
        <f>SUM(D369:D374)</f>
        <v>148.43899999999999</v>
      </c>
      <c r="F369" s="17">
        <f>INT(MAX(D369:D374))</f>
        <v>49</v>
      </c>
      <c r="G369" s="14">
        <f>INT((F369/10)*2)</f>
        <v>9</v>
      </c>
      <c r="H369" s="14">
        <f>F369-G369</f>
        <v>40</v>
      </c>
    </row>
    <row r="370" spans="1:8" x14ac:dyDescent="0.3">
      <c r="A370" s="15"/>
      <c r="B370" s="15"/>
      <c r="C370" s="3" t="s">
        <v>17</v>
      </c>
      <c r="D370" s="2">
        <v>15</v>
      </c>
      <c r="E370" s="15"/>
      <c r="F370" s="15"/>
      <c r="G370" s="15"/>
      <c r="H370" s="15"/>
    </row>
    <row r="371" spans="1:8" x14ac:dyDescent="0.3">
      <c r="A371" s="15"/>
      <c r="B371" s="15"/>
      <c r="C371" s="3" t="s">
        <v>12</v>
      </c>
      <c r="D371" s="7">
        <v>49.308999999999997</v>
      </c>
      <c r="E371" s="15"/>
      <c r="F371" s="15"/>
      <c r="G371" s="15"/>
      <c r="H371" s="15"/>
    </row>
    <row r="372" spans="1:8" x14ac:dyDescent="0.3">
      <c r="A372" s="15"/>
      <c r="B372" s="15"/>
      <c r="C372" s="8" t="s">
        <v>15</v>
      </c>
      <c r="D372" s="2">
        <v>28.79</v>
      </c>
      <c r="E372" s="15"/>
      <c r="F372" s="15"/>
      <c r="G372" s="15"/>
      <c r="H372" s="15"/>
    </row>
    <row r="373" spans="1:8" x14ac:dyDescent="0.3">
      <c r="A373" s="15"/>
      <c r="B373" s="15"/>
      <c r="C373" s="3" t="s">
        <v>17</v>
      </c>
      <c r="D373" s="2">
        <v>17.2</v>
      </c>
      <c r="E373" s="15"/>
      <c r="F373" s="15"/>
      <c r="G373" s="15"/>
      <c r="H373" s="15"/>
    </row>
    <row r="374" spans="1:8" x14ac:dyDescent="0.3">
      <c r="A374" s="16"/>
      <c r="B374" s="16"/>
      <c r="C374" s="3" t="s">
        <v>18</v>
      </c>
      <c r="D374" s="2">
        <v>22.85</v>
      </c>
      <c r="E374" s="16"/>
      <c r="F374" s="16"/>
      <c r="G374" s="16"/>
      <c r="H374" s="16"/>
    </row>
    <row r="375" spans="1:8" x14ac:dyDescent="0.3">
      <c r="A375" s="18">
        <v>63</v>
      </c>
      <c r="B375" s="20">
        <v>44264</v>
      </c>
      <c r="C375" s="3" t="s">
        <v>12</v>
      </c>
      <c r="D375" s="2">
        <v>20.28</v>
      </c>
      <c r="E375" s="19">
        <f>SUM(D375:D380)</f>
        <v>61.472000000000001</v>
      </c>
      <c r="F375" s="17">
        <f>INT(MAX(D375:D380))</f>
        <v>20</v>
      </c>
      <c r="G375" s="14">
        <f>INT((F375/10)*2)</f>
        <v>4</v>
      </c>
      <c r="H375" s="14">
        <f>F375-G375</f>
        <v>16</v>
      </c>
    </row>
    <row r="376" spans="1:8" x14ac:dyDescent="0.3">
      <c r="A376" s="15"/>
      <c r="B376" s="15"/>
      <c r="C376" s="3" t="s">
        <v>16</v>
      </c>
      <c r="D376" s="7">
        <v>7.407</v>
      </c>
      <c r="E376" s="15"/>
      <c r="F376" s="15"/>
      <c r="G376" s="15"/>
      <c r="H376" s="15"/>
    </row>
    <row r="377" spans="1:8" x14ac:dyDescent="0.3">
      <c r="A377" s="15"/>
      <c r="B377" s="15"/>
      <c r="C377" s="8" t="s">
        <v>12</v>
      </c>
      <c r="D377" s="2">
        <v>13.07</v>
      </c>
      <c r="E377" s="15"/>
      <c r="F377" s="15"/>
      <c r="G377" s="15"/>
      <c r="H377" s="15"/>
    </row>
    <row r="378" spans="1:8" x14ac:dyDescent="0.3">
      <c r="A378" s="15"/>
      <c r="B378" s="15"/>
      <c r="C378" s="3" t="s">
        <v>17</v>
      </c>
      <c r="D378" s="2">
        <v>2.5099999999999998</v>
      </c>
      <c r="E378" s="15"/>
      <c r="F378" s="15"/>
      <c r="G378" s="15"/>
      <c r="H378" s="15"/>
    </row>
    <row r="379" spans="1:8" x14ac:dyDescent="0.3">
      <c r="A379" s="15"/>
      <c r="B379" s="15"/>
      <c r="C379" s="3" t="s">
        <v>10</v>
      </c>
      <c r="D379" s="7">
        <v>5.9649999999999999</v>
      </c>
      <c r="E379" s="15"/>
      <c r="F379" s="15"/>
      <c r="G379" s="15"/>
      <c r="H379" s="15"/>
    </row>
    <row r="380" spans="1:8" x14ac:dyDescent="0.3">
      <c r="A380" s="16"/>
      <c r="B380" s="16"/>
      <c r="C380" s="8" t="s">
        <v>18</v>
      </c>
      <c r="D380" s="2">
        <v>12.24</v>
      </c>
      <c r="E380" s="16"/>
      <c r="F380" s="16"/>
      <c r="G380" s="16"/>
      <c r="H380" s="16"/>
    </row>
    <row r="381" spans="1:8" x14ac:dyDescent="0.3">
      <c r="A381" s="18">
        <v>64</v>
      </c>
      <c r="B381" s="20">
        <v>44267</v>
      </c>
      <c r="C381" s="3" t="s">
        <v>9</v>
      </c>
      <c r="D381" s="2">
        <v>10.06</v>
      </c>
      <c r="E381" s="19">
        <f>SUM(D381:D386)</f>
        <v>151.39599999999999</v>
      </c>
      <c r="F381" s="17">
        <f>INT(MAX(D381:D386))</f>
        <v>41</v>
      </c>
      <c r="G381" s="14">
        <f>INT((F381/10)*2)</f>
        <v>8</v>
      </c>
      <c r="H381" s="14">
        <f>F381-G381</f>
        <v>33</v>
      </c>
    </row>
    <row r="382" spans="1:8" x14ac:dyDescent="0.3">
      <c r="A382" s="15"/>
      <c r="B382" s="15"/>
      <c r="C382" s="3" t="s">
        <v>10</v>
      </c>
      <c r="D382" s="7">
        <v>15.225</v>
      </c>
      <c r="E382" s="15"/>
      <c r="F382" s="15"/>
      <c r="G382" s="15"/>
      <c r="H382" s="15"/>
    </row>
    <row r="383" spans="1:8" x14ac:dyDescent="0.3">
      <c r="A383" s="15"/>
      <c r="B383" s="15"/>
      <c r="C383" s="8" t="s">
        <v>8</v>
      </c>
      <c r="D383" s="2">
        <v>35.17</v>
      </c>
      <c r="E383" s="15"/>
      <c r="F383" s="15"/>
      <c r="G383" s="15"/>
      <c r="H383" s="15"/>
    </row>
    <row r="384" spans="1:8" x14ac:dyDescent="0.3">
      <c r="A384" s="15"/>
      <c r="B384" s="15"/>
      <c r="C384" s="3" t="s">
        <v>9</v>
      </c>
      <c r="D384" s="2">
        <v>41.61</v>
      </c>
      <c r="E384" s="15"/>
      <c r="F384" s="15"/>
      <c r="G384" s="15"/>
      <c r="H384" s="15"/>
    </row>
    <row r="385" spans="1:8" x14ac:dyDescent="0.3">
      <c r="A385" s="15"/>
      <c r="B385" s="15"/>
      <c r="C385" s="3" t="s">
        <v>14</v>
      </c>
      <c r="D385" s="7">
        <v>24.640999999999998</v>
      </c>
      <c r="E385" s="15"/>
      <c r="F385" s="15"/>
      <c r="G385" s="15"/>
      <c r="H385" s="15"/>
    </row>
    <row r="386" spans="1:8" x14ac:dyDescent="0.3">
      <c r="A386" s="16"/>
      <c r="B386" s="16"/>
      <c r="C386" s="8" t="s">
        <v>17</v>
      </c>
      <c r="D386" s="2">
        <v>24.69</v>
      </c>
      <c r="E386" s="16"/>
      <c r="F386" s="16"/>
      <c r="G386" s="16"/>
      <c r="H386" s="16"/>
    </row>
    <row r="387" spans="1:8" x14ac:dyDescent="0.3">
      <c r="A387" s="18">
        <v>65</v>
      </c>
      <c r="B387" s="20">
        <v>44271</v>
      </c>
      <c r="C387" s="3" t="s">
        <v>15</v>
      </c>
      <c r="D387" s="2">
        <v>18.62</v>
      </c>
      <c r="E387" s="19">
        <f>SUM(D387:D392)</f>
        <v>187.69100000000003</v>
      </c>
      <c r="F387" s="17">
        <f>INT(MAX(D387:D392))</f>
        <v>66</v>
      </c>
      <c r="G387" s="14">
        <f>INT((F387/10)*2)</f>
        <v>13</v>
      </c>
      <c r="H387" s="14">
        <f>F387-G387</f>
        <v>53</v>
      </c>
    </row>
    <row r="388" spans="1:8" x14ac:dyDescent="0.3">
      <c r="A388" s="15"/>
      <c r="B388" s="15"/>
      <c r="C388" s="3" t="s">
        <v>13</v>
      </c>
      <c r="D388" s="2">
        <v>23.69</v>
      </c>
      <c r="E388" s="15"/>
      <c r="F388" s="15"/>
      <c r="G388" s="15"/>
      <c r="H388" s="15"/>
    </row>
    <row r="389" spans="1:8" x14ac:dyDescent="0.3">
      <c r="A389" s="15"/>
      <c r="B389" s="15"/>
      <c r="C389" s="3" t="s">
        <v>9</v>
      </c>
      <c r="D389" s="2">
        <v>12.66</v>
      </c>
      <c r="E389" s="15"/>
      <c r="F389" s="15"/>
      <c r="G389" s="15"/>
      <c r="H389" s="15"/>
    </row>
    <row r="390" spans="1:8" x14ac:dyDescent="0.3">
      <c r="A390" s="15"/>
      <c r="B390" s="15"/>
      <c r="C390" s="3" t="s">
        <v>12</v>
      </c>
      <c r="D390" s="2">
        <v>19.649999999999999</v>
      </c>
      <c r="E390" s="15"/>
      <c r="F390" s="15"/>
      <c r="G390" s="15"/>
      <c r="H390" s="15"/>
    </row>
    <row r="391" spans="1:8" x14ac:dyDescent="0.3">
      <c r="A391" s="15"/>
      <c r="B391" s="15"/>
      <c r="C391" s="3" t="s">
        <v>8</v>
      </c>
      <c r="D391" s="7">
        <v>46.841000000000001</v>
      </c>
      <c r="E391" s="15"/>
      <c r="F391" s="15"/>
      <c r="G391" s="15"/>
      <c r="H391" s="15"/>
    </row>
    <row r="392" spans="1:8" x14ac:dyDescent="0.3">
      <c r="A392" s="16"/>
      <c r="B392" s="16"/>
      <c r="C392" s="8" t="s">
        <v>15</v>
      </c>
      <c r="D392" s="2">
        <v>66.23</v>
      </c>
      <c r="E392" s="16"/>
      <c r="F392" s="16"/>
      <c r="G392" s="16"/>
      <c r="H392" s="16"/>
    </row>
    <row r="393" spans="1:8" x14ac:dyDescent="0.3">
      <c r="A393" s="18">
        <v>66</v>
      </c>
      <c r="B393" s="20">
        <v>44274</v>
      </c>
      <c r="C393" s="3" t="s">
        <v>9</v>
      </c>
      <c r="D393" s="2">
        <v>13.13</v>
      </c>
      <c r="E393" s="19">
        <f>SUM(D393:D398)</f>
        <v>76.632000000000005</v>
      </c>
      <c r="F393" s="17">
        <f>INT(MAX(D393:D398))</f>
        <v>23</v>
      </c>
      <c r="G393" s="14">
        <f>INT((F393/10)*2)</f>
        <v>4</v>
      </c>
      <c r="H393" s="14">
        <f>F393-G393</f>
        <v>19</v>
      </c>
    </row>
    <row r="394" spans="1:8" x14ac:dyDescent="0.3">
      <c r="A394" s="15"/>
      <c r="B394" s="15"/>
      <c r="C394" s="3" t="s">
        <v>18</v>
      </c>
      <c r="D394" s="7">
        <v>11.231999999999999</v>
      </c>
      <c r="E394" s="15"/>
      <c r="F394" s="15"/>
      <c r="G394" s="15"/>
      <c r="H394" s="15"/>
    </row>
    <row r="395" spans="1:8" x14ac:dyDescent="0.3">
      <c r="A395" s="15"/>
      <c r="B395" s="15"/>
      <c r="C395" s="8" t="s">
        <v>14</v>
      </c>
      <c r="D395" s="2">
        <v>5.38</v>
      </c>
      <c r="E395" s="15"/>
      <c r="F395" s="15"/>
      <c r="G395" s="15"/>
      <c r="H395" s="15"/>
    </row>
    <row r="396" spans="1:8" x14ac:dyDescent="0.3">
      <c r="A396" s="15"/>
      <c r="B396" s="15"/>
      <c r="C396" s="3" t="s">
        <v>18</v>
      </c>
      <c r="D396" s="2">
        <v>23.44</v>
      </c>
      <c r="E396" s="15"/>
      <c r="F396" s="15"/>
      <c r="G396" s="15"/>
      <c r="H396" s="15"/>
    </row>
    <row r="397" spans="1:8" x14ac:dyDescent="0.3">
      <c r="A397" s="15"/>
      <c r="B397" s="15"/>
      <c r="C397" s="3" t="s">
        <v>9</v>
      </c>
      <c r="D397" s="2">
        <v>7.58</v>
      </c>
      <c r="E397" s="15"/>
      <c r="F397" s="15"/>
      <c r="G397" s="15"/>
      <c r="H397" s="15"/>
    </row>
    <row r="398" spans="1:8" x14ac:dyDescent="0.3">
      <c r="A398" s="16"/>
      <c r="B398" s="16"/>
      <c r="C398" s="3" t="s">
        <v>8</v>
      </c>
      <c r="D398" s="2">
        <v>15.87</v>
      </c>
      <c r="E398" s="16"/>
      <c r="F398" s="16"/>
      <c r="G398" s="16"/>
      <c r="H398" s="16"/>
    </row>
    <row r="399" spans="1:8" x14ac:dyDescent="0.3">
      <c r="A399" s="18">
        <v>67</v>
      </c>
      <c r="B399" s="20">
        <v>44278</v>
      </c>
      <c r="C399" s="3" t="s">
        <v>12</v>
      </c>
      <c r="D399" s="2">
        <v>24.78</v>
      </c>
      <c r="E399" s="19">
        <f>SUM(D399:D404)</f>
        <v>104.306</v>
      </c>
      <c r="F399" s="17">
        <f>INT(MAX(D399:D404))</f>
        <v>24</v>
      </c>
      <c r="G399" s="14">
        <f>INT((F399/10)*2)</f>
        <v>4</v>
      </c>
      <c r="H399" s="14">
        <f>F399-G399</f>
        <v>20</v>
      </c>
    </row>
    <row r="400" spans="1:8" x14ac:dyDescent="0.3">
      <c r="A400" s="15"/>
      <c r="B400" s="15"/>
      <c r="C400" s="3" t="s">
        <v>15</v>
      </c>
      <c r="D400" s="7">
        <v>23.225999999999999</v>
      </c>
      <c r="E400" s="15"/>
      <c r="F400" s="15"/>
      <c r="G400" s="15"/>
      <c r="H400" s="15"/>
    </row>
    <row r="401" spans="1:8" x14ac:dyDescent="0.3">
      <c r="A401" s="15"/>
      <c r="B401" s="15"/>
      <c r="C401" s="8" t="s">
        <v>14</v>
      </c>
      <c r="D401" s="2">
        <v>10.95</v>
      </c>
      <c r="E401" s="15"/>
      <c r="F401" s="15"/>
      <c r="G401" s="15"/>
      <c r="H401" s="15"/>
    </row>
    <row r="402" spans="1:8" x14ac:dyDescent="0.3">
      <c r="A402" s="15"/>
      <c r="B402" s="15"/>
      <c r="C402" s="3" t="s">
        <v>16</v>
      </c>
      <c r="D402" s="2">
        <v>7.68</v>
      </c>
      <c r="E402" s="15"/>
      <c r="F402" s="15"/>
      <c r="G402" s="15"/>
      <c r="H402" s="15"/>
    </row>
    <row r="403" spans="1:8" x14ac:dyDescent="0.3">
      <c r="A403" s="15"/>
      <c r="B403" s="15"/>
      <c r="C403" s="3" t="s">
        <v>10</v>
      </c>
      <c r="D403" s="2">
        <v>16.690000000000001</v>
      </c>
      <c r="E403" s="15"/>
      <c r="F403" s="15"/>
      <c r="G403" s="15"/>
      <c r="H403" s="15"/>
    </row>
    <row r="404" spans="1:8" x14ac:dyDescent="0.3">
      <c r="A404" s="16"/>
      <c r="B404" s="16"/>
      <c r="C404" s="3" t="s">
        <v>12</v>
      </c>
      <c r="D404" s="2">
        <v>20.98</v>
      </c>
      <c r="E404" s="16"/>
      <c r="F404" s="16"/>
      <c r="G404" s="16"/>
      <c r="H404" s="16"/>
    </row>
    <row r="405" spans="1:8" x14ac:dyDescent="0.3">
      <c r="A405" s="18">
        <v>68</v>
      </c>
      <c r="B405" s="20">
        <v>44281</v>
      </c>
      <c r="C405" s="3" t="s">
        <v>17</v>
      </c>
      <c r="D405" s="2">
        <v>31.14</v>
      </c>
      <c r="E405" s="19">
        <f>SUM(D405:D410)</f>
        <v>148.37899999999999</v>
      </c>
      <c r="F405" s="17">
        <f>INT(MAX(D405:D410))</f>
        <v>44</v>
      </c>
      <c r="G405" s="14">
        <f>INT((F405/10)*2)</f>
        <v>8</v>
      </c>
      <c r="H405" s="14">
        <f>F405-G405</f>
        <v>36</v>
      </c>
    </row>
    <row r="406" spans="1:8" x14ac:dyDescent="0.3">
      <c r="A406" s="15"/>
      <c r="B406" s="15"/>
      <c r="C406" s="3" t="s">
        <v>13</v>
      </c>
      <c r="D406" s="7">
        <v>44.579000000000001</v>
      </c>
      <c r="E406" s="15"/>
      <c r="F406" s="15"/>
      <c r="G406" s="15"/>
      <c r="H406" s="15"/>
    </row>
    <row r="407" spans="1:8" x14ac:dyDescent="0.3">
      <c r="A407" s="15"/>
      <c r="B407" s="15"/>
      <c r="C407" s="8" t="s">
        <v>11</v>
      </c>
      <c r="D407" s="2">
        <v>25.18</v>
      </c>
      <c r="E407" s="15"/>
      <c r="F407" s="15"/>
      <c r="G407" s="15"/>
      <c r="H407" s="15"/>
    </row>
    <row r="408" spans="1:8" x14ac:dyDescent="0.3">
      <c r="A408" s="15"/>
      <c r="B408" s="15"/>
      <c r="C408" s="3" t="s">
        <v>16</v>
      </c>
      <c r="D408" s="2">
        <v>19.690000000000001</v>
      </c>
      <c r="E408" s="15"/>
      <c r="F408" s="15"/>
      <c r="G408" s="15"/>
      <c r="H408" s="15"/>
    </row>
    <row r="409" spans="1:8" x14ac:dyDescent="0.3">
      <c r="A409" s="15"/>
      <c r="B409" s="15"/>
      <c r="C409" s="3" t="s">
        <v>8</v>
      </c>
      <c r="D409" s="2">
        <v>10.6</v>
      </c>
      <c r="E409" s="15"/>
      <c r="F409" s="15"/>
      <c r="G409" s="15"/>
      <c r="H409" s="15"/>
    </row>
    <row r="410" spans="1:8" x14ac:dyDescent="0.3">
      <c r="A410" s="16"/>
      <c r="B410" s="16"/>
      <c r="C410" s="3" t="s">
        <v>17</v>
      </c>
      <c r="D410" s="2">
        <v>17.190000000000001</v>
      </c>
      <c r="E410" s="16"/>
      <c r="F410" s="16"/>
      <c r="G410" s="16"/>
      <c r="H410" s="16"/>
    </row>
    <row r="411" spans="1:8" x14ac:dyDescent="0.3">
      <c r="A411" s="18">
        <v>69</v>
      </c>
      <c r="B411" s="20">
        <v>44285</v>
      </c>
      <c r="C411" s="3" t="s">
        <v>14</v>
      </c>
      <c r="D411" s="2">
        <v>35.39</v>
      </c>
      <c r="E411" s="19">
        <f>SUM(D411:D416)</f>
        <v>213.60300000000001</v>
      </c>
      <c r="F411" s="17">
        <f>INT(MAX(D411:D416))</f>
        <v>79</v>
      </c>
      <c r="G411" s="14">
        <f>INT((F411/10)*2)</f>
        <v>15</v>
      </c>
      <c r="H411" s="14">
        <f>F411-G411</f>
        <v>64</v>
      </c>
    </row>
    <row r="412" spans="1:8" x14ac:dyDescent="0.3">
      <c r="A412" s="15"/>
      <c r="B412" s="15"/>
      <c r="C412" s="3" t="s">
        <v>9</v>
      </c>
      <c r="D412" s="7">
        <v>15.603</v>
      </c>
      <c r="E412" s="15"/>
      <c r="F412" s="15"/>
      <c r="G412" s="15"/>
      <c r="H412" s="15"/>
    </row>
    <row r="413" spans="1:8" x14ac:dyDescent="0.3">
      <c r="A413" s="15"/>
      <c r="B413" s="15"/>
      <c r="C413" s="8" t="s">
        <v>16</v>
      </c>
      <c r="D413" s="2">
        <v>18.32</v>
      </c>
      <c r="E413" s="15"/>
      <c r="F413" s="15"/>
      <c r="G413" s="15"/>
      <c r="H413" s="15"/>
    </row>
    <row r="414" spans="1:8" x14ac:dyDescent="0.3">
      <c r="A414" s="15"/>
      <c r="B414" s="15"/>
      <c r="C414" s="3" t="s">
        <v>17</v>
      </c>
      <c r="D414" s="2">
        <v>41.32</v>
      </c>
      <c r="E414" s="15"/>
      <c r="F414" s="15"/>
      <c r="G414" s="15"/>
      <c r="H414" s="15"/>
    </row>
    <row r="415" spans="1:8" x14ac:dyDescent="0.3">
      <c r="A415" s="15"/>
      <c r="B415" s="15"/>
      <c r="C415" s="3" t="s">
        <v>8</v>
      </c>
      <c r="D415" s="2">
        <v>79.150000000000006</v>
      </c>
      <c r="E415" s="15"/>
      <c r="F415" s="15"/>
      <c r="G415" s="15"/>
      <c r="H415" s="15"/>
    </row>
    <row r="416" spans="1:8" x14ac:dyDescent="0.3">
      <c r="A416" s="16"/>
      <c r="B416" s="16"/>
      <c r="C416" s="3" t="s">
        <v>11</v>
      </c>
      <c r="D416" s="2">
        <v>23.82</v>
      </c>
      <c r="E416" s="16"/>
      <c r="F416" s="16"/>
      <c r="G416" s="16"/>
      <c r="H416" s="16"/>
    </row>
    <row r="417" spans="1:8" x14ac:dyDescent="0.3">
      <c r="A417" s="18">
        <v>70</v>
      </c>
      <c r="B417" s="20">
        <v>44288</v>
      </c>
      <c r="C417" s="3" t="s">
        <v>9</v>
      </c>
      <c r="D417" s="2">
        <v>105.83</v>
      </c>
      <c r="E417" s="19">
        <f>SUM(D417:D422)</f>
        <v>181.68899999999999</v>
      </c>
      <c r="F417" s="17">
        <f>INT(MAX(D417:D422))</f>
        <v>105</v>
      </c>
      <c r="G417" s="14">
        <f>INT((F417/10)*2)</f>
        <v>21</v>
      </c>
      <c r="H417" s="14">
        <f>F417-G417</f>
        <v>84</v>
      </c>
    </row>
    <row r="418" spans="1:8" x14ac:dyDescent="0.3">
      <c r="A418" s="15"/>
      <c r="B418" s="15"/>
      <c r="C418" s="3" t="s">
        <v>13</v>
      </c>
      <c r="D418" s="7">
        <v>18.018999999999998</v>
      </c>
      <c r="E418" s="15"/>
      <c r="F418" s="15"/>
      <c r="G418" s="15"/>
      <c r="H418" s="15"/>
    </row>
    <row r="419" spans="1:8" x14ac:dyDescent="0.3">
      <c r="A419" s="15"/>
      <c r="B419" s="15"/>
      <c r="C419" s="8" t="s">
        <v>15</v>
      </c>
      <c r="D419" s="2">
        <v>34.25</v>
      </c>
      <c r="E419" s="15"/>
      <c r="F419" s="15"/>
      <c r="G419" s="15"/>
      <c r="H419" s="15"/>
    </row>
    <row r="420" spans="1:8" x14ac:dyDescent="0.3">
      <c r="A420" s="15"/>
      <c r="B420" s="15"/>
      <c r="C420" s="3" t="s">
        <v>13</v>
      </c>
      <c r="D420" s="2">
        <v>6.5</v>
      </c>
      <c r="E420" s="15"/>
      <c r="F420" s="15"/>
      <c r="G420" s="15"/>
      <c r="H420" s="15"/>
    </row>
    <row r="421" spans="1:8" x14ac:dyDescent="0.3">
      <c r="A421" s="15"/>
      <c r="B421" s="15"/>
      <c r="C421" s="3" t="s">
        <v>9</v>
      </c>
      <c r="D421" s="2">
        <v>12.6</v>
      </c>
      <c r="E421" s="15"/>
      <c r="F421" s="15"/>
      <c r="G421" s="15"/>
      <c r="H421" s="15"/>
    </row>
    <row r="422" spans="1:8" x14ac:dyDescent="0.3">
      <c r="A422" s="16"/>
      <c r="B422" s="16"/>
      <c r="C422" s="3" t="s">
        <v>17</v>
      </c>
      <c r="D422" s="2">
        <v>4.49</v>
      </c>
      <c r="E422" s="16"/>
      <c r="F422" s="16"/>
      <c r="G422" s="16"/>
      <c r="H422" s="16"/>
    </row>
    <row r="423" spans="1:8" x14ac:dyDescent="0.3">
      <c r="A423" s="18">
        <v>71</v>
      </c>
      <c r="B423" s="20">
        <v>44292</v>
      </c>
      <c r="C423" s="3" t="s">
        <v>18</v>
      </c>
      <c r="D423" s="2">
        <v>12.41</v>
      </c>
      <c r="E423" s="19">
        <f>SUM(D423:D428)</f>
        <v>140.48500000000001</v>
      </c>
      <c r="F423" s="17">
        <f>INT(MAX(D423:D428))</f>
        <v>37</v>
      </c>
      <c r="G423" s="14">
        <f>INT((F423/10)*2)</f>
        <v>7</v>
      </c>
      <c r="H423" s="14">
        <f>F423-G423</f>
        <v>30</v>
      </c>
    </row>
    <row r="424" spans="1:8" x14ac:dyDescent="0.3">
      <c r="A424" s="15"/>
      <c r="B424" s="15"/>
      <c r="C424" s="3" t="s">
        <v>16</v>
      </c>
      <c r="D424" s="7">
        <v>30.655000000000001</v>
      </c>
      <c r="E424" s="15"/>
      <c r="F424" s="15"/>
      <c r="G424" s="15"/>
      <c r="H424" s="15"/>
    </row>
    <row r="425" spans="1:8" x14ac:dyDescent="0.3">
      <c r="A425" s="15"/>
      <c r="B425" s="15"/>
      <c r="C425" s="8" t="s">
        <v>16</v>
      </c>
      <c r="D425" s="2">
        <v>23.25</v>
      </c>
      <c r="E425" s="15"/>
      <c r="F425" s="15"/>
      <c r="G425" s="15"/>
      <c r="H425" s="15"/>
    </row>
    <row r="426" spans="1:8" x14ac:dyDescent="0.3">
      <c r="A426" s="15"/>
      <c r="B426" s="15"/>
      <c r="C426" s="3" t="s">
        <v>10</v>
      </c>
      <c r="D426" s="2">
        <v>29.65</v>
      </c>
      <c r="E426" s="15"/>
      <c r="F426" s="15"/>
      <c r="G426" s="15"/>
      <c r="H426" s="15"/>
    </row>
    <row r="427" spans="1:8" x14ac:dyDescent="0.3">
      <c r="A427" s="15"/>
      <c r="B427" s="15"/>
      <c r="C427" s="3" t="s">
        <v>17</v>
      </c>
      <c r="D427" s="2">
        <v>37.869999999999997</v>
      </c>
      <c r="E427" s="15"/>
      <c r="F427" s="15"/>
      <c r="G427" s="15"/>
      <c r="H427" s="15"/>
    </row>
    <row r="428" spans="1:8" x14ac:dyDescent="0.3">
      <c r="A428" s="16"/>
      <c r="B428" s="16"/>
      <c r="C428" s="3" t="s">
        <v>12</v>
      </c>
      <c r="D428" s="2">
        <v>6.65</v>
      </c>
      <c r="E428" s="16"/>
      <c r="F428" s="16"/>
      <c r="G428" s="16"/>
      <c r="H428" s="16"/>
    </row>
    <row r="429" spans="1:8" x14ac:dyDescent="0.3">
      <c r="A429" s="18">
        <v>72</v>
      </c>
      <c r="B429" s="20">
        <v>44295</v>
      </c>
      <c r="C429" s="3" t="s">
        <v>18</v>
      </c>
      <c r="D429" s="7">
        <v>29.268999999999998</v>
      </c>
      <c r="E429" s="19">
        <f>SUM(D429:D434)</f>
        <v>299.19600000000003</v>
      </c>
      <c r="F429" s="17">
        <f>INT(MAX(D429:D434))</f>
        <v>92</v>
      </c>
      <c r="G429" s="14">
        <f>INT((F429/10)*2)</f>
        <v>18</v>
      </c>
      <c r="H429" s="14">
        <f>F429-G429</f>
        <v>74</v>
      </c>
    </row>
    <row r="430" spans="1:8" x14ac:dyDescent="0.3">
      <c r="A430" s="15"/>
      <c r="B430" s="15"/>
      <c r="C430" s="8" t="s">
        <v>15</v>
      </c>
      <c r="D430" s="2">
        <v>39.369999999999997</v>
      </c>
      <c r="E430" s="15"/>
      <c r="F430" s="15"/>
      <c r="G430" s="15"/>
      <c r="H430" s="15"/>
    </row>
    <row r="431" spans="1:8" x14ac:dyDescent="0.3">
      <c r="A431" s="15"/>
      <c r="B431" s="15"/>
      <c r="C431" s="3" t="s">
        <v>14</v>
      </c>
      <c r="D431" s="2">
        <v>91.57</v>
      </c>
      <c r="E431" s="15"/>
      <c r="F431" s="15"/>
      <c r="G431" s="15"/>
      <c r="H431" s="15"/>
    </row>
    <row r="432" spans="1:8" x14ac:dyDescent="0.3">
      <c r="A432" s="15"/>
      <c r="B432" s="15"/>
      <c r="C432" s="3" t="s">
        <v>11</v>
      </c>
      <c r="D432" s="2">
        <v>12.25</v>
      </c>
      <c r="E432" s="15"/>
      <c r="F432" s="15"/>
      <c r="G432" s="15"/>
      <c r="H432" s="15"/>
    </row>
    <row r="433" spans="1:8" x14ac:dyDescent="0.3">
      <c r="A433" s="15"/>
      <c r="B433" s="15"/>
      <c r="C433" s="3" t="s">
        <v>17</v>
      </c>
      <c r="D433" s="2">
        <v>33.979999999999997</v>
      </c>
      <c r="E433" s="15"/>
      <c r="F433" s="15"/>
      <c r="G433" s="15"/>
      <c r="H433" s="15"/>
    </row>
    <row r="434" spans="1:8" x14ac:dyDescent="0.3">
      <c r="A434" s="16"/>
      <c r="B434" s="16"/>
      <c r="C434" s="3" t="s">
        <v>13</v>
      </c>
      <c r="D434" s="7">
        <v>92.757000000000005</v>
      </c>
      <c r="E434" s="16"/>
      <c r="F434" s="16"/>
      <c r="G434" s="16"/>
      <c r="H434" s="16"/>
    </row>
    <row r="435" spans="1:8" x14ac:dyDescent="0.3">
      <c r="A435" s="18">
        <v>73</v>
      </c>
      <c r="B435" s="20">
        <v>44299</v>
      </c>
      <c r="C435" s="8" t="s">
        <v>14</v>
      </c>
      <c r="D435" s="2">
        <v>39.799999999999997</v>
      </c>
      <c r="E435" s="19">
        <f>SUM(D435:D440)</f>
        <v>186.99800000000002</v>
      </c>
      <c r="F435" s="17">
        <f>INT(MAX(D435:D440))</f>
        <v>96</v>
      </c>
      <c r="G435" s="14">
        <f>INT((F435/10)*2)</f>
        <v>19</v>
      </c>
      <c r="H435" s="14">
        <f>F435-G435</f>
        <v>77</v>
      </c>
    </row>
    <row r="436" spans="1:8" x14ac:dyDescent="0.3">
      <c r="A436" s="15"/>
      <c r="B436" s="15"/>
      <c r="C436" s="3" t="s">
        <v>16</v>
      </c>
      <c r="D436" s="2">
        <v>96.86</v>
      </c>
      <c r="E436" s="15"/>
      <c r="F436" s="15"/>
      <c r="G436" s="15"/>
      <c r="H436" s="15"/>
    </row>
    <row r="437" spans="1:8" x14ac:dyDescent="0.3">
      <c r="A437" s="15"/>
      <c r="B437" s="15"/>
      <c r="C437" s="3" t="s">
        <v>13</v>
      </c>
      <c r="D437" s="7">
        <v>19.768000000000001</v>
      </c>
      <c r="E437" s="15"/>
      <c r="F437" s="15"/>
      <c r="G437" s="15"/>
      <c r="H437" s="15"/>
    </row>
    <row r="438" spans="1:8" x14ac:dyDescent="0.3">
      <c r="A438" s="15"/>
      <c r="B438" s="15"/>
      <c r="C438" s="8" t="s">
        <v>11</v>
      </c>
      <c r="D438" s="2">
        <v>8.59</v>
      </c>
      <c r="E438" s="15"/>
      <c r="F438" s="15"/>
      <c r="G438" s="15"/>
      <c r="H438" s="15"/>
    </row>
    <row r="439" spans="1:8" x14ac:dyDescent="0.3">
      <c r="A439" s="15"/>
      <c r="B439" s="15"/>
      <c r="C439" s="3" t="s">
        <v>8</v>
      </c>
      <c r="D439" s="2">
        <v>12.65</v>
      </c>
      <c r="E439" s="15"/>
      <c r="F439" s="15"/>
      <c r="G439" s="15"/>
      <c r="H439" s="15"/>
    </row>
    <row r="440" spans="1:8" x14ac:dyDescent="0.3">
      <c r="A440" s="16"/>
      <c r="B440" s="16"/>
      <c r="C440" s="3" t="s">
        <v>9</v>
      </c>
      <c r="D440" s="2">
        <v>9.33</v>
      </c>
      <c r="E440" s="16"/>
      <c r="F440" s="16"/>
      <c r="G440" s="16"/>
      <c r="H440" s="16"/>
    </row>
    <row r="441" spans="1:8" x14ac:dyDescent="0.3">
      <c r="A441" s="18">
        <v>74</v>
      </c>
      <c r="B441" s="20">
        <v>44302</v>
      </c>
      <c r="C441" s="3" t="s">
        <v>10</v>
      </c>
      <c r="D441" s="2">
        <v>17.45</v>
      </c>
      <c r="E441" s="19">
        <f>SUM(D441:D446)</f>
        <v>93.783000000000001</v>
      </c>
      <c r="F441" s="17">
        <f>INT(MAX(D441:D446))</f>
        <v>24</v>
      </c>
      <c r="G441" s="14">
        <f>INT((F441/10)*2)</f>
        <v>4</v>
      </c>
      <c r="H441" s="14">
        <f>F441-G441</f>
        <v>20</v>
      </c>
    </row>
    <row r="442" spans="1:8" x14ac:dyDescent="0.3">
      <c r="A442" s="15"/>
      <c r="B442" s="15"/>
      <c r="C442" s="3" t="s">
        <v>15</v>
      </c>
      <c r="D442" s="2">
        <v>24.58</v>
      </c>
      <c r="E442" s="15"/>
      <c r="F442" s="15"/>
      <c r="G442" s="15"/>
      <c r="H442" s="15"/>
    </row>
    <row r="443" spans="1:8" x14ac:dyDescent="0.3">
      <c r="A443" s="15"/>
      <c r="B443" s="15"/>
      <c r="C443" s="3" t="s">
        <v>13</v>
      </c>
      <c r="D443" s="7">
        <v>14.223000000000001</v>
      </c>
      <c r="E443" s="15"/>
      <c r="F443" s="15"/>
      <c r="G443" s="15"/>
      <c r="H443" s="15"/>
    </row>
    <row r="444" spans="1:8" x14ac:dyDescent="0.3">
      <c r="A444" s="15"/>
      <c r="B444" s="15"/>
      <c r="C444" s="8" t="s">
        <v>9</v>
      </c>
      <c r="D444" s="2">
        <v>5.99</v>
      </c>
      <c r="E444" s="15"/>
      <c r="F444" s="15"/>
      <c r="G444" s="15"/>
      <c r="H444" s="15"/>
    </row>
    <row r="445" spans="1:8" x14ac:dyDescent="0.3">
      <c r="A445" s="15"/>
      <c r="B445" s="15"/>
      <c r="C445" s="3" t="s">
        <v>18</v>
      </c>
      <c r="D445" s="2">
        <v>7.88</v>
      </c>
      <c r="E445" s="15"/>
      <c r="F445" s="15"/>
      <c r="G445" s="15"/>
      <c r="H445" s="15"/>
    </row>
    <row r="446" spans="1:8" x14ac:dyDescent="0.3">
      <c r="A446" s="16"/>
      <c r="B446" s="16"/>
      <c r="C446" s="3" t="s">
        <v>12</v>
      </c>
      <c r="D446" s="2">
        <v>23.66</v>
      </c>
      <c r="E446" s="16"/>
      <c r="F446" s="16"/>
      <c r="G446" s="16"/>
      <c r="H446" s="16"/>
    </row>
    <row r="447" spans="1:8" x14ac:dyDescent="0.3">
      <c r="A447" s="18">
        <v>75</v>
      </c>
      <c r="B447" s="20">
        <v>44306</v>
      </c>
      <c r="C447" s="3" t="s">
        <v>13</v>
      </c>
      <c r="D447" s="2">
        <v>4.8099999999999996</v>
      </c>
      <c r="E447" s="19">
        <f>SUM(D447:D452)</f>
        <v>61.922999999999995</v>
      </c>
      <c r="F447" s="17">
        <f>INT(MAX(D447:D452))</f>
        <v>19</v>
      </c>
      <c r="G447" s="14">
        <f>INT((F447/10)*2)</f>
        <v>3</v>
      </c>
      <c r="H447" s="14">
        <f>F447-G447</f>
        <v>16</v>
      </c>
    </row>
    <row r="448" spans="1:8" x14ac:dyDescent="0.3">
      <c r="A448" s="15"/>
      <c r="B448" s="15"/>
      <c r="C448" s="3" t="s">
        <v>17</v>
      </c>
      <c r="D448" s="7">
        <v>17.332999999999998</v>
      </c>
      <c r="E448" s="15"/>
      <c r="F448" s="15"/>
      <c r="G448" s="15"/>
      <c r="H448" s="15"/>
    </row>
    <row r="449" spans="1:8" x14ac:dyDescent="0.3">
      <c r="A449" s="15"/>
      <c r="B449" s="15"/>
      <c r="C449" s="8" t="s">
        <v>12</v>
      </c>
      <c r="D449" s="2">
        <v>7.32</v>
      </c>
      <c r="E449" s="15"/>
      <c r="F449" s="15"/>
      <c r="G449" s="15"/>
      <c r="H449" s="15"/>
    </row>
    <row r="450" spans="1:8" x14ac:dyDescent="0.3">
      <c r="A450" s="15"/>
      <c r="B450" s="15"/>
      <c r="C450" s="3" t="s">
        <v>17</v>
      </c>
      <c r="D450" s="2">
        <v>19.989999999999998</v>
      </c>
      <c r="E450" s="15"/>
      <c r="F450" s="15"/>
      <c r="G450" s="15"/>
      <c r="H450" s="15"/>
    </row>
    <row r="451" spans="1:8" x14ac:dyDescent="0.3">
      <c r="A451" s="15"/>
      <c r="B451" s="15"/>
      <c r="C451" s="3" t="s">
        <v>14</v>
      </c>
      <c r="D451" s="2">
        <v>8.9</v>
      </c>
      <c r="E451" s="15"/>
      <c r="F451" s="15"/>
      <c r="G451" s="15"/>
      <c r="H451" s="15"/>
    </row>
    <row r="452" spans="1:8" x14ac:dyDescent="0.3">
      <c r="A452" s="16"/>
      <c r="B452" s="16"/>
      <c r="C452" s="3" t="s">
        <v>18</v>
      </c>
      <c r="D452" s="2">
        <v>3.57</v>
      </c>
      <c r="E452" s="16"/>
      <c r="F452" s="16"/>
      <c r="G452" s="16"/>
      <c r="H452" s="16"/>
    </row>
    <row r="453" spans="1:8" x14ac:dyDescent="0.3">
      <c r="A453" s="18">
        <v>76</v>
      </c>
      <c r="B453" s="20">
        <v>44309</v>
      </c>
      <c r="C453" s="3" t="s">
        <v>8</v>
      </c>
      <c r="D453" s="7">
        <v>11.721</v>
      </c>
      <c r="E453" s="19">
        <f>SUM(D453:D458)</f>
        <v>161.72</v>
      </c>
      <c r="F453" s="17">
        <f>INT(MAX(D453:D458))</f>
        <v>51</v>
      </c>
      <c r="G453" s="14">
        <f>INT((F453/10)*2)</f>
        <v>10</v>
      </c>
      <c r="H453" s="14">
        <f>F453-G453</f>
        <v>41</v>
      </c>
    </row>
    <row r="454" spans="1:8" x14ac:dyDescent="0.3">
      <c r="A454" s="15"/>
      <c r="B454" s="15"/>
      <c r="C454" s="8" t="s">
        <v>16</v>
      </c>
      <c r="D454" s="2">
        <v>5.12</v>
      </c>
      <c r="E454" s="15"/>
      <c r="F454" s="15"/>
      <c r="G454" s="15"/>
      <c r="H454" s="15"/>
    </row>
    <row r="455" spans="1:8" x14ac:dyDescent="0.3">
      <c r="A455" s="15"/>
      <c r="B455" s="15"/>
      <c r="C455" s="3" t="s">
        <v>14</v>
      </c>
      <c r="D455" s="2">
        <v>31.63</v>
      </c>
      <c r="E455" s="15"/>
      <c r="F455" s="15"/>
      <c r="G455" s="15"/>
      <c r="H455" s="15"/>
    </row>
    <row r="456" spans="1:8" x14ac:dyDescent="0.3">
      <c r="A456" s="15"/>
      <c r="B456" s="15"/>
      <c r="C456" s="3" t="s">
        <v>13</v>
      </c>
      <c r="D456" s="2">
        <v>12.56</v>
      </c>
      <c r="E456" s="15"/>
      <c r="F456" s="15"/>
      <c r="G456" s="15"/>
      <c r="H456" s="15"/>
    </row>
    <row r="457" spans="1:8" x14ac:dyDescent="0.3">
      <c r="A457" s="15"/>
      <c r="B457" s="15"/>
      <c r="C457" s="3" t="s">
        <v>17</v>
      </c>
      <c r="D457" s="2">
        <v>48.94</v>
      </c>
      <c r="E457" s="15"/>
      <c r="F457" s="15"/>
      <c r="G457" s="15"/>
      <c r="H457" s="15"/>
    </row>
    <row r="458" spans="1:8" x14ac:dyDescent="0.3">
      <c r="A458" s="16"/>
      <c r="B458" s="16"/>
      <c r="C458" s="3" t="s">
        <v>11</v>
      </c>
      <c r="D458" s="7">
        <v>51.749000000000002</v>
      </c>
      <c r="E458" s="16"/>
      <c r="F458" s="16"/>
      <c r="G458" s="16"/>
      <c r="H458" s="16"/>
    </row>
    <row r="459" spans="1:8" x14ac:dyDescent="0.3">
      <c r="A459" s="18">
        <v>77</v>
      </c>
      <c r="B459" s="20">
        <v>44313</v>
      </c>
      <c r="C459" s="8" t="s">
        <v>10</v>
      </c>
      <c r="D459" s="2">
        <v>45.77</v>
      </c>
      <c r="E459" s="19">
        <f>SUM(D459:D464)</f>
        <v>214.76300000000001</v>
      </c>
      <c r="F459" s="17">
        <f>INT(MAX(D459:D464))</f>
        <v>50</v>
      </c>
      <c r="G459" s="14">
        <f>INT((F459/10)*2)</f>
        <v>10</v>
      </c>
      <c r="H459" s="14">
        <f>F459-G459</f>
        <v>40</v>
      </c>
    </row>
    <row r="460" spans="1:8" x14ac:dyDescent="0.3">
      <c r="A460" s="15"/>
      <c r="B460" s="15"/>
      <c r="C460" s="3" t="s">
        <v>9</v>
      </c>
      <c r="D460" s="2">
        <v>38.39</v>
      </c>
      <c r="E460" s="15"/>
      <c r="F460" s="15"/>
      <c r="G460" s="15"/>
      <c r="H460" s="15"/>
    </row>
    <row r="461" spans="1:8" x14ac:dyDescent="0.3">
      <c r="A461" s="15"/>
      <c r="B461" s="15"/>
      <c r="C461" s="3" t="s">
        <v>12</v>
      </c>
      <c r="D461" s="2">
        <v>50</v>
      </c>
      <c r="E461" s="15"/>
      <c r="F461" s="15"/>
      <c r="G461" s="15"/>
      <c r="H461" s="15"/>
    </row>
    <row r="462" spans="1:8" x14ac:dyDescent="0.3">
      <c r="A462" s="15"/>
      <c r="B462" s="15"/>
      <c r="C462" s="3" t="s">
        <v>8</v>
      </c>
      <c r="D462" s="2">
        <v>40</v>
      </c>
      <c r="E462" s="15"/>
      <c r="F462" s="15"/>
      <c r="G462" s="15"/>
      <c r="H462" s="15"/>
    </row>
    <row r="463" spans="1:8" x14ac:dyDescent="0.3">
      <c r="A463" s="15"/>
      <c r="B463" s="15"/>
      <c r="C463" s="3" t="s">
        <v>18</v>
      </c>
      <c r="D463" s="7">
        <v>10.882999999999999</v>
      </c>
      <c r="E463" s="15"/>
      <c r="F463" s="15"/>
      <c r="G463" s="15"/>
      <c r="H463" s="15"/>
    </row>
    <row r="464" spans="1:8" x14ac:dyDescent="0.3">
      <c r="A464" s="16"/>
      <c r="B464" s="16"/>
      <c r="C464" s="8" t="s">
        <v>8</v>
      </c>
      <c r="D464" s="2">
        <v>29.72</v>
      </c>
      <c r="E464" s="16"/>
      <c r="F464" s="16"/>
      <c r="G464" s="16"/>
      <c r="H464" s="16"/>
    </row>
    <row r="465" spans="1:8" x14ac:dyDescent="0.3">
      <c r="A465" s="18">
        <v>78</v>
      </c>
      <c r="B465" s="20">
        <v>44316</v>
      </c>
      <c r="C465" s="3" t="s">
        <v>13</v>
      </c>
      <c r="D465" s="2">
        <v>5.5</v>
      </c>
      <c r="E465" s="19">
        <f>SUM(D465:D470)</f>
        <v>242.63299999999998</v>
      </c>
      <c r="F465" s="17">
        <f>INT(MAX(D465:D470))</f>
        <v>182</v>
      </c>
      <c r="G465" s="14">
        <f>INT((F465/10)*2)</f>
        <v>36</v>
      </c>
      <c r="H465" s="14">
        <f>F465-G465</f>
        <v>146</v>
      </c>
    </row>
    <row r="466" spans="1:8" x14ac:dyDescent="0.3">
      <c r="A466" s="15"/>
      <c r="B466" s="15"/>
      <c r="C466" s="3" t="s">
        <v>14</v>
      </c>
      <c r="D466" s="7">
        <v>13.887</v>
      </c>
      <c r="E466" s="15"/>
      <c r="F466" s="15"/>
      <c r="G466" s="15"/>
      <c r="H466" s="15"/>
    </row>
    <row r="467" spans="1:8" x14ac:dyDescent="0.3">
      <c r="A467" s="15"/>
      <c r="B467" s="15"/>
      <c r="C467" s="8" t="s">
        <v>12</v>
      </c>
      <c r="D467" s="2">
        <v>16.21</v>
      </c>
      <c r="E467" s="15"/>
      <c r="F467" s="15"/>
      <c r="G467" s="15"/>
      <c r="H467" s="15"/>
    </row>
    <row r="468" spans="1:8" x14ac:dyDescent="0.3">
      <c r="A468" s="15"/>
      <c r="B468" s="15"/>
      <c r="C468" s="3" t="s">
        <v>14</v>
      </c>
      <c r="D468" s="2">
        <v>6.37</v>
      </c>
      <c r="E468" s="15"/>
      <c r="F468" s="15"/>
      <c r="G468" s="15"/>
      <c r="H468" s="15"/>
    </row>
    <row r="469" spans="1:8" x14ac:dyDescent="0.3">
      <c r="A469" s="15"/>
      <c r="B469" s="15"/>
      <c r="C469" s="3" t="s">
        <v>16</v>
      </c>
      <c r="D469" s="7">
        <v>182.42599999999999</v>
      </c>
      <c r="E469" s="15"/>
      <c r="F469" s="15"/>
      <c r="G469" s="15"/>
      <c r="H469" s="15"/>
    </row>
    <row r="470" spans="1:8" x14ac:dyDescent="0.3">
      <c r="A470" s="16"/>
      <c r="B470" s="16"/>
      <c r="C470" s="8" t="s">
        <v>11</v>
      </c>
      <c r="D470" s="2">
        <v>18.239999999999998</v>
      </c>
      <c r="E470" s="16"/>
      <c r="F470" s="16"/>
      <c r="G470" s="16"/>
      <c r="H470" s="16"/>
    </row>
    <row r="471" spans="1:8" x14ac:dyDescent="0.3">
      <c r="A471" s="18">
        <v>79</v>
      </c>
      <c r="B471" s="20">
        <v>44320</v>
      </c>
      <c r="C471" s="3" t="s">
        <v>10</v>
      </c>
      <c r="D471" s="2">
        <v>50</v>
      </c>
      <c r="E471" s="19">
        <f>SUM(D471:D476)</f>
        <v>222.96800000000002</v>
      </c>
      <c r="F471" s="17">
        <f>INT(MAX(D471:D476))</f>
        <v>70</v>
      </c>
      <c r="G471" s="14">
        <f>INT((F471/10)*2)</f>
        <v>14</v>
      </c>
      <c r="H471" s="14">
        <f>F471-G471</f>
        <v>56</v>
      </c>
    </row>
    <row r="472" spans="1:8" x14ac:dyDescent="0.3">
      <c r="A472" s="15"/>
      <c r="B472" s="15"/>
      <c r="C472" s="3" t="s">
        <v>8</v>
      </c>
      <c r="D472" s="2">
        <v>70</v>
      </c>
      <c r="E472" s="15"/>
      <c r="F472" s="15"/>
      <c r="G472" s="15"/>
      <c r="H472" s="15"/>
    </row>
    <row r="473" spans="1:8" x14ac:dyDescent="0.3">
      <c r="A473" s="15"/>
      <c r="B473" s="15"/>
      <c r="C473" s="3" t="s">
        <v>12</v>
      </c>
      <c r="D473" s="2">
        <v>60</v>
      </c>
      <c r="E473" s="15"/>
      <c r="F473" s="15"/>
      <c r="G473" s="15"/>
      <c r="H473" s="15"/>
    </row>
    <row r="474" spans="1:8" x14ac:dyDescent="0.3">
      <c r="A474" s="15"/>
      <c r="B474" s="15"/>
      <c r="C474" s="3" t="s">
        <v>17</v>
      </c>
      <c r="D474" s="7">
        <v>16.198</v>
      </c>
      <c r="E474" s="15"/>
      <c r="F474" s="15"/>
      <c r="G474" s="15"/>
      <c r="H474" s="15"/>
    </row>
    <row r="475" spans="1:8" x14ac:dyDescent="0.3">
      <c r="A475" s="15"/>
      <c r="B475" s="15"/>
      <c r="C475" s="8" t="s">
        <v>14</v>
      </c>
      <c r="D475" s="2">
        <v>22.58</v>
      </c>
      <c r="E475" s="15"/>
      <c r="F475" s="15"/>
      <c r="G475" s="15"/>
      <c r="H475" s="15"/>
    </row>
    <row r="476" spans="1:8" x14ac:dyDescent="0.3">
      <c r="A476" s="16"/>
      <c r="B476" s="16"/>
      <c r="C476" s="3" t="s">
        <v>15</v>
      </c>
      <c r="D476" s="2">
        <v>4.1900000000000004</v>
      </c>
      <c r="E476" s="16"/>
      <c r="F476" s="16"/>
      <c r="G476" s="16"/>
      <c r="H476" s="16"/>
    </row>
    <row r="477" spans="1:8" x14ac:dyDescent="0.3">
      <c r="A477" s="18">
        <v>80</v>
      </c>
      <c r="B477" s="20">
        <v>44323</v>
      </c>
      <c r="C477" s="3" t="s">
        <v>18</v>
      </c>
      <c r="D477" s="2">
        <v>9.26</v>
      </c>
      <c r="E477" s="19">
        <f>SUM(D477:D482)</f>
        <v>260.28800000000001</v>
      </c>
      <c r="F477" s="17">
        <f>INT(MAX(D477:D482))</f>
        <v>91</v>
      </c>
      <c r="G477" s="14">
        <f>INT((F477/10)*2)</f>
        <v>18</v>
      </c>
      <c r="H477" s="14">
        <f>F477-G477</f>
        <v>73</v>
      </c>
    </row>
    <row r="478" spans="1:8" x14ac:dyDescent="0.3">
      <c r="A478" s="15"/>
      <c r="B478" s="15"/>
      <c r="C478" s="3" t="s">
        <v>8</v>
      </c>
      <c r="D478" s="2">
        <v>9.24</v>
      </c>
      <c r="E478" s="15"/>
      <c r="F478" s="15"/>
      <c r="G478" s="15"/>
      <c r="H478" s="15"/>
    </row>
    <row r="479" spans="1:8" x14ac:dyDescent="0.3">
      <c r="A479" s="15"/>
      <c r="B479" s="15"/>
      <c r="C479" s="3" t="s">
        <v>10</v>
      </c>
      <c r="D479" s="7">
        <v>57.997999999999998</v>
      </c>
      <c r="E479" s="15"/>
      <c r="F479" s="15"/>
      <c r="G479" s="15"/>
      <c r="H479" s="15"/>
    </row>
    <row r="480" spans="1:8" x14ac:dyDescent="0.3">
      <c r="A480" s="15"/>
      <c r="B480" s="15"/>
      <c r="C480" s="8" t="s">
        <v>16</v>
      </c>
      <c r="D480" s="2">
        <v>61.99</v>
      </c>
      <c r="E480" s="15"/>
      <c r="F480" s="15"/>
      <c r="G480" s="15"/>
      <c r="H480" s="15"/>
    </row>
    <row r="481" spans="1:8" x14ac:dyDescent="0.3">
      <c r="A481" s="15"/>
      <c r="B481" s="15"/>
      <c r="C481" s="3" t="s">
        <v>15</v>
      </c>
      <c r="D481" s="2">
        <v>30.61</v>
      </c>
      <c r="E481" s="15"/>
      <c r="F481" s="15"/>
      <c r="G481" s="15"/>
      <c r="H481" s="15"/>
    </row>
    <row r="482" spans="1:8" x14ac:dyDescent="0.3">
      <c r="A482" s="16"/>
      <c r="B482" s="16"/>
      <c r="C482" s="3" t="s">
        <v>17</v>
      </c>
      <c r="D482" s="2">
        <v>91.19</v>
      </c>
      <c r="E482" s="16"/>
      <c r="F482" s="16"/>
      <c r="G482" s="16"/>
      <c r="H482" s="16"/>
    </row>
    <row r="483" spans="1:8" x14ac:dyDescent="0.3">
      <c r="A483" s="18">
        <v>81</v>
      </c>
      <c r="B483" s="20">
        <v>44327</v>
      </c>
      <c r="C483" s="3" t="s">
        <v>13</v>
      </c>
      <c r="D483" s="2">
        <v>125.44</v>
      </c>
      <c r="E483" s="19">
        <f>SUM(D483:D488)</f>
        <v>208.36</v>
      </c>
      <c r="F483" s="17">
        <f>INT(MAX(D483:D488))</f>
        <v>125</v>
      </c>
      <c r="G483" s="14">
        <f>INT((F483/10)*2)</f>
        <v>25</v>
      </c>
      <c r="H483" s="14">
        <f>F483-G483</f>
        <v>100</v>
      </c>
    </row>
    <row r="484" spans="1:8" x14ac:dyDescent="0.3">
      <c r="A484" s="15"/>
      <c r="B484" s="15"/>
      <c r="C484" s="3" t="s">
        <v>11</v>
      </c>
      <c r="D484" s="7">
        <v>6.31</v>
      </c>
      <c r="E484" s="15"/>
      <c r="F484" s="15"/>
      <c r="G484" s="15"/>
      <c r="H484" s="15"/>
    </row>
    <row r="485" spans="1:8" x14ac:dyDescent="0.3">
      <c r="A485" s="15"/>
      <c r="B485" s="15"/>
      <c r="C485" s="8" t="s">
        <v>10</v>
      </c>
      <c r="D485" s="2">
        <v>19.89</v>
      </c>
      <c r="E485" s="15"/>
      <c r="F485" s="15"/>
      <c r="G485" s="15"/>
      <c r="H485" s="15"/>
    </row>
    <row r="486" spans="1:8" x14ac:dyDescent="0.3">
      <c r="A486" s="15"/>
      <c r="B486" s="15"/>
      <c r="C486" s="3" t="s">
        <v>15</v>
      </c>
      <c r="D486" s="2">
        <v>23.86</v>
      </c>
      <c r="E486" s="15"/>
      <c r="F486" s="15"/>
      <c r="G486" s="15"/>
      <c r="H486" s="15"/>
    </row>
    <row r="487" spans="1:8" x14ac:dyDescent="0.3">
      <c r="A487" s="15"/>
      <c r="B487" s="15"/>
      <c r="C487" s="3" t="s">
        <v>9</v>
      </c>
      <c r="D487" s="2">
        <v>7.61</v>
      </c>
      <c r="E487" s="15"/>
      <c r="F487" s="15"/>
      <c r="G487" s="15"/>
      <c r="H487" s="15"/>
    </row>
    <row r="488" spans="1:8" x14ac:dyDescent="0.3">
      <c r="A488" s="16"/>
      <c r="B488" s="16"/>
      <c r="C488" s="3" t="s">
        <v>17</v>
      </c>
      <c r="D488" s="2">
        <v>25.25</v>
      </c>
      <c r="E488" s="16"/>
      <c r="F488" s="16"/>
      <c r="G488" s="16"/>
      <c r="H488" s="16"/>
    </row>
    <row r="489" spans="1:8" x14ac:dyDescent="0.3">
      <c r="A489" s="18">
        <v>82</v>
      </c>
      <c r="B489" s="20">
        <v>44330</v>
      </c>
      <c r="C489" s="3" t="s">
        <v>13</v>
      </c>
      <c r="D489" s="7">
        <v>13.154999999999999</v>
      </c>
      <c r="E489" s="19">
        <f>SUM(D489:D494)</f>
        <v>356.54499999999996</v>
      </c>
      <c r="F489" s="17">
        <f>INT(MAX(D489:D494))</f>
        <v>135</v>
      </c>
      <c r="G489" s="14">
        <f>INT((F489/10)*2)</f>
        <v>27</v>
      </c>
      <c r="H489" s="14">
        <f>F489-G489</f>
        <v>108</v>
      </c>
    </row>
    <row r="490" spans="1:8" x14ac:dyDescent="0.3">
      <c r="A490" s="15"/>
      <c r="B490" s="15"/>
      <c r="C490" s="8" t="s">
        <v>8</v>
      </c>
      <c r="D490" s="2">
        <v>80</v>
      </c>
      <c r="E490" s="15"/>
      <c r="F490" s="15"/>
      <c r="G490" s="15"/>
      <c r="H490" s="15"/>
    </row>
    <row r="491" spans="1:8" x14ac:dyDescent="0.3">
      <c r="A491" s="15"/>
      <c r="B491" s="15"/>
      <c r="C491" s="3" t="s">
        <v>14</v>
      </c>
      <c r="D491" s="2">
        <v>34.06</v>
      </c>
      <c r="E491" s="15"/>
      <c r="F491" s="15"/>
      <c r="G491" s="15"/>
      <c r="H491" s="15"/>
    </row>
    <row r="492" spans="1:8" x14ac:dyDescent="0.3">
      <c r="A492" s="15"/>
      <c r="B492" s="15"/>
      <c r="C492" s="3" t="s">
        <v>16</v>
      </c>
      <c r="D492" s="2">
        <v>72.88</v>
      </c>
      <c r="E492" s="15"/>
      <c r="F492" s="15"/>
      <c r="G492" s="15"/>
      <c r="H492" s="15"/>
    </row>
    <row r="493" spans="1:8" x14ac:dyDescent="0.3">
      <c r="A493" s="15"/>
      <c r="B493" s="15"/>
      <c r="C493" s="3" t="s">
        <v>15</v>
      </c>
      <c r="D493" s="2">
        <v>21.29</v>
      </c>
      <c r="E493" s="15"/>
      <c r="F493" s="15"/>
      <c r="G493" s="15"/>
      <c r="H493" s="15"/>
    </row>
    <row r="494" spans="1:8" x14ac:dyDescent="0.3">
      <c r="A494" s="16"/>
      <c r="B494" s="16"/>
      <c r="C494" s="3" t="s">
        <v>17</v>
      </c>
      <c r="D494" s="2">
        <v>135.16</v>
      </c>
      <c r="E494" s="16"/>
      <c r="F494" s="16"/>
      <c r="G494" s="16"/>
      <c r="H494" s="16"/>
    </row>
    <row r="495" spans="1:8" x14ac:dyDescent="0.3">
      <c r="A495" s="18">
        <v>83</v>
      </c>
      <c r="B495" s="20">
        <v>44334</v>
      </c>
      <c r="C495" s="3" t="s">
        <v>13</v>
      </c>
      <c r="D495" s="7">
        <v>25.545999999999999</v>
      </c>
      <c r="E495" s="19">
        <f>SUM(D495:D500)</f>
        <v>89.657000000000011</v>
      </c>
      <c r="F495" s="17">
        <f>INT(MAX(D495:D500))</f>
        <v>25</v>
      </c>
      <c r="G495" s="14">
        <f>INT((F495/10)*2)</f>
        <v>5</v>
      </c>
      <c r="H495" s="14">
        <f>F495-G495</f>
        <v>20</v>
      </c>
    </row>
    <row r="496" spans="1:8" x14ac:dyDescent="0.3">
      <c r="A496" s="15"/>
      <c r="B496" s="15"/>
      <c r="C496" s="8" t="s">
        <v>11</v>
      </c>
      <c r="D496" s="2">
        <v>9.0500000000000007</v>
      </c>
      <c r="E496" s="15"/>
      <c r="F496" s="15"/>
      <c r="G496" s="15"/>
      <c r="H496" s="15"/>
    </row>
    <row r="497" spans="1:8" x14ac:dyDescent="0.3">
      <c r="A497" s="15"/>
      <c r="B497" s="15"/>
      <c r="C497" s="3" t="s">
        <v>10</v>
      </c>
      <c r="D497" s="2">
        <v>13.17</v>
      </c>
      <c r="E497" s="15"/>
      <c r="F497" s="15"/>
      <c r="G497" s="15"/>
      <c r="H497" s="15"/>
    </row>
    <row r="498" spans="1:8" x14ac:dyDescent="0.3">
      <c r="A498" s="15"/>
      <c r="B498" s="15"/>
      <c r="C498" s="3" t="s">
        <v>17</v>
      </c>
      <c r="D498" s="2">
        <v>17.309999999999999</v>
      </c>
      <c r="E498" s="15"/>
      <c r="F498" s="15"/>
      <c r="G498" s="15"/>
      <c r="H498" s="15"/>
    </row>
    <row r="499" spans="1:8" x14ac:dyDescent="0.3">
      <c r="A499" s="15"/>
      <c r="B499" s="15"/>
      <c r="C499" s="3" t="s">
        <v>9</v>
      </c>
      <c r="D499" s="2">
        <v>19.09</v>
      </c>
      <c r="E499" s="15"/>
      <c r="F499" s="15"/>
      <c r="G499" s="15"/>
      <c r="H499" s="15"/>
    </row>
    <row r="500" spans="1:8" x14ac:dyDescent="0.3">
      <c r="A500" s="16"/>
      <c r="B500" s="16"/>
      <c r="C500" s="3" t="s">
        <v>14</v>
      </c>
      <c r="D500" s="7">
        <v>5.4909999999999997</v>
      </c>
      <c r="E500" s="16"/>
      <c r="F500" s="16"/>
      <c r="G500" s="16"/>
      <c r="H500" s="16"/>
    </row>
    <row r="501" spans="1:8" x14ac:dyDescent="0.3">
      <c r="A501" s="18">
        <v>84</v>
      </c>
      <c r="B501" s="20">
        <v>44337</v>
      </c>
      <c r="C501" s="8" t="s">
        <v>14</v>
      </c>
      <c r="D501" s="2">
        <v>22.11</v>
      </c>
      <c r="E501" s="19">
        <f>SUM(D501:D506)</f>
        <v>65.576999999999998</v>
      </c>
      <c r="F501" s="17">
        <f>INT(MAX(D501:D506))</f>
        <v>22</v>
      </c>
      <c r="G501" s="14">
        <f>INT((F501/10)*2)</f>
        <v>4</v>
      </c>
      <c r="H501" s="14">
        <f>F501-G501</f>
        <v>18</v>
      </c>
    </row>
    <row r="502" spans="1:8" x14ac:dyDescent="0.3">
      <c r="A502" s="15"/>
      <c r="B502" s="15"/>
      <c r="C502" s="3" t="s">
        <v>9</v>
      </c>
      <c r="D502" s="2">
        <v>3.25</v>
      </c>
      <c r="E502" s="15"/>
      <c r="F502" s="15"/>
      <c r="G502" s="15"/>
      <c r="H502" s="15"/>
    </row>
    <row r="503" spans="1:8" x14ac:dyDescent="0.3">
      <c r="A503" s="15"/>
      <c r="B503" s="15"/>
      <c r="C503" s="3" t="s">
        <v>18</v>
      </c>
      <c r="D503" s="2">
        <v>9.36</v>
      </c>
      <c r="E503" s="15"/>
      <c r="F503" s="15"/>
      <c r="G503" s="15"/>
      <c r="H503" s="15"/>
    </row>
    <row r="504" spans="1:8" x14ac:dyDescent="0.3">
      <c r="A504" s="15"/>
      <c r="B504" s="15"/>
      <c r="C504" s="3" t="s">
        <v>10</v>
      </c>
      <c r="D504" s="2">
        <v>18.39</v>
      </c>
      <c r="E504" s="15"/>
      <c r="F504" s="15"/>
      <c r="G504" s="15"/>
      <c r="H504" s="15"/>
    </row>
    <row r="505" spans="1:8" x14ac:dyDescent="0.3">
      <c r="A505" s="15"/>
      <c r="B505" s="15"/>
      <c r="C505" s="3" t="s">
        <v>15</v>
      </c>
      <c r="D505" s="7">
        <v>6.0869999999999997</v>
      </c>
      <c r="E505" s="15"/>
      <c r="F505" s="15"/>
      <c r="G505" s="15"/>
      <c r="H505" s="15"/>
    </row>
    <row r="506" spans="1:8" x14ac:dyDescent="0.3">
      <c r="A506" s="16"/>
      <c r="B506" s="16"/>
      <c r="C506" s="8" t="s">
        <v>8</v>
      </c>
      <c r="D506" s="2">
        <v>6.38</v>
      </c>
      <c r="E506" s="16"/>
      <c r="F506" s="16"/>
      <c r="G506" s="16"/>
      <c r="H506" s="16"/>
    </row>
    <row r="507" spans="1:8" x14ac:dyDescent="0.3">
      <c r="A507" s="18">
        <v>85</v>
      </c>
      <c r="B507" s="20">
        <v>44341</v>
      </c>
      <c r="C507" s="3" t="s">
        <v>14</v>
      </c>
      <c r="D507" s="2">
        <v>9.24</v>
      </c>
      <c r="E507" s="19">
        <f>SUM(D507:D512)</f>
        <v>118.245</v>
      </c>
      <c r="F507" s="17">
        <f>INT(MAX(D507:D512))</f>
        <v>41</v>
      </c>
      <c r="G507" s="14">
        <f>INT((F507/10)*2)</f>
        <v>8</v>
      </c>
      <c r="H507" s="14">
        <f>F507-G507</f>
        <v>33</v>
      </c>
    </row>
    <row r="508" spans="1:8" x14ac:dyDescent="0.3">
      <c r="A508" s="15"/>
      <c r="B508" s="15"/>
      <c r="C508" s="3" t="s">
        <v>9</v>
      </c>
      <c r="D508" s="2">
        <v>20.29</v>
      </c>
      <c r="E508" s="15"/>
      <c r="F508" s="15"/>
      <c r="G508" s="15"/>
      <c r="H508" s="15"/>
    </row>
    <row r="509" spans="1:8" x14ac:dyDescent="0.3">
      <c r="A509" s="15"/>
      <c r="B509" s="15"/>
      <c r="C509" s="3" t="s">
        <v>15</v>
      </c>
      <c r="D509" s="2">
        <v>17.11</v>
      </c>
      <c r="E509" s="15"/>
      <c r="F509" s="15"/>
      <c r="G509" s="15"/>
      <c r="H509" s="15"/>
    </row>
    <row r="510" spans="1:8" x14ac:dyDescent="0.3">
      <c r="A510" s="15"/>
      <c r="B510" s="15"/>
      <c r="C510" s="3" t="s">
        <v>16</v>
      </c>
      <c r="D510" s="2">
        <v>2.88</v>
      </c>
      <c r="E510" s="15"/>
      <c r="F510" s="15"/>
      <c r="G510" s="15"/>
      <c r="H510" s="15"/>
    </row>
    <row r="511" spans="1:8" x14ac:dyDescent="0.3">
      <c r="A511" s="15"/>
      <c r="B511" s="15"/>
      <c r="C511" s="3" t="s">
        <v>18</v>
      </c>
      <c r="D511" s="7">
        <v>27.695</v>
      </c>
      <c r="E511" s="15"/>
      <c r="F511" s="15"/>
      <c r="G511" s="15"/>
      <c r="H511" s="15"/>
    </row>
    <row r="512" spans="1:8" x14ac:dyDescent="0.3">
      <c r="A512" s="16"/>
      <c r="B512" s="16"/>
      <c r="C512" s="8" t="s">
        <v>12</v>
      </c>
      <c r="D512" s="2">
        <v>41.03</v>
      </c>
      <c r="E512" s="16"/>
      <c r="F512" s="16"/>
      <c r="G512" s="16"/>
      <c r="H512" s="16"/>
    </row>
    <row r="513" spans="1:8" x14ac:dyDescent="0.3">
      <c r="A513" s="18">
        <v>86</v>
      </c>
      <c r="B513" s="20">
        <v>44344</v>
      </c>
      <c r="C513" s="3" t="s">
        <v>8</v>
      </c>
      <c r="D513" s="2">
        <v>61.12</v>
      </c>
      <c r="E513" s="19">
        <f>SUM(D513:D518)</f>
        <v>218.24199999999999</v>
      </c>
      <c r="F513" s="17">
        <f>INT(MAX(D513:D518))</f>
        <v>73</v>
      </c>
      <c r="G513" s="14">
        <f>INT((F513/10)*2)</f>
        <v>14</v>
      </c>
      <c r="H513" s="14">
        <f>F513-G513</f>
        <v>59</v>
      </c>
    </row>
    <row r="514" spans="1:8" x14ac:dyDescent="0.3">
      <c r="A514" s="15"/>
      <c r="B514" s="15"/>
      <c r="C514" s="3" t="s">
        <v>9</v>
      </c>
      <c r="D514" s="2">
        <v>73.069999999999993</v>
      </c>
      <c r="E514" s="15"/>
      <c r="F514" s="15"/>
      <c r="G514" s="15"/>
      <c r="H514" s="15"/>
    </row>
    <row r="515" spans="1:8" x14ac:dyDescent="0.3">
      <c r="A515" s="15"/>
      <c r="B515" s="15"/>
      <c r="C515" s="3" t="s">
        <v>15</v>
      </c>
      <c r="D515" s="7">
        <v>23.141999999999999</v>
      </c>
      <c r="E515" s="15"/>
      <c r="F515" s="15"/>
      <c r="G515" s="15"/>
      <c r="H515" s="15"/>
    </row>
    <row r="516" spans="1:8" x14ac:dyDescent="0.3">
      <c r="A516" s="15"/>
      <c r="B516" s="15"/>
      <c r="C516" s="8" t="s">
        <v>9</v>
      </c>
      <c r="D516" s="2">
        <v>22.17</v>
      </c>
      <c r="E516" s="15"/>
      <c r="F516" s="15"/>
      <c r="G516" s="15"/>
      <c r="H516" s="15"/>
    </row>
    <row r="517" spans="1:8" x14ac:dyDescent="0.3">
      <c r="A517" s="15"/>
      <c r="B517" s="15"/>
      <c r="C517" s="3" t="s">
        <v>8</v>
      </c>
      <c r="D517" s="2">
        <v>27.23</v>
      </c>
      <c r="E517" s="15"/>
      <c r="F517" s="15"/>
      <c r="G517" s="15"/>
      <c r="H517" s="15"/>
    </row>
    <row r="518" spans="1:8" x14ac:dyDescent="0.3">
      <c r="A518" s="16"/>
      <c r="B518" s="16"/>
      <c r="C518" s="3" t="s">
        <v>13</v>
      </c>
      <c r="D518" s="2">
        <v>11.51</v>
      </c>
      <c r="E518" s="16"/>
      <c r="F518" s="16"/>
      <c r="G518" s="16"/>
      <c r="H518" s="16"/>
    </row>
    <row r="519" spans="1:8" x14ac:dyDescent="0.3">
      <c r="A519" s="18">
        <v>87</v>
      </c>
      <c r="B519" s="20">
        <v>44348</v>
      </c>
      <c r="C519" s="3" t="s">
        <v>12</v>
      </c>
      <c r="D519" s="7">
        <v>23.768999999999998</v>
      </c>
      <c r="E519" s="19">
        <f>SUM(D519:D524)</f>
        <v>285.22800000000001</v>
      </c>
      <c r="F519" s="17">
        <f>INT(MAX(D519:D524))</f>
        <v>73</v>
      </c>
      <c r="G519" s="14">
        <f>INT((F519/10)*2)</f>
        <v>14</v>
      </c>
      <c r="H519" s="14">
        <f>F519-G519</f>
        <v>59</v>
      </c>
    </row>
    <row r="520" spans="1:8" x14ac:dyDescent="0.3">
      <c r="A520" s="15"/>
      <c r="B520" s="15"/>
      <c r="C520" s="8" t="s">
        <v>14</v>
      </c>
      <c r="D520" s="2">
        <v>14.52</v>
      </c>
      <c r="E520" s="15"/>
      <c r="F520" s="15"/>
      <c r="G520" s="15"/>
      <c r="H520" s="15"/>
    </row>
    <row r="521" spans="1:8" x14ac:dyDescent="0.3">
      <c r="A521" s="15"/>
      <c r="B521" s="15"/>
      <c r="C521" s="3" t="s">
        <v>13</v>
      </c>
      <c r="D521" s="2">
        <v>58.24</v>
      </c>
      <c r="E521" s="15"/>
      <c r="F521" s="15"/>
      <c r="G521" s="15"/>
      <c r="H521" s="15"/>
    </row>
    <row r="522" spans="1:8" x14ac:dyDescent="0.3">
      <c r="A522" s="15"/>
      <c r="B522" s="15"/>
      <c r="C522" s="3" t="s">
        <v>11</v>
      </c>
      <c r="D522" s="7">
        <v>73.819000000000003</v>
      </c>
      <c r="E522" s="15"/>
      <c r="F522" s="15"/>
      <c r="G522" s="15"/>
      <c r="H522" s="15"/>
    </row>
    <row r="523" spans="1:8" x14ac:dyDescent="0.3">
      <c r="A523" s="15"/>
      <c r="B523" s="15"/>
      <c r="C523" s="8" t="s">
        <v>9</v>
      </c>
      <c r="D523" s="2">
        <v>53.22</v>
      </c>
      <c r="E523" s="15"/>
      <c r="F523" s="15"/>
      <c r="G523" s="15"/>
      <c r="H523" s="15"/>
    </row>
    <row r="524" spans="1:8" x14ac:dyDescent="0.3">
      <c r="A524" s="16"/>
      <c r="B524" s="16"/>
      <c r="C524" s="3" t="s">
        <v>11</v>
      </c>
      <c r="D524" s="2">
        <v>61.66</v>
      </c>
      <c r="E524" s="16"/>
      <c r="F524" s="16"/>
      <c r="G524" s="16"/>
      <c r="H524" s="16"/>
    </row>
    <row r="525" spans="1:8" x14ac:dyDescent="0.3">
      <c r="A525" s="18">
        <v>88</v>
      </c>
      <c r="B525" s="20">
        <v>44351</v>
      </c>
      <c r="C525" s="3" t="s">
        <v>12</v>
      </c>
      <c r="D525" s="7">
        <v>19.443999999999999</v>
      </c>
      <c r="E525" s="19">
        <f>SUM(D525:D530)</f>
        <v>308.42200000000003</v>
      </c>
      <c r="F525" s="17">
        <f>INT(MAX(D525:D530))</f>
        <v>109</v>
      </c>
      <c r="G525" s="14">
        <f>INT((F525/10)*2)</f>
        <v>21</v>
      </c>
      <c r="H525" s="14">
        <f>F525-G525</f>
        <v>88</v>
      </c>
    </row>
    <row r="526" spans="1:8" x14ac:dyDescent="0.3">
      <c r="A526" s="15"/>
      <c r="B526" s="15"/>
      <c r="C526" s="8" t="s">
        <v>18</v>
      </c>
      <c r="D526" s="2">
        <v>60</v>
      </c>
      <c r="E526" s="15"/>
      <c r="F526" s="15"/>
      <c r="G526" s="15"/>
      <c r="H526" s="15"/>
    </row>
    <row r="527" spans="1:8" x14ac:dyDescent="0.3">
      <c r="A527" s="15"/>
      <c r="B527" s="15"/>
      <c r="C527" s="3" t="s">
        <v>17</v>
      </c>
      <c r="D527" s="2">
        <v>44.27</v>
      </c>
      <c r="E527" s="15"/>
      <c r="F527" s="15"/>
      <c r="G527" s="15"/>
      <c r="H527" s="15"/>
    </row>
    <row r="528" spans="1:8" x14ac:dyDescent="0.3">
      <c r="A528" s="15"/>
      <c r="B528" s="15"/>
      <c r="C528" s="3" t="s">
        <v>8</v>
      </c>
      <c r="D528" s="7">
        <v>52.927999999999997</v>
      </c>
      <c r="E528" s="15"/>
      <c r="F528" s="15"/>
      <c r="G528" s="15"/>
      <c r="H528" s="15"/>
    </row>
    <row r="529" spans="1:8" x14ac:dyDescent="0.3">
      <c r="A529" s="15"/>
      <c r="B529" s="15"/>
      <c r="C529" s="8" t="s">
        <v>15</v>
      </c>
      <c r="D529" s="2">
        <v>22.66</v>
      </c>
      <c r="E529" s="15"/>
      <c r="F529" s="15"/>
      <c r="G529" s="15"/>
      <c r="H529" s="15"/>
    </row>
    <row r="530" spans="1:8" x14ac:dyDescent="0.3">
      <c r="A530" s="16"/>
      <c r="B530" s="16"/>
      <c r="C530" s="3" t="s">
        <v>8</v>
      </c>
      <c r="D530" s="2">
        <v>109.12</v>
      </c>
      <c r="E530" s="16"/>
      <c r="F530" s="16"/>
      <c r="G530" s="16"/>
      <c r="H530" s="16"/>
    </row>
    <row r="531" spans="1:8" x14ac:dyDescent="0.3">
      <c r="A531" s="18">
        <v>89</v>
      </c>
      <c r="B531" s="20">
        <v>44355</v>
      </c>
      <c r="C531" s="3" t="s">
        <v>13</v>
      </c>
      <c r="D531" s="2">
        <v>15.43</v>
      </c>
      <c r="E531" s="19">
        <f>SUM(D531:D536)</f>
        <v>75.669999999999987</v>
      </c>
      <c r="F531" s="17">
        <f>INT(MAX(D531:D536))</f>
        <v>25</v>
      </c>
      <c r="G531" s="14">
        <f>INT((F531/10)*2)</f>
        <v>5</v>
      </c>
      <c r="H531" s="14">
        <f>F531-G531</f>
        <v>20</v>
      </c>
    </row>
    <row r="532" spans="1:8" x14ac:dyDescent="0.3">
      <c r="A532" s="15"/>
      <c r="B532" s="15"/>
      <c r="C532" s="3" t="s">
        <v>12</v>
      </c>
      <c r="D532" s="7">
        <v>13.32</v>
      </c>
      <c r="E532" s="15"/>
      <c r="F532" s="15"/>
      <c r="G532" s="15"/>
      <c r="H532" s="15"/>
    </row>
    <row r="533" spans="1:8" x14ac:dyDescent="0.3">
      <c r="A533" s="15"/>
      <c r="B533" s="15"/>
      <c r="C533" s="8" t="s">
        <v>17</v>
      </c>
      <c r="D533" s="2">
        <v>13.94</v>
      </c>
      <c r="E533" s="15"/>
      <c r="F533" s="15"/>
      <c r="G533" s="15"/>
      <c r="H533" s="15"/>
    </row>
    <row r="534" spans="1:8" x14ac:dyDescent="0.3">
      <c r="A534" s="15"/>
      <c r="B534" s="15"/>
      <c r="C534" s="3" t="s">
        <v>15</v>
      </c>
      <c r="D534" s="2">
        <v>3.61</v>
      </c>
      <c r="E534" s="15"/>
      <c r="F534" s="15"/>
      <c r="G534" s="15"/>
      <c r="H534" s="15"/>
    </row>
    <row r="535" spans="1:8" x14ac:dyDescent="0.3">
      <c r="A535" s="15"/>
      <c r="B535" s="15"/>
      <c r="C535" s="3" t="s">
        <v>18</v>
      </c>
      <c r="D535" s="2">
        <v>3.76</v>
      </c>
      <c r="E535" s="15"/>
      <c r="F535" s="15"/>
      <c r="G535" s="15"/>
      <c r="H535" s="15"/>
    </row>
    <row r="536" spans="1:8" x14ac:dyDescent="0.3">
      <c r="A536" s="16"/>
      <c r="B536" s="16"/>
      <c r="C536" s="3" t="s">
        <v>10</v>
      </c>
      <c r="D536" s="2">
        <v>25.61</v>
      </c>
      <c r="E536" s="16"/>
      <c r="F536" s="16"/>
      <c r="G536" s="16"/>
      <c r="H536" s="16"/>
    </row>
    <row r="537" spans="1:8" x14ac:dyDescent="0.3">
      <c r="A537" s="18">
        <v>90</v>
      </c>
      <c r="B537" s="20">
        <v>44358</v>
      </c>
      <c r="C537" s="3" t="s">
        <v>13</v>
      </c>
      <c r="D537" s="2">
        <v>11.9</v>
      </c>
      <c r="E537" s="19">
        <f>SUM(D537:D542)</f>
        <v>89.150999999999996</v>
      </c>
      <c r="F537" s="17">
        <f>INT(MAX(D537:D542))</f>
        <v>38</v>
      </c>
      <c r="G537" s="14">
        <f>INT((F537/10)*2)</f>
        <v>7</v>
      </c>
      <c r="H537" s="14">
        <f>F537-G537</f>
        <v>31</v>
      </c>
    </row>
    <row r="538" spans="1:8" x14ac:dyDescent="0.3">
      <c r="A538" s="15"/>
      <c r="B538" s="15"/>
      <c r="C538" s="3" t="s">
        <v>16</v>
      </c>
      <c r="D538" s="7">
        <v>10.971</v>
      </c>
      <c r="E538" s="15"/>
      <c r="F538" s="15"/>
      <c r="G538" s="15"/>
      <c r="H538" s="15"/>
    </row>
    <row r="539" spans="1:8" x14ac:dyDescent="0.3">
      <c r="A539" s="15"/>
      <c r="B539" s="15"/>
      <c r="C539" s="8" t="s">
        <v>12</v>
      </c>
      <c r="D539" s="2">
        <v>10.14</v>
      </c>
      <c r="E539" s="15"/>
      <c r="F539" s="15"/>
      <c r="G539" s="15"/>
      <c r="H539" s="15"/>
    </row>
    <row r="540" spans="1:8" x14ac:dyDescent="0.3">
      <c r="A540" s="15"/>
      <c r="B540" s="15"/>
      <c r="C540" s="3" t="s">
        <v>18</v>
      </c>
      <c r="D540" s="2">
        <v>4.37</v>
      </c>
      <c r="E540" s="15"/>
      <c r="F540" s="15"/>
      <c r="G540" s="15"/>
      <c r="H540" s="15"/>
    </row>
    <row r="541" spans="1:8" x14ac:dyDescent="0.3">
      <c r="A541" s="15"/>
      <c r="B541" s="15"/>
      <c r="C541" s="3" t="s">
        <v>10</v>
      </c>
      <c r="D541" s="2">
        <v>13.44</v>
      </c>
      <c r="E541" s="15"/>
      <c r="F541" s="15"/>
      <c r="G541" s="15"/>
      <c r="H541" s="15"/>
    </row>
    <row r="542" spans="1:8" x14ac:dyDescent="0.3">
      <c r="A542" s="16"/>
      <c r="B542" s="16"/>
      <c r="C542" s="3" t="s">
        <v>17</v>
      </c>
      <c r="D542" s="2">
        <v>38.33</v>
      </c>
      <c r="E542" s="16"/>
      <c r="F542" s="16"/>
      <c r="G542" s="16"/>
      <c r="H542" s="16"/>
    </row>
    <row r="543" spans="1:8" x14ac:dyDescent="0.3">
      <c r="A543" s="18">
        <v>91</v>
      </c>
      <c r="B543" s="20">
        <v>44362</v>
      </c>
      <c r="C543" s="3" t="s">
        <v>13</v>
      </c>
      <c r="D543" s="7">
        <v>7.9059999999999997</v>
      </c>
      <c r="E543" s="19">
        <f>SUM(D543:D548)</f>
        <v>110.02799999999999</v>
      </c>
      <c r="F543" s="17">
        <f>INT(MAX(D543:D548))</f>
        <v>36</v>
      </c>
      <c r="G543" s="14">
        <f>INT((F543/10)*2)</f>
        <v>7</v>
      </c>
      <c r="H543" s="14">
        <f>F543-G543</f>
        <v>29</v>
      </c>
    </row>
    <row r="544" spans="1:8" x14ac:dyDescent="0.3">
      <c r="A544" s="15"/>
      <c r="B544" s="15"/>
      <c r="C544" s="8" t="s">
        <v>18</v>
      </c>
      <c r="D544" s="2">
        <v>9.59</v>
      </c>
      <c r="E544" s="15"/>
      <c r="F544" s="15"/>
      <c r="G544" s="15"/>
      <c r="H544" s="15"/>
    </row>
    <row r="545" spans="1:8" x14ac:dyDescent="0.3">
      <c r="A545" s="15"/>
      <c r="B545" s="15"/>
      <c r="C545" s="3" t="s">
        <v>16</v>
      </c>
      <c r="D545" s="2">
        <v>13.1</v>
      </c>
      <c r="E545" s="15"/>
      <c r="F545" s="15"/>
      <c r="G545" s="15"/>
      <c r="H545" s="15"/>
    </row>
    <row r="546" spans="1:8" x14ac:dyDescent="0.3">
      <c r="A546" s="15"/>
      <c r="B546" s="15"/>
      <c r="C546" s="3" t="s">
        <v>17</v>
      </c>
      <c r="D546" s="2">
        <v>12.97</v>
      </c>
      <c r="E546" s="15"/>
      <c r="F546" s="15"/>
      <c r="G546" s="15"/>
      <c r="H546" s="15"/>
    </row>
    <row r="547" spans="1:8" x14ac:dyDescent="0.3">
      <c r="A547" s="15"/>
      <c r="B547" s="15"/>
      <c r="C547" s="3" t="s">
        <v>9</v>
      </c>
      <c r="D547" s="7">
        <v>30.251999999999999</v>
      </c>
      <c r="E547" s="15"/>
      <c r="F547" s="15"/>
      <c r="G547" s="15"/>
      <c r="H547" s="15"/>
    </row>
    <row r="548" spans="1:8" x14ac:dyDescent="0.3">
      <c r="A548" s="16"/>
      <c r="B548" s="16"/>
      <c r="C548" s="8" t="s">
        <v>15</v>
      </c>
      <c r="D548" s="2">
        <v>36.21</v>
      </c>
      <c r="E548" s="16"/>
      <c r="F548" s="16"/>
      <c r="G548" s="16"/>
      <c r="H548" s="16"/>
    </row>
    <row r="549" spans="1:8" x14ac:dyDescent="0.3">
      <c r="A549" s="18">
        <v>92</v>
      </c>
      <c r="B549" s="20">
        <v>44365</v>
      </c>
      <c r="C549" s="3" t="s">
        <v>12</v>
      </c>
      <c r="D549" s="2">
        <v>10.79</v>
      </c>
      <c r="E549" s="19">
        <f>SUM(D549:D554)</f>
        <v>120.58199999999999</v>
      </c>
      <c r="F549" s="17">
        <f>INT(MAX(D549:D554))</f>
        <v>47</v>
      </c>
      <c r="G549" s="14">
        <f>INT((F549/10)*2)</f>
        <v>9</v>
      </c>
      <c r="H549" s="14">
        <f>F549-G549</f>
        <v>38</v>
      </c>
    </row>
    <row r="550" spans="1:8" x14ac:dyDescent="0.3">
      <c r="A550" s="15"/>
      <c r="B550" s="15"/>
      <c r="C550" s="3" t="s">
        <v>16</v>
      </c>
      <c r="D550" s="2">
        <v>47.6</v>
      </c>
      <c r="E550" s="15"/>
      <c r="F550" s="15"/>
      <c r="G550" s="15"/>
      <c r="H550" s="15"/>
    </row>
    <row r="551" spans="1:8" x14ac:dyDescent="0.3">
      <c r="A551" s="15"/>
      <c r="B551" s="15"/>
      <c r="C551" s="3" t="s">
        <v>9</v>
      </c>
      <c r="D551" s="2">
        <v>7.55</v>
      </c>
      <c r="E551" s="15"/>
      <c r="F551" s="15"/>
      <c r="G551" s="15"/>
      <c r="H551" s="15"/>
    </row>
    <row r="552" spans="1:8" x14ac:dyDescent="0.3">
      <c r="A552" s="15"/>
      <c r="B552" s="15"/>
      <c r="C552" s="3" t="s">
        <v>10</v>
      </c>
      <c r="D552" s="7">
        <v>22.391999999999999</v>
      </c>
      <c r="E552" s="15"/>
      <c r="F552" s="15"/>
      <c r="G552" s="15"/>
      <c r="H552" s="15"/>
    </row>
    <row r="553" spans="1:8" x14ac:dyDescent="0.3">
      <c r="A553" s="15"/>
      <c r="B553" s="15"/>
      <c r="C553" s="8" t="s">
        <v>15</v>
      </c>
      <c r="D553" s="2">
        <v>24.13</v>
      </c>
      <c r="E553" s="15"/>
      <c r="F553" s="15"/>
      <c r="G553" s="15"/>
      <c r="H553" s="15"/>
    </row>
    <row r="554" spans="1:8" x14ac:dyDescent="0.3">
      <c r="A554" s="16"/>
      <c r="B554" s="16"/>
      <c r="C554" s="3" t="s">
        <v>9</v>
      </c>
      <c r="D554" s="2">
        <v>8.1199999999999992</v>
      </c>
      <c r="E554" s="16"/>
      <c r="F554" s="16"/>
      <c r="G554" s="16"/>
      <c r="H554" s="16"/>
    </row>
    <row r="555" spans="1:8" x14ac:dyDescent="0.3">
      <c r="A555" s="18">
        <v>93</v>
      </c>
      <c r="B555" s="20">
        <v>44369</v>
      </c>
      <c r="C555" s="3" t="s">
        <v>10</v>
      </c>
      <c r="D555" s="2">
        <v>26.75</v>
      </c>
      <c r="E555" s="19">
        <f>SUM(D555:D560)</f>
        <v>192.22399999999999</v>
      </c>
      <c r="F555" s="17">
        <f>INT(MAX(D555:D560))</f>
        <v>73</v>
      </c>
      <c r="G555" s="14">
        <f>INT((F555/10)*2)</f>
        <v>14</v>
      </c>
      <c r="H555" s="14">
        <f>F555-G555</f>
        <v>59</v>
      </c>
    </row>
    <row r="556" spans="1:8" x14ac:dyDescent="0.3">
      <c r="A556" s="15"/>
      <c r="B556" s="15"/>
      <c r="C556" s="3" t="s">
        <v>13</v>
      </c>
      <c r="D556" s="2">
        <v>9.5500000000000007</v>
      </c>
      <c r="E556" s="15"/>
      <c r="F556" s="15"/>
      <c r="G556" s="15"/>
      <c r="H556" s="15"/>
    </row>
    <row r="557" spans="1:8" x14ac:dyDescent="0.3">
      <c r="A557" s="15"/>
      <c r="B557" s="15"/>
      <c r="C557" s="3" t="s">
        <v>12</v>
      </c>
      <c r="D557" s="7">
        <v>35.734000000000002</v>
      </c>
      <c r="E557" s="15"/>
      <c r="F557" s="15"/>
      <c r="G557" s="15"/>
      <c r="H557" s="15"/>
    </row>
    <row r="558" spans="1:8" x14ac:dyDescent="0.3">
      <c r="A558" s="15"/>
      <c r="B558" s="15"/>
      <c r="C558" s="8" t="s">
        <v>8</v>
      </c>
      <c r="D558" s="2">
        <v>73.34</v>
      </c>
      <c r="E558" s="15"/>
      <c r="F558" s="15"/>
      <c r="G558" s="15"/>
      <c r="H558" s="15"/>
    </row>
    <row r="559" spans="1:8" x14ac:dyDescent="0.3">
      <c r="A559" s="15"/>
      <c r="B559" s="15"/>
      <c r="C559" s="3" t="s">
        <v>13</v>
      </c>
      <c r="D559" s="2">
        <v>24.57</v>
      </c>
      <c r="E559" s="15"/>
      <c r="F559" s="15"/>
      <c r="G559" s="15"/>
      <c r="H559" s="15"/>
    </row>
    <row r="560" spans="1:8" x14ac:dyDescent="0.3">
      <c r="A560" s="16"/>
      <c r="B560" s="16"/>
      <c r="C560" s="3" t="s">
        <v>14</v>
      </c>
      <c r="D560" s="2">
        <v>22.28</v>
      </c>
      <c r="E560" s="16"/>
      <c r="F560" s="16"/>
      <c r="G560" s="16"/>
      <c r="H560" s="16"/>
    </row>
    <row r="561" spans="1:8" x14ac:dyDescent="0.3">
      <c r="A561" s="18">
        <v>94</v>
      </c>
      <c r="B561" s="20">
        <v>44372</v>
      </c>
      <c r="C561" s="3" t="s">
        <v>18</v>
      </c>
      <c r="D561" s="2">
        <v>56.91</v>
      </c>
      <c r="E561" s="19">
        <f>SUM(D561:D566)</f>
        <v>311.90800000000002</v>
      </c>
      <c r="F561" s="17">
        <f>INT(MAX(D561:D566))</f>
        <v>100</v>
      </c>
      <c r="G561" s="14">
        <f>INT((F561/10)*2)</f>
        <v>20</v>
      </c>
      <c r="H561" s="14">
        <f>F561-G561</f>
        <v>80</v>
      </c>
    </row>
    <row r="562" spans="1:8" x14ac:dyDescent="0.3">
      <c r="A562" s="15"/>
      <c r="B562" s="15"/>
      <c r="C562" s="3" t="s">
        <v>11</v>
      </c>
      <c r="D562" s="2">
        <v>10.75</v>
      </c>
      <c r="E562" s="15"/>
      <c r="F562" s="15"/>
      <c r="G562" s="15"/>
      <c r="H562" s="15"/>
    </row>
    <row r="563" spans="1:8" x14ac:dyDescent="0.3">
      <c r="A563" s="15"/>
      <c r="B563" s="15"/>
      <c r="C563" s="3" t="s">
        <v>10</v>
      </c>
      <c r="D563" s="7">
        <v>29.437999999999999</v>
      </c>
      <c r="E563" s="15"/>
      <c r="F563" s="15"/>
      <c r="G563" s="15"/>
      <c r="H563" s="15"/>
    </row>
    <row r="564" spans="1:8" x14ac:dyDescent="0.3">
      <c r="A564" s="15"/>
      <c r="B564" s="15"/>
      <c r="C564" s="8" t="s">
        <v>18</v>
      </c>
      <c r="D564" s="2">
        <v>45.41</v>
      </c>
      <c r="E564" s="15"/>
      <c r="F564" s="15"/>
      <c r="G564" s="15"/>
      <c r="H564" s="15"/>
    </row>
    <row r="565" spans="1:8" x14ac:dyDescent="0.3">
      <c r="A565" s="15"/>
      <c r="B565" s="15"/>
      <c r="C565" s="3" t="s">
        <v>8</v>
      </c>
      <c r="D565" s="2">
        <v>100</v>
      </c>
      <c r="E565" s="15"/>
      <c r="F565" s="15"/>
      <c r="G565" s="15"/>
      <c r="H565" s="15"/>
    </row>
    <row r="566" spans="1:8" x14ac:dyDescent="0.3">
      <c r="A566" s="16"/>
      <c r="B566" s="16"/>
      <c r="C566" s="3" t="s">
        <v>9</v>
      </c>
      <c r="D566" s="2">
        <v>69.400000000000006</v>
      </c>
      <c r="E566" s="16"/>
      <c r="F566" s="16"/>
      <c r="G566" s="16"/>
      <c r="H566" s="16"/>
    </row>
    <row r="567" spans="1:8" x14ac:dyDescent="0.3">
      <c r="A567" s="18">
        <v>95</v>
      </c>
      <c r="B567" s="20">
        <v>44376</v>
      </c>
      <c r="C567" s="3" t="s">
        <v>16</v>
      </c>
      <c r="D567" s="2">
        <v>60</v>
      </c>
      <c r="E567" s="19">
        <f>SUM(D567:D572)</f>
        <v>365.07000000000005</v>
      </c>
      <c r="F567" s="17">
        <f>INT(MAX(D567:D572))</f>
        <v>149</v>
      </c>
      <c r="G567" s="14">
        <f>INT((F567/10)*2)</f>
        <v>29</v>
      </c>
      <c r="H567" s="14">
        <f>F567-G567</f>
        <v>120</v>
      </c>
    </row>
    <row r="568" spans="1:8" x14ac:dyDescent="0.3">
      <c r="A568" s="15"/>
      <c r="B568" s="15"/>
      <c r="C568" s="3" t="s">
        <v>17</v>
      </c>
      <c r="D568" s="7">
        <v>8.6300000000000008</v>
      </c>
      <c r="E568" s="15"/>
      <c r="F568" s="15"/>
      <c r="G568" s="15"/>
      <c r="H568" s="15"/>
    </row>
    <row r="569" spans="1:8" x14ac:dyDescent="0.3">
      <c r="A569" s="15"/>
      <c r="B569" s="15"/>
      <c r="C569" s="8" t="s">
        <v>18</v>
      </c>
      <c r="D569" s="2">
        <v>92.99</v>
      </c>
      <c r="E569" s="15"/>
      <c r="F569" s="15"/>
      <c r="G569" s="15"/>
      <c r="H569" s="15"/>
    </row>
    <row r="570" spans="1:8" x14ac:dyDescent="0.3">
      <c r="A570" s="15"/>
      <c r="B570" s="15"/>
      <c r="C570" s="3" t="s">
        <v>13</v>
      </c>
      <c r="D570" s="2">
        <v>149.96</v>
      </c>
      <c r="E570" s="15"/>
      <c r="F570" s="15"/>
      <c r="G570" s="15"/>
      <c r="H570" s="15"/>
    </row>
    <row r="571" spans="1:8" x14ac:dyDescent="0.3">
      <c r="A571" s="15"/>
      <c r="B571" s="15"/>
      <c r="C571" s="3" t="s">
        <v>11</v>
      </c>
      <c r="D571" s="2">
        <v>32.85</v>
      </c>
      <c r="E571" s="15"/>
      <c r="F571" s="15"/>
      <c r="G571" s="15"/>
      <c r="H571" s="15"/>
    </row>
    <row r="572" spans="1:8" x14ac:dyDescent="0.3">
      <c r="A572" s="16"/>
      <c r="B572" s="16"/>
      <c r="C572" s="3" t="s">
        <v>14</v>
      </c>
      <c r="D572" s="2">
        <v>20.64</v>
      </c>
      <c r="E572" s="16"/>
      <c r="F572" s="16"/>
      <c r="G572" s="16"/>
      <c r="H572" s="16"/>
    </row>
    <row r="573" spans="1:8" x14ac:dyDescent="0.3">
      <c r="A573" s="18">
        <v>96</v>
      </c>
      <c r="B573" s="20">
        <v>44379</v>
      </c>
      <c r="C573" s="3" t="s">
        <v>12</v>
      </c>
      <c r="D573" s="7">
        <v>39.183</v>
      </c>
      <c r="E573" s="19">
        <f>SUM(D573:D578)</f>
        <v>115.82299999999999</v>
      </c>
      <c r="F573" s="17">
        <f>INT(MAX(D573:D578))</f>
        <v>39</v>
      </c>
      <c r="G573" s="14">
        <f>INT((F573/10)*2)</f>
        <v>7</v>
      </c>
      <c r="H573" s="14">
        <f>F573-G573</f>
        <v>32</v>
      </c>
    </row>
    <row r="574" spans="1:8" x14ac:dyDescent="0.3">
      <c r="A574" s="15"/>
      <c r="B574" s="15"/>
      <c r="C574" s="8" t="s">
        <v>11</v>
      </c>
      <c r="D574" s="2">
        <v>21.73</v>
      </c>
      <c r="E574" s="15"/>
      <c r="F574" s="15"/>
      <c r="G574" s="15"/>
      <c r="H574" s="15"/>
    </row>
    <row r="575" spans="1:8" x14ac:dyDescent="0.3">
      <c r="A575" s="15"/>
      <c r="B575" s="15"/>
      <c r="C575" s="3" t="s">
        <v>15</v>
      </c>
      <c r="D575" s="2">
        <v>15.03</v>
      </c>
      <c r="E575" s="15"/>
      <c r="F575" s="15"/>
      <c r="G575" s="15"/>
      <c r="H575" s="15"/>
    </row>
    <row r="576" spans="1:8" x14ac:dyDescent="0.3">
      <c r="A576" s="15"/>
      <c r="B576" s="15"/>
      <c r="C576" s="3" t="s">
        <v>9</v>
      </c>
      <c r="D576" s="2">
        <v>25.61</v>
      </c>
      <c r="E576" s="15"/>
      <c r="F576" s="15"/>
      <c r="G576" s="15"/>
      <c r="H576" s="15"/>
    </row>
    <row r="577" spans="1:8" x14ac:dyDescent="0.3">
      <c r="A577" s="15"/>
      <c r="B577" s="15"/>
      <c r="C577" s="3" t="s">
        <v>13</v>
      </c>
      <c r="D577" s="2">
        <v>4.42</v>
      </c>
      <c r="E577" s="15"/>
      <c r="F577" s="15"/>
      <c r="G577" s="15"/>
      <c r="H577" s="15"/>
    </row>
    <row r="578" spans="1:8" x14ac:dyDescent="0.3">
      <c r="A578" s="16"/>
      <c r="B578" s="16"/>
      <c r="C578" s="3" t="s">
        <v>18</v>
      </c>
      <c r="D578" s="2">
        <v>9.85</v>
      </c>
      <c r="E578" s="16"/>
      <c r="F578" s="16"/>
      <c r="G578" s="16"/>
      <c r="H578" s="16"/>
    </row>
    <row r="579" spans="1:8" x14ac:dyDescent="0.3">
      <c r="A579" s="18">
        <v>97</v>
      </c>
      <c r="B579" s="20">
        <v>44383</v>
      </c>
      <c r="C579" s="3" t="s">
        <v>16</v>
      </c>
      <c r="D579" s="7">
        <v>43.462000000000003</v>
      </c>
      <c r="E579" s="19">
        <f>SUM(D579:D584)</f>
        <v>284.74799999999999</v>
      </c>
      <c r="F579" s="17">
        <f>INT(MAX(D579:D584))</f>
        <v>104</v>
      </c>
      <c r="G579" s="14">
        <f>INT((F579/10)*2)</f>
        <v>20</v>
      </c>
      <c r="H579" s="14">
        <f>F579-G579</f>
        <v>84</v>
      </c>
    </row>
    <row r="580" spans="1:8" x14ac:dyDescent="0.3">
      <c r="A580" s="15"/>
      <c r="B580" s="15"/>
      <c r="C580" s="8" t="s">
        <v>12</v>
      </c>
      <c r="D580" s="2">
        <v>41.81</v>
      </c>
      <c r="E580" s="15"/>
      <c r="F580" s="15"/>
      <c r="G580" s="15"/>
      <c r="H580" s="15"/>
    </row>
    <row r="581" spans="1:8" x14ac:dyDescent="0.3">
      <c r="A581" s="15"/>
      <c r="B581" s="15"/>
      <c r="C581" s="3" t="s">
        <v>13</v>
      </c>
      <c r="D581" s="2">
        <v>104.14</v>
      </c>
      <c r="E581" s="15"/>
      <c r="F581" s="15"/>
      <c r="G581" s="15"/>
      <c r="H581" s="15"/>
    </row>
    <row r="582" spans="1:8" x14ac:dyDescent="0.3">
      <c r="A582" s="15"/>
      <c r="B582" s="15"/>
      <c r="C582" s="3" t="s">
        <v>11</v>
      </c>
      <c r="D582" s="7">
        <v>15.916</v>
      </c>
      <c r="E582" s="15"/>
      <c r="F582" s="15"/>
      <c r="G582" s="15"/>
      <c r="H582" s="15"/>
    </row>
    <row r="583" spans="1:8" x14ac:dyDescent="0.3">
      <c r="A583" s="15"/>
      <c r="B583" s="15"/>
      <c r="C583" s="8" t="s">
        <v>8</v>
      </c>
      <c r="D583" s="2">
        <v>33.17</v>
      </c>
      <c r="E583" s="15"/>
      <c r="F583" s="15"/>
      <c r="G583" s="15"/>
      <c r="H583" s="15"/>
    </row>
    <row r="584" spans="1:8" x14ac:dyDescent="0.3">
      <c r="A584" s="16"/>
      <c r="B584" s="16"/>
      <c r="C584" s="3" t="s">
        <v>16</v>
      </c>
      <c r="D584" s="2">
        <v>46.25</v>
      </c>
      <c r="E584" s="16"/>
      <c r="F584" s="16"/>
      <c r="G584" s="16"/>
      <c r="H584" s="16"/>
    </row>
    <row r="585" spans="1:8" x14ac:dyDescent="0.3">
      <c r="A585" s="18">
        <v>98</v>
      </c>
      <c r="B585" s="20">
        <v>44386</v>
      </c>
      <c r="C585" s="3" t="s">
        <v>17</v>
      </c>
      <c r="D585" s="2">
        <v>24.43</v>
      </c>
      <c r="E585" s="19">
        <f>SUM(D585:D590)</f>
        <v>370.84800000000001</v>
      </c>
      <c r="F585" s="17">
        <f>INT(MAX(D585:D590))</f>
        <v>178</v>
      </c>
      <c r="G585" s="14">
        <f>INT((F585/10)*2)</f>
        <v>35</v>
      </c>
      <c r="H585" s="14">
        <f>F585-G585</f>
        <v>143</v>
      </c>
    </row>
    <row r="586" spans="1:8" x14ac:dyDescent="0.3">
      <c r="A586" s="15"/>
      <c r="B586" s="15"/>
      <c r="C586" s="3" t="s">
        <v>18</v>
      </c>
      <c r="D586" s="2">
        <v>34.65</v>
      </c>
      <c r="E586" s="15"/>
      <c r="F586" s="15"/>
      <c r="G586" s="15"/>
      <c r="H586" s="15"/>
    </row>
    <row r="587" spans="1:8" x14ac:dyDescent="0.3">
      <c r="A587" s="15"/>
      <c r="B587" s="15"/>
      <c r="C587" s="3" t="s">
        <v>9</v>
      </c>
      <c r="D587" s="2">
        <v>178.22</v>
      </c>
      <c r="E587" s="15"/>
      <c r="F587" s="15"/>
      <c r="G587" s="15"/>
      <c r="H587" s="15"/>
    </row>
    <row r="588" spans="1:8" x14ac:dyDescent="0.3">
      <c r="A588" s="15"/>
      <c r="B588" s="15"/>
      <c r="C588" s="3" t="s">
        <v>11</v>
      </c>
      <c r="D588" s="7">
        <v>35.357999999999997</v>
      </c>
      <c r="E588" s="15"/>
      <c r="F588" s="15"/>
      <c r="G588" s="15"/>
      <c r="H588" s="15"/>
    </row>
    <row r="589" spans="1:8" x14ac:dyDescent="0.3">
      <c r="A589" s="15"/>
      <c r="B589" s="15"/>
      <c r="C589" s="8" t="s">
        <v>10</v>
      </c>
      <c r="D589" s="2">
        <v>54.57</v>
      </c>
      <c r="E589" s="15"/>
      <c r="F589" s="15"/>
      <c r="G589" s="15"/>
      <c r="H589" s="15"/>
    </row>
    <row r="590" spans="1:8" x14ac:dyDescent="0.3">
      <c r="A590" s="16"/>
      <c r="B590" s="16"/>
      <c r="C590" s="3" t="s">
        <v>13</v>
      </c>
      <c r="D590" s="2">
        <v>43.62</v>
      </c>
      <c r="E590" s="16"/>
      <c r="F590" s="16"/>
      <c r="G590" s="16"/>
      <c r="H590" s="16"/>
    </row>
    <row r="591" spans="1:8" x14ac:dyDescent="0.3">
      <c r="A591" s="18">
        <v>99</v>
      </c>
      <c r="B591" s="20">
        <v>44390</v>
      </c>
      <c r="C591" s="3" t="s">
        <v>9</v>
      </c>
      <c r="D591" s="2">
        <v>70</v>
      </c>
      <c r="E591" s="19">
        <f>SUM(D591:D596)</f>
        <v>222.42400000000001</v>
      </c>
      <c r="F591" s="17">
        <f>INT(MAX(D591:D596))</f>
        <v>79</v>
      </c>
      <c r="G591" s="14">
        <f>INT((F591/10)*2)</f>
        <v>15</v>
      </c>
      <c r="H591" s="14">
        <f>F591-G591</f>
        <v>64</v>
      </c>
    </row>
    <row r="592" spans="1:8" x14ac:dyDescent="0.3">
      <c r="A592" s="15"/>
      <c r="B592" s="15"/>
      <c r="C592" s="3" t="s">
        <v>16</v>
      </c>
      <c r="D592" s="2">
        <v>79.25</v>
      </c>
      <c r="E592" s="15"/>
      <c r="F592" s="15"/>
      <c r="G592" s="15"/>
      <c r="H592" s="15"/>
    </row>
    <row r="593" spans="1:8" x14ac:dyDescent="0.3">
      <c r="A593" s="15"/>
      <c r="B593" s="15"/>
      <c r="C593" s="3" t="s">
        <v>14</v>
      </c>
      <c r="D593" s="7">
        <v>9.3420000000000005</v>
      </c>
      <c r="E593" s="15"/>
      <c r="F593" s="15"/>
      <c r="G593" s="15"/>
      <c r="H593" s="15"/>
    </row>
    <row r="594" spans="1:8" x14ac:dyDescent="0.3">
      <c r="A594" s="15"/>
      <c r="B594" s="15"/>
      <c r="C594" s="8" t="s">
        <v>14</v>
      </c>
      <c r="D594" s="2">
        <v>28.68</v>
      </c>
      <c r="E594" s="15"/>
      <c r="F594" s="15"/>
      <c r="G594" s="15"/>
      <c r="H594" s="15"/>
    </row>
    <row r="595" spans="1:8" x14ac:dyDescent="0.3">
      <c r="A595" s="15"/>
      <c r="B595" s="15"/>
      <c r="C595" s="3" t="s">
        <v>13</v>
      </c>
      <c r="D595" s="2">
        <v>3.82</v>
      </c>
      <c r="E595" s="15"/>
      <c r="F595" s="15"/>
      <c r="G595" s="15"/>
      <c r="H595" s="15"/>
    </row>
    <row r="596" spans="1:8" x14ac:dyDescent="0.3">
      <c r="A596" s="16"/>
      <c r="B596" s="16"/>
      <c r="C596" s="3" t="s">
        <v>18</v>
      </c>
      <c r="D596" s="7">
        <v>31.332000000000001</v>
      </c>
      <c r="E596" s="16"/>
      <c r="F596" s="16"/>
      <c r="G596" s="16"/>
      <c r="H596" s="16"/>
    </row>
    <row r="597" spans="1:8" x14ac:dyDescent="0.3">
      <c r="A597" s="18">
        <v>100</v>
      </c>
      <c r="B597" s="20">
        <v>44393</v>
      </c>
      <c r="C597" s="8" t="s">
        <v>16</v>
      </c>
      <c r="D597" s="2">
        <v>9.02</v>
      </c>
      <c r="E597" s="19">
        <f>SUM(D597:D602)</f>
        <v>134.01900000000001</v>
      </c>
      <c r="F597" s="17">
        <f>INT(MAX(D597:D602))</f>
        <v>38</v>
      </c>
      <c r="G597" s="14">
        <f>INT((F597/10)*2)</f>
        <v>7</v>
      </c>
      <c r="H597" s="14">
        <f>F597-G597</f>
        <v>31</v>
      </c>
    </row>
    <row r="598" spans="1:8" x14ac:dyDescent="0.3">
      <c r="A598" s="15"/>
      <c r="B598" s="15"/>
      <c r="C598" s="3" t="s">
        <v>10</v>
      </c>
      <c r="D598" s="2">
        <v>31.13</v>
      </c>
      <c r="E598" s="15"/>
      <c r="F598" s="15"/>
      <c r="G598" s="15"/>
      <c r="H598" s="15"/>
    </row>
    <row r="599" spans="1:8" x14ac:dyDescent="0.3">
      <c r="A599" s="15"/>
      <c r="B599" s="15"/>
      <c r="C599" s="3" t="s">
        <v>8</v>
      </c>
      <c r="D599" s="2">
        <v>12.8</v>
      </c>
      <c r="E599" s="15"/>
      <c r="F599" s="15"/>
      <c r="G599" s="15"/>
      <c r="H599" s="15"/>
    </row>
    <row r="600" spans="1:8" x14ac:dyDescent="0.3">
      <c r="A600" s="15"/>
      <c r="B600" s="15"/>
      <c r="C600" s="3" t="s">
        <v>12</v>
      </c>
      <c r="D600" s="7">
        <v>38.689</v>
      </c>
      <c r="E600" s="15"/>
      <c r="F600" s="15"/>
      <c r="G600" s="15"/>
      <c r="H600" s="15"/>
    </row>
    <row r="601" spans="1:8" x14ac:dyDescent="0.3">
      <c r="A601" s="15"/>
      <c r="B601" s="15"/>
      <c r="C601" s="8" t="s">
        <v>13</v>
      </c>
      <c r="D601" s="2">
        <v>21.13</v>
      </c>
      <c r="E601" s="15"/>
      <c r="F601" s="15"/>
      <c r="G601" s="15"/>
      <c r="H601" s="15"/>
    </row>
    <row r="602" spans="1:8" x14ac:dyDescent="0.3">
      <c r="A602" s="16"/>
      <c r="B602" s="16"/>
      <c r="C602" s="3" t="s">
        <v>16</v>
      </c>
      <c r="D602" s="2">
        <v>21.25</v>
      </c>
      <c r="E602" s="16"/>
      <c r="F602" s="16"/>
      <c r="G602" s="16"/>
      <c r="H602" s="16"/>
    </row>
    <row r="603" spans="1:8" x14ac:dyDescent="0.3">
      <c r="A603" s="18">
        <v>101</v>
      </c>
      <c r="B603" s="20">
        <v>44397</v>
      </c>
      <c r="C603" s="3" t="s">
        <v>17</v>
      </c>
      <c r="D603" s="7">
        <v>26.888999999999999</v>
      </c>
      <c r="E603" s="19">
        <f>SUM(D603:D608)</f>
        <v>280.78899999999999</v>
      </c>
      <c r="F603" s="17">
        <f>INT(MAX(D603:D608))</f>
        <v>83</v>
      </c>
      <c r="G603" s="14">
        <f>INT((F603/10)*2)</f>
        <v>16</v>
      </c>
      <c r="H603" s="14">
        <f>F603-G603</f>
        <v>67</v>
      </c>
    </row>
    <row r="604" spans="1:8" x14ac:dyDescent="0.3">
      <c r="A604" s="15"/>
      <c r="B604" s="15"/>
      <c r="C604" s="8" t="s">
        <v>16</v>
      </c>
      <c r="D604" s="2">
        <v>73.11</v>
      </c>
      <c r="E604" s="15"/>
      <c r="F604" s="15"/>
      <c r="G604" s="15"/>
      <c r="H604" s="15"/>
    </row>
    <row r="605" spans="1:8" x14ac:dyDescent="0.3">
      <c r="A605" s="15"/>
      <c r="B605" s="15"/>
      <c r="C605" s="3" t="s">
        <v>13</v>
      </c>
      <c r="D605" s="2">
        <v>45.25</v>
      </c>
      <c r="E605" s="15"/>
      <c r="F605" s="15"/>
      <c r="G605" s="15"/>
      <c r="H605" s="15"/>
    </row>
    <row r="606" spans="1:8" x14ac:dyDescent="0.3">
      <c r="A606" s="15"/>
      <c r="B606" s="15"/>
      <c r="C606" s="3" t="s">
        <v>12</v>
      </c>
      <c r="D606" s="2">
        <v>83.21</v>
      </c>
      <c r="E606" s="15"/>
      <c r="F606" s="15"/>
      <c r="G606" s="15"/>
      <c r="H606" s="15"/>
    </row>
    <row r="607" spans="1:8" x14ac:dyDescent="0.3">
      <c r="A607" s="15"/>
      <c r="B607" s="15"/>
      <c r="C607" s="3" t="s">
        <v>11</v>
      </c>
      <c r="D607" s="2">
        <v>29.93</v>
      </c>
      <c r="E607" s="15"/>
      <c r="F607" s="15"/>
      <c r="G607" s="15"/>
      <c r="H607" s="15"/>
    </row>
    <row r="608" spans="1:8" x14ac:dyDescent="0.3">
      <c r="A608" s="16"/>
      <c r="B608" s="16"/>
      <c r="C608" s="3" t="s">
        <v>17</v>
      </c>
      <c r="D608" s="2">
        <v>22.4</v>
      </c>
      <c r="E608" s="16"/>
      <c r="F608" s="16"/>
      <c r="G608" s="16"/>
      <c r="H608" s="16"/>
    </row>
    <row r="609" spans="1:8" x14ac:dyDescent="0.3">
      <c r="A609" s="18">
        <v>102</v>
      </c>
      <c r="B609" s="20">
        <v>44400</v>
      </c>
      <c r="C609" s="3" t="s">
        <v>14</v>
      </c>
      <c r="D609" s="7">
        <v>31.068999999999999</v>
      </c>
      <c r="E609" s="19">
        <f>SUM(D609:D614)</f>
        <v>112.194</v>
      </c>
      <c r="F609" s="17">
        <f>INT(MAX(D609:D614))</f>
        <v>31</v>
      </c>
      <c r="G609" s="14">
        <f>INT((F609/10)*2)</f>
        <v>6</v>
      </c>
      <c r="H609" s="14">
        <f>F609-G609</f>
        <v>25</v>
      </c>
    </row>
    <row r="610" spans="1:8" x14ac:dyDescent="0.3">
      <c r="A610" s="15"/>
      <c r="B610" s="15"/>
      <c r="C610" s="8" t="s">
        <v>16</v>
      </c>
      <c r="D610" s="2">
        <v>31.73</v>
      </c>
      <c r="E610" s="15"/>
      <c r="F610" s="15"/>
      <c r="G610" s="15"/>
      <c r="H610" s="15"/>
    </row>
    <row r="611" spans="1:8" x14ac:dyDescent="0.3">
      <c r="A611" s="15"/>
      <c r="B611" s="15"/>
      <c r="C611" s="3" t="s">
        <v>17</v>
      </c>
      <c r="D611" s="2">
        <v>21.64</v>
      </c>
      <c r="E611" s="15"/>
      <c r="F611" s="15"/>
      <c r="G611" s="15"/>
      <c r="H611" s="15"/>
    </row>
    <row r="612" spans="1:8" x14ac:dyDescent="0.3">
      <c r="A612" s="15"/>
      <c r="B612" s="15"/>
      <c r="C612" s="3" t="s">
        <v>14</v>
      </c>
      <c r="D612" s="7">
        <v>13.055</v>
      </c>
      <c r="E612" s="15"/>
      <c r="F612" s="15"/>
      <c r="G612" s="15"/>
      <c r="H612" s="15"/>
    </row>
    <row r="613" spans="1:8" x14ac:dyDescent="0.3">
      <c r="A613" s="15"/>
      <c r="B613" s="15"/>
      <c r="C613" s="8" t="s">
        <v>11</v>
      </c>
      <c r="D613" s="2">
        <v>4.4400000000000004</v>
      </c>
      <c r="E613" s="15"/>
      <c r="F613" s="15"/>
      <c r="G613" s="15"/>
      <c r="H613" s="15"/>
    </row>
    <row r="614" spans="1:8" x14ac:dyDescent="0.3">
      <c r="A614" s="16"/>
      <c r="B614" s="16"/>
      <c r="C614" s="3" t="s">
        <v>10</v>
      </c>
      <c r="D614" s="2">
        <v>10.26</v>
      </c>
      <c r="E614" s="16"/>
      <c r="F614" s="16"/>
      <c r="G614" s="16"/>
      <c r="H614" s="16"/>
    </row>
    <row r="615" spans="1:8" x14ac:dyDescent="0.3">
      <c r="A615" s="18">
        <v>103</v>
      </c>
      <c r="B615" s="20">
        <v>44404</v>
      </c>
      <c r="C615" s="3" t="s">
        <v>8</v>
      </c>
      <c r="D615" s="7">
        <v>19.347000000000001</v>
      </c>
      <c r="E615" s="19">
        <f>SUM(D615:D620)</f>
        <v>97.195000000000007</v>
      </c>
      <c r="F615" s="17">
        <f>INT(MAX(D615:D620))</f>
        <v>22</v>
      </c>
      <c r="G615" s="14">
        <f>INT((F615/10)*2)</f>
        <v>4</v>
      </c>
      <c r="H615" s="14">
        <f>F615-G615</f>
        <v>18</v>
      </c>
    </row>
    <row r="616" spans="1:8" x14ac:dyDescent="0.3">
      <c r="A616" s="15"/>
      <c r="B616" s="15"/>
      <c r="C616" s="8" t="s">
        <v>12</v>
      </c>
      <c r="D616" s="2">
        <v>14.17</v>
      </c>
      <c r="E616" s="15"/>
      <c r="F616" s="15"/>
      <c r="G616" s="15"/>
      <c r="H616" s="15"/>
    </row>
    <row r="617" spans="1:8" x14ac:dyDescent="0.3">
      <c r="A617" s="15"/>
      <c r="B617" s="15"/>
      <c r="C617" s="3" t="s">
        <v>9</v>
      </c>
      <c r="D617" s="2">
        <v>15.36</v>
      </c>
      <c r="E617" s="15"/>
      <c r="F617" s="15"/>
      <c r="G617" s="15"/>
      <c r="H617" s="15"/>
    </row>
    <row r="618" spans="1:8" x14ac:dyDescent="0.3">
      <c r="A618" s="15"/>
      <c r="B618" s="15"/>
      <c r="C618" s="3" t="s">
        <v>15</v>
      </c>
      <c r="D618" s="2">
        <v>22.56</v>
      </c>
      <c r="E618" s="15"/>
      <c r="F618" s="15"/>
      <c r="G618" s="15"/>
      <c r="H618" s="15"/>
    </row>
    <row r="619" spans="1:8" x14ac:dyDescent="0.3">
      <c r="A619" s="15"/>
      <c r="B619" s="15"/>
      <c r="C619" s="3" t="s">
        <v>11</v>
      </c>
      <c r="D619" s="7">
        <v>7.8079999999999998</v>
      </c>
      <c r="E619" s="15"/>
      <c r="F619" s="15"/>
      <c r="G619" s="15"/>
      <c r="H619" s="15"/>
    </row>
    <row r="620" spans="1:8" x14ac:dyDescent="0.3">
      <c r="A620" s="16"/>
      <c r="B620" s="16"/>
      <c r="C620" s="8" t="s">
        <v>8</v>
      </c>
      <c r="D620" s="2">
        <v>17.95</v>
      </c>
      <c r="E620" s="16"/>
      <c r="F620" s="16"/>
      <c r="G620" s="16"/>
      <c r="H620" s="16"/>
    </row>
    <row r="621" spans="1:8" x14ac:dyDescent="0.3">
      <c r="A621" s="18">
        <v>104</v>
      </c>
      <c r="B621" s="20">
        <v>44407</v>
      </c>
      <c r="C621" s="3" t="s">
        <v>17</v>
      </c>
      <c r="D621" s="2">
        <v>16.55</v>
      </c>
      <c r="E621" s="19">
        <f>SUM(D621:D626)</f>
        <v>106.572</v>
      </c>
      <c r="F621" s="17">
        <f>INT(MAX(D621:D626))</f>
        <v>30</v>
      </c>
      <c r="G621" s="14">
        <f>INT((F621/10)*2)</f>
        <v>6</v>
      </c>
      <c r="H621" s="14">
        <f>F621-G621</f>
        <v>24</v>
      </c>
    </row>
    <row r="622" spans="1:8" x14ac:dyDescent="0.3">
      <c r="A622" s="15"/>
      <c r="B622" s="15"/>
      <c r="C622" s="3" t="s">
        <v>10</v>
      </c>
      <c r="D622" s="2">
        <v>24.79</v>
      </c>
      <c r="E622" s="15"/>
      <c r="F622" s="15"/>
      <c r="G622" s="15"/>
      <c r="H622" s="15"/>
    </row>
    <row r="623" spans="1:8" x14ac:dyDescent="0.3">
      <c r="A623" s="15"/>
      <c r="B623" s="15"/>
      <c r="C623" s="3" t="s">
        <v>12</v>
      </c>
      <c r="D623" s="2">
        <v>30.06</v>
      </c>
      <c r="E623" s="15"/>
      <c r="F623" s="15"/>
      <c r="G623" s="15"/>
      <c r="H623" s="15"/>
    </row>
    <row r="624" spans="1:8" x14ac:dyDescent="0.3">
      <c r="A624" s="15"/>
      <c r="B624" s="15"/>
      <c r="C624" s="3" t="s">
        <v>16</v>
      </c>
      <c r="D624" s="2">
        <v>20.329999999999998</v>
      </c>
      <c r="E624" s="15"/>
      <c r="F624" s="15"/>
      <c r="G624" s="15"/>
      <c r="H624" s="15"/>
    </row>
    <row r="625" spans="1:8" x14ac:dyDescent="0.3">
      <c r="A625" s="15"/>
      <c r="B625" s="15"/>
      <c r="C625" s="3" t="s">
        <v>18</v>
      </c>
      <c r="D625" s="7">
        <v>3.0619999999999998</v>
      </c>
      <c r="E625" s="15"/>
      <c r="F625" s="15"/>
      <c r="G625" s="15"/>
      <c r="H625" s="15"/>
    </row>
    <row r="626" spans="1:8" x14ac:dyDescent="0.3">
      <c r="A626" s="16"/>
      <c r="B626" s="16"/>
      <c r="C626" s="8" t="s">
        <v>10</v>
      </c>
      <c r="D626" s="2">
        <v>11.78</v>
      </c>
      <c r="E626" s="16"/>
      <c r="F626" s="16"/>
      <c r="G626" s="16"/>
      <c r="H626" s="16"/>
    </row>
    <row r="627" spans="1:8" x14ac:dyDescent="0.3">
      <c r="A627" s="18">
        <v>105</v>
      </c>
      <c r="B627" s="20">
        <v>44411</v>
      </c>
      <c r="C627" s="3" t="s">
        <v>14</v>
      </c>
      <c r="D627" s="2">
        <v>4.63</v>
      </c>
      <c r="E627" s="19">
        <f>SUM(D627:D632)</f>
        <v>105.196</v>
      </c>
      <c r="F627" s="17">
        <f>INT(MAX(D627:D632))</f>
        <v>24</v>
      </c>
      <c r="G627" s="14">
        <f>INT((F627/10)*2)</f>
        <v>4</v>
      </c>
      <c r="H627" s="14">
        <f>F627-G627</f>
        <v>20</v>
      </c>
    </row>
    <row r="628" spans="1:8" x14ac:dyDescent="0.3">
      <c r="A628" s="15"/>
      <c r="B628" s="15"/>
      <c r="C628" s="3" t="s">
        <v>17</v>
      </c>
      <c r="D628" s="7">
        <v>18.452999999999999</v>
      </c>
      <c r="E628" s="15"/>
      <c r="F628" s="15"/>
      <c r="G628" s="15"/>
      <c r="H628" s="15"/>
    </row>
    <row r="629" spans="1:8" x14ac:dyDescent="0.3">
      <c r="A629" s="15"/>
      <c r="B629" s="15"/>
      <c r="C629" s="8" t="s">
        <v>14</v>
      </c>
      <c r="D629" s="2">
        <v>19.03</v>
      </c>
      <c r="E629" s="15"/>
      <c r="F629" s="15"/>
      <c r="G629" s="15"/>
      <c r="H629" s="15"/>
    </row>
    <row r="630" spans="1:8" x14ac:dyDescent="0.3">
      <c r="A630" s="15"/>
      <c r="B630" s="15"/>
      <c r="C630" s="3" t="s">
        <v>8</v>
      </c>
      <c r="D630" s="2">
        <v>24.91</v>
      </c>
      <c r="E630" s="15"/>
      <c r="F630" s="15"/>
      <c r="G630" s="15"/>
      <c r="H630" s="15"/>
    </row>
    <row r="631" spans="1:8" x14ac:dyDescent="0.3">
      <c r="A631" s="15"/>
      <c r="B631" s="15"/>
      <c r="C631" s="3" t="s">
        <v>10</v>
      </c>
      <c r="D631" s="7">
        <v>21.242999999999999</v>
      </c>
      <c r="E631" s="15"/>
      <c r="F631" s="15"/>
      <c r="G631" s="15"/>
      <c r="H631" s="15"/>
    </row>
    <row r="632" spans="1:8" x14ac:dyDescent="0.3">
      <c r="A632" s="16"/>
      <c r="B632" s="16"/>
      <c r="C632" s="8" t="s">
        <v>13</v>
      </c>
      <c r="D632" s="2">
        <v>16.93</v>
      </c>
      <c r="E632" s="16"/>
      <c r="F632" s="16"/>
      <c r="G632" s="16"/>
      <c r="H632" s="16"/>
    </row>
    <row r="633" spans="1:8" x14ac:dyDescent="0.3">
      <c r="A633" s="18">
        <v>106</v>
      </c>
      <c r="B633" s="20">
        <v>44414</v>
      </c>
      <c r="C633" s="3" t="s">
        <v>16</v>
      </c>
      <c r="D633" s="2">
        <v>5.88</v>
      </c>
      <c r="E633" s="19">
        <f>SUM(D633:D638)</f>
        <v>128.517</v>
      </c>
      <c r="F633" s="17">
        <f>INT(MAX(D633:D638))</f>
        <v>42</v>
      </c>
      <c r="G633" s="14">
        <f>INT((F633/10)*2)</f>
        <v>8</v>
      </c>
      <c r="H633" s="14">
        <f>F633-G633</f>
        <v>34</v>
      </c>
    </row>
    <row r="634" spans="1:8" x14ac:dyDescent="0.3">
      <c r="A634" s="15"/>
      <c r="B634" s="15"/>
      <c r="C634" s="3" t="s">
        <v>18</v>
      </c>
      <c r="D634" s="2">
        <v>21.22</v>
      </c>
      <c r="E634" s="15"/>
      <c r="F634" s="15"/>
      <c r="G634" s="15"/>
      <c r="H634" s="15"/>
    </row>
    <row r="635" spans="1:8" x14ac:dyDescent="0.3">
      <c r="A635" s="15"/>
      <c r="B635" s="15"/>
      <c r="C635" s="3" t="s">
        <v>9</v>
      </c>
      <c r="D635" s="7">
        <v>17.262</v>
      </c>
      <c r="E635" s="15"/>
      <c r="F635" s="15"/>
      <c r="G635" s="15"/>
      <c r="H635" s="15"/>
    </row>
    <row r="636" spans="1:8" x14ac:dyDescent="0.3">
      <c r="A636" s="15"/>
      <c r="B636" s="15"/>
      <c r="C636" s="8" t="s">
        <v>12</v>
      </c>
      <c r="D636" s="2">
        <v>2.89</v>
      </c>
      <c r="E636" s="15"/>
      <c r="F636" s="15"/>
      <c r="G636" s="15"/>
      <c r="H636" s="15"/>
    </row>
    <row r="637" spans="1:8" x14ac:dyDescent="0.3">
      <c r="A637" s="15"/>
      <c r="B637" s="15"/>
      <c r="C637" s="3" t="s">
        <v>10</v>
      </c>
      <c r="D637" s="2">
        <v>38.299999999999997</v>
      </c>
      <c r="E637" s="15"/>
      <c r="F637" s="15"/>
      <c r="G637" s="15"/>
      <c r="H637" s="15"/>
    </row>
    <row r="638" spans="1:8" x14ac:dyDescent="0.3">
      <c r="A638" s="16"/>
      <c r="B638" s="16"/>
      <c r="C638" s="3" t="s">
        <v>11</v>
      </c>
      <c r="D638" s="7">
        <v>42.965000000000003</v>
      </c>
      <c r="E638" s="16"/>
      <c r="F638" s="16"/>
      <c r="G638" s="16"/>
      <c r="H638" s="16"/>
    </row>
    <row r="639" spans="1:8" x14ac:dyDescent="0.3">
      <c r="A639" s="18">
        <v>107</v>
      </c>
      <c r="B639" s="20">
        <v>44418</v>
      </c>
      <c r="C639" s="8" t="s">
        <v>17</v>
      </c>
      <c r="D639" s="2">
        <v>40.61</v>
      </c>
      <c r="E639" s="19">
        <f>SUM(D639:D644)</f>
        <v>227.21099999999998</v>
      </c>
      <c r="F639" s="17">
        <f>INT(MAX(D639:D644))</f>
        <v>66</v>
      </c>
      <c r="G639" s="14">
        <f>INT((F639/10)*2)</f>
        <v>13</v>
      </c>
      <c r="H639" s="14">
        <f>F639-G639</f>
        <v>53</v>
      </c>
    </row>
    <row r="640" spans="1:8" x14ac:dyDescent="0.3">
      <c r="A640" s="15"/>
      <c r="B640" s="15"/>
      <c r="C640" s="3" t="s">
        <v>12</v>
      </c>
      <c r="D640" s="2">
        <v>45.08</v>
      </c>
      <c r="E640" s="15"/>
      <c r="F640" s="15"/>
      <c r="G640" s="15"/>
      <c r="H640" s="15"/>
    </row>
    <row r="641" spans="1:8" x14ac:dyDescent="0.3">
      <c r="A641" s="15"/>
      <c r="B641" s="15"/>
      <c r="C641" s="3" t="s">
        <v>8</v>
      </c>
      <c r="D641" s="2">
        <v>66.81</v>
      </c>
      <c r="E641" s="15"/>
      <c r="F641" s="15"/>
      <c r="G641" s="15"/>
      <c r="H641" s="15"/>
    </row>
    <row r="642" spans="1:8" x14ac:dyDescent="0.3">
      <c r="A642" s="15"/>
      <c r="B642" s="15"/>
      <c r="C642" s="3" t="s">
        <v>14</v>
      </c>
      <c r="D642" s="7">
        <v>29.731000000000002</v>
      </c>
      <c r="E642" s="15"/>
      <c r="F642" s="15"/>
      <c r="G642" s="15"/>
      <c r="H642" s="15"/>
    </row>
    <row r="643" spans="1:8" x14ac:dyDescent="0.3">
      <c r="A643" s="15"/>
      <c r="B643" s="15"/>
      <c r="C643" s="8" t="s">
        <v>13</v>
      </c>
      <c r="D643" s="2">
        <v>37.14</v>
      </c>
      <c r="E643" s="15"/>
      <c r="F643" s="15"/>
      <c r="G643" s="15"/>
      <c r="H643" s="15"/>
    </row>
    <row r="644" spans="1:8" x14ac:dyDescent="0.3">
      <c r="A644" s="16"/>
      <c r="B644" s="16"/>
      <c r="C644" s="3" t="s">
        <v>11</v>
      </c>
      <c r="D644" s="2">
        <v>7.84</v>
      </c>
      <c r="E644" s="16"/>
      <c r="F644" s="16"/>
      <c r="G644" s="16"/>
      <c r="H644" s="16"/>
    </row>
    <row r="645" spans="1:8" x14ac:dyDescent="0.3">
      <c r="A645" s="18">
        <v>108</v>
      </c>
      <c r="B645" s="20">
        <v>44421</v>
      </c>
      <c r="C645" s="3" t="s">
        <v>16</v>
      </c>
      <c r="D645" s="2">
        <v>9.74</v>
      </c>
      <c r="E645" s="19">
        <f>SUM(D645:D650)</f>
        <v>278.548</v>
      </c>
      <c r="F645" s="17">
        <f>INT(MAX(D645:D650))</f>
        <v>113</v>
      </c>
      <c r="G645" s="14">
        <f>INT((F645/10)*2)</f>
        <v>22</v>
      </c>
      <c r="H645" s="14">
        <f>F645-G645</f>
        <v>91</v>
      </c>
    </row>
    <row r="646" spans="1:8" x14ac:dyDescent="0.3">
      <c r="A646" s="15"/>
      <c r="B646" s="15"/>
      <c r="C646" s="3" t="s">
        <v>8</v>
      </c>
      <c r="D646" s="2">
        <v>12.86</v>
      </c>
      <c r="E646" s="15"/>
      <c r="F646" s="15"/>
      <c r="G646" s="15"/>
      <c r="H646" s="15"/>
    </row>
    <row r="647" spans="1:8" x14ac:dyDescent="0.3">
      <c r="A647" s="15"/>
      <c r="B647" s="15"/>
      <c r="C647" s="3" t="s">
        <v>12</v>
      </c>
      <c r="D647" s="7">
        <v>33.698</v>
      </c>
      <c r="E647" s="15"/>
      <c r="F647" s="15"/>
      <c r="G647" s="15"/>
      <c r="H647" s="15"/>
    </row>
    <row r="648" spans="1:8" x14ac:dyDescent="0.3">
      <c r="A648" s="15"/>
      <c r="B648" s="15"/>
      <c r="C648" s="8" t="s">
        <v>10</v>
      </c>
      <c r="D648" s="2">
        <v>80.56</v>
      </c>
      <c r="E648" s="15"/>
      <c r="F648" s="15"/>
      <c r="G648" s="15"/>
      <c r="H648" s="15"/>
    </row>
    <row r="649" spans="1:8" x14ac:dyDescent="0.3">
      <c r="A649" s="15"/>
      <c r="B649" s="15"/>
      <c r="C649" s="3" t="s">
        <v>15</v>
      </c>
      <c r="D649" s="2">
        <v>113.82</v>
      </c>
      <c r="E649" s="15"/>
      <c r="F649" s="15"/>
      <c r="G649" s="15"/>
      <c r="H649" s="15"/>
    </row>
    <row r="650" spans="1:8" x14ac:dyDescent="0.3">
      <c r="A650" s="16"/>
      <c r="B650" s="16"/>
      <c r="C650" s="3" t="s">
        <v>11</v>
      </c>
      <c r="D650" s="2">
        <v>27.87</v>
      </c>
      <c r="E650" s="16"/>
      <c r="F650" s="16"/>
      <c r="G650" s="16"/>
      <c r="H650" s="16"/>
    </row>
    <row r="651" spans="1:8" x14ac:dyDescent="0.3">
      <c r="A651" s="18">
        <v>109</v>
      </c>
      <c r="B651" s="20">
        <v>44425</v>
      </c>
      <c r="C651" s="3" t="s">
        <v>12</v>
      </c>
      <c r="D651" s="2">
        <v>20.89</v>
      </c>
      <c r="E651" s="19">
        <f>SUM(D651:D656)</f>
        <v>85.341999999999999</v>
      </c>
      <c r="F651" s="17">
        <f>INT(MAX(D651:D656))</f>
        <v>24</v>
      </c>
      <c r="G651" s="14">
        <f>INT((F651/10)*2)</f>
        <v>4</v>
      </c>
      <c r="H651" s="14">
        <f>F651-G651</f>
        <v>20</v>
      </c>
    </row>
    <row r="652" spans="1:8" x14ac:dyDescent="0.3">
      <c r="A652" s="15"/>
      <c r="B652" s="15"/>
      <c r="C652" s="3" t="s">
        <v>18</v>
      </c>
      <c r="D652" s="7">
        <v>13.692</v>
      </c>
      <c r="E652" s="15"/>
      <c r="F652" s="15"/>
      <c r="G652" s="15"/>
      <c r="H652" s="15"/>
    </row>
    <row r="653" spans="1:8" x14ac:dyDescent="0.3">
      <c r="A653" s="15"/>
      <c r="B653" s="15"/>
      <c r="C653" s="8" t="s">
        <v>15</v>
      </c>
      <c r="D653" s="2">
        <v>9.7200000000000006</v>
      </c>
      <c r="E653" s="15"/>
      <c r="F653" s="15"/>
      <c r="G653" s="15"/>
      <c r="H653" s="15"/>
    </row>
    <row r="654" spans="1:8" x14ac:dyDescent="0.3">
      <c r="A654" s="15"/>
      <c r="B654" s="15"/>
      <c r="C654" s="3" t="s">
        <v>16</v>
      </c>
      <c r="D654" s="2">
        <v>12.24</v>
      </c>
      <c r="E654" s="15"/>
      <c r="F654" s="15"/>
      <c r="G654" s="15"/>
      <c r="H654" s="15"/>
    </row>
    <row r="655" spans="1:8" x14ac:dyDescent="0.3">
      <c r="A655" s="15"/>
      <c r="B655" s="15"/>
      <c r="C655" s="3" t="s">
        <v>9</v>
      </c>
      <c r="D655" s="2">
        <v>24.5</v>
      </c>
      <c r="E655" s="15"/>
      <c r="F655" s="15"/>
      <c r="G655" s="15"/>
      <c r="H655" s="15"/>
    </row>
    <row r="656" spans="1:8" x14ac:dyDescent="0.3">
      <c r="A656" s="16"/>
      <c r="B656" s="16"/>
      <c r="C656" s="3" t="s">
        <v>11</v>
      </c>
      <c r="D656" s="2">
        <v>4.3</v>
      </c>
      <c r="E656" s="16"/>
      <c r="F656" s="16"/>
      <c r="G656" s="16"/>
      <c r="H656" s="16"/>
    </row>
    <row r="657" spans="1:8" x14ac:dyDescent="0.3">
      <c r="A657" s="18">
        <v>110</v>
      </c>
      <c r="B657" s="20">
        <v>44428</v>
      </c>
      <c r="C657" s="3" t="s">
        <v>8</v>
      </c>
      <c r="D657" s="2">
        <v>6.36</v>
      </c>
      <c r="E657" s="19">
        <f>SUM(D657:D662)</f>
        <v>380.93600000000004</v>
      </c>
      <c r="F657" s="17">
        <f>INT(MAX(D657:D662))</f>
        <v>200</v>
      </c>
      <c r="G657" s="14">
        <f>INT((F657/10)*2)</f>
        <v>40</v>
      </c>
      <c r="H657" s="14">
        <f>F657-G657</f>
        <v>160</v>
      </c>
    </row>
    <row r="658" spans="1:8" x14ac:dyDescent="0.3">
      <c r="A658" s="15"/>
      <c r="B658" s="15"/>
      <c r="C658" s="3" t="s">
        <v>17</v>
      </c>
      <c r="D658" s="7">
        <v>35.450000000000003</v>
      </c>
      <c r="E658" s="15"/>
      <c r="F658" s="15"/>
      <c r="G658" s="15"/>
      <c r="H658" s="15"/>
    </row>
    <row r="659" spans="1:8" x14ac:dyDescent="0.3">
      <c r="A659" s="15"/>
      <c r="B659" s="15"/>
      <c r="C659" s="8" t="s">
        <v>17</v>
      </c>
      <c r="D659" s="2">
        <v>200</v>
      </c>
      <c r="E659" s="15"/>
      <c r="F659" s="15"/>
      <c r="G659" s="15"/>
      <c r="H659" s="15"/>
    </row>
    <row r="660" spans="1:8" x14ac:dyDescent="0.3">
      <c r="A660" s="15"/>
      <c r="B660" s="15"/>
      <c r="C660" s="3" t="s">
        <v>11</v>
      </c>
      <c r="D660" s="2">
        <v>55.23</v>
      </c>
      <c r="E660" s="15"/>
      <c r="F660" s="15"/>
      <c r="G660" s="15"/>
      <c r="H660" s="15"/>
    </row>
    <row r="661" spans="1:8" x14ac:dyDescent="0.3">
      <c r="A661" s="15"/>
      <c r="B661" s="15"/>
      <c r="C661" s="3" t="s">
        <v>15</v>
      </c>
      <c r="D661" s="2">
        <v>80</v>
      </c>
      <c r="E661" s="15"/>
      <c r="F661" s="15"/>
      <c r="G661" s="15"/>
      <c r="H661" s="15"/>
    </row>
    <row r="662" spans="1:8" x14ac:dyDescent="0.3">
      <c r="A662" s="16"/>
      <c r="B662" s="16"/>
      <c r="C662" s="3" t="s">
        <v>14</v>
      </c>
      <c r="D662" s="7">
        <v>3.8959999999999999</v>
      </c>
      <c r="E662" s="16"/>
      <c r="F662" s="16"/>
      <c r="G662" s="16"/>
      <c r="H662" s="16"/>
    </row>
    <row r="663" spans="1:8" x14ac:dyDescent="0.3">
      <c r="A663" s="18">
        <v>111</v>
      </c>
      <c r="B663" s="20">
        <v>44432</v>
      </c>
      <c r="C663" s="8" t="s">
        <v>18</v>
      </c>
      <c r="D663" s="2">
        <v>5.77</v>
      </c>
      <c r="E663" s="19">
        <f>SUM(D663:D668)</f>
        <v>230.28399999999999</v>
      </c>
      <c r="F663" s="17">
        <f>INT(MAX(D663:D668))</f>
        <v>85</v>
      </c>
      <c r="G663" s="14">
        <f>INT((F663/10)*2)</f>
        <v>17</v>
      </c>
      <c r="H663" s="14">
        <f>F663-G663</f>
        <v>68</v>
      </c>
    </row>
    <row r="664" spans="1:8" x14ac:dyDescent="0.3">
      <c r="A664" s="15"/>
      <c r="B664" s="15"/>
      <c r="C664" s="3" t="s">
        <v>8</v>
      </c>
      <c r="D664" s="2">
        <v>60.56</v>
      </c>
      <c r="E664" s="15"/>
      <c r="F664" s="15"/>
      <c r="G664" s="15"/>
      <c r="H664" s="15"/>
    </row>
    <row r="665" spans="1:8" x14ac:dyDescent="0.3">
      <c r="A665" s="15"/>
      <c r="B665" s="15"/>
      <c r="C665" s="3" t="s">
        <v>11</v>
      </c>
      <c r="D665" s="2">
        <v>20.170000000000002</v>
      </c>
      <c r="E665" s="15"/>
      <c r="F665" s="15"/>
      <c r="G665" s="15"/>
      <c r="H665" s="15"/>
    </row>
    <row r="666" spans="1:8" x14ac:dyDescent="0.3">
      <c r="A666" s="15"/>
      <c r="B666" s="15"/>
      <c r="C666" s="3" t="s">
        <v>16</v>
      </c>
      <c r="D666" s="2">
        <v>33.15</v>
      </c>
      <c r="E666" s="15"/>
      <c r="F666" s="15"/>
      <c r="G666" s="15"/>
      <c r="H666" s="15"/>
    </row>
    <row r="667" spans="1:8" x14ac:dyDescent="0.3">
      <c r="A667" s="15"/>
      <c r="B667" s="15"/>
      <c r="C667" s="3" t="s">
        <v>15</v>
      </c>
      <c r="D667" s="7">
        <v>85.463999999999999</v>
      </c>
      <c r="E667" s="15"/>
      <c r="F667" s="15"/>
      <c r="G667" s="15"/>
      <c r="H667" s="15"/>
    </row>
    <row r="668" spans="1:8" x14ac:dyDescent="0.3">
      <c r="A668" s="16"/>
      <c r="B668" s="16"/>
      <c r="C668" s="8" t="s">
        <v>11</v>
      </c>
      <c r="D668" s="2">
        <v>25.17</v>
      </c>
      <c r="E668" s="16"/>
      <c r="F668" s="16"/>
      <c r="G668" s="16"/>
      <c r="H668" s="16"/>
    </row>
    <row r="669" spans="1:8" x14ac:dyDescent="0.3">
      <c r="A669" s="18">
        <v>112</v>
      </c>
      <c r="B669" s="20">
        <v>44435</v>
      </c>
      <c r="C669" s="3" t="s">
        <v>17</v>
      </c>
      <c r="D669" s="2">
        <v>15.85</v>
      </c>
      <c r="E669" s="19">
        <f>SUM(D669:D674)</f>
        <v>208.66000000000003</v>
      </c>
      <c r="F669" s="17">
        <f>INT(MAX(D669:D674))</f>
        <v>78</v>
      </c>
      <c r="G669" s="14">
        <f>INT((F669/10)*2)</f>
        <v>15</v>
      </c>
      <c r="H669" s="14">
        <f>F669-G669</f>
        <v>63</v>
      </c>
    </row>
    <row r="670" spans="1:8" x14ac:dyDescent="0.3">
      <c r="A670" s="15"/>
      <c r="B670" s="15"/>
      <c r="C670" s="3" t="s">
        <v>16</v>
      </c>
      <c r="D670" s="7">
        <v>25.72</v>
      </c>
      <c r="E670" s="15"/>
      <c r="F670" s="15"/>
      <c r="G670" s="15"/>
      <c r="H670" s="15"/>
    </row>
    <row r="671" spans="1:8" x14ac:dyDescent="0.3">
      <c r="A671" s="15"/>
      <c r="B671" s="15"/>
      <c r="C671" s="8" t="s">
        <v>17</v>
      </c>
      <c r="D671" s="2">
        <v>55.39</v>
      </c>
      <c r="E671" s="15"/>
      <c r="F671" s="15"/>
      <c r="G671" s="15"/>
      <c r="H671" s="15"/>
    </row>
    <row r="672" spans="1:8" x14ac:dyDescent="0.3">
      <c r="A672" s="15"/>
      <c r="B672" s="15"/>
      <c r="C672" s="3" t="s">
        <v>9</v>
      </c>
      <c r="D672" s="2">
        <v>10.66</v>
      </c>
      <c r="E672" s="15"/>
      <c r="F672" s="15"/>
      <c r="G672" s="15"/>
      <c r="H672" s="15"/>
    </row>
    <row r="673" spans="1:8" x14ac:dyDescent="0.3">
      <c r="A673" s="15"/>
      <c r="B673" s="15"/>
      <c r="C673" s="3" t="s">
        <v>10</v>
      </c>
      <c r="D673" s="2">
        <v>22.28</v>
      </c>
      <c r="E673" s="15"/>
      <c r="F673" s="15"/>
      <c r="G673" s="15"/>
      <c r="H673" s="15"/>
    </row>
    <row r="674" spans="1:8" x14ac:dyDescent="0.3">
      <c r="A674" s="16"/>
      <c r="B674" s="16"/>
      <c r="C674" s="3" t="s">
        <v>8</v>
      </c>
      <c r="D674" s="2">
        <v>78.760000000000005</v>
      </c>
      <c r="E674" s="16"/>
      <c r="F674" s="16"/>
      <c r="G674" s="16"/>
      <c r="H674" s="16"/>
    </row>
    <row r="675" spans="1:8" x14ac:dyDescent="0.3">
      <c r="A675" s="18">
        <v>113</v>
      </c>
      <c r="B675" s="20">
        <v>44439</v>
      </c>
      <c r="C675" s="3" t="s">
        <v>11</v>
      </c>
      <c r="D675" s="2">
        <v>13.93</v>
      </c>
      <c r="E675" s="19">
        <f>SUM(D675:D680)</f>
        <v>205.51599999999996</v>
      </c>
      <c r="F675" s="17">
        <f>INT(MAX(D675:D680))</f>
        <v>50</v>
      </c>
      <c r="G675" s="14">
        <f>INT((F675/10)*2)</f>
        <v>10</v>
      </c>
      <c r="H675" s="14">
        <f>F675-G675</f>
        <v>40</v>
      </c>
    </row>
    <row r="676" spans="1:8" x14ac:dyDescent="0.3">
      <c r="A676" s="15"/>
      <c r="B676" s="15"/>
      <c r="C676" s="3" t="s">
        <v>18</v>
      </c>
      <c r="D676" s="7">
        <v>50.015999999999998</v>
      </c>
      <c r="E676" s="15"/>
      <c r="F676" s="15"/>
      <c r="G676" s="15"/>
      <c r="H676" s="15"/>
    </row>
    <row r="677" spans="1:8" x14ac:dyDescent="0.3">
      <c r="A677" s="15"/>
      <c r="B677" s="15"/>
      <c r="C677" s="8" t="s">
        <v>14</v>
      </c>
      <c r="D677" s="2">
        <v>36.26</v>
      </c>
      <c r="E677" s="15"/>
      <c r="F677" s="15"/>
      <c r="G677" s="15"/>
      <c r="H677" s="15"/>
    </row>
    <row r="678" spans="1:8" x14ac:dyDescent="0.3">
      <c r="A678" s="15"/>
      <c r="B678" s="15"/>
      <c r="C678" s="3" t="s">
        <v>11</v>
      </c>
      <c r="D678" s="2">
        <v>43.84</v>
      </c>
      <c r="E678" s="15"/>
      <c r="F678" s="15"/>
      <c r="G678" s="15"/>
      <c r="H678" s="15"/>
    </row>
    <row r="679" spans="1:8" x14ac:dyDescent="0.3">
      <c r="A679" s="15"/>
      <c r="B679" s="15"/>
      <c r="C679" s="3" t="s">
        <v>9</v>
      </c>
      <c r="D679" s="2">
        <v>18.64</v>
      </c>
      <c r="E679" s="15"/>
      <c r="F679" s="15"/>
      <c r="G679" s="15"/>
      <c r="H679" s="15"/>
    </row>
    <row r="680" spans="1:8" x14ac:dyDescent="0.3">
      <c r="A680" s="16"/>
      <c r="B680" s="16"/>
      <c r="C680" s="3" t="s">
        <v>8</v>
      </c>
      <c r="D680" s="2">
        <v>42.83</v>
      </c>
      <c r="E680" s="16"/>
      <c r="F680" s="16"/>
      <c r="G680" s="16"/>
      <c r="H680" s="16"/>
    </row>
    <row r="681" spans="1:8" x14ac:dyDescent="0.3">
      <c r="A681" s="18">
        <v>114</v>
      </c>
      <c r="B681" s="20">
        <v>44442</v>
      </c>
      <c r="C681" s="3" t="s">
        <v>17</v>
      </c>
      <c r="D681" s="2">
        <v>23.51</v>
      </c>
      <c r="E681" s="19">
        <f>SUM(D681:D686)</f>
        <v>109.38400000000001</v>
      </c>
      <c r="F681" s="17">
        <f>INT(MAX(D681:D686))</f>
        <v>25</v>
      </c>
      <c r="G681" s="14">
        <f>INT((F681/10)*2)</f>
        <v>5</v>
      </c>
      <c r="H681" s="14">
        <f>F681-G681</f>
        <v>20</v>
      </c>
    </row>
    <row r="682" spans="1:8" x14ac:dyDescent="0.3">
      <c r="A682" s="15"/>
      <c r="B682" s="15"/>
      <c r="C682" s="3" t="s">
        <v>18</v>
      </c>
      <c r="D682" s="7">
        <v>8.8840000000000003</v>
      </c>
      <c r="E682" s="15"/>
      <c r="F682" s="15"/>
      <c r="G682" s="15"/>
      <c r="H682" s="15"/>
    </row>
    <row r="683" spans="1:8" x14ac:dyDescent="0.3">
      <c r="A683" s="15"/>
      <c r="B683" s="15"/>
      <c r="C683" s="8" t="s">
        <v>18</v>
      </c>
      <c r="D683" s="2">
        <v>25.61</v>
      </c>
      <c r="E683" s="15"/>
      <c r="F683" s="15"/>
      <c r="G683" s="15"/>
      <c r="H683" s="15"/>
    </row>
    <row r="684" spans="1:8" x14ac:dyDescent="0.3">
      <c r="A684" s="15"/>
      <c r="B684" s="15"/>
      <c r="C684" s="3" t="s">
        <v>15</v>
      </c>
      <c r="D684" s="2">
        <v>15.89</v>
      </c>
      <c r="E684" s="15"/>
      <c r="F684" s="15"/>
      <c r="G684" s="15"/>
      <c r="H684" s="15"/>
    </row>
    <row r="685" spans="1:8" x14ac:dyDescent="0.3">
      <c r="A685" s="15"/>
      <c r="B685" s="15"/>
      <c r="C685" s="3" t="s">
        <v>11</v>
      </c>
      <c r="D685" s="2">
        <v>11.56</v>
      </c>
      <c r="E685" s="15"/>
      <c r="F685" s="15"/>
      <c r="G685" s="15"/>
      <c r="H685" s="15"/>
    </row>
    <row r="686" spans="1:8" x14ac:dyDescent="0.3">
      <c r="A686" s="16"/>
      <c r="B686" s="16"/>
      <c r="C686" s="3" t="s">
        <v>14</v>
      </c>
      <c r="D686" s="2">
        <v>23.93</v>
      </c>
      <c r="E686" s="16"/>
      <c r="F686" s="16"/>
      <c r="G686" s="16"/>
      <c r="H686" s="16"/>
    </row>
    <row r="687" spans="1:8" x14ac:dyDescent="0.3">
      <c r="A687" s="18">
        <v>115</v>
      </c>
      <c r="B687" s="20">
        <v>44446</v>
      </c>
      <c r="C687" s="3" t="s">
        <v>9</v>
      </c>
      <c r="D687" s="7">
        <v>42.667999999999999</v>
      </c>
      <c r="E687" s="19">
        <f>SUM(D687:D692)</f>
        <v>165.065</v>
      </c>
      <c r="F687" s="17">
        <f>INT(MAX(D687:D692))</f>
        <v>45</v>
      </c>
      <c r="G687" s="14">
        <f>INT((F687/10)*2)</f>
        <v>9</v>
      </c>
      <c r="H687" s="14">
        <f>F687-G687</f>
        <v>36</v>
      </c>
    </row>
    <row r="688" spans="1:8" x14ac:dyDescent="0.3">
      <c r="A688" s="15"/>
      <c r="B688" s="15"/>
      <c r="C688" s="8" t="s">
        <v>9</v>
      </c>
      <c r="D688" s="2">
        <v>45.1</v>
      </c>
      <c r="E688" s="15"/>
      <c r="F688" s="15"/>
      <c r="G688" s="15"/>
      <c r="H688" s="15"/>
    </row>
    <row r="689" spans="1:8" x14ac:dyDescent="0.3">
      <c r="A689" s="15"/>
      <c r="B689" s="15"/>
      <c r="C689" s="3" t="s">
        <v>13</v>
      </c>
      <c r="D689" s="2">
        <v>13.19</v>
      </c>
      <c r="E689" s="15"/>
      <c r="F689" s="15"/>
      <c r="G689" s="15"/>
      <c r="H689" s="15"/>
    </row>
    <row r="690" spans="1:8" x14ac:dyDescent="0.3">
      <c r="A690" s="15"/>
      <c r="B690" s="15"/>
      <c r="C690" s="3" t="s">
        <v>17</v>
      </c>
      <c r="D690" s="2">
        <v>24.89</v>
      </c>
      <c r="E690" s="15"/>
      <c r="F690" s="15"/>
      <c r="G690" s="15"/>
      <c r="H690" s="15"/>
    </row>
    <row r="691" spans="1:8" x14ac:dyDescent="0.3">
      <c r="A691" s="15"/>
      <c r="B691" s="15"/>
      <c r="C691" s="3" t="s">
        <v>8</v>
      </c>
      <c r="D691" s="2">
        <v>21.25</v>
      </c>
      <c r="E691" s="15"/>
      <c r="F691" s="15"/>
      <c r="G691" s="15"/>
      <c r="H691" s="15"/>
    </row>
    <row r="692" spans="1:8" x14ac:dyDescent="0.3">
      <c r="A692" s="16"/>
      <c r="B692" s="16"/>
      <c r="C692" s="3" t="s">
        <v>14</v>
      </c>
      <c r="D692" s="7">
        <v>17.966999999999999</v>
      </c>
      <c r="E692" s="16"/>
      <c r="F692" s="16"/>
      <c r="G692" s="16"/>
      <c r="H692" s="16"/>
    </row>
    <row r="693" spans="1:8" x14ac:dyDescent="0.3">
      <c r="A693" s="18">
        <v>116</v>
      </c>
      <c r="B693" s="20">
        <v>44449</v>
      </c>
      <c r="C693" s="8" t="s">
        <v>13</v>
      </c>
      <c r="D693" s="2">
        <v>5.86</v>
      </c>
      <c r="E693" s="19">
        <f>SUM(D693:D698)</f>
        <v>55.626999999999995</v>
      </c>
      <c r="F693" s="17">
        <f>INT(MAX(D693:D698))</f>
        <v>15</v>
      </c>
      <c r="G693" s="14">
        <f>INT((F693/10)*2)</f>
        <v>3</v>
      </c>
      <c r="H693" s="14">
        <f>F693-G693</f>
        <v>12</v>
      </c>
    </row>
    <row r="694" spans="1:8" x14ac:dyDescent="0.3">
      <c r="A694" s="15"/>
      <c r="B694" s="15"/>
      <c r="C694" s="3" t="s">
        <v>16</v>
      </c>
      <c r="D694" s="2">
        <v>10.74</v>
      </c>
      <c r="E694" s="15"/>
      <c r="F694" s="15"/>
      <c r="G694" s="15"/>
      <c r="H694" s="15"/>
    </row>
    <row r="695" spans="1:8" x14ac:dyDescent="0.3">
      <c r="A695" s="15"/>
      <c r="B695" s="15"/>
      <c r="C695" s="3" t="s">
        <v>9</v>
      </c>
      <c r="D695" s="7">
        <v>11.657</v>
      </c>
      <c r="E695" s="15"/>
      <c r="F695" s="15"/>
      <c r="G695" s="15"/>
      <c r="H695" s="15"/>
    </row>
    <row r="696" spans="1:8" x14ac:dyDescent="0.3">
      <c r="A696" s="15"/>
      <c r="B696" s="15"/>
      <c r="C696" s="8" t="s">
        <v>17</v>
      </c>
      <c r="D696" s="2">
        <v>9.2899999999999991</v>
      </c>
      <c r="E696" s="15"/>
      <c r="F696" s="15"/>
      <c r="G696" s="15"/>
      <c r="H696" s="15"/>
    </row>
    <row r="697" spans="1:8" x14ac:dyDescent="0.3">
      <c r="A697" s="15"/>
      <c r="B697" s="15"/>
      <c r="C697" s="3" t="s">
        <v>18</v>
      </c>
      <c r="D697" s="2">
        <v>2.69</v>
      </c>
      <c r="E697" s="15"/>
      <c r="F697" s="15"/>
      <c r="G697" s="15"/>
      <c r="H697" s="15"/>
    </row>
    <row r="698" spans="1:8" x14ac:dyDescent="0.3">
      <c r="A698" s="16"/>
      <c r="B698" s="16"/>
      <c r="C698" s="3" t="s">
        <v>8</v>
      </c>
      <c r="D698" s="2">
        <v>15.39</v>
      </c>
      <c r="E698" s="16"/>
      <c r="F698" s="16"/>
      <c r="G698" s="16"/>
      <c r="H698" s="16"/>
    </row>
    <row r="699" spans="1:8" x14ac:dyDescent="0.3">
      <c r="A699" s="18">
        <v>117</v>
      </c>
      <c r="B699" s="20">
        <v>44453</v>
      </c>
      <c r="C699" s="3" t="s">
        <v>13</v>
      </c>
      <c r="D699" s="7">
        <v>121.41800000000001</v>
      </c>
      <c r="E699" s="19">
        <f>SUM(D699:D704)</f>
        <v>356.80799999999999</v>
      </c>
      <c r="F699" s="17">
        <f>INT(MAX(D699:D704))</f>
        <v>121</v>
      </c>
      <c r="G699" s="14">
        <f>INT((F699/10)*2)</f>
        <v>24</v>
      </c>
      <c r="H699" s="14">
        <f>F699-G699</f>
        <v>97</v>
      </c>
    </row>
    <row r="700" spans="1:8" x14ac:dyDescent="0.3">
      <c r="A700" s="15"/>
      <c r="B700" s="15"/>
      <c r="C700" s="8" t="s">
        <v>11</v>
      </c>
      <c r="D700" s="2">
        <v>32.130000000000003</v>
      </c>
      <c r="E700" s="15"/>
      <c r="F700" s="15"/>
      <c r="G700" s="15"/>
      <c r="H700" s="15"/>
    </row>
    <row r="701" spans="1:8" x14ac:dyDescent="0.3">
      <c r="A701" s="15"/>
      <c r="B701" s="15"/>
      <c r="C701" s="3" t="s">
        <v>15</v>
      </c>
      <c r="D701" s="2">
        <v>36.74</v>
      </c>
      <c r="E701" s="15"/>
      <c r="F701" s="15"/>
      <c r="G701" s="15"/>
      <c r="H701" s="15"/>
    </row>
    <row r="702" spans="1:8" x14ac:dyDescent="0.3">
      <c r="A702" s="15"/>
      <c r="B702" s="15"/>
      <c r="C702" s="3" t="s">
        <v>12</v>
      </c>
      <c r="D702" s="2">
        <v>64.25</v>
      </c>
      <c r="E702" s="15"/>
      <c r="F702" s="15"/>
      <c r="G702" s="15"/>
      <c r="H702" s="15"/>
    </row>
    <row r="703" spans="1:8" x14ac:dyDescent="0.3">
      <c r="A703" s="15"/>
      <c r="B703" s="15"/>
      <c r="C703" s="3" t="s">
        <v>14</v>
      </c>
      <c r="D703" s="2">
        <v>53.74</v>
      </c>
      <c r="E703" s="15"/>
      <c r="F703" s="15"/>
      <c r="G703" s="15"/>
      <c r="H703" s="15"/>
    </row>
    <row r="704" spans="1:8" x14ac:dyDescent="0.3">
      <c r="A704" s="16"/>
      <c r="B704" s="16"/>
      <c r="C704" s="3" t="s">
        <v>9</v>
      </c>
      <c r="D704" s="2">
        <v>48.53</v>
      </c>
      <c r="E704" s="16"/>
      <c r="F704" s="16"/>
      <c r="G704" s="16"/>
      <c r="H704" s="16"/>
    </row>
    <row r="705" spans="1:8" x14ac:dyDescent="0.3">
      <c r="A705" s="18">
        <v>118</v>
      </c>
      <c r="B705" s="20">
        <v>44456</v>
      </c>
      <c r="C705" s="3" t="s">
        <v>13</v>
      </c>
      <c r="D705" s="7">
        <v>14.79</v>
      </c>
      <c r="E705" s="19">
        <f>SUM(D705:D710)</f>
        <v>138.19900000000001</v>
      </c>
      <c r="F705" s="17">
        <f>INT(MAX(D705:D710))</f>
        <v>60</v>
      </c>
      <c r="G705" s="14">
        <f>INT((F705/10)*2)</f>
        <v>12</v>
      </c>
      <c r="H705" s="14">
        <f>F705-G705</f>
        <v>48</v>
      </c>
    </row>
    <row r="706" spans="1:8" x14ac:dyDescent="0.3">
      <c r="A706" s="15"/>
      <c r="B706" s="15"/>
      <c r="C706" s="8" t="s">
        <v>17</v>
      </c>
      <c r="D706" s="2">
        <v>13.56</v>
      </c>
      <c r="E706" s="15"/>
      <c r="F706" s="15"/>
      <c r="G706" s="15"/>
      <c r="H706" s="15"/>
    </row>
    <row r="707" spans="1:8" x14ac:dyDescent="0.3">
      <c r="A707" s="15"/>
      <c r="B707" s="15"/>
      <c r="C707" s="3" t="s">
        <v>10</v>
      </c>
      <c r="D707" s="2">
        <v>15.16</v>
      </c>
      <c r="E707" s="15"/>
      <c r="F707" s="15"/>
      <c r="G707" s="15"/>
      <c r="H707" s="15"/>
    </row>
    <row r="708" spans="1:8" x14ac:dyDescent="0.3">
      <c r="A708" s="15"/>
      <c r="B708" s="15"/>
      <c r="C708" s="3" t="s">
        <v>9</v>
      </c>
      <c r="D708" s="7">
        <v>60.889000000000003</v>
      </c>
      <c r="E708" s="15"/>
      <c r="F708" s="15"/>
      <c r="G708" s="15"/>
      <c r="H708" s="15"/>
    </row>
    <row r="709" spans="1:8" x14ac:dyDescent="0.3">
      <c r="A709" s="15"/>
      <c r="B709" s="15"/>
      <c r="C709" s="8" t="s">
        <v>13</v>
      </c>
      <c r="D709" s="2">
        <v>21.94</v>
      </c>
      <c r="E709" s="15"/>
      <c r="F709" s="15"/>
      <c r="G709" s="15"/>
      <c r="H709" s="15"/>
    </row>
    <row r="710" spans="1:8" x14ac:dyDescent="0.3">
      <c r="A710" s="16"/>
      <c r="B710" s="16"/>
      <c r="C710" s="3" t="s">
        <v>8</v>
      </c>
      <c r="D710" s="2">
        <v>11.86</v>
      </c>
      <c r="E710" s="16"/>
      <c r="F710" s="16"/>
      <c r="G710" s="16"/>
      <c r="H710" s="16"/>
    </row>
    <row r="711" spans="1:8" x14ac:dyDescent="0.3">
      <c r="A711" s="18">
        <v>119</v>
      </c>
      <c r="B711" s="20">
        <v>44460</v>
      </c>
      <c r="C711" s="3" t="s">
        <v>17</v>
      </c>
      <c r="D711" s="2">
        <v>58.78</v>
      </c>
      <c r="E711" s="19">
        <f>SUM(D711:D716)</f>
        <v>168.76700000000002</v>
      </c>
      <c r="F711" s="17">
        <f>INT(MAX(D711:D716))</f>
        <v>63</v>
      </c>
      <c r="G711" s="14">
        <f>INT((F711/10)*2)</f>
        <v>12</v>
      </c>
      <c r="H711" s="14">
        <f>F711-G711</f>
        <v>51</v>
      </c>
    </row>
    <row r="712" spans="1:8" x14ac:dyDescent="0.3">
      <c r="A712" s="15"/>
      <c r="B712" s="15"/>
      <c r="C712" s="3" t="s">
        <v>9</v>
      </c>
      <c r="D712" s="7">
        <v>63.762999999999998</v>
      </c>
      <c r="E712" s="15"/>
      <c r="F712" s="15"/>
      <c r="G712" s="15"/>
      <c r="H712" s="15"/>
    </row>
    <row r="713" spans="1:8" x14ac:dyDescent="0.3">
      <c r="A713" s="15"/>
      <c r="B713" s="15"/>
      <c r="C713" s="8" t="s">
        <v>15</v>
      </c>
      <c r="D713" s="2">
        <v>10.75</v>
      </c>
      <c r="E713" s="15"/>
      <c r="F713" s="15"/>
      <c r="G713" s="15"/>
      <c r="H713" s="15"/>
    </row>
    <row r="714" spans="1:8" x14ac:dyDescent="0.3">
      <c r="A714" s="15"/>
      <c r="B714" s="15"/>
      <c r="C714" s="3" t="s">
        <v>17</v>
      </c>
      <c r="D714" s="2">
        <v>12.96</v>
      </c>
      <c r="E714" s="15"/>
      <c r="F714" s="15"/>
      <c r="G714" s="15"/>
      <c r="H714" s="15"/>
    </row>
    <row r="715" spans="1:8" x14ac:dyDescent="0.3">
      <c r="A715" s="15"/>
      <c r="B715" s="15"/>
      <c r="C715" s="3" t="s">
        <v>18</v>
      </c>
      <c r="D715" s="7">
        <v>10.394</v>
      </c>
      <c r="E715" s="15"/>
      <c r="F715" s="15"/>
      <c r="G715" s="15"/>
      <c r="H715" s="15"/>
    </row>
    <row r="716" spans="1:8" x14ac:dyDescent="0.3">
      <c r="A716" s="16"/>
      <c r="B716" s="16"/>
      <c r="C716" s="8" t="s">
        <v>12</v>
      </c>
      <c r="D716" s="2">
        <v>12.12</v>
      </c>
      <c r="E716" s="16"/>
      <c r="F716" s="16"/>
      <c r="G716" s="16"/>
      <c r="H716" s="16"/>
    </row>
    <row r="717" spans="1:8" x14ac:dyDescent="0.3">
      <c r="A717" s="18">
        <v>120</v>
      </c>
      <c r="B717" s="20">
        <v>44463</v>
      </c>
      <c r="C717" s="3" t="s">
        <v>16</v>
      </c>
      <c r="D717" s="2">
        <v>31.02</v>
      </c>
      <c r="E717" s="19">
        <f>SUM(D717:D722)</f>
        <v>472.65500000000003</v>
      </c>
      <c r="F717" s="17">
        <f>INT(MAX(D717:D722))</f>
        <v>140</v>
      </c>
      <c r="G717" s="14">
        <f>INT((F717/10)*2)</f>
        <v>28</v>
      </c>
      <c r="H717" s="14">
        <f>F717-G717</f>
        <v>112</v>
      </c>
    </row>
    <row r="718" spans="1:8" x14ac:dyDescent="0.3">
      <c r="A718" s="15"/>
      <c r="B718" s="15"/>
      <c r="C718" s="3" t="s">
        <v>15</v>
      </c>
      <c r="D718" s="7">
        <v>19.805</v>
      </c>
      <c r="E718" s="15"/>
      <c r="F718" s="15"/>
      <c r="G718" s="15"/>
      <c r="H718" s="15"/>
    </row>
    <row r="719" spans="1:8" x14ac:dyDescent="0.3">
      <c r="A719" s="15"/>
      <c r="B719" s="15"/>
      <c r="C719" s="8" t="s">
        <v>8</v>
      </c>
      <c r="D719" s="2">
        <v>131.83000000000001</v>
      </c>
      <c r="E719" s="15"/>
      <c r="F719" s="15"/>
      <c r="G719" s="15"/>
      <c r="H719" s="15"/>
    </row>
    <row r="720" spans="1:8" x14ac:dyDescent="0.3">
      <c r="A720" s="15"/>
      <c r="B720" s="15"/>
      <c r="C720" s="3" t="s">
        <v>11</v>
      </c>
      <c r="D720" s="2">
        <v>140</v>
      </c>
      <c r="E720" s="15"/>
      <c r="F720" s="15"/>
      <c r="G720" s="15"/>
      <c r="H720" s="15"/>
    </row>
    <row r="721" spans="1:8" x14ac:dyDescent="0.3">
      <c r="A721" s="15"/>
      <c r="B721" s="15"/>
      <c r="C721" s="3" t="s">
        <v>13</v>
      </c>
      <c r="D721" s="2">
        <v>70</v>
      </c>
      <c r="E721" s="15"/>
      <c r="F721" s="15"/>
      <c r="G721" s="15"/>
      <c r="H721" s="15"/>
    </row>
    <row r="722" spans="1:8" x14ac:dyDescent="0.3">
      <c r="A722" s="16"/>
      <c r="B722" s="16"/>
      <c r="C722" s="3" t="s">
        <v>12</v>
      </c>
      <c r="D722" s="2">
        <v>80</v>
      </c>
      <c r="E722" s="16"/>
      <c r="F722" s="16"/>
      <c r="G722" s="16"/>
      <c r="H722" s="16"/>
    </row>
    <row r="723" spans="1:8" x14ac:dyDescent="0.3">
      <c r="A723" s="18">
        <v>121</v>
      </c>
      <c r="B723" s="20">
        <v>44467</v>
      </c>
      <c r="C723" s="3" t="s">
        <v>14</v>
      </c>
      <c r="D723" s="7">
        <v>21.898</v>
      </c>
      <c r="E723" s="19">
        <f>SUM(D723:D728)</f>
        <v>105.02800000000001</v>
      </c>
      <c r="F723" s="17">
        <f>INT(MAX(D723:D728))</f>
        <v>29</v>
      </c>
      <c r="G723" s="14">
        <f>INT((F723/10)*2)</f>
        <v>5</v>
      </c>
      <c r="H723" s="14">
        <f>F723-G723</f>
        <v>24</v>
      </c>
    </row>
    <row r="724" spans="1:8" x14ac:dyDescent="0.3">
      <c r="A724" s="15"/>
      <c r="B724" s="15"/>
      <c r="C724" s="8" t="s">
        <v>17</v>
      </c>
      <c r="D724" s="2">
        <v>26.74</v>
      </c>
      <c r="E724" s="15"/>
      <c r="F724" s="15"/>
      <c r="G724" s="15"/>
      <c r="H724" s="15"/>
    </row>
    <row r="725" spans="1:8" x14ac:dyDescent="0.3">
      <c r="A725" s="15"/>
      <c r="B725" s="15"/>
      <c r="C725" s="3" t="s">
        <v>15</v>
      </c>
      <c r="D725" s="2">
        <v>5.66</v>
      </c>
      <c r="E725" s="15"/>
      <c r="F725" s="15"/>
      <c r="G725" s="15"/>
      <c r="H725" s="15"/>
    </row>
    <row r="726" spans="1:8" x14ac:dyDescent="0.3">
      <c r="A726" s="15"/>
      <c r="B726" s="15"/>
      <c r="C726" s="3" t="s">
        <v>18</v>
      </c>
      <c r="D726" s="2">
        <v>29.97</v>
      </c>
      <c r="E726" s="15"/>
      <c r="F726" s="15"/>
      <c r="G726" s="15"/>
      <c r="H726" s="15"/>
    </row>
    <row r="727" spans="1:8" x14ac:dyDescent="0.3">
      <c r="A727" s="15"/>
      <c r="B727" s="15"/>
      <c r="C727" s="3" t="s">
        <v>13</v>
      </c>
      <c r="D727" s="7">
        <v>17.89</v>
      </c>
      <c r="E727" s="15"/>
      <c r="F727" s="15"/>
      <c r="G727" s="15"/>
      <c r="H727" s="15"/>
    </row>
    <row r="728" spans="1:8" x14ac:dyDescent="0.3">
      <c r="A728" s="16"/>
      <c r="B728" s="16"/>
      <c r="C728" s="8" t="s">
        <v>13</v>
      </c>
      <c r="D728" s="2">
        <v>2.87</v>
      </c>
      <c r="E728" s="16"/>
      <c r="F728" s="16"/>
      <c r="G728" s="16"/>
      <c r="H728" s="16"/>
    </row>
    <row r="729" spans="1:8" x14ac:dyDescent="0.3">
      <c r="A729" s="18">
        <v>122</v>
      </c>
      <c r="B729" s="20">
        <v>44470</v>
      </c>
      <c r="C729" s="3" t="s">
        <v>10</v>
      </c>
      <c r="D729" s="2">
        <v>11.12</v>
      </c>
      <c r="E729" s="19">
        <f>SUM(D729:D734)</f>
        <v>142.874</v>
      </c>
      <c r="F729" s="17">
        <f>INT(MAX(D729:D734))</f>
        <v>47</v>
      </c>
      <c r="G729" s="14">
        <f>INT((F729/10)*2)</f>
        <v>9</v>
      </c>
      <c r="H729" s="14">
        <f>F729-G729</f>
        <v>38</v>
      </c>
    </row>
    <row r="730" spans="1:8" x14ac:dyDescent="0.3">
      <c r="A730" s="15"/>
      <c r="B730" s="15"/>
      <c r="C730" s="3" t="s">
        <v>17</v>
      </c>
      <c r="D730" s="2">
        <v>4.6500000000000004</v>
      </c>
      <c r="E730" s="15"/>
      <c r="F730" s="15"/>
      <c r="G730" s="15"/>
      <c r="H730" s="15"/>
    </row>
    <row r="731" spans="1:8" x14ac:dyDescent="0.3">
      <c r="A731" s="15"/>
      <c r="B731" s="15"/>
      <c r="C731" s="3" t="s">
        <v>18</v>
      </c>
      <c r="D731" s="2">
        <v>22.24</v>
      </c>
      <c r="E731" s="15"/>
      <c r="F731" s="15"/>
      <c r="G731" s="15"/>
      <c r="H731" s="15"/>
    </row>
    <row r="732" spans="1:8" x14ac:dyDescent="0.3">
      <c r="A732" s="15"/>
      <c r="B732" s="15"/>
      <c r="C732" s="3" t="s">
        <v>9</v>
      </c>
      <c r="D732" s="7">
        <v>37.973999999999997</v>
      </c>
      <c r="E732" s="15"/>
      <c r="F732" s="15"/>
      <c r="G732" s="15"/>
      <c r="H732" s="15"/>
    </row>
    <row r="733" spans="1:8" x14ac:dyDescent="0.3">
      <c r="A733" s="15"/>
      <c r="B733" s="15"/>
      <c r="C733" s="8" t="s">
        <v>13</v>
      </c>
      <c r="D733" s="2">
        <v>19.21</v>
      </c>
      <c r="E733" s="15"/>
      <c r="F733" s="15"/>
      <c r="G733" s="15"/>
      <c r="H733" s="15"/>
    </row>
    <row r="734" spans="1:8" x14ac:dyDescent="0.3">
      <c r="A734" s="16"/>
      <c r="B734" s="16"/>
      <c r="C734" s="3" t="s">
        <v>12</v>
      </c>
      <c r="D734" s="2">
        <v>47.68</v>
      </c>
      <c r="E734" s="16"/>
      <c r="F734" s="16"/>
      <c r="G734" s="16"/>
      <c r="H734" s="16"/>
    </row>
    <row r="735" spans="1:8" x14ac:dyDescent="0.3">
      <c r="A735" s="18">
        <v>123</v>
      </c>
      <c r="B735" s="20">
        <v>44474</v>
      </c>
      <c r="C735" s="3" t="s">
        <v>11</v>
      </c>
      <c r="D735" s="2">
        <v>19.29</v>
      </c>
      <c r="E735" s="19">
        <f>SUM(D735:D740)</f>
        <v>197.685</v>
      </c>
      <c r="F735" s="17">
        <f>INT(MAX(D735:D740))</f>
        <v>83</v>
      </c>
      <c r="G735" s="14">
        <f>INT((F735/10)*2)</f>
        <v>16</v>
      </c>
      <c r="H735" s="14">
        <f>F735-G735</f>
        <v>67</v>
      </c>
    </row>
    <row r="736" spans="1:8" x14ac:dyDescent="0.3">
      <c r="A736" s="15"/>
      <c r="B736" s="15"/>
      <c r="C736" s="3" t="s">
        <v>16</v>
      </c>
      <c r="D736" s="2">
        <v>12.96</v>
      </c>
      <c r="E736" s="15"/>
      <c r="F736" s="15"/>
      <c r="G736" s="15"/>
      <c r="H736" s="15"/>
    </row>
    <row r="737" spans="1:8" x14ac:dyDescent="0.3">
      <c r="A737" s="15"/>
      <c r="B737" s="15"/>
      <c r="C737" s="3" t="s">
        <v>14</v>
      </c>
      <c r="D737" s="7">
        <v>83.575000000000003</v>
      </c>
      <c r="E737" s="15"/>
      <c r="F737" s="15"/>
      <c r="G737" s="15"/>
      <c r="H737" s="15"/>
    </row>
    <row r="738" spans="1:8" x14ac:dyDescent="0.3">
      <c r="A738" s="15"/>
      <c r="B738" s="15"/>
      <c r="C738" s="8" t="s">
        <v>11</v>
      </c>
      <c r="D738" s="2">
        <v>38.68</v>
      </c>
      <c r="E738" s="15"/>
      <c r="F738" s="15"/>
      <c r="G738" s="15"/>
      <c r="H738" s="15"/>
    </row>
    <row r="739" spans="1:8" x14ac:dyDescent="0.3">
      <c r="A739" s="15"/>
      <c r="B739" s="15"/>
      <c r="C739" s="3" t="s">
        <v>16</v>
      </c>
      <c r="D739" s="2">
        <v>9.2100000000000009</v>
      </c>
      <c r="E739" s="15"/>
      <c r="F739" s="15"/>
      <c r="G739" s="15"/>
      <c r="H739" s="15"/>
    </row>
    <row r="740" spans="1:8" x14ac:dyDescent="0.3">
      <c r="A740" s="16"/>
      <c r="B740" s="16"/>
      <c r="C740" s="3" t="s">
        <v>10</v>
      </c>
      <c r="D740" s="2">
        <v>33.97</v>
      </c>
      <c r="E740" s="16"/>
      <c r="F740" s="16"/>
      <c r="G740" s="16"/>
      <c r="H740" s="16"/>
    </row>
    <row r="741" spans="1:8" x14ac:dyDescent="0.3">
      <c r="A741" s="18">
        <v>124</v>
      </c>
      <c r="B741" s="20">
        <v>44477</v>
      </c>
      <c r="C741" s="3" t="s">
        <v>12</v>
      </c>
      <c r="D741" s="2">
        <v>36.53</v>
      </c>
      <c r="E741" s="19">
        <f>SUM(D741:D746)</f>
        <v>196.14500000000001</v>
      </c>
      <c r="F741" s="17">
        <f>INT(MAX(D741:D746))</f>
        <v>66</v>
      </c>
      <c r="G741" s="14">
        <f>INT((F741/10)*2)</f>
        <v>13</v>
      </c>
      <c r="H741" s="14">
        <f>F741-G741</f>
        <v>53</v>
      </c>
    </row>
    <row r="742" spans="1:8" x14ac:dyDescent="0.3">
      <c r="A742" s="15"/>
      <c r="B742" s="15"/>
      <c r="C742" s="3" t="s">
        <v>17</v>
      </c>
      <c r="D742" s="2">
        <v>66.180000000000007</v>
      </c>
      <c r="E742" s="15"/>
      <c r="F742" s="15"/>
      <c r="G742" s="15"/>
      <c r="H742" s="15"/>
    </row>
    <row r="743" spans="1:8" x14ac:dyDescent="0.3">
      <c r="A743" s="15"/>
      <c r="B743" s="15"/>
      <c r="C743" s="3" t="s">
        <v>13</v>
      </c>
      <c r="D743" s="7">
        <v>16.155000000000001</v>
      </c>
      <c r="E743" s="15"/>
      <c r="F743" s="15"/>
      <c r="G743" s="15"/>
      <c r="H743" s="15"/>
    </row>
    <row r="744" spans="1:8" x14ac:dyDescent="0.3">
      <c r="A744" s="15"/>
      <c r="B744" s="15"/>
      <c r="C744" s="8" t="s">
        <v>12</v>
      </c>
      <c r="D744" s="2">
        <v>47.29</v>
      </c>
      <c r="E744" s="15"/>
      <c r="F744" s="15"/>
      <c r="G744" s="15"/>
      <c r="H744" s="15"/>
    </row>
    <row r="745" spans="1:8" x14ac:dyDescent="0.3">
      <c r="A745" s="15"/>
      <c r="B745" s="15"/>
      <c r="C745" s="3" t="s">
        <v>14</v>
      </c>
      <c r="D745" s="2">
        <v>12.5</v>
      </c>
      <c r="E745" s="15"/>
      <c r="F745" s="15"/>
      <c r="G745" s="15"/>
      <c r="H745" s="15"/>
    </row>
    <row r="746" spans="1:8" x14ac:dyDescent="0.3">
      <c r="A746" s="16"/>
      <c r="B746" s="16"/>
      <c r="C746" s="3" t="s">
        <v>8</v>
      </c>
      <c r="D746" s="2">
        <v>17.489999999999998</v>
      </c>
      <c r="E746" s="16"/>
      <c r="F746" s="16"/>
      <c r="G746" s="16"/>
      <c r="H746" s="16"/>
    </row>
    <row r="747" spans="1:8" x14ac:dyDescent="0.3">
      <c r="A747" s="18">
        <v>125</v>
      </c>
      <c r="B747" s="20">
        <v>44481</v>
      </c>
      <c r="C747" s="3" t="s">
        <v>18</v>
      </c>
      <c r="D747" s="2">
        <v>20.91</v>
      </c>
      <c r="E747" s="19">
        <f>SUM(D747:D752)</f>
        <v>95.789999999999992</v>
      </c>
      <c r="F747" s="17">
        <f>INT(MAX(D747:D752))</f>
        <v>22</v>
      </c>
      <c r="G747" s="14">
        <f>INT((F747/10)*2)</f>
        <v>4</v>
      </c>
      <c r="H747" s="14">
        <f>F747-G747</f>
        <v>18</v>
      </c>
    </row>
    <row r="748" spans="1:8" x14ac:dyDescent="0.3">
      <c r="A748" s="15"/>
      <c r="B748" s="15"/>
      <c r="C748" s="3" t="s">
        <v>10</v>
      </c>
      <c r="D748" s="7">
        <v>12.3</v>
      </c>
      <c r="E748" s="15"/>
      <c r="F748" s="15"/>
      <c r="G748" s="15"/>
      <c r="H748" s="15"/>
    </row>
    <row r="749" spans="1:8" x14ac:dyDescent="0.3">
      <c r="A749" s="15"/>
      <c r="B749" s="15"/>
      <c r="C749" s="8" t="s">
        <v>12</v>
      </c>
      <c r="D749" s="2">
        <v>11.09</v>
      </c>
      <c r="E749" s="15"/>
      <c r="F749" s="15"/>
      <c r="G749" s="15"/>
      <c r="H749" s="15"/>
    </row>
    <row r="750" spans="1:8" x14ac:dyDescent="0.3">
      <c r="A750" s="15"/>
      <c r="B750" s="15"/>
      <c r="C750" s="3" t="s">
        <v>14</v>
      </c>
      <c r="D750" s="2">
        <v>22.83</v>
      </c>
      <c r="E750" s="15"/>
      <c r="F750" s="15"/>
      <c r="G750" s="15"/>
      <c r="H750" s="15"/>
    </row>
    <row r="751" spans="1:8" x14ac:dyDescent="0.3">
      <c r="A751" s="15"/>
      <c r="B751" s="15"/>
      <c r="C751" s="3" t="s">
        <v>13</v>
      </c>
      <c r="D751" s="2">
        <v>22.5</v>
      </c>
      <c r="E751" s="15"/>
      <c r="F751" s="15"/>
      <c r="G751" s="15"/>
      <c r="H751" s="15"/>
    </row>
    <row r="752" spans="1:8" x14ac:dyDescent="0.3">
      <c r="A752" s="16"/>
      <c r="B752" s="16"/>
      <c r="C752" s="3" t="s">
        <v>15</v>
      </c>
      <c r="D752" s="2">
        <v>6.16</v>
      </c>
      <c r="E752" s="16"/>
      <c r="F752" s="16"/>
      <c r="G752" s="16"/>
      <c r="H752" s="16"/>
    </row>
    <row r="753" spans="1:8" x14ac:dyDescent="0.3">
      <c r="A753" s="18">
        <v>126</v>
      </c>
      <c r="B753" s="20">
        <v>44484</v>
      </c>
      <c r="C753" s="3" t="s">
        <v>16</v>
      </c>
      <c r="D753" s="2">
        <v>4.34</v>
      </c>
      <c r="E753" s="19">
        <f>SUM(D753:D758)</f>
        <v>304.05100000000004</v>
      </c>
      <c r="F753" s="17">
        <f>INT(MAX(D753:D758))</f>
        <v>91</v>
      </c>
      <c r="G753" s="14">
        <f>INT((F753/10)*2)</f>
        <v>18</v>
      </c>
      <c r="H753" s="14">
        <f>F753-G753</f>
        <v>73</v>
      </c>
    </row>
    <row r="754" spans="1:8" x14ac:dyDescent="0.3">
      <c r="A754" s="15"/>
      <c r="B754" s="15"/>
      <c r="C754" s="3" t="s">
        <v>17</v>
      </c>
      <c r="D754" s="7">
        <v>33.411000000000001</v>
      </c>
      <c r="E754" s="15"/>
      <c r="F754" s="15"/>
      <c r="G754" s="15"/>
      <c r="H754" s="15"/>
    </row>
    <row r="755" spans="1:8" x14ac:dyDescent="0.3">
      <c r="A755" s="15"/>
      <c r="B755" s="15"/>
      <c r="C755" s="8" t="s">
        <v>10</v>
      </c>
      <c r="D755" s="2">
        <v>68.97</v>
      </c>
      <c r="E755" s="15"/>
      <c r="F755" s="15"/>
      <c r="G755" s="15"/>
      <c r="H755" s="15"/>
    </row>
    <row r="756" spans="1:8" x14ac:dyDescent="0.3">
      <c r="A756" s="15"/>
      <c r="B756" s="15"/>
      <c r="C756" s="3" t="s">
        <v>13</v>
      </c>
      <c r="D756" s="2">
        <v>91.13</v>
      </c>
      <c r="E756" s="15"/>
      <c r="F756" s="15"/>
      <c r="G756" s="15"/>
      <c r="H756" s="15"/>
    </row>
    <row r="757" spans="1:8" x14ac:dyDescent="0.3">
      <c r="A757" s="15"/>
      <c r="B757" s="15"/>
      <c r="C757" s="3" t="s">
        <v>11</v>
      </c>
      <c r="D757" s="2">
        <v>67.84</v>
      </c>
      <c r="E757" s="15"/>
      <c r="F757" s="15"/>
      <c r="G757" s="15"/>
      <c r="H757" s="15"/>
    </row>
    <row r="758" spans="1:8" x14ac:dyDescent="0.3">
      <c r="A758" s="16"/>
      <c r="B758" s="16"/>
      <c r="C758" s="3" t="s">
        <v>15</v>
      </c>
      <c r="D758" s="2">
        <v>38.36</v>
      </c>
      <c r="E758" s="16"/>
      <c r="F758" s="16"/>
      <c r="G758" s="16"/>
      <c r="H758" s="16"/>
    </row>
    <row r="759" spans="1:8" x14ac:dyDescent="0.3">
      <c r="A759" s="18">
        <v>127</v>
      </c>
      <c r="B759" s="20">
        <v>44488</v>
      </c>
      <c r="C759" s="3" t="s">
        <v>17</v>
      </c>
      <c r="D759" s="2">
        <v>47.4</v>
      </c>
      <c r="E759" s="19">
        <f>SUM(D759:D764)</f>
        <v>201.18</v>
      </c>
      <c r="F759" s="17">
        <f>INT(MAX(D759:D764))</f>
        <v>89</v>
      </c>
      <c r="G759" s="14">
        <f>INT((F759/10)*2)</f>
        <v>17</v>
      </c>
      <c r="H759" s="14">
        <f>F759-G759</f>
        <v>72</v>
      </c>
    </row>
    <row r="760" spans="1:8" x14ac:dyDescent="0.3">
      <c r="A760" s="15"/>
      <c r="B760" s="15"/>
      <c r="C760" s="3" t="s">
        <v>12</v>
      </c>
      <c r="D760" s="7">
        <v>9.0220000000000002</v>
      </c>
      <c r="E760" s="15"/>
      <c r="F760" s="15"/>
      <c r="G760" s="15"/>
      <c r="H760" s="15"/>
    </row>
    <row r="761" spans="1:8" x14ac:dyDescent="0.3">
      <c r="A761" s="15"/>
      <c r="B761" s="15"/>
      <c r="C761" s="8" t="s">
        <v>12</v>
      </c>
      <c r="D761" s="2">
        <v>7.79</v>
      </c>
      <c r="E761" s="15"/>
      <c r="F761" s="15"/>
      <c r="G761" s="15"/>
      <c r="H761" s="15"/>
    </row>
    <row r="762" spans="1:8" x14ac:dyDescent="0.3">
      <c r="A762" s="15"/>
      <c r="B762" s="15"/>
      <c r="C762" s="3" t="s">
        <v>8</v>
      </c>
      <c r="D762" s="2">
        <v>25.92</v>
      </c>
      <c r="E762" s="15"/>
      <c r="F762" s="15"/>
      <c r="G762" s="15"/>
      <c r="H762" s="15"/>
    </row>
    <row r="763" spans="1:8" x14ac:dyDescent="0.3">
      <c r="A763" s="15"/>
      <c r="B763" s="15"/>
      <c r="C763" s="3" t="s">
        <v>11</v>
      </c>
      <c r="D763" s="7">
        <v>21.148</v>
      </c>
      <c r="E763" s="15"/>
      <c r="F763" s="15"/>
      <c r="G763" s="15"/>
      <c r="H763" s="15"/>
    </row>
    <row r="764" spans="1:8" x14ac:dyDescent="0.3">
      <c r="A764" s="16"/>
      <c r="B764" s="16"/>
      <c r="C764" s="8" t="s">
        <v>8</v>
      </c>
      <c r="D764" s="2">
        <v>89.9</v>
      </c>
      <c r="E764" s="16"/>
      <c r="F764" s="16"/>
      <c r="G764" s="16"/>
      <c r="H764" s="16"/>
    </row>
    <row r="765" spans="1:8" x14ac:dyDescent="0.3">
      <c r="A765" s="18">
        <v>128</v>
      </c>
      <c r="B765" s="20">
        <v>44491</v>
      </c>
      <c r="C765" s="3" t="s">
        <v>13</v>
      </c>
      <c r="D765" s="2">
        <v>101.92</v>
      </c>
      <c r="E765" s="19">
        <f>SUM(D765:D770)</f>
        <v>156.553</v>
      </c>
      <c r="F765" s="17">
        <f>INT(MAX(D765:D770))</f>
        <v>101</v>
      </c>
      <c r="G765" s="14">
        <f>INT((F765/10)*2)</f>
        <v>20</v>
      </c>
      <c r="H765" s="14">
        <f>F765-G765</f>
        <v>81</v>
      </c>
    </row>
    <row r="766" spans="1:8" x14ac:dyDescent="0.3">
      <c r="A766" s="15"/>
      <c r="B766" s="15"/>
      <c r="C766" s="3" t="s">
        <v>11</v>
      </c>
      <c r="D766" s="7">
        <v>3.383</v>
      </c>
      <c r="E766" s="15"/>
      <c r="F766" s="15"/>
      <c r="G766" s="15"/>
      <c r="H766" s="15"/>
    </row>
    <row r="767" spans="1:8" x14ac:dyDescent="0.3">
      <c r="A767" s="15"/>
      <c r="B767" s="15"/>
      <c r="C767" s="8" t="s">
        <v>18</v>
      </c>
      <c r="D767" s="2">
        <v>14.08</v>
      </c>
      <c r="E767" s="15"/>
      <c r="F767" s="15"/>
      <c r="G767" s="15"/>
      <c r="H767" s="15"/>
    </row>
    <row r="768" spans="1:8" x14ac:dyDescent="0.3">
      <c r="A768" s="15"/>
      <c r="B768" s="15"/>
      <c r="C768" s="3" t="s">
        <v>17</v>
      </c>
      <c r="D768" s="2">
        <v>14.82</v>
      </c>
      <c r="E768" s="15"/>
      <c r="F768" s="15"/>
      <c r="G768" s="15"/>
      <c r="H768" s="15"/>
    </row>
    <row r="769" spans="1:8" x14ac:dyDescent="0.3">
      <c r="A769" s="15"/>
      <c r="B769" s="15"/>
      <c r="C769" s="3" t="s">
        <v>9</v>
      </c>
      <c r="D769" s="2">
        <v>6.84</v>
      </c>
      <c r="E769" s="15"/>
      <c r="F769" s="15"/>
      <c r="G769" s="15"/>
      <c r="H769" s="15"/>
    </row>
    <row r="770" spans="1:8" x14ac:dyDescent="0.3">
      <c r="A770" s="16"/>
      <c r="B770" s="16"/>
      <c r="C770" s="3" t="s">
        <v>14</v>
      </c>
      <c r="D770" s="2">
        <v>15.51</v>
      </c>
      <c r="E770" s="16"/>
      <c r="F770" s="16"/>
      <c r="G770" s="16"/>
      <c r="H770" s="16"/>
    </row>
    <row r="771" spans="1:8" x14ac:dyDescent="0.3">
      <c r="A771" s="18">
        <v>129</v>
      </c>
      <c r="B771" s="20">
        <v>44495</v>
      </c>
      <c r="C771" s="3" t="s">
        <v>12</v>
      </c>
      <c r="D771" s="7">
        <v>9.4390000000000001</v>
      </c>
      <c r="E771" s="19">
        <f>SUM(D771:D776)</f>
        <v>110.779</v>
      </c>
      <c r="F771" s="17">
        <f>INT(MAX(D771:D776))</f>
        <v>44</v>
      </c>
      <c r="G771" s="14">
        <f>INT((F771/10)*2)</f>
        <v>8</v>
      </c>
      <c r="H771" s="14">
        <f>F771-G771</f>
        <v>36</v>
      </c>
    </row>
    <row r="772" spans="1:8" x14ac:dyDescent="0.3">
      <c r="A772" s="15"/>
      <c r="B772" s="15"/>
      <c r="C772" s="8" t="s">
        <v>17</v>
      </c>
      <c r="D772" s="2">
        <v>29.6</v>
      </c>
      <c r="E772" s="15"/>
      <c r="F772" s="15"/>
      <c r="G772" s="15"/>
      <c r="H772" s="15"/>
    </row>
    <row r="773" spans="1:8" x14ac:dyDescent="0.3">
      <c r="A773" s="15"/>
      <c r="B773" s="15"/>
      <c r="C773" s="3" t="s">
        <v>15</v>
      </c>
      <c r="D773" s="2">
        <v>12.67</v>
      </c>
      <c r="E773" s="15"/>
      <c r="F773" s="15"/>
      <c r="G773" s="15"/>
      <c r="H773" s="15"/>
    </row>
    <row r="774" spans="1:8" x14ac:dyDescent="0.3">
      <c r="A774" s="15"/>
      <c r="B774" s="15"/>
      <c r="C774" s="3" t="s">
        <v>12</v>
      </c>
      <c r="D774" s="2">
        <v>8.8000000000000007</v>
      </c>
      <c r="E774" s="15"/>
      <c r="F774" s="15"/>
      <c r="G774" s="15"/>
      <c r="H774" s="15"/>
    </row>
    <row r="775" spans="1:8" x14ac:dyDescent="0.3">
      <c r="A775" s="15"/>
      <c r="B775" s="15"/>
      <c r="C775" s="3" t="s">
        <v>10</v>
      </c>
      <c r="D775" s="2">
        <v>5.89</v>
      </c>
      <c r="E775" s="15"/>
      <c r="F775" s="15"/>
      <c r="G775" s="15"/>
      <c r="H775" s="15"/>
    </row>
    <row r="776" spans="1:8" x14ac:dyDescent="0.3">
      <c r="A776" s="16"/>
      <c r="B776" s="16"/>
      <c r="C776" s="3" t="s">
        <v>18</v>
      </c>
      <c r="D776" s="2">
        <v>44.38</v>
      </c>
      <c r="E776" s="16"/>
      <c r="F776" s="16"/>
      <c r="G776" s="16"/>
      <c r="H776" s="16"/>
    </row>
    <row r="777" spans="1:8" x14ac:dyDescent="0.3">
      <c r="A777" s="18">
        <v>130</v>
      </c>
      <c r="B777" s="20">
        <v>44498</v>
      </c>
      <c r="C777" s="3" t="s">
        <v>13</v>
      </c>
      <c r="D777" s="7">
        <v>16.114999999999998</v>
      </c>
      <c r="E777" s="19">
        <f>SUM(D777:D782)</f>
        <v>195.13100000000003</v>
      </c>
      <c r="F777" s="17">
        <f>INT(MAX(D777:D782))</f>
        <v>66</v>
      </c>
      <c r="G777" s="14">
        <f>INT((F777/10)*2)</f>
        <v>13</v>
      </c>
      <c r="H777" s="14">
        <f>F777-G777</f>
        <v>53</v>
      </c>
    </row>
    <row r="778" spans="1:8" x14ac:dyDescent="0.3">
      <c r="A778" s="15"/>
      <c r="B778" s="15"/>
      <c r="C778" s="8" t="s">
        <v>8</v>
      </c>
      <c r="D778" s="2">
        <v>32.07</v>
      </c>
      <c r="E778" s="15"/>
      <c r="F778" s="15"/>
      <c r="G778" s="15"/>
      <c r="H778" s="15"/>
    </row>
    <row r="779" spans="1:8" x14ac:dyDescent="0.3">
      <c r="A779" s="15"/>
      <c r="B779" s="15"/>
      <c r="C779" s="3" t="s">
        <v>18</v>
      </c>
      <c r="D779" s="2">
        <v>36.99</v>
      </c>
      <c r="E779" s="15"/>
      <c r="F779" s="15"/>
      <c r="G779" s="15"/>
      <c r="H779" s="15"/>
    </row>
    <row r="780" spans="1:8" x14ac:dyDescent="0.3">
      <c r="A780" s="15"/>
      <c r="B780" s="15"/>
      <c r="C780" s="3" t="s">
        <v>9</v>
      </c>
      <c r="D780" s="2">
        <v>66.05</v>
      </c>
      <c r="E780" s="15"/>
      <c r="F780" s="15"/>
      <c r="G780" s="15"/>
      <c r="H780" s="15"/>
    </row>
    <row r="781" spans="1:8" x14ac:dyDescent="0.3">
      <c r="A781" s="15"/>
      <c r="B781" s="15"/>
      <c r="C781" s="3" t="s">
        <v>15</v>
      </c>
      <c r="D781" s="2">
        <v>30.29</v>
      </c>
      <c r="E781" s="15"/>
      <c r="F781" s="15"/>
      <c r="G781" s="15"/>
      <c r="H781" s="15"/>
    </row>
    <row r="782" spans="1:8" x14ac:dyDescent="0.3">
      <c r="A782" s="16"/>
      <c r="B782" s="16"/>
      <c r="C782" s="3" t="s">
        <v>17</v>
      </c>
      <c r="D782" s="7">
        <v>13.616</v>
      </c>
      <c r="E782" s="16"/>
      <c r="F782" s="16"/>
      <c r="G782" s="16"/>
      <c r="H782" s="16"/>
    </row>
    <row r="783" spans="1:8" x14ac:dyDescent="0.3">
      <c r="A783" s="18">
        <v>131</v>
      </c>
      <c r="B783" s="20">
        <v>44502</v>
      </c>
      <c r="C783" s="8" t="s">
        <v>10</v>
      </c>
      <c r="D783" s="2">
        <v>12.3</v>
      </c>
      <c r="E783" s="19">
        <f>SUM(D783:D788)</f>
        <v>177.315</v>
      </c>
      <c r="F783" s="17">
        <f>INT(MAX(D783:D788))</f>
        <v>60</v>
      </c>
      <c r="G783" s="14">
        <f>INT((F783/10)*2)</f>
        <v>12</v>
      </c>
      <c r="H783" s="14">
        <f>F783-G783</f>
        <v>48</v>
      </c>
    </row>
    <row r="784" spans="1:8" x14ac:dyDescent="0.3">
      <c r="A784" s="15"/>
      <c r="B784" s="15"/>
      <c r="C784" s="3" t="s">
        <v>8</v>
      </c>
      <c r="D784" s="2">
        <v>60.48</v>
      </c>
      <c r="E784" s="15"/>
      <c r="F784" s="15"/>
      <c r="G784" s="15"/>
      <c r="H784" s="15"/>
    </row>
    <row r="785" spans="1:8" x14ac:dyDescent="0.3">
      <c r="A785" s="15"/>
      <c r="B785" s="15"/>
      <c r="C785" s="3" t="s">
        <v>15</v>
      </c>
      <c r="D785" s="2">
        <v>17.36</v>
      </c>
      <c r="E785" s="15"/>
      <c r="F785" s="15"/>
      <c r="G785" s="15"/>
      <c r="H785" s="15"/>
    </row>
    <row r="786" spans="1:8" x14ac:dyDescent="0.3">
      <c r="A786" s="15"/>
      <c r="B786" s="15"/>
      <c r="C786" s="3" t="s">
        <v>18</v>
      </c>
      <c r="D786" s="7">
        <v>18.975000000000001</v>
      </c>
      <c r="E786" s="15"/>
      <c r="F786" s="15"/>
      <c r="G786" s="15"/>
      <c r="H786" s="15"/>
    </row>
    <row r="787" spans="1:8" x14ac:dyDescent="0.3">
      <c r="A787" s="15"/>
      <c r="B787" s="15"/>
      <c r="C787" s="8" t="s">
        <v>18</v>
      </c>
      <c r="D787" s="2">
        <v>11.02</v>
      </c>
      <c r="E787" s="15"/>
      <c r="F787" s="15"/>
      <c r="G787" s="15"/>
      <c r="H787" s="15"/>
    </row>
    <row r="788" spans="1:8" x14ac:dyDescent="0.3">
      <c r="A788" s="16"/>
      <c r="B788" s="16"/>
      <c r="C788" s="3" t="s">
        <v>8</v>
      </c>
      <c r="D788" s="2">
        <v>57.18</v>
      </c>
      <c r="E788" s="16"/>
      <c r="F788" s="16"/>
      <c r="G788" s="16"/>
      <c r="H788" s="16"/>
    </row>
    <row r="789" spans="1:8" x14ac:dyDescent="0.3">
      <c r="A789" s="18">
        <v>132</v>
      </c>
      <c r="B789" s="20">
        <v>44505</v>
      </c>
      <c r="C789" s="3" t="s">
        <v>15</v>
      </c>
      <c r="D789" s="2">
        <v>104.36</v>
      </c>
      <c r="E789" s="19">
        <f>SUM(D789:D794)</f>
        <v>359.05500000000006</v>
      </c>
      <c r="F789" s="17">
        <f>INT(MAX(D789:D794))</f>
        <v>129</v>
      </c>
      <c r="G789" s="14">
        <f>INT((F789/10)*2)</f>
        <v>25</v>
      </c>
      <c r="H789" s="14">
        <f>F789-G789</f>
        <v>104</v>
      </c>
    </row>
    <row r="790" spans="1:8" x14ac:dyDescent="0.3">
      <c r="A790" s="15"/>
      <c r="B790" s="15"/>
      <c r="C790" s="3" t="s">
        <v>11</v>
      </c>
      <c r="D790" s="2">
        <v>18.399999999999999</v>
      </c>
      <c r="E790" s="15"/>
      <c r="F790" s="15"/>
      <c r="G790" s="15"/>
      <c r="H790" s="15"/>
    </row>
    <row r="791" spans="1:8" x14ac:dyDescent="0.3">
      <c r="A791" s="15"/>
      <c r="B791" s="15"/>
      <c r="C791" s="3" t="s">
        <v>17</v>
      </c>
      <c r="D791" s="2">
        <v>51.65</v>
      </c>
      <c r="E791" s="15"/>
      <c r="F791" s="15"/>
      <c r="G791" s="15"/>
      <c r="H791" s="15"/>
    </row>
    <row r="792" spans="1:8" x14ac:dyDescent="0.3">
      <c r="A792" s="15"/>
      <c r="B792" s="15"/>
      <c r="C792" s="3" t="s">
        <v>12</v>
      </c>
      <c r="D792" s="7">
        <v>21.895</v>
      </c>
      <c r="E792" s="15"/>
      <c r="F792" s="15"/>
      <c r="G792" s="15"/>
      <c r="H792" s="15"/>
    </row>
    <row r="793" spans="1:8" x14ac:dyDescent="0.3">
      <c r="A793" s="15"/>
      <c r="B793" s="15"/>
      <c r="C793" s="8" t="s">
        <v>18</v>
      </c>
      <c r="D793" s="2">
        <v>129.77000000000001</v>
      </c>
      <c r="E793" s="15"/>
      <c r="F793" s="15"/>
      <c r="G793" s="15"/>
      <c r="H793" s="15"/>
    </row>
    <row r="794" spans="1:8" x14ac:dyDescent="0.3">
      <c r="A794" s="16"/>
      <c r="B794" s="16"/>
      <c r="C794" s="3" t="s">
        <v>11</v>
      </c>
      <c r="D794" s="2">
        <v>32.979999999999997</v>
      </c>
      <c r="E794" s="16"/>
      <c r="F794" s="16"/>
      <c r="G794" s="16"/>
      <c r="H794" s="16"/>
    </row>
    <row r="795" spans="1:8" x14ac:dyDescent="0.3">
      <c r="A795" s="18">
        <v>133</v>
      </c>
      <c r="B795" s="20">
        <v>44509</v>
      </c>
      <c r="C795" s="3" t="s">
        <v>16</v>
      </c>
      <c r="D795" s="2">
        <v>52.81</v>
      </c>
      <c r="E795" s="19">
        <f>SUM(D795:D800)</f>
        <v>304.93899999999996</v>
      </c>
      <c r="F795" s="17">
        <f>INT(MAX(D795:D800))</f>
        <v>96</v>
      </c>
      <c r="G795" s="14">
        <f>INT((F795/10)*2)</f>
        <v>19</v>
      </c>
      <c r="H795" s="14">
        <f>F795-G795</f>
        <v>77</v>
      </c>
    </row>
    <row r="796" spans="1:8" x14ac:dyDescent="0.3">
      <c r="A796" s="15"/>
      <c r="B796" s="15"/>
      <c r="C796" s="3" t="s">
        <v>13</v>
      </c>
      <c r="D796" s="7">
        <v>96.206999999999994</v>
      </c>
      <c r="E796" s="15"/>
      <c r="F796" s="15"/>
      <c r="G796" s="15"/>
      <c r="H796" s="15"/>
    </row>
    <row r="797" spans="1:8" x14ac:dyDescent="0.3">
      <c r="A797" s="15"/>
      <c r="B797" s="15"/>
      <c r="C797" s="8" t="s">
        <v>11</v>
      </c>
      <c r="D797" s="2">
        <v>64.760000000000005</v>
      </c>
      <c r="E797" s="15"/>
      <c r="F797" s="15"/>
      <c r="G797" s="15"/>
      <c r="H797" s="15"/>
    </row>
    <row r="798" spans="1:8" x14ac:dyDescent="0.3">
      <c r="A798" s="15"/>
      <c r="B798" s="15"/>
      <c r="C798" s="3" t="s">
        <v>16</v>
      </c>
      <c r="D798" s="2">
        <v>21.03</v>
      </c>
      <c r="E798" s="15"/>
      <c r="F798" s="15"/>
      <c r="G798" s="15"/>
      <c r="H798" s="15"/>
    </row>
    <row r="799" spans="1:8" x14ac:dyDescent="0.3">
      <c r="A799" s="15"/>
      <c r="B799" s="15"/>
      <c r="C799" s="3" t="s">
        <v>10</v>
      </c>
      <c r="D799" s="2">
        <v>52.81</v>
      </c>
      <c r="E799" s="15"/>
      <c r="F799" s="15"/>
      <c r="G799" s="15"/>
      <c r="H799" s="15"/>
    </row>
    <row r="800" spans="1:8" x14ac:dyDescent="0.3">
      <c r="A800" s="16"/>
      <c r="B800" s="16"/>
      <c r="C800" s="3" t="s">
        <v>12</v>
      </c>
      <c r="D800" s="7">
        <v>17.321999999999999</v>
      </c>
      <c r="E800" s="16"/>
      <c r="F800" s="16"/>
      <c r="G800" s="16"/>
      <c r="H800" s="16"/>
    </row>
    <row r="801" spans="1:8" x14ac:dyDescent="0.3">
      <c r="A801" s="18">
        <v>134</v>
      </c>
      <c r="B801" s="20">
        <v>44512</v>
      </c>
      <c r="C801" s="8" t="s">
        <v>18</v>
      </c>
      <c r="D801" s="2">
        <v>33.86</v>
      </c>
      <c r="E801" s="19">
        <f>SUM(D801:D806)</f>
        <v>182.43799999999999</v>
      </c>
      <c r="F801" s="17">
        <f>INT(MAX(D801:D806))</f>
        <v>72</v>
      </c>
      <c r="G801" s="14">
        <f>INT((F801/10)*2)</f>
        <v>14</v>
      </c>
      <c r="H801" s="14">
        <f>F801-G801</f>
        <v>58</v>
      </c>
    </row>
    <row r="802" spans="1:8" x14ac:dyDescent="0.3">
      <c r="A802" s="15"/>
      <c r="B802" s="15"/>
      <c r="C802" s="3" t="s">
        <v>8</v>
      </c>
      <c r="D802" s="2">
        <v>31.99</v>
      </c>
      <c r="E802" s="15"/>
      <c r="F802" s="15"/>
      <c r="G802" s="15"/>
      <c r="H802" s="15"/>
    </row>
    <row r="803" spans="1:8" x14ac:dyDescent="0.3">
      <c r="A803" s="15"/>
      <c r="B803" s="15"/>
      <c r="C803" s="3" t="s">
        <v>10</v>
      </c>
      <c r="D803" s="2">
        <v>72.63</v>
      </c>
      <c r="E803" s="15"/>
      <c r="F803" s="15"/>
      <c r="G803" s="15"/>
      <c r="H803" s="15"/>
    </row>
    <row r="804" spans="1:8" x14ac:dyDescent="0.3">
      <c r="A804" s="15"/>
      <c r="B804" s="15"/>
      <c r="C804" s="3" t="s">
        <v>15</v>
      </c>
      <c r="D804" s="2">
        <v>28.76</v>
      </c>
      <c r="E804" s="15"/>
      <c r="F804" s="15"/>
      <c r="G804" s="15"/>
      <c r="H804" s="15"/>
    </row>
    <row r="805" spans="1:8" x14ac:dyDescent="0.3">
      <c r="A805" s="15"/>
      <c r="B805" s="15"/>
      <c r="C805" s="3" t="s">
        <v>14</v>
      </c>
      <c r="D805" s="7">
        <v>11.648</v>
      </c>
      <c r="E805" s="15"/>
      <c r="F805" s="15"/>
      <c r="G805" s="15"/>
      <c r="H805" s="15"/>
    </row>
    <row r="806" spans="1:8" x14ac:dyDescent="0.3">
      <c r="A806" s="16"/>
      <c r="B806" s="16"/>
      <c r="C806" s="8" t="s">
        <v>10</v>
      </c>
      <c r="D806" s="2">
        <v>3.55</v>
      </c>
      <c r="E806" s="16"/>
      <c r="F806" s="16"/>
      <c r="G806" s="16"/>
      <c r="H806" s="16"/>
    </row>
    <row r="807" spans="1:8" x14ac:dyDescent="0.3">
      <c r="A807" s="18">
        <v>135</v>
      </c>
      <c r="B807" s="20">
        <v>44516</v>
      </c>
      <c r="C807" s="3" t="s">
        <v>8</v>
      </c>
      <c r="D807" s="2">
        <v>31.24</v>
      </c>
      <c r="E807" s="19">
        <f>SUM(D807:D812)</f>
        <v>128.11099999999999</v>
      </c>
      <c r="F807" s="17">
        <f>INT(MAX(D807:D812))</f>
        <v>31</v>
      </c>
      <c r="G807" s="14">
        <f>INT((F807/10)*2)</f>
        <v>6</v>
      </c>
      <c r="H807" s="14">
        <f>F807-G807</f>
        <v>25</v>
      </c>
    </row>
    <row r="808" spans="1:8" x14ac:dyDescent="0.3">
      <c r="A808" s="15"/>
      <c r="B808" s="15"/>
      <c r="C808" s="3" t="s">
        <v>13</v>
      </c>
      <c r="D808" s="2">
        <v>8.19</v>
      </c>
      <c r="E808" s="15"/>
      <c r="F808" s="15"/>
      <c r="G808" s="15"/>
      <c r="H808" s="15"/>
    </row>
    <row r="809" spans="1:8" x14ac:dyDescent="0.3">
      <c r="A809" s="15"/>
      <c r="B809" s="15"/>
      <c r="C809" s="3" t="s">
        <v>18</v>
      </c>
      <c r="D809" s="2">
        <v>13.39</v>
      </c>
      <c r="E809" s="15"/>
      <c r="F809" s="15"/>
      <c r="G809" s="15"/>
      <c r="H809" s="15"/>
    </row>
    <row r="810" spans="1:8" x14ac:dyDescent="0.3">
      <c r="A810" s="15"/>
      <c r="B810" s="15"/>
      <c r="C810" s="3" t="s">
        <v>17</v>
      </c>
      <c r="D810" s="7">
        <v>21.331</v>
      </c>
      <c r="E810" s="15"/>
      <c r="F810" s="15"/>
      <c r="G810" s="15"/>
      <c r="H810" s="15"/>
    </row>
    <row r="811" spans="1:8" x14ac:dyDescent="0.3">
      <c r="A811" s="15"/>
      <c r="B811" s="15"/>
      <c r="C811" s="8" t="s">
        <v>10</v>
      </c>
      <c r="D811" s="2">
        <v>23</v>
      </c>
      <c r="E811" s="15"/>
      <c r="F811" s="15"/>
      <c r="G811" s="15"/>
      <c r="H811" s="15"/>
    </row>
    <row r="812" spans="1:8" x14ac:dyDescent="0.3">
      <c r="A812" s="16"/>
      <c r="B812" s="16"/>
      <c r="C812" s="3" t="s">
        <v>17</v>
      </c>
      <c r="D812" s="2">
        <v>30.96</v>
      </c>
      <c r="E812" s="16"/>
      <c r="F812" s="16"/>
      <c r="G812" s="16"/>
      <c r="H812" s="16"/>
    </row>
    <row r="813" spans="1:8" x14ac:dyDescent="0.3">
      <c r="A813" s="18">
        <v>136</v>
      </c>
      <c r="B813" s="20">
        <v>44519</v>
      </c>
      <c r="C813" s="3" t="s">
        <v>18</v>
      </c>
      <c r="D813" s="7">
        <v>6.694</v>
      </c>
      <c r="E813" s="19">
        <f>SUM(D813:D818)</f>
        <v>58.654000000000011</v>
      </c>
      <c r="F813" s="17">
        <f>INT(MAX(D813:D818))</f>
        <v>16</v>
      </c>
      <c r="G813" s="14">
        <f>INT((F813/10)*2)</f>
        <v>3</v>
      </c>
      <c r="H813" s="14">
        <f>F813-G813</f>
        <v>13</v>
      </c>
    </row>
    <row r="814" spans="1:8" x14ac:dyDescent="0.3">
      <c r="A814" s="15"/>
      <c r="B814" s="15"/>
      <c r="C814" s="8" t="s">
        <v>17</v>
      </c>
      <c r="D814" s="2">
        <v>7.37</v>
      </c>
      <c r="E814" s="15"/>
      <c r="F814" s="15"/>
      <c r="G814" s="15"/>
      <c r="H814" s="15"/>
    </row>
    <row r="815" spans="1:8" x14ac:dyDescent="0.3">
      <c r="A815" s="15"/>
      <c r="B815" s="15"/>
      <c r="C815" s="3" t="s">
        <v>14</v>
      </c>
      <c r="D815" s="2">
        <v>5.62</v>
      </c>
      <c r="E815" s="15"/>
      <c r="F815" s="15"/>
      <c r="G815" s="15"/>
      <c r="H815" s="15"/>
    </row>
    <row r="816" spans="1:8" x14ac:dyDescent="0.3">
      <c r="A816" s="15"/>
      <c r="B816" s="15"/>
      <c r="C816" s="3" t="s">
        <v>18</v>
      </c>
      <c r="D816" s="2">
        <v>16.79</v>
      </c>
      <c r="E816" s="15"/>
      <c r="F816" s="15"/>
      <c r="G816" s="15"/>
      <c r="H816" s="15"/>
    </row>
    <row r="817" spans="1:8" x14ac:dyDescent="0.3">
      <c r="A817" s="15"/>
      <c r="B817" s="15"/>
      <c r="C817" s="3" t="s">
        <v>15</v>
      </c>
      <c r="D817" s="2">
        <v>8.59</v>
      </c>
      <c r="E817" s="15"/>
      <c r="F817" s="15"/>
      <c r="G817" s="15"/>
      <c r="H817" s="15"/>
    </row>
    <row r="818" spans="1:8" x14ac:dyDescent="0.3">
      <c r="A818" s="16"/>
      <c r="B818" s="16"/>
      <c r="C818" s="3" t="s">
        <v>12</v>
      </c>
      <c r="D818" s="2">
        <v>13.59</v>
      </c>
      <c r="E818" s="16"/>
      <c r="F818" s="16"/>
      <c r="G818" s="16"/>
      <c r="H818" s="16"/>
    </row>
    <row r="819" spans="1:8" x14ac:dyDescent="0.3">
      <c r="A819" s="18">
        <v>137</v>
      </c>
      <c r="B819" s="20">
        <v>44523</v>
      </c>
      <c r="C819" s="3" t="s">
        <v>13</v>
      </c>
      <c r="D819" s="7">
        <v>25.041</v>
      </c>
      <c r="E819" s="19">
        <f>SUM(D819:D824)</f>
        <v>145.68099999999998</v>
      </c>
      <c r="F819" s="17">
        <f>INT(MAX(D819:D824))</f>
        <v>40</v>
      </c>
      <c r="G819" s="14">
        <f>INT((F819/10)*2)</f>
        <v>8</v>
      </c>
      <c r="H819" s="14">
        <f>F819-G819</f>
        <v>32</v>
      </c>
    </row>
    <row r="820" spans="1:8" x14ac:dyDescent="0.3">
      <c r="A820" s="15"/>
      <c r="B820" s="15"/>
      <c r="C820" s="8" t="s">
        <v>12</v>
      </c>
      <c r="D820" s="2">
        <v>18.32</v>
      </c>
      <c r="E820" s="15"/>
      <c r="F820" s="15"/>
      <c r="G820" s="15"/>
      <c r="H820" s="15"/>
    </row>
    <row r="821" spans="1:8" x14ac:dyDescent="0.3">
      <c r="A821" s="15"/>
      <c r="B821" s="15"/>
      <c r="C821" s="3" t="s">
        <v>17</v>
      </c>
      <c r="D821" s="2">
        <v>40.98</v>
      </c>
      <c r="E821" s="15"/>
      <c r="F821" s="15"/>
      <c r="G821" s="15"/>
      <c r="H821" s="15"/>
    </row>
    <row r="822" spans="1:8" x14ac:dyDescent="0.3">
      <c r="A822" s="15"/>
      <c r="B822" s="15"/>
      <c r="C822" s="3" t="s">
        <v>11</v>
      </c>
      <c r="D822" s="2">
        <v>18.54</v>
      </c>
      <c r="E822" s="15"/>
      <c r="F822" s="15"/>
      <c r="G822" s="15"/>
      <c r="H822" s="15"/>
    </row>
    <row r="823" spans="1:8" x14ac:dyDescent="0.3">
      <c r="A823" s="15"/>
      <c r="B823" s="15"/>
      <c r="C823" s="3" t="s">
        <v>16</v>
      </c>
      <c r="D823" s="2">
        <v>16.22</v>
      </c>
      <c r="E823" s="15"/>
      <c r="F823" s="15"/>
      <c r="G823" s="15"/>
      <c r="H823" s="15"/>
    </row>
    <row r="824" spans="1:8" x14ac:dyDescent="0.3">
      <c r="A824" s="16"/>
      <c r="B824" s="16"/>
      <c r="C824" s="3" t="s">
        <v>14</v>
      </c>
      <c r="D824" s="7">
        <v>26.58</v>
      </c>
      <c r="E824" s="16"/>
      <c r="F824" s="16"/>
      <c r="G824" s="16"/>
      <c r="H824" s="16"/>
    </row>
    <row r="825" spans="1:8" x14ac:dyDescent="0.3">
      <c r="A825" s="18">
        <v>138</v>
      </c>
      <c r="B825" s="20">
        <v>44526</v>
      </c>
      <c r="C825" s="8" t="s">
        <v>9</v>
      </c>
      <c r="D825" s="2">
        <v>53.27</v>
      </c>
      <c r="E825" s="19">
        <f>SUM(D825:D830)</f>
        <v>265.88600000000002</v>
      </c>
      <c r="F825" s="17">
        <f>INT(MAX(D825:D830))</f>
        <v>93</v>
      </c>
      <c r="G825" s="14">
        <f>INT((F825/10)*2)</f>
        <v>18</v>
      </c>
      <c r="H825" s="14">
        <f>F825-G825</f>
        <v>75</v>
      </c>
    </row>
    <row r="826" spans="1:8" x14ac:dyDescent="0.3">
      <c r="A826" s="15"/>
      <c r="B826" s="15"/>
      <c r="C826" s="3" t="s">
        <v>12</v>
      </c>
      <c r="D826" s="2">
        <v>29.24</v>
      </c>
      <c r="E826" s="15"/>
      <c r="F826" s="15"/>
      <c r="G826" s="15"/>
      <c r="H826" s="15"/>
    </row>
    <row r="827" spans="1:8" x14ac:dyDescent="0.3">
      <c r="A827" s="15"/>
      <c r="B827" s="15"/>
      <c r="C827" s="3" t="s">
        <v>17</v>
      </c>
      <c r="D827" s="7">
        <v>93.585999999999999</v>
      </c>
      <c r="E827" s="15"/>
      <c r="F827" s="15"/>
      <c r="G827" s="15"/>
      <c r="H827" s="15"/>
    </row>
    <row r="828" spans="1:8" x14ac:dyDescent="0.3">
      <c r="A828" s="15"/>
      <c r="B828" s="15"/>
      <c r="C828" s="8" t="s">
        <v>11</v>
      </c>
      <c r="D828" s="2">
        <v>26.4</v>
      </c>
      <c r="E828" s="15"/>
      <c r="F828" s="15"/>
      <c r="G828" s="15"/>
      <c r="H828" s="15"/>
    </row>
    <row r="829" spans="1:8" x14ac:dyDescent="0.3">
      <c r="A829" s="15"/>
      <c r="B829" s="15"/>
      <c r="C829" s="3" t="s">
        <v>14</v>
      </c>
      <c r="D829" s="2">
        <v>49.68</v>
      </c>
      <c r="E829" s="15"/>
      <c r="F829" s="15"/>
      <c r="G829" s="15"/>
      <c r="H829" s="15"/>
    </row>
    <row r="830" spans="1:8" x14ac:dyDescent="0.3">
      <c r="A830" s="16"/>
      <c r="B830" s="16"/>
      <c r="C830" s="3" t="s">
        <v>9</v>
      </c>
      <c r="D830" s="2">
        <v>13.71</v>
      </c>
      <c r="E830" s="16"/>
      <c r="F830" s="16"/>
      <c r="G830" s="16"/>
      <c r="H830" s="16"/>
    </row>
    <row r="831" spans="1:8" x14ac:dyDescent="0.3">
      <c r="A831" s="18">
        <v>139</v>
      </c>
      <c r="B831" s="20">
        <v>44530</v>
      </c>
      <c r="C831" s="3" t="s">
        <v>18</v>
      </c>
      <c r="D831" s="2">
        <v>11.47</v>
      </c>
      <c r="E831" s="19">
        <f>SUM(D831:D836)</f>
        <v>193.036</v>
      </c>
      <c r="F831" s="17">
        <f>INT(MAX(D831:D836))</f>
        <v>89</v>
      </c>
      <c r="G831" s="14">
        <f>INT((F831/10)*2)</f>
        <v>17</v>
      </c>
      <c r="H831" s="14">
        <f>F831-G831</f>
        <v>72</v>
      </c>
    </row>
    <row r="832" spans="1:8" x14ac:dyDescent="0.3">
      <c r="A832" s="15"/>
      <c r="B832" s="15"/>
      <c r="C832" s="3" t="s">
        <v>12</v>
      </c>
      <c r="D832" s="7">
        <v>30.306000000000001</v>
      </c>
      <c r="E832" s="15"/>
      <c r="F832" s="15"/>
      <c r="G832" s="15"/>
      <c r="H832" s="15"/>
    </row>
    <row r="833" spans="1:8" x14ac:dyDescent="0.3">
      <c r="A833" s="15"/>
      <c r="B833" s="15"/>
      <c r="C833" s="8" t="s">
        <v>16</v>
      </c>
      <c r="D833" s="2">
        <v>16.829999999999998</v>
      </c>
      <c r="E833" s="15"/>
      <c r="F833" s="15"/>
      <c r="G833" s="15"/>
      <c r="H833" s="15"/>
    </row>
    <row r="834" spans="1:8" x14ac:dyDescent="0.3">
      <c r="A834" s="15"/>
      <c r="B834" s="15"/>
      <c r="C834" s="3" t="s">
        <v>9</v>
      </c>
      <c r="D834" s="2">
        <v>29.91</v>
      </c>
      <c r="E834" s="15"/>
      <c r="F834" s="15"/>
      <c r="G834" s="15"/>
      <c r="H834" s="15"/>
    </row>
    <row r="835" spans="1:8" x14ac:dyDescent="0.3">
      <c r="A835" s="15"/>
      <c r="B835" s="15"/>
      <c r="C835" s="3" t="s">
        <v>12</v>
      </c>
      <c r="D835" s="2">
        <v>89.76</v>
      </c>
      <c r="E835" s="15"/>
      <c r="F835" s="15"/>
      <c r="G835" s="15"/>
      <c r="H835" s="15"/>
    </row>
    <row r="836" spans="1:8" x14ac:dyDescent="0.3">
      <c r="A836" s="16"/>
      <c r="B836" s="16"/>
      <c r="C836" s="3" t="s">
        <v>13</v>
      </c>
      <c r="D836" s="7">
        <v>14.76</v>
      </c>
      <c r="E836" s="16"/>
      <c r="F836" s="16"/>
      <c r="G836" s="16"/>
      <c r="H836" s="16"/>
    </row>
    <row r="837" spans="1:8" x14ac:dyDescent="0.3">
      <c r="A837" s="18">
        <v>140</v>
      </c>
      <c r="B837" s="20">
        <v>44533</v>
      </c>
      <c r="C837" s="8" t="s">
        <v>8</v>
      </c>
      <c r="D837" s="2">
        <v>5.61</v>
      </c>
      <c r="E837" s="19">
        <f>SUM(D837:D842)</f>
        <v>176.81800000000001</v>
      </c>
      <c r="F837" s="17">
        <f>INT(MAX(D837:D842))</f>
        <v>80</v>
      </c>
      <c r="G837" s="14">
        <f>INT((F837/10)*2)</f>
        <v>16</v>
      </c>
      <c r="H837" s="14">
        <f>F837-G837</f>
        <v>64</v>
      </c>
    </row>
    <row r="838" spans="1:8" x14ac:dyDescent="0.3">
      <c r="A838" s="15"/>
      <c r="B838" s="15"/>
      <c r="C838" s="3" t="s">
        <v>18</v>
      </c>
      <c r="D838" s="2">
        <v>26.58</v>
      </c>
      <c r="E838" s="15"/>
      <c r="F838" s="15"/>
      <c r="G838" s="15"/>
      <c r="H838" s="15"/>
    </row>
    <row r="839" spans="1:8" x14ac:dyDescent="0.3">
      <c r="A839" s="15"/>
      <c r="B839" s="15"/>
      <c r="C839" s="3" t="s">
        <v>13</v>
      </c>
      <c r="D839" s="2">
        <v>23.7</v>
      </c>
      <c r="E839" s="15"/>
      <c r="F839" s="15"/>
      <c r="G839" s="15"/>
      <c r="H839" s="15"/>
    </row>
    <row r="840" spans="1:8" x14ac:dyDescent="0.3">
      <c r="A840" s="15"/>
      <c r="B840" s="15"/>
      <c r="C840" s="3" t="s">
        <v>15</v>
      </c>
      <c r="D840" s="2">
        <v>20.9</v>
      </c>
      <c r="E840" s="15"/>
      <c r="F840" s="15"/>
      <c r="G840" s="15"/>
      <c r="H840" s="15"/>
    </row>
    <row r="841" spans="1:8" x14ac:dyDescent="0.3">
      <c r="A841" s="15"/>
      <c r="B841" s="15"/>
      <c r="C841" s="3" t="s">
        <v>9</v>
      </c>
      <c r="D841" s="7">
        <v>80.058000000000007</v>
      </c>
      <c r="E841" s="15"/>
      <c r="F841" s="15"/>
      <c r="G841" s="15"/>
      <c r="H841" s="15"/>
    </row>
    <row r="842" spans="1:8" x14ac:dyDescent="0.3">
      <c r="A842" s="16"/>
      <c r="B842" s="16"/>
      <c r="C842" s="8" t="s">
        <v>13</v>
      </c>
      <c r="D842" s="2">
        <v>19.97</v>
      </c>
      <c r="E842" s="16"/>
      <c r="F842" s="16"/>
      <c r="G842" s="16"/>
      <c r="H842" s="16"/>
    </row>
    <row r="843" spans="1:8" x14ac:dyDescent="0.3">
      <c r="A843" s="18">
        <v>141</v>
      </c>
      <c r="B843" s="20">
        <v>44537</v>
      </c>
      <c r="C843" s="3" t="s">
        <v>16</v>
      </c>
      <c r="D843" s="2">
        <v>30.17</v>
      </c>
      <c r="E843" s="19">
        <f>SUM(D843:D848)</f>
        <v>221.05</v>
      </c>
      <c r="F843" s="17">
        <f>INT(MAX(D843:D848))</f>
        <v>57</v>
      </c>
      <c r="G843" s="14">
        <f>INT((F843/10)*2)</f>
        <v>11</v>
      </c>
      <c r="H843" s="14">
        <f>F843-G843</f>
        <v>46</v>
      </c>
    </row>
    <row r="844" spans="1:8" x14ac:dyDescent="0.3">
      <c r="A844" s="15"/>
      <c r="B844" s="15"/>
      <c r="C844" s="3" t="s">
        <v>10</v>
      </c>
      <c r="D844" s="2">
        <v>57.28</v>
      </c>
      <c r="E844" s="15"/>
      <c r="F844" s="15"/>
      <c r="G844" s="15"/>
      <c r="H844" s="15"/>
    </row>
    <row r="845" spans="1:8" x14ac:dyDescent="0.3">
      <c r="A845" s="15"/>
      <c r="B845" s="15"/>
      <c r="C845" s="3" t="s">
        <v>12</v>
      </c>
      <c r="D845" s="7">
        <v>31.283000000000001</v>
      </c>
      <c r="E845" s="15"/>
      <c r="F845" s="15"/>
      <c r="G845" s="15"/>
      <c r="H845" s="15"/>
    </row>
    <row r="846" spans="1:8" x14ac:dyDescent="0.3">
      <c r="A846" s="15"/>
      <c r="B846" s="15"/>
      <c r="C846" s="8" t="s">
        <v>14</v>
      </c>
      <c r="D846" s="2">
        <v>46.36</v>
      </c>
      <c r="E846" s="15"/>
      <c r="F846" s="15"/>
      <c r="G846" s="15"/>
      <c r="H846" s="15"/>
    </row>
    <row r="847" spans="1:8" x14ac:dyDescent="0.3">
      <c r="A847" s="15"/>
      <c r="B847" s="15"/>
      <c r="C847" s="3" t="s">
        <v>11</v>
      </c>
      <c r="D847" s="2">
        <v>42.12</v>
      </c>
      <c r="E847" s="15"/>
      <c r="F847" s="15"/>
      <c r="G847" s="15"/>
      <c r="H847" s="15"/>
    </row>
    <row r="848" spans="1:8" x14ac:dyDescent="0.3">
      <c r="A848" s="16"/>
      <c r="B848" s="16"/>
      <c r="C848" s="3" t="s">
        <v>15</v>
      </c>
      <c r="D848" s="7">
        <v>13.837</v>
      </c>
      <c r="E848" s="16"/>
      <c r="F848" s="16"/>
      <c r="G848" s="16"/>
      <c r="H848" s="16"/>
    </row>
    <row r="849" spans="1:8" x14ac:dyDescent="0.3">
      <c r="A849" s="18">
        <v>142</v>
      </c>
      <c r="B849" s="20">
        <v>44540</v>
      </c>
      <c r="C849" s="8" t="s">
        <v>12</v>
      </c>
      <c r="D849" s="2">
        <v>13.93</v>
      </c>
      <c r="E849" s="19">
        <f>SUM(D849:D854)</f>
        <v>110.389</v>
      </c>
      <c r="F849" s="17">
        <f>INT(MAX(D849:D854))</f>
        <v>33</v>
      </c>
      <c r="G849" s="14">
        <f>INT((F849/10)*2)</f>
        <v>6</v>
      </c>
      <c r="H849" s="14">
        <f>F849-G849</f>
        <v>27</v>
      </c>
    </row>
    <row r="850" spans="1:8" x14ac:dyDescent="0.3">
      <c r="A850" s="15"/>
      <c r="B850" s="15"/>
      <c r="C850" s="3" t="s">
        <v>11</v>
      </c>
      <c r="D850" s="2">
        <v>6.93</v>
      </c>
      <c r="E850" s="15"/>
      <c r="F850" s="15"/>
      <c r="G850" s="15"/>
      <c r="H850" s="15"/>
    </row>
    <row r="851" spans="1:8" x14ac:dyDescent="0.3">
      <c r="A851" s="15"/>
      <c r="B851" s="15"/>
      <c r="C851" s="3" t="s">
        <v>9</v>
      </c>
      <c r="D851" s="2">
        <v>14.22</v>
      </c>
      <c r="E851" s="15"/>
      <c r="F851" s="15"/>
      <c r="G851" s="15"/>
      <c r="H851" s="15"/>
    </row>
    <row r="852" spans="1:8" x14ac:dyDescent="0.3">
      <c r="A852" s="15"/>
      <c r="B852" s="15"/>
      <c r="C852" s="3" t="s">
        <v>17</v>
      </c>
      <c r="D852" s="2">
        <v>20.47</v>
      </c>
      <c r="E852" s="15"/>
      <c r="F852" s="15"/>
      <c r="G852" s="15"/>
      <c r="H852" s="15"/>
    </row>
    <row r="853" spans="1:8" x14ac:dyDescent="0.3">
      <c r="A853" s="15"/>
      <c r="B853" s="15"/>
      <c r="C853" s="3" t="s">
        <v>14</v>
      </c>
      <c r="D853" s="7">
        <v>21.338999999999999</v>
      </c>
      <c r="E853" s="15"/>
      <c r="F853" s="15"/>
      <c r="G853" s="15"/>
      <c r="H853" s="15"/>
    </row>
    <row r="854" spans="1:8" x14ac:dyDescent="0.3">
      <c r="A854" s="16"/>
      <c r="B854" s="16"/>
      <c r="C854" s="8" t="s">
        <v>18</v>
      </c>
      <c r="D854" s="2">
        <v>33.5</v>
      </c>
      <c r="E854" s="16"/>
      <c r="F854" s="16"/>
      <c r="G854" s="16"/>
      <c r="H854" s="16"/>
    </row>
    <row r="855" spans="1:8" x14ac:dyDescent="0.3">
      <c r="A855" s="18">
        <v>143</v>
      </c>
      <c r="B855" s="20">
        <v>44544</v>
      </c>
      <c r="C855" s="3" t="s">
        <v>12</v>
      </c>
      <c r="D855" s="2">
        <v>31.19</v>
      </c>
      <c r="E855" s="19">
        <f>SUM(D855:D860)</f>
        <v>230.45400000000004</v>
      </c>
      <c r="F855" s="17">
        <f>INT(MAX(D855:D860))</f>
        <v>157</v>
      </c>
      <c r="G855" s="14">
        <f>INT((F855/10)*2)</f>
        <v>31</v>
      </c>
      <c r="H855" s="14">
        <f>F855-G855</f>
        <v>126</v>
      </c>
    </row>
    <row r="856" spans="1:8" x14ac:dyDescent="0.3">
      <c r="A856" s="15"/>
      <c r="B856" s="15"/>
      <c r="C856" s="3" t="s">
        <v>8</v>
      </c>
      <c r="D856" s="2">
        <v>157.33000000000001</v>
      </c>
      <c r="E856" s="15"/>
      <c r="F856" s="15"/>
      <c r="G856" s="15"/>
      <c r="H856" s="15"/>
    </row>
    <row r="857" spans="1:8" x14ac:dyDescent="0.3">
      <c r="A857" s="15"/>
      <c r="B857" s="15"/>
      <c r="C857" s="3" t="s">
        <v>11</v>
      </c>
      <c r="D857" s="7">
        <v>5.8639999999999999</v>
      </c>
      <c r="E857" s="15"/>
      <c r="F857" s="15"/>
      <c r="G857" s="15"/>
      <c r="H857" s="15"/>
    </row>
    <row r="858" spans="1:8" x14ac:dyDescent="0.3">
      <c r="A858" s="15"/>
      <c r="B858" s="15"/>
      <c r="C858" s="8" t="s">
        <v>10</v>
      </c>
      <c r="D858" s="2">
        <v>6.18</v>
      </c>
      <c r="E858" s="15"/>
      <c r="F858" s="15"/>
      <c r="G858" s="15"/>
      <c r="H858" s="15"/>
    </row>
    <row r="859" spans="1:8" x14ac:dyDescent="0.3">
      <c r="A859" s="15"/>
      <c r="B859" s="15"/>
      <c r="C859" s="3" t="s">
        <v>8</v>
      </c>
      <c r="D859" s="2">
        <v>15.11</v>
      </c>
      <c r="E859" s="15"/>
      <c r="F859" s="15"/>
      <c r="G859" s="15"/>
      <c r="H859" s="15"/>
    </row>
    <row r="860" spans="1:8" x14ac:dyDescent="0.3">
      <c r="A860" s="16"/>
      <c r="B860" s="16"/>
      <c r="C860" s="3" t="s">
        <v>14</v>
      </c>
      <c r="D860" s="2">
        <v>14.78</v>
      </c>
      <c r="E860" s="16"/>
      <c r="F860" s="16"/>
      <c r="G860" s="16"/>
      <c r="H860" s="16"/>
    </row>
    <row r="861" spans="1:8" x14ac:dyDescent="0.3">
      <c r="A861" s="18">
        <v>144</v>
      </c>
      <c r="B861" s="20">
        <v>44547</v>
      </c>
      <c r="C861" s="3" t="s">
        <v>17</v>
      </c>
      <c r="D861" s="2">
        <v>11.88</v>
      </c>
      <c r="E861" s="19">
        <f>SUM(D861:D866)</f>
        <v>191.316</v>
      </c>
      <c r="F861" s="17">
        <f>INT(MAX(D861:D866))</f>
        <v>71</v>
      </c>
      <c r="G861" s="14">
        <f>INT((F861/10)*2)</f>
        <v>14</v>
      </c>
      <c r="H861" s="14">
        <f>F861-G861</f>
        <v>57</v>
      </c>
    </row>
    <row r="862" spans="1:8" x14ac:dyDescent="0.3">
      <c r="A862" s="15"/>
      <c r="B862" s="15"/>
      <c r="C862" s="3" t="s">
        <v>16</v>
      </c>
      <c r="D862" s="2">
        <v>29.92</v>
      </c>
      <c r="E862" s="15"/>
      <c r="F862" s="15"/>
      <c r="G862" s="15"/>
      <c r="H862" s="15"/>
    </row>
    <row r="863" spans="1:8" x14ac:dyDescent="0.3">
      <c r="A863" s="15"/>
      <c r="B863" s="15"/>
      <c r="C863" s="3" t="s">
        <v>13</v>
      </c>
      <c r="D863" s="7">
        <v>7.7460000000000004</v>
      </c>
      <c r="E863" s="15"/>
      <c r="F863" s="15"/>
      <c r="G863" s="15"/>
      <c r="H863" s="15"/>
    </row>
    <row r="864" spans="1:8" x14ac:dyDescent="0.3">
      <c r="A864" s="15"/>
      <c r="B864" s="15"/>
      <c r="C864" s="8" t="s">
        <v>8</v>
      </c>
      <c r="D864" s="2">
        <v>21.16</v>
      </c>
      <c r="E864" s="15"/>
      <c r="F864" s="15"/>
      <c r="G864" s="15"/>
      <c r="H864" s="15"/>
    </row>
    <row r="865" spans="1:8" x14ac:dyDescent="0.3">
      <c r="A865" s="15"/>
      <c r="B865" s="15"/>
      <c r="C865" s="3" t="s">
        <v>14</v>
      </c>
      <c r="D865" s="2">
        <v>49.23</v>
      </c>
      <c r="E865" s="15"/>
      <c r="F865" s="15"/>
      <c r="G865" s="15"/>
      <c r="H865" s="15"/>
    </row>
    <row r="866" spans="1:8" x14ac:dyDescent="0.3">
      <c r="A866" s="16"/>
      <c r="B866" s="16"/>
      <c r="C866" s="3" t="s">
        <v>9</v>
      </c>
      <c r="D866" s="2">
        <v>71.38</v>
      </c>
      <c r="E866" s="16"/>
      <c r="F866" s="16"/>
      <c r="G866" s="16"/>
      <c r="H866" s="16"/>
    </row>
    <row r="867" spans="1:8" x14ac:dyDescent="0.3">
      <c r="A867" s="18">
        <v>145</v>
      </c>
      <c r="B867" s="20">
        <v>44551</v>
      </c>
      <c r="C867" s="3" t="s">
        <v>13</v>
      </c>
      <c r="D867" s="2">
        <v>30.55</v>
      </c>
      <c r="E867" s="19">
        <f>SUM(D867:D872)</f>
        <v>135.81299999999999</v>
      </c>
      <c r="F867" s="17">
        <f>INT(MAX(D867:D872))</f>
        <v>55</v>
      </c>
      <c r="G867" s="14">
        <f>INT((F867/10)*2)</f>
        <v>11</v>
      </c>
      <c r="H867" s="14">
        <f>F867-G867</f>
        <v>44</v>
      </c>
    </row>
    <row r="868" spans="1:8" x14ac:dyDescent="0.3">
      <c r="A868" s="15"/>
      <c r="B868" s="15"/>
      <c r="C868" s="3" t="s">
        <v>10</v>
      </c>
      <c r="D868" s="2">
        <v>10.1</v>
      </c>
      <c r="E868" s="15"/>
      <c r="F868" s="15"/>
      <c r="G868" s="15"/>
      <c r="H868" s="15"/>
    </row>
    <row r="869" spans="1:8" x14ac:dyDescent="0.3">
      <c r="A869" s="15"/>
      <c r="B869" s="15"/>
      <c r="C869" s="3" t="s">
        <v>18</v>
      </c>
      <c r="D869" s="7">
        <v>4.9219999999999997</v>
      </c>
      <c r="E869" s="15"/>
      <c r="F869" s="15"/>
      <c r="G869" s="15"/>
      <c r="H869" s="15"/>
    </row>
    <row r="870" spans="1:8" x14ac:dyDescent="0.3">
      <c r="A870" s="15"/>
      <c r="B870" s="15"/>
      <c r="C870" s="8" t="s">
        <v>8</v>
      </c>
      <c r="D870" s="2">
        <v>13.82</v>
      </c>
      <c r="E870" s="15"/>
      <c r="F870" s="15"/>
      <c r="G870" s="15"/>
      <c r="H870" s="15"/>
    </row>
    <row r="871" spans="1:8" x14ac:dyDescent="0.3">
      <c r="A871" s="15"/>
      <c r="B871" s="15"/>
      <c r="C871" s="3" t="s">
        <v>9</v>
      </c>
      <c r="D871" s="2">
        <v>20.47</v>
      </c>
      <c r="E871" s="15"/>
      <c r="F871" s="15"/>
      <c r="G871" s="15"/>
      <c r="H871" s="15"/>
    </row>
    <row r="872" spans="1:8" x14ac:dyDescent="0.3">
      <c r="A872" s="16"/>
      <c r="B872" s="16"/>
      <c r="C872" s="3" t="s">
        <v>13</v>
      </c>
      <c r="D872" s="7">
        <v>55.951000000000001</v>
      </c>
      <c r="E872" s="16"/>
      <c r="F872" s="16"/>
      <c r="G872" s="16"/>
      <c r="H872" s="16"/>
    </row>
    <row r="873" spans="1:8" x14ac:dyDescent="0.3">
      <c r="A873" s="18">
        <v>146</v>
      </c>
      <c r="B873" s="20">
        <v>44554</v>
      </c>
      <c r="C873" s="8" t="s">
        <v>16</v>
      </c>
      <c r="D873" s="2">
        <v>32.28</v>
      </c>
      <c r="E873" s="19">
        <f>SUM(D873:D878)</f>
        <v>352.93799999999999</v>
      </c>
      <c r="F873" s="17">
        <f>INT(MAX(D873:D878))</f>
        <v>140</v>
      </c>
      <c r="G873" s="14">
        <f>INT((F873/10)*2)</f>
        <v>28</v>
      </c>
      <c r="H873" s="14">
        <f>F873-G873</f>
        <v>112</v>
      </c>
    </row>
    <row r="874" spans="1:8" x14ac:dyDescent="0.3">
      <c r="A874" s="15"/>
      <c r="B874" s="15"/>
      <c r="C874" s="3" t="s">
        <v>10</v>
      </c>
      <c r="D874" s="2">
        <v>28.17</v>
      </c>
      <c r="E874" s="15"/>
      <c r="F874" s="15"/>
      <c r="G874" s="15"/>
      <c r="H874" s="15"/>
    </row>
    <row r="875" spans="1:8" x14ac:dyDescent="0.3">
      <c r="A875" s="15"/>
      <c r="B875" s="15"/>
      <c r="C875" s="3" t="s">
        <v>18</v>
      </c>
      <c r="D875" s="2">
        <v>140</v>
      </c>
      <c r="E875" s="15"/>
      <c r="F875" s="15"/>
      <c r="G875" s="15"/>
      <c r="H875" s="15"/>
    </row>
    <row r="876" spans="1:8" x14ac:dyDescent="0.3">
      <c r="A876" s="15"/>
      <c r="B876" s="15"/>
      <c r="C876" s="3" t="s">
        <v>13</v>
      </c>
      <c r="D876" s="2">
        <v>43.92</v>
      </c>
      <c r="E876" s="15"/>
      <c r="F876" s="15"/>
      <c r="G876" s="15"/>
      <c r="H876" s="15"/>
    </row>
    <row r="877" spans="1:8" x14ac:dyDescent="0.3">
      <c r="A877" s="15"/>
      <c r="B877" s="15"/>
      <c r="C877" s="3" t="s">
        <v>12</v>
      </c>
      <c r="D877" s="2">
        <v>63.15</v>
      </c>
      <c r="E877" s="15"/>
      <c r="F877" s="15"/>
      <c r="G877" s="15"/>
      <c r="H877" s="15"/>
    </row>
    <row r="878" spans="1:8" x14ac:dyDescent="0.3">
      <c r="A878" s="16"/>
      <c r="B878" s="16"/>
      <c r="C878" s="3" t="s">
        <v>15</v>
      </c>
      <c r="D878" s="7">
        <v>45.417999999999999</v>
      </c>
      <c r="E878" s="16"/>
      <c r="F878" s="16"/>
      <c r="G878" s="16"/>
      <c r="H878" s="16"/>
    </row>
    <row r="879" spans="1:8" x14ac:dyDescent="0.3">
      <c r="A879" s="18">
        <v>147</v>
      </c>
      <c r="B879" s="20">
        <v>44558</v>
      </c>
      <c r="C879" s="8" t="s">
        <v>11</v>
      </c>
      <c r="D879" s="2">
        <v>11.75</v>
      </c>
      <c r="E879" s="19">
        <f>SUM(D879:D884)</f>
        <v>106.54899999999999</v>
      </c>
      <c r="F879" s="17">
        <f>INT(MAX(D879:D884))</f>
        <v>36</v>
      </c>
      <c r="G879" s="14">
        <f>INT((F879/10)*2)</f>
        <v>7</v>
      </c>
      <c r="H879" s="14">
        <f>F879-G879</f>
        <v>29</v>
      </c>
    </row>
    <row r="880" spans="1:8" x14ac:dyDescent="0.3">
      <c r="A880" s="15"/>
      <c r="B880" s="15"/>
      <c r="C880" s="3" t="s">
        <v>10</v>
      </c>
      <c r="D880" s="2">
        <v>27.08</v>
      </c>
      <c r="E880" s="15"/>
      <c r="F880" s="15"/>
      <c r="G880" s="15"/>
      <c r="H880" s="15"/>
    </row>
    <row r="881" spans="1:8" x14ac:dyDescent="0.3">
      <c r="A881" s="15"/>
      <c r="B881" s="15"/>
      <c r="C881" s="3" t="s">
        <v>16</v>
      </c>
      <c r="D881" s="2">
        <v>12.43</v>
      </c>
      <c r="E881" s="15"/>
      <c r="F881" s="15"/>
      <c r="G881" s="15"/>
      <c r="H881" s="15"/>
    </row>
    <row r="882" spans="1:8" x14ac:dyDescent="0.3">
      <c r="A882" s="15"/>
      <c r="B882" s="15"/>
      <c r="C882" s="3" t="s">
        <v>12</v>
      </c>
      <c r="D882" s="2">
        <v>7.58</v>
      </c>
      <c r="E882" s="15"/>
      <c r="F882" s="15"/>
      <c r="G882" s="15"/>
      <c r="H882" s="15"/>
    </row>
    <row r="883" spans="1:8" x14ac:dyDescent="0.3">
      <c r="A883" s="15"/>
      <c r="B883" s="15"/>
      <c r="C883" s="3" t="s">
        <v>18</v>
      </c>
      <c r="D883" s="7">
        <v>36.448999999999998</v>
      </c>
      <c r="E883" s="15"/>
      <c r="F883" s="15"/>
      <c r="G883" s="15"/>
      <c r="H883" s="15"/>
    </row>
    <row r="884" spans="1:8" x14ac:dyDescent="0.3">
      <c r="A884" s="16"/>
      <c r="B884" s="16"/>
      <c r="C884" s="8" t="s">
        <v>14</v>
      </c>
      <c r="D884" s="2">
        <v>11.26</v>
      </c>
      <c r="E884" s="16"/>
      <c r="F884" s="16"/>
      <c r="G884" s="16"/>
      <c r="H884" s="16"/>
    </row>
    <row r="885" spans="1:8" x14ac:dyDescent="0.3">
      <c r="A885" s="18">
        <v>148</v>
      </c>
      <c r="B885" s="20">
        <v>44561</v>
      </c>
      <c r="C885" s="3" t="s">
        <v>18</v>
      </c>
      <c r="D885" s="2">
        <v>36.53</v>
      </c>
      <c r="E885" s="19">
        <f>SUM(D885:D890)</f>
        <v>210.65700000000004</v>
      </c>
      <c r="F885" s="17">
        <f>INT(MAX(D885:D890))</f>
        <v>66</v>
      </c>
      <c r="G885" s="14">
        <f>INT((F885/10)*2)</f>
        <v>13</v>
      </c>
      <c r="H885" s="14">
        <f>F885-G885</f>
        <v>53</v>
      </c>
    </row>
    <row r="886" spans="1:8" x14ac:dyDescent="0.3">
      <c r="A886" s="15"/>
      <c r="B886" s="15"/>
      <c r="C886" s="3" t="s">
        <v>16</v>
      </c>
      <c r="D886" s="2">
        <v>23</v>
      </c>
      <c r="E886" s="15"/>
      <c r="F886" s="15"/>
      <c r="G886" s="15"/>
      <c r="H886" s="15"/>
    </row>
    <row r="887" spans="1:8" x14ac:dyDescent="0.3">
      <c r="A887" s="15"/>
      <c r="B887" s="15"/>
      <c r="C887" s="3" t="s">
        <v>8</v>
      </c>
      <c r="D887" s="7">
        <v>26.087</v>
      </c>
      <c r="E887" s="15"/>
      <c r="F887" s="15"/>
      <c r="G887" s="15"/>
      <c r="H887" s="15"/>
    </row>
    <row r="888" spans="1:8" x14ac:dyDescent="0.3">
      <c r="A888" s="15"/>
      <c r="B888" s="15"/>
      <c r="C888" s="8" t="s">
        <v>14</v>
      </c>
      <c r="D888" s="2">
        <v>20.059999999999999</v>
      </c>
      <c r="E888" s="15"/>
      <c r="F888" s="15"/>
      <c r="G888" s="15"/>
      <c r="H888" s="15"/>
    </row>
    <row r="889" spans="1:8" x14ac:dyDescent="0.3">
      <c r="A889" s="15"/>
      <c r="B889" s="15"/>
      <c r="C889" s="3" t="s">
        <v>17</v>
      </c>
      <c r="D889" s="2">
        <v>38.19</v>
      </c>
      <c r="E889" s="15"/>
      <c r="F889" s="15"/>
      <c r="G889" s="15"/>
      <c r="H889" s="15"/>
    </row>
    <row r="890" spans="1:8" x14ac:dyDescent="0.3">
      <c r="A890" s="16"/>
      <c r="B890" s="16"/>
      <c r="C890" s="3" t="s">
        <v>16</v>
      </c>
      <c r="D890" s="2">
        <v>66.790000000000006</v>
      </c>
      <c r="E890" s="16"/>
      <c r="F890" s="16"/>
      <c r="G890" s="16"/>
      <c r="H890" s="16"/>
    </row>
    <row r="891" spans="1:8" x14ac:dyDescent="0.3">
      <c r="A891" s="18">
        <v>149</v>
      </c>
      <c r="B891" s="20">
        <v>44565</v>
      </c>
      <c r="C891" s="3" t="s">
        <v>11</v>
      </c>
      <c r="D891" s="2">
        <v>16.29</v>
      </c>
      <c r="E891" s="19">
        <f>SUM(D891:D896)</f>
        <v>110.754</v>
      </c>
      <c r="F891" s="17">
        <f>INT(MAX(D891:D896))</f>
        <v>45</v>
      </c>
      <c r="G891" s="14">
        <f>INT((F891/10)*2)</f>
        <v>9</v>
      </c>
      <c r="H891" s="14">
        <f>F891-G891</f>
        <v>36</v>
      </c>
    </row>
    <row r="892" spans="1:8" x14ac:dyDescent="0.3">
      <c r="A892" s="15"/>
      <c r="B892" s="15"/>
      <c r="C892" s="3" t="s">
        <v>18</v>
      </c>
      <c r="D892" s="2">
        <v>45.95</v>
      </c>
      <c r="E892" s="15"/>
      <c r="F892" s="15"/>
      <c r="G892" s="15"/>
      <c r="H892" s="15"/>
    </row>
    <row r="893" spans="1:8" x14ac:dyDescent="0.3">
      <c r="A893" s="15"/>
      <c r="B893" s="15"/>
      <c r="C893" s="3" t="s">
        <v>13</v>
      </c>
      <c r="D893" s="7">
        <v>6.3540000000000001</v>
      </c>
      <c r="E893" s="15"/>
      <c r="F893" s="15"/>
      <c r="G893" s="15"/>
      <c r="H893" s="15"/>
    </row>
    <row r="894" spans="1:8" x14ac:dyDescent="0.3">
      <c r="A894" s="15"/>
      <c r="B894" s="15"/>
      <c r="C894" s="8" t="s">
        <v>17</v>
      </c>
      <c r="D894" s="2">
        <v>8.66</v>
      </c>
      <c r="E894" s="15"/>
      <c r="F894" s="15"/>
      <c r="G894" s="15"/>
      <c r="H894" s="15"/>
    </row>
    <row r="895" spans="1:8" x14ac:dyDescent="0.3">
      <c r="A895" s="15"/>
      <c r="B895" s="15"/>
      <c r="C895" s="3" t="s">
        <v>10</v>
      </c>
      <c r="D895" s="2">
        <v>13.8</v>
      </c>
      <c r="E895" s="15"/>
      <c r="F895" s="15"/>
      <c r="G895" s="15"/>
      <c r="H895" s="15"/>
    </row>
    <row r="896" spans="1:8" x14ac:dyDescent="0.3">
      <c r="A896" s="16"/>
      <c r="B896" s="16"/>
      <c r="C896" s="3" t="s">
        <v>14</v>
      </c>
      <c r="D896" s="2">
        <v>19.7</v>
      </c>
      <c r="E896" s="16"/>
      <c r="F896" s="16"/>
      <c r="G896" s="16"/>
      <c r="H896" s="16"/>
    </row>
    <row r="897" spans="1:8" x14ac:dyDescent="0.3">
      <c r="A897" s="18">
        <v>150</v>
      </c>
      <c r="B897" s="20">
        <v>44568</v>
      </c>
      <c r="C897" s="3" t="s">
        <v>11</v>
      </c>
      <c r="D897" s="2">
        <v>26.75</v>
      </c>
      <c r="E897" s="19">
        <f>SUM(D897:D902)</f>
        <v>118.14100000000001</v>
      </c>
      <c r="F897" s="17">
        <f>INT(MAX(D897:D902))</f>
        <v>38</v>
      </c>
      <c r="G897" s="14">
        <f>INT((F897/10)*2)</f>
        <v>7</v>
      </c>
      <c r="H897" s="14">
        <f>F897-G897</f>
        <v>31</v>
      </c>
    </row>
    <row r="898" spans="1:8" x14ac:dyDescent="0.3">
      <c r="A898" s="15"/>
      <c r="B898" s="15"/>
      <c r="C898" s="3" t="s">
        <v>13</v>
      </c>
      <c r="D898" s="7">
        <v>4.1929999999999996</v>
      </c>
      <c r="E898" s="15"/>
      <c r="F898" s="15"/>
      <c r="G898" s="15"/>
      <c r="H898" s="15"/>
    </row>
    <row r="899" spans="1:8" x14ac:dyDescent="0.3">
      <c r="A899" s="15"/>
      <c r="B899" s="15"/>
      <c r="C899" s="8" t="s">
        <v>18</v>
      </c>
      <c r="D899" s="2">
        <v>18.260000000000002</v>
      </c>
      <c r="E899" s="15"/>
      <c r="F899" s="15"/>
      <c r="G899" s="15"/>
      <c r="H899" s="15"/>
    </row>
    <row r="900" spans="1:8" x14ac:dyDescent="0.3">
      <c r="A900" s="15"/>
      <c r="B900" s="15"/>
      <c r="C900" s="3" t="s">
        <v>13</v>
      </c>
      <c r="D900" s="2">
        <v>16.95</v>
      </c>
      <c r="E900" s="15"/>
      <c r="F900" s="15"/>
      <c r="G900" s="15"/>
      <c r="H900" s="15"/>
    </row>
    <row r="901" spans="1:8" x14ac:dyDescent="0.3">
      <c r="A901" s="15"/>
      <c r="B901" s="15"/>
      <c r="C901" s="3" t="s">
        <v>15</v>
      </c>
      <c r="D901" s="2">
        <v>13.2</v>
      </c>
      <c r="E901" s="15"/>
      <c r="F901" s="15"/>
      <c r="G901" s="15"/>
      <c r="H901" s="15"/>
    </row>
    <row r="902" spans="1:8" x14ac:dyDescent="0.3">
      <c r="A902" s="16"/>
      <c r="B902" s="16"/>
      <c r="C902" s="3" t="s">
        <v>16</v>
      </c>
      <c r="D902" s="7">
        <v>38.787999999999997</v>
      </c>
      <c r="E902" s="16"/>
      <c r="F902" s="16"/>
      <c r="G902" s="16"/>
      <c r="H902" s="16"/>
    </row>
    <row r="903" spans="1:8" x14ac:dyDescent="0.3">
      <c r="A903" s="18">
        <v>151</v>
      </c>
      <c r="B903" s="20">
        <v>44572</v>
      </c>
      <c r="C903" s="8" t="s">
        <v>11</v>
      </c>
      <c r="D903" s="2">
        <v>42.39</v>
      </c>
      <c r="E903" s="19">
        <f>SUM(D903:D908)</f>
        <v>245.05800000000002</v>
      </c>
      <c r="F903" s="17">
        <f>INT(MAX(D903:D908))</f>
        <v>70</v>
      </c>
      <c r="G903" s="14">
        <f>INT((F903/10)*2)</f>
        <v>14</v>
      </c>
      <c r="H903" s="14">
        <f>F903-G903</f>
        <v>56</v>
      </c>
    </row>
    <row r="904" spans="1:8" x14ac:dyDescent="0.3">
      <c r="A904" s="15"/>
      <c r="B904" s="15"/>
      <c r="C904" s="3" t="s">
        <v>17</v>
      </c>
      <c r="D904" s="2">
        <v>31.04</v>
      </c>
      <c r="E904" s="15"/>
      <c r="F904" s="15"/>
      <c r="G904" s="15"/>
      <c r="H904" s="15"/>
    </row>
    <row r="905" spans="1:8" x14ac:dyDescent="0.3">
      <c r="A905" s="15"/>
      <c r="B905" s="15"/>
      <c r="C905" s="3" t="s">
        <v>18</v>
      </c>
      <c r="D905" s="2">
        <v>20.420000000000002</v>
      </c>
      <c r="E905" s="15"/>
      <c r="F905" s="15"/>
      <c r="G905" s="15"/>
      <c r="H905" s="15"/>
    </row>
    <row r="906" spans="1:8" x14ac:dyDescent="0.3">
      <c r="A906" s="15"/>
      <c r="B906" s="15"/>
      <c r="C906" s="3" t="s">
        <v>10</v>
      </c>
      <c r="D906" s="7">
        <v>52.878</v>
      </c>
      <c r="E906" s="15"/>
      <c r="F906" s="15"/>
      <c r="G906" s="15"/>
      <c r="H906" s="15"/>
    </row>
    <row r="907" spans="1:8" x14ac:dyDescent="0.3">
      <c r="A907" s="15"/>
      <c r="B907" s="15"/>
      <c r="C907" s="8" t="s">
        <v>14</v>
      </c>
      <c r="D907" s="2">
        <v>28.27</v>
      </c>
      <c r="E907" s="15"/>
      <c r="F907" s="15"/>
      <c r="G907" s="15"/>
      <c r="H907" s="15"/>
    </row>
    <row r="908" spans="1:8" x14ac:dyDescent="0.3">
      <c r="A908" s="16"/>
      <c r="B908" s="16"/>
      <c r="C908" s="3" t="s">
        <v>8</v>
      </c>
      <c r="D908" s="2">
        <v>70.06</v>
      </c>
      <c r="E908" s="16"/>
      <c r="F908" s="16"/>
      <c r="G908" s="16"/>
      <c r="H908" s="16"/>
    </row>
    <row r="909" spans="1:8" x14ac:dyDescent="0.3">
      <c r="A909" s="18">
        <v>152</v>
      </c>
      <c r="B909" s="20">
        <v>44575</v>
      </c>
      <c r="C909" s="3" t="s">
        <v>9</v>
      </c>
      <c r="D909" s="7">
        <v>78.793999999999997</v>
      </c>
      <c r="E909" s="19">
        <f>SUM(D909:D914)</f>
        <v>222.245</v>
      </c>
      <c r="F909" s="17">
        <f>INT(MAX(D909:D914))</f>
        <v>78</v>
      </c>
      <c r="G909" s="14">
        <f>INT((F909/10)*2)</f>
        <v>15</v>
      </c>
      <c r="H909" s="14">
        <f>F909-G909</f>
        <v>63</v>
      </c>
    </row>
    <row r="910" spans="1:8" x14ac:dyDescent="0.3">
      <c r="A910" s="15"/>
      <c r="B910" s="15"/>
      <c r="C910" s="8" t="s">
        <v>13</v>
      </c>
      <c r="D910" s="2">
        <v>35.93</v>
      </c>
      <c r="E910" s="15"/>
      <c r="F910" s="15"/>
      <c r="G910" s="15"/>
      <c r="H910" s="15"/>
    </row>
    <row r="911" spans="1:8" x14ac:dyDescent="0.3">
      <c r="A911" s="15"/>
      <c r="B911" s="15"/>
      <c r="C911" s="3" t="s">
        <v>17</v>
      </c>
      <c r="D911" s="2">
        <v>31.06</v>
      </c>
      <c r="E911" s="15"/>
      <c r="F911" s="15"/>
      <c r="G911" s="15"/>
      <c r="H911" s="15"/>
    </row>
    <row r="912" spans="1:8" x14ac:dyDescent="0.3">
      <c r="A912" s="15"/>
      <c r="B912" s="15"/>
      <c r="C912" s="3" t="s">
        <v>9</v>
      </c>
      <c r="D912" s="2">
        <v>41.78</v>
      </c>
      <c r="E912" s="15"/>
      <c r="F912" s="15"/>
      <c r="G912" s="15"/>
      <c r="H912" s="15"/>
    </row>
    <row r="913" spans="1:8" x14ac:dyDescent="0.3">
      <c r="A913" s="15"/>
      <c r="B913" s="15"/>
      <c r="C913" s="3" t="s">
        <v>15</v>
      </c>
      <c r="D913" s="7">
        <v>18.151</v>
      </c>
      <c r="E913" s="15"/>
      <c r="F913" s="15"/>
      <c r="G913" s="15"/>
      <c r="H913" s="15"/>
    </row>
    <row r="914" spans="1:8" x14ac:dyDescent="0.3">
      <c r="A914" s="16"/>
      <c r="B914" s="16"/>
      <c r="C914" s="8" t="s">
        <v>14</v>
      </c>
      <c r="D914" s="2">
        <v>16.53</v>
      </c>
      <c r="E914" s="16"/>
      <c r="F914" s="16"/>
      <c r="G914" s="16"/>
      <c r="H914" s="16"/>
    </row>
    <row r="915" spans="1:8" x14ac:dyDescent="0.3">
      <c r="A915" s="18">
        <v>153</v>
      </c>
      <c r="B915" s="20">
        <v>44579</v>
      </c>
      <c r="C915" s="3" t="s">
        <v>12</v>
      </c>
      <c r="D915" s="2">
        <v>14.2</v>
      </c>
      <c r="E915" s="19">
        <f>SUM(D915:D920)</f>
        <v>254.21999999999997</v>
      </c>
      <c r="F915" s="17">
        <f>INT(MAX(D915:D920))</f>
        <v>127</v>
      </c>
      <c r="G915" s="14">
        <f>INT((F915/10)*2)</f>
        <v>25</v>
      </c>
      <c r="H915" s="14">
        <f>F915-G915</f>
        <v>102</v>
      </c>
    </row>
    <row r="916" spans="1:8" x14ac:dyDescent="0.3">
      <c r="A916" s="15"/>
      <c r="B916" s="15"/>
      <c r="C916" s="3" t="s">
        <v>15</v>
      </c>
      <c r="D916" s="7">
        <v>44.64</v>
      </c>
      <c r="E916" s="15"/>
      <c r="F916" s="15"/>
      <c r="G916" s="15"/>
      <c r="H916" s="15"/>
    </row>
    <row r="917" spans="1:8" x14ac:dyDescent="0.3">
      <c r="A917" s="15"/>
      <c r="B917" s="15"/>
      <c r="C917" s="8" t="s">
        <v>17</v>
      </c>
      <c r="D917" s="2">
        <v>127.06</v>
      </c>
      <c r="E917" s="15"/>
      <c r="F917" s="15"/>
      <c r="G917" s="15"/>
      <c r="H917" s="15"/>
    </row>
    <row r="918" spans="1:8" x14ac:dyDescent="0.3">
      <c r="A918" s="15"/>
      <c r="B918" s="15"/>
      <c r="C918" s="3" t="s">
        <v>11</v>
      </c>
      <c r="D918" s="2">
        <v>17.420000000000002</v>
      </c>
      <c r="E918" s="15"/>
      <c r="F918" s="15"/>
      <c r="G918" s="15"/>
      <c r="H918" s="15"/>
    </row>
    <row r="919" spans="1:8" x14ac:dyDescent="0.3">
      <c r="A919" s="15"/>
      <c r="B919" s="15"/>
      <c r="C919" s="3" t="s">
        <v>10</v>
      </c>
      <c r="D919" s="2">
        <v>23.95</v>
      </c>
      <c r="E919" s="15"/>
      <c r="F919" s="15"/>
      <c r="G919" s="15"/>
      <c r="H919" s="15"/>
    </row>
    <row r="920" spans="1:8" x14ac:dyDescent="0.3">
      <c r="A920" s="16"/>
      <c r="B920" s="16"/>
      <c r="C920" s="3" t="s">
        <v>18</v>
      </c>
      <c r="D920" s="2">
        <v>26.95</v>
      </c>
      <c r="E920" s="16"/>
      <c r="F920" s="16"/>
      <c r="G920" s="16"/>
      <c r="H920" s="16"/>
    </row>
    <row r="921" spans="1:8" x14ac:dyDescent="0.3">
      <c r="A921" s="18">
        <v>154</v>
      </c>
      <c r="B921" s="20">
        <v>44582</v>
      </c>
      <c r="C921" s="3" t="s">
        <v>8</v>
      </c>
      <c r="D921" s="2">
        <v>65.62</v>
      </c>
      <c r="E921" s="19">
        <f>SUM(D921:D926)</f>
        <v>354.99900000000002</v>
      </c>
      <c r="F921" s="17">
        <f>INT(MAX(D921:D926))</f>
        <v>90</v>
      </c>
      <c r="G921" s="14">
        <f>INT((F921/10)*2)</f>
        <v>18</v>
      </c>
      <c r="H921" s="14">
        <f>F921-G921</f>
        <v>72</v>
      </c>
    </row>
    <row r="922" spans="1:8" x14ac:dyDescent="0.3">
      <c r="A922" s="15"/>
      <c r="B922" s="15"/>
      <c r="C922" s="3" t="s">
        <v>15</v>
      </c>
      <c r="D922" s="7">
        <v>90.929000000000002</v>
      </c>
      <c r="E922" s="15"/>
      <c r="F922" s="15"/>
      <c r="G922" s="15"/>
      <c r="H922" s="15"/>
    </row>
    <row r="923" spans="1:8" x14ac:dyDescent="0.3">
      <c r="A923" s="15"/>
      <c r="B923" s="15"/>
      <c r="C923" s="8" t="s">
        <v>13</v>
      </c>
      <c r="D923" s="2">
        <v>35.4</v>
      </c>
      <c r="E923" s="15"/>
      <c r="F923" s="15"/>
      <c r="G923" s="15"/>
      <c r="H923" s="15"/>
    </row>
    <row r="924" spans="1:8" x14ac:dyDescent="0.3">
      <c r="A924" s="15"/>
      <c r="B924" s="15"/>
      <c r="C924" s="3" t="s">
        <v>8</v>
      </c>
      <c r="D924" s="2">
        <v>59.06</v>
      </c>
      <c r="E924" s="15"/>
      <c r="F924" s="15"/>
      <c r="G924" s="15"/>
      <c r="H924" s="15"/>
    </row>
    <row r="925" spans="1:8" x14ac:dyDescent="0.3">
      <c r="A925" s="15"/>
      <c r="B925" s="15"/>
      <c r="C925" s="3" t="s">
        <v>14</v>
      </c>
      <c r="D925" s="2">
        <v>68.930000000000007</v>
      </c>
      <c r="E925" s="15"/>
      <c r="F925" s="15"/>
      <c r="G925" s="15"/>
      <c r="H925" s="15"/>
    </row>
    <row r="926" spans="1:8" x14ac:dyDescent="0.3">
      <c r="A926" s="16"/>
      <c r="B926" s="16"/>
      <c r="C926" s="3" t="s">
        <v>9</v>
      </c>
      <c r="D926" s="2">
        <v>35.06</v>
      </c>
      <c r="E926" s="16"/>
      <c r="F926" s="16"/>
      <c r="G926" s="16"/>
      <c r="H926" s="16"/>
    </row>
    <row r="927" spans="1:8" x14ac:dyDescent="0.3">
      <c r="A927" s="18">
        <v>155</v>
      </c>
      <c r="B927" s="20">
        <v>44586</v>
      </c>
      <c r="C927" s="3" t="s">
        <v>12</v>
      </c>
      <c r="D927" s="7">
        <v>31.033000000000001</v>
      </c>
      <c r="E927" s="19">
        <f>SUM(D927:D932)</f>
        <v>231.035</v>
      </c>
      <c r="F927" s="17">
        <f>INT(MAX(D927:D932))</f>
        <v>69</v>
      </c>
      <c r="G927" s="14">
        <f>INT((F927/10)*2)</f>
        <v>13</v>
      </c>
      <c r="H927" s="14">
        <f>F927-G927</f>
        <v>56</v>
      </c>
    </row>
    <row r="928" spans="1:8" x14ac:dyDescent="0.3">
      <c r="A928" s="15"/>
      <c r="B928" s="15"/>
      <c r="C928" s="8" t="s">
        <v>15</v>
      </c>
      <c r="D928" s="2">
        <v>29.1</v>
      </c>
      <c r="E928" s="15"/>
      <c r="F928" s="15"/>
      <c r="G928" s="15"/>
      <c r="H928" s="15"/>
    </row>
    <row r="929" spans="1:8" x14ac:dyDescent="0.3">
      <c r="A929" s="15"/>
      <c r="B929" s="15"/>
      <c r="C929" s="3" t="s">
        <v>9</v>
      </c>
      <c r="D929" s="2">
        <v>23.72</v>
      </c>
      <c r="E929" s="15"/>
      <c r="F929" s="15"/>
      <c r="G929" s="15"/>
      <c r="H929" s="15"/>
    </row>
    <row r="930" spans="1:8" x14ac:dyDescent="0.3">
      <c r="A930" s="15"/>
      <c r="B930" s="15"/>
      <c r="C930" s="3" t="s">
        <v>8</v>
      </c>
      <c r="D930" s="7">
        <v>69.382000000000005</v>
      </c>
      <c r="E930" s="15"/>
      <c r="F930" s="15"/>
      <c r="G930" s="15"/>
      <c r="H930" s="15"/>
    </row>
    <row r="931" spans="1:8" x14ac:dyDescent="0.3">
      <c r="A931" s="15"/>
      <c r="B931" s="15"/>
      <c r="C931" s="8" t="s">
        <v>13</v>
      </c>
      <c r="D931" s="2">
        <v>20.010000000000002</v>
      </c>
      <c r="E931" s="15"/>
      <c r="F931" s="15"/>
      <c r="G931" s="15"/>
      <c r="H931" s="15"/>
    </row>
    <row r="932" spans="1:8" x14ac:dyDescent="0.3">
      <c r="A932" s="16"/>
      <c r="B932" s="16"/>
      <c r="C932" s="3" t="s">
        <v>18</v>
      </c>
      <c r="D932" s="2">
        <v>57.79</v>
      </c>
      <c r="E932" s="16"/>
      <c r="F932" s="16"/>
      <c r="G932" s="16"/>
      <c r="H932" s="16"/>
    </row>
    <row r="933" spans="1:8" x14ac:dyDescent="0.3">
      <c r="A933" s="18">
        <v>156</v>
      </c>
      <c r="B933" s="20">
        <v>44589</v>
      </c>
      <c r="C933" s="3" t="s">
        <v>12</v>
      </c>
      <c r="D933" s="2">
        <v>17.45</v>
      </c>
      <c r="E933" s="19">
        <f>SUM(D933:D938)</f>
        <v>81.709999999999994</v>
      </c>
      <c r="F933" s="17">
        <f>INT(MAX(D933:D938))</f>
        <v>17</v>
      </c>
      <c r="G933" s="14">
        <f>INT((F933/10)*2)</f>
        <v>3</v>
      </c>
      <c r="H933" s="14">
        <f>F933-G933</f>
        <v>14</v>
      </c>
    </row>
    <row r="934" spans="1:8" x14ac:dyDescent="0.3">
      <c r="A934" s="15"/>
      <c r="B934" s="15"/>
      <c r="C934" s="3" t="s">
        <v>16</v>
      </c>
      <c r="D934" s="7">
        <v>6.0960000000000001</v>
      </c>
      <c r="E934" s="15"/>
      <c r="F934" s="15"/>
      <c r="G934" s="15"/>
      <c r="H934" s="15"/>
    </row>
    <row r="935" spans="1:8" x14ac:dyDescent="0.3">
      <c r="A935" s="15"/>
      <c r="B935" s="15"/>
      <c r="C935" s="8" t="s">
        <v>8</v>
      </c>
      <c r="D935" s="2">
        <v>17.670000000000002</v>
      </c>
      <c r="E935" s="15"/>
      <c r="F935" s="15"/>
      <c r="G935" s="15"/>
      <c r="H935" s="15"/>
    </row>
    <row r="936" spans="1:8" x14ac:dyDescent="0.3">
      <c r="A936" s="15"/>
      <c r="B936" s="15"/>
      <c r="C936" s="3" t="s">
        <v>13</v>
      </c>
      <c r="D936" s="2">
        <v>15.61</v>
      </c>
      <c r="E936" s="15"/>
      <c r="F936" s="15"/>
      <c r="G936" s="15"/>
      <c r="H936" s="15"/>
    </row>
    <row r="937" spans="1:8" x14ac:dyDescent="0.3">
      <c r="A937" s="15"/>
      <c r="B937" s="15"/>
      <c r="C937" s="3" t="s">
        <v>15</v>
      </c>
      <c r="D937" s="2">
        <v>9.5299999999999994</v>
      </c>
      <c r="E937" s="15"/>
      <c r="F937" s="15"/>
      <c r="G937" s="15"/>
      <c r="H937" s="15"/>
    </row>
    <row r="938" spans="1:8" x14ac:dyDescent="0.3">
      <c r="A938" s="16"/>
      <c r="B938" s="16"/>
      <c r="C938" s="3" t="s">
        <v>17</v>
      </c>
      <c r="D938" s="7">
        <v>15.353999999999999</v>
      </c>
      <c r="E938" s="16"/>
      <c r="F938" s="16"/>
      <c r="G938" s="16"/>
      <c r="H938" s="16"/>
    </row>
    <row r="939" spans="1:8" x14ac:dyDescent="0.3">
      <c r="A939" s="18">
        <v>157</v>
      </c>
      <c r="B939" s="20">
        <v>44593</v>
      </c>
      <c r="C939" s="8" t="s">
        <v>14</v>
      </c>
      <c r="D939" s="2">
        <v>10.46</v>
      </c>
      <c r="E939" s="19">
        <f>SUM(D939:D944)</f>
        <v>76.826000000000008</v>
      </c>
      <c r="F939" s="17">
        <f>INT(MAX(D939:D944))</f>
        <v>15</v>
      </c>
      <c r="G939" s="14">
        <f>INT((F939/10)*2)</f>
        <v>3</v>
      </c>
      <c r="H939" s="14">
        <f>F939-G939</f>
        <v>12</v>
      </c>
    </row>
    <row r="940" spans="1:8" x14ac:dyDescent="0.3">
      <c r="A940" s="15"/>
      <c r="B940" s="15"/>
      <c r="C940" s="3" t="s">
        <v>16</v>
      </c>
      <c r="D940" s="2">
        <v>14.1</v>
      </c>
      <c r="E940" s="15"/>
      <c r="F940" s="15"/>
      <c r="G940" s="15"/>
      <c r="H940" s="15"/>
    </row>
    <row r="941" spans="1:8" x14ac:dyDescent="0.3">
      <c r="A941" s="15"/>
      <c r="B941" s="15"/>
      <c r="C941" s="3" t="s">
        <v>9</v>
      </c>
      <c r="D941" s="2">
        <v>12.39</v>
      </c>
      <c r="E941" s="15"/>
      <c r="F941" s="15"/>
      <c r="G941" s="15"/>
      <c r="H941" s="15"/>
    </row>
    <row r="942" spans="1:8" x14ac:dyDescent="0.3">
      <c r="A942" s="15"/>
      <c r="B942" s="15"/>
      <c r="C942" s="3" t="s">
        <v>10</v>
      </c>
      <c r="D942" s="2">
        <v>14.97</v>
      </c>
      <c r="E942" s="15"/>
      <c r="F942" s="15"/>
      <c r="G942" s="15"/>
      <c r="H942" s="15"/>
    </row>
    <row r="943" spans="1:8" x14ac:dyDescent="0.3">
      <c r="A943" s="15"/>
      <c r="B943" s="15"/>
      <c r="C943" s="3" t="s">
        <v>15</v>
      </c>
      <c r="D943" s="7">
        <v>9.3460000000000001</v>
      </c>
      <c r="E943" s="15"/>
      <c r="F943" s="15"/>
      <c r="G943" s="15"/>
      <c r="H943" s="15"/>
    </row>
    <row r="944" spans="1:8" x14ac:dyDescent="0.3">
      <c r="A944" s="16"/>
      <c r="B944" s="16"/>
      <c r="C944" s="8" t="s">
        <v>18</v>
      </c>
      <c r="D944" s="2">
        <v>15.56</v>
      </c>
      <c r="E944" s="16"/>
      <c r="F944" s="16"/>
      <c r="G944" s="16"/>
      <c r="H944" s="16"/>
    </row>
    <row r="945" spans="1:8" x14ac:dyDescent="0.3">
      <c r="A945" s="18">
        <v>158</v>
      </c>
      <c r="B945" s="20">
        <v>44596</v>
      </c>
      <c r="C945" s="3" t="s">
        <v>9</v>
      </c>
      <c r="D945" s="2">
        <v>14.74</v>
      </c>
      <c r="E945" s="19">
        <f>SUM(D945:D950)</f>
        <v>164.767</v>
      </c>
      <c r="F945" s="17">
        <f>INT(MAX(D945:D950))</f>
        <v>49</v>
      </c>
      <c r="G945" s="14">
        <f>INT((F945/10)*2)</f>
        <v>9</v>
      </c>
      <c r="H945" s="14">
        <f>F945-G945</f>
        <v>40</v>
      </c>
    </row>
    <row r="946" spans="1:8" x14ac:dyDescent="0.3">
      <c r="A946" s="15"/>
      <c r="B946" s="15"/>
      <c r="C946" s="3" t="s">
        <v>15</v>
      </c>
      <c r="D946" s="2">
        <v>14.09</v>
      </c>
      <c r="E946" s="15"/>
      <c r="F946" s="15"/>
      <c r="G946" s="15"/>
      <c r="H946" s="15"/>
    </row>
    <row r="947" spans="1:8" x14ac:dyDescent="0.3">
      <c r="A947" s="15"/>
      <c r="B947" s="15"/>
      <c r="C947" s="3" t="s">
        <v>17</v>
      </c>
      <c r="D947" s="7">
        <v>31.446999999999999</v>
      </c>
      <c r="E947" s="15"/>
      <c r="F947" s="15"/>
      <c r="G947" s="15"/>
      <c r="H947" s="15"/>
    </row>
    <row r="948" spans="1:8" x14ac:dyDescent="0.3">
      <c r="A948" s="15"/>
      <c r="B948" s="15"/>
      <c r="C948" s="8" t="s">
        <v>15</v>
      </c>
      <c r="D948" s="2">
        <v>14.92</v>
      </c>
      <c r="E948" s="15"/>
      <c r="F948" s="15"/>
      <c r="G948" s="15"/>
      <c r="H948" s="15"/>
    </row>
    <row r="949" spans="1:8" x14ac:dyDescent="0.3">
      <c r="A949" s="15"/>
      <c r="B949" s="15"/>
      <c r="C949" s="3" t="s">
        <v>8</v>
      </c>
      <c r="D949" s="2">
        <v>39.76</v>
      </c>
      <c r="E949" s="15"/>
      <c r="F949" s="15"/>
      <c r="G949" s="15"/>
      <c r="H949" s="15"/>
    </row>
    <row r="950" spans="1:8" x14ac:dyDescent="0.3">
      <c r="A950" s="16"/>
      <c r="B950" s="16"/>
      <c r="C950" s="3" t="s">
        <v>10</v>
      </c>
      <c r="D950" s="2">
        <v>49.81</v>
      </c>
      <c r="E950" s="16"/>
      <c r="F950" s="16"/>
      <c r="G950" s="16"/>
      <c r="H950" s="16"/>
    </row>
    <row r="951" spans="1:8" x14ac:dyDescent="0.3">
      <c r="A951" s="18">
        <v>159</v>
      </c>
      <c r="B951" s="20">
        <v>44600</v>
      </c>
      <c r="C951" s="3" t="s">
        <v>9</v>
      </c>
      <c r="D951" s="7">
        <v>11.84</v>
      </c>
      <c r="E951" s="19">
        <f>SUM(D951:D956)</f>
        <v>163.37</v>
      </c>
      <c r="F951" s="17">
        <f>INT(MAX(D951:D956))</f>
        <v>56</v>
      </c>
      <c r="G951" s="14">
        <f>INT((F951/10)*2)</f>
        <v>11</v>
      </c>
      <c r="H951" s="14">
        <f>F951-G951</f>
        <v>45</v>
      </c>
    </row>
    <row r="952" spans="1:8" x14ac:dyDescent="0.3">
      <c r="A952" s="15"/>
      <c r="B952" s="15"/>
      <c r="C952" s="8" t="s">
        <v>8</v>
      </c>
      <c r="D952" s="2">
        <v>43.08</v>
      </c>
      <c r="E952" s="15"/>
      <c r="F952" s="15"/>
      <c r="G952" s="15"/>
      <c r="H952" s="15"/>
    </row>
    <row r="953" spans="1:8" x14ac:dyDescent="0.3">
      <c r="A953" s="15"/>
      <c r="B953" s="15"/>
      <c r="C953" s="3" t="s">
        <v>15</v>
      </c>
      <c r="D953" s="2">
        <v>16.510000000000002</v>
      </c>
      <c r="E953" s="15"/>
      <c r="F953" s="15"/>
      <c r="G953" s="15"/>
      <c r="H953" s="15"/>
    </row>
    <row r="954" spans="1:8" x14ac:dyDescent="0.3">
      <c r="A954" s="15"/>
      <c r="B954" s="15"/>
      <c r="C954" s="3" t="s">
        <v>18</v>
      </c>
      <c r="D954" s="2">
        <v>23.46</v>
      </c>
      <c r="E954" s="15"/>
      <c r="F954" s="15"/>
      <c r="G954" s="15"/>
      <c r="H954" s="15"/>
    </row>
    <row r="955" spans="1:8" x14ac:dyDescent="0.3">
      <c r="A955" s="15"/>
      <c r="B955" s="15"/>
      <c r="C955" s="3" t="s">
        <v>17</v>
      </c>
      <c r="D955" s="2">
        <v>12.43</v>
      </c>
      <c r="E955" s="15"/>
      <c r="F955" s="15"/>
      <c r="G955" s="15"/>
      <c r="H955" s="15"/>
    </row>
    <row r="956" spans="1:8" x14ac:dyDescent="0.3">
      <c r="A956" s="16"/>
      <c r="B956" s="16"/>
      <c r="C956" s="3" t="s">
        <v>16</v>
      </c>
      <c r="D956" s="2">
        <v>56.05</v>
      </c>
      <c r="E956" s="16"/>
      <c r="F956" s="16"/>
      <c r="G956" s="16"/>
      <c r="H956" s="16"/>
    </row>
    <row r="957" spans="1:8" x14ac:dyDescent="0.3">
      <c r="A957" s="18">
        <v>160</v>
      </c>
      <c r="B957" s="20">
        <v>44603</v>
      </c>
      <c r="C957" s="3" t="s">
        <v>13</v>
      </c>
      <c r="D957" s="7">
        <v>15.849</v>
      </c>
      <c r="E957" s="19">
        <f>SUM(D957:D962)</f>
        <v>69.638999999999996</v>
      </c>
      <c r="F957" s="17">
        <f>INT(MAX(D957:D962))</f>
        <v>18</v>
      </c>
      <c r="G957" s="14">
        <f>INT((F957/10)*2)</f>
        <v>3</v>
      </c>
      <c r="H957" s="14">
        <f>F957-G957</f>
        <v>15</v>
      </c>
    </row>
    <row r="958" spans="1:8" x14ac:dyDescent="0.3">
      <c r="A958" s="15"/>
      <c r="B958" s="15"/>
      <c r="C958" s="8" t="s">
        <v>14</v>
      </c>
      <c r="D958" s="2">
        <v>4.6100000000000003</v>
      </c>
      <c r="E958" s="15"/>
      <c r="F958" s="15"/>
      <c r="G958" s="15"/>
      <c r="H958" s="15"/>
    </row>
    <row r="959" spans="1:8" x14ac:dyDescent="0.3">
      <c r="A959" s="15"/>
      <c r="B959" s="15"/>
      <c r="C959" s="3" t="s">
        <v>12</v>
      </c>
      <c r="D959" s="2">
        <v>18.61</v>
      </c>
      <c r="E959" s="15"/>
      <c r="F959" s="15"/>
      <c r="G959" s="15"/>
      <c r="H959" s="15"/>
    </row>
    <row r="960" spans="1:8" x14ac:dyDescent="0.3">
      <c r="A960" s="15"/>
      <c r="B960" s="15"/>
      <c r="C960" s="3" t="s">
        <v>13</v>
      </c>
      <c r="D960" s="2">
        <v>6.28</v>
      </c>
      <c r="E960" s="15"/>
      <c r="F960" s="15"/>
      <c r="G960" s="15"/>
      <c r="H960" s="15"/>
    </row>
    <row r="961" spans="1:8" x14ac:dyDescent="0.3">
      <c r="A961" s="15"/>
      <c r="B961" s="15"/>
      <c r="C961" s="3" t="s">
        <v>9</v>
      </c>
      <c r="D961" s="2">
        <v>12.44</v>
      </c>
      <c r="E961" s="15"/>
      <c r="F961" s="15"/>
      <c r="G961" s="15"/>
      <c r="H961" s="15"/>
    </row>
    <row r="962" spans="1:8" x14ac:dyDescent="0.3">
      <c r="A962" s="16"/>
      <c r="B962" s="16"/>
      <c r="C962" s="3" t="s">
        <v>8</v>
      </c>
      <c r="D962" s="2">
        <v>11.85</v>
      </c>
      <c r="E962" s="16"/>
      <c r="F962" s="16"/>
      <c r="G962" s="16"/>
      <c r="H962" s="16"/>
    </row>
    <row r="963" spans="1:8" x14ac:dyDescent="0.3">
      <c r="A963" s="18">
        <v>161</v>
      </c>
      <c r="B963" s="20">
        <v>44607</v>
      </c>
      <c r="C963" s="3" t="s">
        <v>10</v>
      </c>
      <c r="D963" s="7">
        <v>27.222999999999999</v>
      </c>
      <c r="E963" s="19">
        <f>SUM(D963:D968)</f>
        <v>121.443</v>
      </c>
      <c r="F963" s="17">
        <f>INT(MAX(D963:D968))</f>
        <v>29</v>
      </c>
      <c r="G963" s="14">
        <f>INT((F963/10)*2)</f>
        <v>5</v>
      </c>
      <c r="H963" s="14">
        <f>F963-G963</f>
        <v>24</v>
      </c>
    </row>
    <row r="964" spans="1:8" x14ac:dyDescent="0.3">
      <c r="A964" s="15"/>
      <c r="B964" s="15"/>
      <c r="C964" s="8" t="s">
        <v>15</v>
      </c>
      <c r="D964" s="2">
        <v>29.15</v>
      </c>
      <c r="E964" s="15"/>
      <c r="F964" s="15"/>
      <c r="G964" s="15"/>
      <c r="H964" s="15"/>
    </row>
    <row r="965" spans="1:8" x14ac:dyDescent="0.3">
      <c r="A965" s="15"/>
      <c r="B965" s="15"/>
      <c r="C965" s="3" t="s">
        <v>13</v>
      </c>
      <c r="D965" s="2">
        <v>17.21</v>
      </c>
      <c r="E965" s="15"/>
      <c r="F965" s="15"/>
      <c r="G965" s="15"/>
      <c r="H965" s="15"/>
    </row>
    <row r="966" spans="1:8" x14ac:dyDescent="0.3">
      <c r="A966" s="15"/>
      <c r="B966" s="15"/>
      <c r="C966" s="3" t="s">
        <v>12</v>
      </c>
      <c r="D966" s="2">
        <v>11.1</v>
      </c>
      <c r="E966" s="15"/>
      <c r="F966" s="15"/>
      <c r="G966" s="15"/>
      <c r="H966" s="15"/>
    </row>
    <row r="967" spans="1:8" x14ac:dyDescent="0.3">
      <c r="A967" s="15"/>
      <c r="B967" s="15"/>
      <c r="C967" s="3" t="s">
        <v>17</v>
      </c>
      <c r="D967" s="2">
        <v>26.81</v>
      </c>
      <c r="E967" s="15"/>
      <c r="F967" s="15"/>
      <c r="G967" s="15"/>
      <c r="H967" s="15"/>
    </row>
    <row r="968" spans="1:8" x14ac:dyDescent="0.3">
      <c r="A968" s="16"/>
      <c r="B968" s="16"/>
      <c r="C968" s="3" t="s">
        <v>11</v>
      </c>
      <c r="D968" s="2">
        <v>9.9499999999999993</v>
      </c>
      <c r="E968" s="16"/>
      <c r="F968" s="16"/>
      <c r="G968" s="16"/>
      <c r="H968" s="16"/>
    </row>
    <row r="969" spans="1:8" x14ac:dyDescent="0.3">
      <c r="A969" s="18">
        <v>162</v>
      </c>
      <c r="B969" s="20">
        <v>44610</v>
      </c>
      <c r="C969" s="3" t="s">
        <v>18</v>
      </c>
      <c r="D969" s="7">
        <v>10.055</v>
      </c>
      <c r="E969" s="19">
        <f>SUM(D969:D974)</f>
        <v>83.995000000000005</v>
      </c>
      <c r="F969" s="17">
        <f>INT(MAX(D969:D974))</f>
        <v>27</v>
      </c>
      <c r="G969" s="14">
        <f>INT((F969/10)*2)</f>
        <v>5</v>
      </c>
      <c r="H969" s="14">
        <f>F969-G969</f>
        <v>22</v>
      </c>
    </row>
    <row r="970" spans="1:8" x14ac:dyDescent="0.3">
      <c r="A970" s="15"/>
      <c r="B970" s="15"/>
      <c r="C970" s="8" t="s">
        <v>16</v>
      </c>
      <c r="D970" s="2">
        <v>5.3</v>
      </c>
      <c r="E970" s="15"/>
      <c r="F970" s="15"/>
      <c r="G970" s="15"/>
      <c r="H970" s="15"/>
    </row>
    <row r="971" spans="1:8" x14ac:dyDescent="0.3">
      <c r="A971" s="15"/>
      <c r="B971" s="15"/>
      <c r="C971" s="3" t="s">
        <v>17</v>
      </c>
      <c r="D971" s="2">
        <v>27.36</v>
      </c>
      <c r="E971" s="15"/>
      <c r="F971" s="15"/>
      <c r="G971" s="15"/>
      <c r="H971" s="15"/>
    </row>
    <row r="972" spans="1:8" x14ac:dyDescent="0.3">
      <c r="A972" s="15"/>
      <c r="B972" s="15"/>
      <c r="C972" s="3" t="s">
        <v>15</v>
      </c>
      <c r="D972" s="2">
        <v>25.72</v>
      </c>
      <c r="E972" s="15"/>
      <c r="F972" s="15"/>
      <c r="G972" s="15"/>
      <c r="H972" s="15"/>
    </row>
    <row r="973" spans="1:8" x14ac:dyDescent="0.3">
      <c r="A973" s="15"/>
      <c r="B973" s="15"/>
      <c r="C973" s="3" t="s">
        <v>11</v>
      </c>
      <c r="D973" s="2">
        <v>5.72</v>
      </c>
      <c r="E973" s="15"/>
      <c r="F973" s="15"/>
      <c r="G973" s="15"/>
      <c r="H973" s="15"/>
    </row>
    <row r="974" spans="1:8" x14ac:dyDescent="0.3">
      <c r="A974" s="16"/>
      <c r="B974" s="16"/>
      <c r="C974" s="3" t="s">
        <v>12</v>
      </c>
      <c r="D974" s="2">
        <v>9.84</v>
      </c>
      <c r="E974" s="16"/>
      <c r="F974" s="16"/>
      <c r="G974" s="16"/>
      <c r="H974" s="16"/>
    </row>
    <row r="975" spans="1:8" x14ac:dyDescent="0.3">
      <c r="A975" s="18">
        <v>163</v>
      </c>
      <c r="B975" s="20">
        <v>44614</v>
      </c>
      <c r="C975" s="3" t="s">
        <v>18</v>
      </c>
      <c r="D975" s="7">
        <v>98.275000000000006</v>
      </c>
      <c r="E975" s="19">
        <f>SUM(D975:D980)</f>
        <v>217.55199999999996</v>
      </c>
      <c r="F975" s="17">
        <f>INT(MAX(D975:D980))</f>
        <v>98</v>
      </c>
      <c r="G975" s="14">
        <f>INT((F975/10)*2)</f>
        <v>19</v>
      </c>
      <c r="H975" s="14">
        <f>F975-G975</f>
        <v>79</v>
      </c>
    </row>
    <row r="976" spans="1:8" x14ac:dyDescent="0.3">
      <c r="A976" s="15"/>
      <c r="B976" s="15"/>
      <c r="C976" s="8" t="s">
        <v>13</v>
      </c>
      <c r="D976" s="2">
        <v>18.170000000000002</v>
      </c>
      <c r="E976" s="15"/>
      <c r="F976" s="15"/>
      <c r="G976" s="15"/>
      <c r="H976" s="15"/>
    </row>
    <row r="977" spans="1:8" x14ac:dyDescent="0.3">
      <c r="A977" s="15"/>
      <c r="B977" s="15"/>
      <c r="C977" s="3" t="s">
        <v>18</v>
      </c>
      <c r="D977" s="2">
        <v>16.309999999999999</v>
      </c>
      <c r="E977" s="15"/>
      <c r="F977" s="15"/>
      <c r="G977" s="15"/>
      <c r="H977" s="15"/>
    </row>
    <row r="978" spans="1:8" x14ac:dyDescent="0.3">
      <c r="A978" s="15"/>
      <c r="B978" s="15"/>
      <c r="C978" s="3" t="s">
        <v>10</v>
      </c>
      <c r="D978" s="2">
        <v>30.83</v>
      </c>
      <c r="E978" s="15"/>
      <c r="F978" s="15"/>
      <c r="G978" s="15"/>
      <c r="H978" s="15"/>
    </row>
    <row r="979" spans="1:8" x14ac:dyDescent="0.3">
      <c r="A979" s="15"/>
      <c r="B979" s="15"/>
      <c r="C979" s="3" t="s">
        <v>17</v>
      </c>
      <c r="D979" s="2">
        <v>20.72</v>
      </c>
      <c r="E979" s="15"/>
      <c r="F979" s="15"/>
      <c r="G979" s="15"/>
      <c r="H979" s="15"/>
    </row>
    <row r="980" spans="1:8" x14ac:dyDescent="0.3">
      <c r="A980" s="16"/>
      <c r="B980" s="16"/>
      <c r="C980" s="3" t="s">
        <v>12</v>
      </c>
      <c r="D980" s="7">
        <v>33.247</v>
      </c>
      <c r="E980" s="16"/>
      <c r="F980" s="16"/>
      <c r="G980" s="16"/>
      <c r="H980" s="16"/>
    </row>
    <row r="981" spans="1:8" x14ac:dyDescent="0.3">
      <c r="A981" s="18">
        <v>164</v>
      </c>
      <c r="B981" s="20">
        <v>44617</v>
      </c>
      <c r="C981" s="8" t="s">
        <v>9</v>
      </c>
      <c r="D981" s="2">
        <v>35.520000000000003</v>
      </c>
      <c r="E981" s="19">
        <f>SUM(D981:D986)</f>
        <v>136.47499999999999</v>
      </c>
      <c r="F981" s="17">
        <f>INT(MAX(D981:D986))</f>
        <v>35</v>
      </c>
      <c r="G981" s="14">
        <f>INT((F981/10)*2)</f>
        <v>7</v>
      </c>
      <c r="H981" s="14">
        <f>F981-G981</f>
        <v>28</v>
      </c>
    </row>
    <row r="982" spans="1:8" x14ac:dyDescent="0.3">
      <c r="A982" s="15"/>
      <c r="B982" s="15"/>
      <c r="C982" s="3" t="s">
        <v>13</v>
      </c>
      <c r="D982" s="2">
        <v>20.02</v>
      </c>
      <c r="E982" s="15"/>
      <c r="F982" s="15"/>
      <c r="G982" s="15"/>
      <c r="H982" s="15"/>
    </row>
    <row r="983" spans="1:8" x14ac:dyDescent="0.3">
      <c r="A983" s="15"/>
      <c r="B983" s="15"/>
      <c r="C983" s="3" t="s">
        <v>17</v>
      </c>
      <c r="D983" s="7">
        <v>16.016999999999999</v>
      </c>
      <c r="E983" s="15"/>
      <c r="F983" s="15"/>
      <c r="G983" s="15"/>
      <c r="H983" s="15"/>
    </row>
    <row r="984" spans="1:8" x14ac:dyDescent="0.3">
      <c r="A984" s="15"/>
      <c r="B984" s="15"/>
      <c r="C984" s="8" t="s">
        <v>13</v>
      </c>
      <c r="D984" s="2">
        <v>27.86</v>
      </c>
      <c r="E984" s="15"/>
      <c r="F984" s="15"/>
      <c r="G984" s="15"/>
      <c r="H984" s="15"/>
    </row>
    <row r="985" spans="1:8" x14ac:dyDescent="0.3">
      <c r="A985" s="15"/>
      <c r="B985" s="15"/>
      <c r="C985" s="3" t="s">
        <v>11</v>
      </c>
      <c r="D985" s="2">
        <v>20.94</v>
      </c>
      <c r="E985" s="15"/>
      <c r="F985" s="15"/>
      <c r="G985" s="15"/>
      <c r="H985" s="15"/>
    </row>
    <row r="986" spans="1:8" x14ac:dyDescent="0.3">
      <c r="A986" s="16"/>
      <c r="B986" s="16"/>
      <c r="C986" s="3" t="s">
        <v>15</v>
      </c>
      <c r="D986" s="7">
        <v>16.117999999999999</v>
      </c>
      <c r="E986" s="16"/>
      <c r="F986" s="16"/>
      <c r="G986" s="16"/>
      <c r="H986" s="16"/>
    </row>
    <row r="987" spans="1:8" x14ac:dyDescent="0.3">
      <c r="A987" s="18">
        <v>165</v>
      </c>
      <c r="B987" s="20">
        <v>44621</v>
      </c>
      <c r="C987" s="8" t="s">
        <v>13</v>
      </c>
      <c r="D987" s="2">
        <v>6.58</v>
      </c>
      <c r="E987" s="19">
        <f>SUM(D987:D992)</f>
        <v>48.773000000000003</v>
      </c>
      <c r="F987" s="17">
        <f>INT(MAX(D987:D992))</f>
        <v>13</v>
      </c>
      <c r="G987" s="14">
        <f>INT((F987/10)*2)</f>
        <v>2</v>
      </c>
      <c r="H987" s="14">
        <f>F987-G987</f>
        <v>11</v>
      </c>
    </row>
    <row r="988" spans="1:8" x14ac:dyDescent="0.3">
      <c r="A988" s="15"/>
      <c r="B988" s="15"/>
      <c r="C988" s="3" t="s">
        <v>17</v>
      </c>
      <c r="D988" s="2">
        <v>4.13</v>
      </c>
      <c r="E988" s="15"/>
      <c r="F988" s="15"/>
      <c r="G988" s="15"/>
      <c r="H988" s="15"/>
    </row>
    <row r="989" spans="1:8" x14ac:dyDescent="0.3">
      <c r="A989" s="15"/>
      <c r="B989" s="15"/>
      <c r="C989" s="3" t="s">
        <v>18</v>
      </c>
      <c r="D989" s="7">
        <v>13.503</v>
      </c>
      <c r="E989" s="15"/>
      <c r="F989" s="15"/>
      <c r="G989" s="15"/>
      <c r="H989" s="15"/>
    </row>
    <row r="990" spans="1:8" x14ac:dyDescent="0.3">
      <c r="A990" s="15"/>
      <c r="B990" s="15"/>
      <c r="C990" s="8" t="s">
        <v>13</v>
      </c>
      <c r="D990" s="2">
        <v>9.5299999999999994</v>
      </c>
      <c r="E990" s="15"/>
      <c r="F990" s="15"/>
      <c r="G990" s="15"/>
      <c r="H990" s="15"/>
    </row>
    <row r="991" spans="1:8" x14ac:dyDescent="0.3">
      <c r="A991" s="15"/>
      <c r="B991" s="15"/>
      <c r="C991" s="3" t="s">
        <v>14</v>
      </c>
      <c r="D991" s="2">
        <v>5.93</v>
      </c>
      <c r="E991" s="15"/>
      <c r="F991" s="15"/>
      <c r="G991" s="15"/>
      <c r="H991" s="15"/>
    </row>
    <row r="992" spans="1:8" x14ac:dyDescent="0.3">
      <c r="A992" s="16"/>
      <c r="B992" s="16"/>
      <c r="C992" s="3" t="s">
        <v>16</v>
      </c>
      <c r="D992" s="2">
        <v>9.1</v>
      </c>
      <c r="E992" s="16"/>
      <c r="F992" s="16"/>
      <c r="G992" s="16"/>
      <c r="H992" s="16"/>
    </row>
    <row r="993" spans="1:8" x14ac:dyDescent="0.3">
      <c r="A993" s="18">
        <v>166</v>
      </c>
      <c r="B993" s="20">
        <v>44624</v>
      </c>
      <c r="C993" s="3" t="s">
        <v>10</v>
      </c>
      <c r="D993" s="2">
        <v>18.84</v>
      </c>
      <c r="E993" s="19">
        <f>SUM(D993:D998)</f>
        <v>60.35499999999999</v>
      </c>
      <c r="F993" s="17">
        <f>INT(MAX(D993:D998))</f>
        <v>18</v>
      </c>
      <c r="G993" s="14">
        <f>INT((F993/10)*2)</f>
        <v>3</v>
      </c>
      <c r="H993" s="14">
        <f>F993-G993</f>
        <v>15</v>
      </c>
    </row>
    <row r="994" spans="1:8" x14ac:dyDescent="0.3">
      <c r="A994" s="15"/>
      <c r="B994" s="15"/>
      <c r="C994" s="3" t="s">
        <v>11</v>
      </c>
      <c r="D994" s="7">
        <v>9.1270000000000007</v>
      </c>
      <c r="E994" s="15"/>
      <c r="F994" s="15"/>
      <c r="G994" s="15"/>
      <c r="H994" s="15"/>
    </row>
    <row r="995" spans="1:8" x14ac:dyDescent="0.3">
      <c r="A995" s="15"/>
      <c r="B995" s="15"/>
      <c r="C995" s="8" t="s">
        <v>14</v>
      </c>
      <c r="D995" s="2">
        <v>4.5199999999999996</v>
      </c>
      <c r="E995" s="15"/>
      <c r="F995" s="15"/>
      <c r="G995" s="15"/>
      <c r="H995" s="15"/>
    </row>
    <row r="996" spans="1:8" x14ac:dyDescent="0.3">
      <c r="A996" s="15"/>
      <c r="B996" s="15"/>
      <c r="C996" s="3" t="s">
        <v>17</v>
      </c>
      <c r="D996" s="2">
        <v>5.94</v>
      </c>
      <c r="E996" s="15"/>
      <c r="F996" s="15"/>
      <c r="G996" s="15"/>
      <c r="H996" s="15"/>
    </row>
    <row r="997" spans="1:8" x14ac:dyDescent="0.3">
      <c r="A997" s="15"/>
      <c r="B997" s="15"/>
      <c r="C997" s="3" t="s">
        <v>10</v>
      </c>
      <c r="D997" s="2">
        <v>7.32</v>
      </c>
      <c r="E997" s="15"/>
      <c r="F997" s="15"/>
      <c r="G997" s="15"/>
      <c r="H997" s="15"/>
    </row>
    <row r="998" spans="1:8" x14ac:dyDescent="0.3">
      <c r="A998" s="16"/>
      <c r="B998" s="16"/>
      <c r="C998" s="3" t="s">
        <v>18</v>
      </c>
      <c r="D998" s="7">
        <v>14.608000000000001</v>
      </c>
      <c r="E998" s="16"/>
      <c r="F998" s="16"/>
      <c r="G998" s="16"/>
      <c r="H998" s="16"/>
    </row>
    <row r="999" spans="1:8" x14ac:dyDescent="0.3">
      <c r="A999" s="18">
        <v>167</v>
      </c>
      <c r="B999" s="20">
        <v>44628</v>
      </c>
      <c r="C999" s="8" t="s">
        <v>16</v>
      </c>
      <c r="D999" s="2">
        <v>8.14</v>
      </c>
      <c r="E999" s="19">
        <f>SUM(D999:D1004)</f>
        <v>83.613000000000014</v>
      </c>
      <c r="F999" s="17">
        <f>INT(MAX(D999:D1004))</f>
        <v>28</v>
      </c>
      <c r="G999" s="14">
        <f>INT((F999/10)*2)</f>
        <v>5</v>
      </c>
      <c r="H999" s="14">
        <f>F999-G999</f>
        <v>23</v>
      </c>
    </row>
    <row r="1000" spans="1:8" x14ac:dyDescent="0.3">
      <c r="A1000" s="15"/>
      <c r="B1000" s="15"/>
      <c r="C1000" s="3" t="s">
        <v>17</v>
      </c>
      <c r="D1000" s="2">
        <v>10.039999999999999</v>
      </c>
      <c r="E1000" s="15"/>
      <c r="F1000" s="15"/>
      <c r="G1000" s="15"/>
      <c r="H1000" s="15"/>
    </row>
    <row r="1001" spans="1:8" x14ac:dyDescent="0.3">
      <c r="A1001" s="15"/>
      <c r="B1001" s="15"/>
      <c r="C1001" s="3" t="s">
        <v>8</v>
      </c>
      <c r="D1001" s="2">
        <v>28.94</v>
      </c>
      <c r="E1001" s="15"/>
      <c r="F1001" s="15"/>
      <c r="G1001" s="15"/>
      <c r="H1001" s="15"/>
    </row>
    <row r="1002" spans="1:8" x14ac:dyDescent="0.3">
      <c r="A1002" s="15"/>
      <c r="B1002" s="15"/>
      <c r="C1002" s="3" t="s">
        <v>11</v>
      </c>
      <c r="D1002" s="2">
        <v>8.8699999999999992</v>
      </c>
      <c r="E1002" s="15"/>
      <c r="F1002" s="15"/>
      <c r="G1002" s="15"/>
      <c r="H1002" s="15"/>
    </row>
    <row r="1003" spans="1:8" x14ac:dyDescent="0.3">
      <c r="A1003" s="15"/>
      <c r="B1003" s="15"/>
      <c r="C1003" s="3" t="s">
        <v>18</v>
      </c>
      <c r="D1003" s="7">
        <v>17.863</v>
      </c>
      <c r="E1003" s="15"/>
      <c r="F1003" s="15"/>
      <c r="G1003" s="15"/>
      <c r="H1003" s="15"/>
    </row>
    <row r="1004" spans="1:8" x14ac:dyDescent="0.3">
      <c r="A1004" s="16"/>
      <c r="B1004" s="16"/>
      <c r="C1004" s="8" t="s">
        <v>14</v>
      </c>
      <c r="D1004" s="2">
        <v>9.76</v>
      </c>
      <c r="E1004" s="16"/>
      <c r="F1004" s="16"/>
      <c r="G1004" s="16"/>
      <c r="H1004" s="16"/>
    </row>
    <row r="1005" spans="1:8" x14ac:dyDescent="0.3">
      <c r="A1005" s="18">
        <v>168</v>
      </c>
      <c r="B1005" s="20">
        <v>44631</v>
      </c>
      <c r="C1005" s="3" t="s">
        <v>18</v>
      </c>
      <c r="D1005" s="2">
        <v>23.93</v>
      </c>
      <c r="E1005" s="19">
        <f>SUM(D1005:D1010)</f>
        <v>162.95000000000002</v>
      </c>
      <c r="F1005" s="17">
        <f>INT(MAX(D1005:D1010))</f>
        <v>58</v>
      </c>
      <c r="G1005" s="14">
        <f>INT((F1005/10)*2)</f>
        <v>11</v>
      </c>
      <c r="H1005" s="14">
        <f>F1005-G1005</f>
        <v>47</v>
      </c>
    </row>
    <row r="1006" spans="1:8" x14ac:dyDescent="0.3">
      <c r="A1006" s="15"/>
      <c r="B1006" s="15"/>
      <c r="C1006" s="3" t="s">
        <v>13</v>
      </c>
      <c r="D1006" s="2">
        <v>5.48</v>
      </c>
      <c r="E1006" s="15"/>
      <c r="F1006" s="15"/>
      <c r="G1006" s="15"/>
      <c r="H1006" s="15"/>
    </row>
    <row r="1007" spans="1:8" x14ac:dyDescent="0.3">
      <c r="A1007" s="15"/>
      <c r="B1007" s="15"/>
      <c r="C1007" s="3" t="s">
        <v>17</v>
      </c>
      <c r="D1007" s="7">
        <v>32.32</v>
      </c>
      <c r="E1007" s="15"/>
      <c r="F1007" s="15"/>
      <c r="G1007" s="15"/>
      <c r="H1007" s="15"/>
    </row>
    <row r="1008" spans="1:8" x14ac:dyDescent="0.3">
      <c r="A1008" s="15"/>
      <c r="B1008" s="15"/>
      <c r="C1008" s="8" t="s">
        <v>9</v>
      </c>
      <c r="D1008" s="2">
        <v>58.28</v>
      </c>
      <c r="E1008" s="15"/>
      <c r="F1008" s="15"/>
      <c r="G1008" s="15"/>
      <c r="H1008" s="15"/>
    </row>
    <row r="1009" spans="1:8" x14ac:dyDescent="0.3">
      <c r="A1009" s="15"/>
      <c r="B1009" s="15"/>
      <c r="C1009" s="3" t="s">
        <v>15</v>
      </c>
      <c r="D1009" s="2">
        <v>27.91</v>
      </c>
      <c r="E1009" s="15"/>
      <c r="F1009" s="15"/>
      <c r="G1009" s="15"/>
      <c r="H1009" s="15"/>
    </row>
    <row r="1010" spans="1:8" x14ac:dyDescent="0.3">
      <c r="A1010" s="16"/>
      <c r="B1010" s="16"/>
      <c r="C1010" s="3" t="s">
        <v>18</v>
      </c>
      <c r="D1010" s="2">
        <v>15.03</v>
      </c>
      <c r="E1010" s="16"/>
      <c r="F1010" s="16"/>
      <c r="G1010" s="16"/>
      <c r="H1010" s="16"/>
    </row>
    <row r="1011" spans="1:8" x14ac:dyDescent="0.3">
      <c r="A1011" s="18">
        <v>169</v>
      </c>
      <c r="B1011" s="20">
        <v>44635</v>
      </c>
      <c r="C1011" s="3" t="s">
        <v>16</v>
      </c>
      <c r="D1011" s="2">
        <v>62.17</v>
      </c>
      <c r="E1011" s="19">
        <f>SUM(D1011:D1016)</f>
        <v>129.60000000000002</v>
      </c>
      <c r="F1011" s="17">
        <f>INT(MAX(D1011:D1016))</f>
        <v>62</v>
      </c>
      <c r="G1011" s="14">
        <f>INT((F1011/10)*2)</f>
        <v>12</v>
      </c>
      <c r="H1011" s="14">
        <f>F1011-G1011</f>
        <v>50</v>
      </c>
    </row>
    <row r="1012" spans="1:8" x14ac:dyDescent="0.3">
      <c r="A1012" s="15"/>
      <c r="B1012" s="15"/>
      <c r="C1012" s="3" t="s">
        <v>13</v>
      </c>
      <c r="D1012" s="7">
        <v>13.647</v>
      </c>
      <c r="E1012" s="15"/>
      <c r="F1012" s="15"/>
      <c r="G1012" s="15"/>
      <c r="H1012" s="15"/>
    </row>
    <row r="1013" spans="1:8" x14ac:dyDescent="0.3">
      <c r="A1013" s="15"/>
      <c r="B1013" s="15"/>
      <c r="C1013" s="8" t="s">
        <v>10</v>
      </c>
      <c r="D1013" s="2">
        <v>14.94</v>
      </c>
      <c r="E1013" s="15"/>
      <c r="F1013" s="15"/>
      <c r="G1013" s="15"/>
      <c r="H1013" s="15"/>
    </row>
    <row r="1014" spans="1:8" x14ac:dyDescent="0.3">
      <c r="A1014" s="15"/>
      <c r="B1014" s="15"/>
      <c r="C1014" s="3" t="s">
        <v>9</v>
      </c>
      <c r="D1014" s="2">
        <v>6.51</v>
      </c>
      <c r="E1014" s="15"/>
      <c r="F1014" s="15"/>
      <c r="G1014" s="15"/>
      <c r="H1014" s="15"/>
    </row>
    <row r="1015" spans="1:8" x14ac:dyDescent="0.3">
      <c r="A1015" s="15"/>
      <c r="B1015" s="15"/>
      <c r="C1015" s="3" t="s">
        <v>18</v>
      </c>
      <c r="D1015" s="7">
        <v>8.093</v>
      </c>
      <c r="E1015" s="15"/>
      <c r="F1015" s="15"/>
      <c r="G1015" s="15"/>
      <c r="H1015" s="15"/>
    </row>
    <row r="1016" spans="1:8" x14ac:dyDescent="0.3">
      <c r="A1016" s="16"/>
      <c r="B1016" s="16"/>
      <c r="C1016" s="8" t="s">
        <v>12</v>
      </c>
      <c r="D1016" s="2">
        <v>24.24</v>
      </c>
      <c r="E1016" s="16"/>
      <c r="F1016" s="16"/>
      <c r="G1016" s="16"/>
      <c r="H1016" s="16"/>
    </row>
    <row r="1017" spans="1:8" x14ac:dyDescent="0.3">
      <c r="A1017" s="18">
        <v>170</v>
      </c>
      <c r="B1017" s="20">
        <v>44638</v>
      </c>
      <c r="C1017" s="3" t="s">
        <v>9</v>
      </c>
      <c r="D1017" s="2">
        <v>3.67</v>
      </c>
      <c r="E1017" s="19">
        <f>SUM(D1017:D1022)</f>
        <v>316.66899999999998</v>
      </c>
      <c r="F1017" s="17">
        <f>INT(MAX(D1017:D1022))</f>
        <v>87</v>
      </c>
      <c r="G1017" s="14">
        <f>INT((F1017/10)*2)</f>
        <v>17</v>
      </c>
      <c r="H1017" s="14">
        <f>F1017-G1017</f>
        <v>70</v>
      </c>
    </row>
    <row r="1018" spans="1:8" x14ac:dyDescent="0.3">
      <c r="A1018" s="15"/>
      <c r="B1018" s="15"/>
      <c r="C1018" s="3" t="s">
        <v>8</v>
      </c>
      <c r="D1018" s="7">
        <v>87.165000000000006</v>
      </c>
      <c r="E1018" s="15"/>
      <c r="F1018" s="15"/>
      <c r="G1018" s="15"/>
      <c r="H1018" s="15"/>
    </row>
    <row r="1019" spans="1:8" x14ac:dyDescent="0.3">
      <c r="A1019" s="15"/>
      <c r="B1019" s="15"/>
      <c r="C1019" s="8" t="s">
        <v>17</v>
      </c>
      <c r="D1019" s="2">
        <v>70</v>
      </c>
      <c r="E1019" s="15"/>
      <c r="F1019" s="15"/>
      <c r="G1019" s="15"/>
      <c r="H1019" s="15"/>
    </row>
    <row r="1020" spans="1:8" x14ac:dyDescent="0.3">
      <c r="A1020" s="15"/>
      <c r="B1020" s="15"/>
      <c r="C1020" s="3" t="s">
        <v>16</v>
      </c>
      <c r="D1020" s="2">
        <v>78.2</v>
      </c>
      <c r="E1020" s="15"/>
      <c r="F1020" s="15"/>
      <c r="G1020" s="15"/>
      <c r="H1020" s="15"/>
    </row>
    <row r="1021" spans="1:8" x14ac:dyDescent="0.3">
      <c r="A1021" s="15"/>
      <c r="B1021" s="15"/>
      <c r="C1021" s="3" t="s">
        <v>9</v>
      </c>
      <c r="D1021" s="2">
        <v>69.47</v>
      </c>
      <c r="E1021" s="15"/>
      <c r="F1021" s="15"/>
      <c r="G1021" s="15"/>
      <c r="H1021" s="15"/>
    </row>
    <row r="1022" spans="1:8" x14ac:dyDescent="0.3">
      <c r="A1022" s="16"/>
      <c r="B1022" s="16"/>
      <c r="C1022" s="3" t="s">
        <v>12</v>
      </c>
      <c r="D1022" s="7">
        <v>8.1639999999999997</v>
      </c>
      <c r="E1022" s="16"/>
      <c r="F1022" s="16"/>
      <c r="G1022" s="16"/>
      <c r="H1022" s="16"/>
    </row>
    <row r="1023" spans="1:8" x14ac:dyDescent="0.3">
      <c r="A1023" s="18">
        <v>171</v>
      </c>
      <c r="B1023" s="20">
        <v>44642</v>
      </c>
      <c r="C1023" s="8" t="s">
        <v>12</v>
      </c>
      <c r="D1023" s="2">
        <v>10.53</v>
      </c>
      <c r="E1023" s="19">
        <f>SUM(D1023:D1028)</f>
        <v>191.56599999999997</v>
      </c>
      <c r="F1023" s="17">
        <f>INT(MAX(D1023:D1028))</f>
        <v>95</v>
      </c>
      <c r="G1023" s="14">
        <f>INT((F1023/10)*2)</f>
        <v>19</v>
      </c>
      <c r="H1023" s="14">
        <f>F1023-G1023</f>
        <v>76</v>
      </c>
    </row>
    <row r="1024" spans="1:8" x14ac:dyDescent="0.3">
      <c r="A1024" s="15"/>
      <c r="B1024" s="15"/>
      <c r="C1024" s="3" t="s">
        <v>10</v>
      </c>
      <c r="D1024" s="2">
        <v>7.92</v>
      </c>
      <c r="E1024" s="15"/>
      <c r="F1024" s="15"/>
      <c r="G1024" s="15"/>
      <c r="H1024" s="15"/>
    </row>
    <row r="1025" spans="1:8" x14ac:dyDescent="0.3">
      <c r="A1025" s="15"/>
      <c r="B1025" s="15"/>
      <c r="C1025" s="3" t="s">
        <v>18</v>
      </c>
      <c r="D1025" s="2">
        <v>10.119999999999999</v>
      </c>
      <c r="E1025" s="15"/>
      <c r="F1025" s="15"/>
      <c r="G1025" s="15"/>
      <c r="H1025" s="15"/>
    </row>
    <row r="1026" spans="1:8" x14ac:dyDescent="0.3">
      <c r="A1026" s="15"/>
      <c r="B1026" s="15"/>
      <c r="C1026" s="3" t="s">
        <v>8</v>
      </c>
      <c r="D1026" s="2">
        <v>18.010000000000002</v>
      </c>
      <c r="E1026" s="15"/>
      <c r="F1026" s="15"/>
      <c r="G1026" s="15"/>
      <c r="H1026" s="15"/>
    </row>
    <row r="1027" spans="1:8" x14ac:dyDescent="0.3">
      <c r="A1027" s="15"/>
      <c r="B1027" s="15"/>
      <c r="C1027" s="3" t="s">
        <v>13</v>
      </c>
      <c r="D1027" s="7">
        <v>49.655999999999999</v>
      </c>
      <c r="E1027" s="15"/>
      <c r="F1027" s="15"/>
      <c r="G1027" s="15"/>
      <c r="H1027" s="15"/>
    </row>
    <row r="1028" spans="1:8" x14ac:dyDescent="0.3">
      <c r="A1028" s="16"/>
      <c r="B1028" s="16"/>
      <c r="C1028" s="8" t="s">
        <v>9</v>
      </c>
      <c r="D1028" s="2">
        <v>95.33</v>
      </c>
      <c r="E1028" s="16"/>
      <c r="F1028" s="16"/>
      <c r="G1028" s="16"/>
      <c r="H1028" s="16"/>
    </row>
    <row r="1029" spans="1:8" x14ac:dyDescent="0.3">
      <c r="A1029" s="18">
        <v>172</v>
      </c>
      <c r="B1029" s="20">
        <v>44645</v>
      </c>
      <c r="C1029" s="3" t="s">
        <v>13</v>
      </c>
      <c r="D1029" s="2">
        <v>55.04</v>
      </c>
      <c r="E1029" s="19">
        <f>SUM(D1029:D1034)</f>
        <v>329.66499999999996</v>
      </c>
      <c r="F1029" s="17">
        <f>INT(MAX(D1029:D1034))</f>
        <v>155</v>
      </c>
      <c r="G1029" s="14">
        <f>INT((F1029/10)*2)</f>
        <v>31</v>
      </c>
      <c r="H1029" s="14">
        <f>F1029-G1029</f>
        <v>124</v>
      </c>
    </row>
    <row r="1030" spans="1:8" x14ac:dyDescent="0.3">
      <c r="A1030" s="15"/>
      <c r="B1030" s="15"/>
      <c r="C1030" s="3" t="s">
        <v>14</v>
      </c>
      <c r="D1030" s="2">
        <v>155.19999999999999</v>
      </c>
      <c r="E1030" s="15"/>
      <c r="F1030" s="15"/>
      <c r="G1030" s="15"/>
      <c r="H1030" s="15"/>
    </row>
    <row r="1031" spans="1:8" x14ac:dyDescent="0.3">
      <c r="A1031" s="15"/>
      <c r="B1031" s="15"/>
      <c r="C1031" s="3" t="s">
        <v>11</v>
      </c>
      <c r="D1031" s="2">
        <v>21.81</v>
      </c>
      <c r="E1031" s="15"/>
      <c r="F1031" s="15"/>
      <c r="G1031" s="15"/>
      <c r="H1031" s="15"/>
    </row>
    <row r="1032" spans="1:8" x14ac:dyDescent="0.3">
      <c r="A1032" s="15"/>
      <c r="B1032" s="15"/>
      <c r="C1032" s="3" t="s">
        <v>8</v>
      </c>
      <c r="D1032" s="2">
        <v>15.89</v>
      </c>
      <c r="E1032" s="15"/>
      <c r="F1032" s="15"/>
      <c r="G1032" s="15"/>
      <c r="H1032" s="15"/>
    </row>
    <row r="1033" spans="1:8" x14ac:dyDescent="0.3">
      <c r="A1033" s="15"/>
      <c r="B1033" s="15"/>
      <c r="C1033" s="3" t="s">
        <v>18</v>
      </c>
      <c r="D1033" s="7">
        <v>60.465000000000003</v>
      </c>
      <c r="E1033" s="15"/>
      <c r="F1033" s="15"/>
      <c r="G1033" s="15"/>
      <c r="H1033" s="15"/>
    </row>
    <row r="1034" spans="1:8" x14ac:dyDescent="0.3">
      <c r="A1034" s="16"/>
      <c r="B1034" s="16"/>
      <c r="C1034" s="8" t="s">
        <v>9</v>
      </c>
      <c r="D1034" s="2">
        <v>21.26</v>
      </c>
      <c r="E1034" s="16"/>
      <c r="F1034" s="16"/>
      <c r="G1034" s="16"/>
      <c r="H1034" s="16"/>
    </row>
    <row r="1035" spans="1:8" x14ac:dyDescent="0.3">
      <c r="A1035" s="18">
        <v>173</v>
      </c>
      <c r="B1035" s="20">
        <v>44649</v>
      </c>
      <c r="C1035" s="3" t="s">
        <v>18</v>
      </c>
      <c r="D1035" s="2">
        <v>50</v>
      </c>
      <c r="E1035" s="19">
        <f>SUM(D1035:D1040)</f>
        <v>179.62600000000003</v>
      </c>
      <c r="F1035" s="17">
        <f>INT(MAX(D1035:D1040))</f>
        <v>70</v>
      </c>
      <c r="G1035" s="14">
        <f>INT((F1035/10)*2)</f>
        <v>14</v>
      </c>
      <c r="H1035" s="14">
        <f>F1035-G1035</f>
        <v>56</v>
      </c>
    </row>
    <row r="1036" spans="1:8" x14ac:dyDescent="0.3">
      <c r="A1036" s="15"/>
      <c r="B1036" s="15"/>
      <c r="C1036" s="3" t="s">
        <v>10</v>
      </c>
      <c r="D1036" s="2">
        <v>70</v>
      </c>
      <c r="E1036" s="15"/>
      <c r="F1036" s="15"/>
      <c r="G1036" s="15"/>
      <c r="H1036" s="15"/>
    </row>
    <row r="1037" spans="1:8" x14ac:dyDescent="0.3">
      <c r="A1037" s="15"/>
      <c r="B1037" s="15"/>
      <c r="C1037" s="3" t="s">
        <v>16</v>
      </c>
      <c r="D1037" s="7">
        <v>9.8960000000000008</v>
      </c>
      <c r="E1037" s="15"/>
      <c r="F1037" s="15"/>
      <c r="G1037" s="15"/>
      <c r="H1037" s="15"/>
    </row>
    <row r="1038" spans="1:8" x14ac:dyDescent="0.3">
      <c r="A1038" s="15"/>
      <c r="B1038" s="15"/>
      <c r="C1038" s="8" t="s">
        <v>8</v>
      </c>
      <c r="D1038" s="2">
        <v>31.86</v>
      </c>
      <c r="E1038" s="15"/>
      <c r="F1038" s="15"/>
      <c r="G1038" s="15"/>
      <c r="H1038" s="15"/>
    </row>
    <row r="1039" spans="1:8" x14ac:dyDescent="0.3">
      <c r="A1039" s="15"/>
      <c r="B1039" s="15"/>
      <c r="C1039" s="3" t="s">
        <v>11</v>
      </c>
      <c r="D1039" s="2">
        <v>6.48</v>
      </c>
      <c r="E1039" s="15"/>
      <c r="F1039" s="15"/>
      <c r="G1039" s="15"/>
      <c r="H1039" s="15"/>
    </row>
    <row r="1040" spans="1:8" x14ac:dyDescent="0.3">
      <c r="A1040" s="16"/>
      <c r="B1040" s="16"/>
      <c r="C1040" s="3" t="s">
        <v>12</v>
      </c>
      <c r="D1040" s="2">
        <v>11.39</v>
      </c>
      <c r="E1040" s="16"/>
      <c r="F1040" s="16"/>
      <c r="G1040" s="16"/>
      <c r="H1040" s="16"/>
    </row>
    <row r="1041" spans="1:8" x14ac:dyDescent="0.3">
      <c r="A1041" s="18">
        <v>174</v>
      </c>
      <c r="B1041" s="20">
        <v>44652</v>
      </c>
      <c r="C1041" s="3" t="s">
        <v>10</v>
      </c>
      <c r="D1041" s="2">
        <v>27.31</v>
      </c>
      <c r="E1041" s="19">
        <f>SUM(D1041:D1046)</f>
        <v>118.127</v>
      </c>
      <c r="F1041" s="17">
        <f>INT(MAX(D1041:D1046))</f>
        <v>44</v>
      </c>
      <c r="G1041" s="14">
        <f>INT((F1041/10)*2)</f>
        <v>8</v>
      </c>
      <c r="H1041" s="14">
        <f>F1041-G1041</f>
        <v>36</v>
      </c>
    </row>
    <row r="1042" spans="1:8" x14ac:dyDescent="0.3">
      <c r="A1042" s="15"/>
      <c r="B1042" s="15"/>
      <c r="C1042" s="3" t="s">
        <v>15</v>
      </c>
      <c r="D1042" s="2">
        <v>9.68</v>
      </c>
      <c r="E1042" s="15"/>
      <c r="F1042" s="15"/>
      <c r="G1042" s="15"/>
      <c r="H1042" s="15"/>
    </row>
    <row r="1043" spans="1:8" x14ac:dyDescent="0.3">
      <c r="A1043" s="15"/>
      <c r="B1043" s="15"/>
      <c r="C1043" s="3" t="s">
        <v>18</v>
      </c>
      <c r="D1043" s="7">
        <v>6.0579999999999998</v>
      </c>
      <c r="E1043" s="15"/>
      <c r="F1043" s="15"/>
      <c r="G1043" s="15"/>
      <c r="H1043" s="15"/>
    </row>
    <row r="1044" spans="1:8" x14ac:dyDescent="0.3">
      <c r="A1044" s="15"/>
      <c r="B1044" s="15"/>
      <c r="C1044" s="8" t="s">
        <v>18</v>
      </c>
      <c r="D1044" s="2">
        <v>44.68</v>
      </c>
      <c r="E1044" s="15"/>
      <c r="F1044" s="15"/>
      <c r="G1044" s="15"/>
      <c r="H1044" s="15"/>
    </row>
    <row r="1045" spans="1:8" x14ac:dyDescent="0.3">
      <c r="A1045" s="15"/>
      <c r="B1045" s="15"/>
      <c r="C1045" s="3" t="s">
        <v>13</v>
      </c>
      <c r="D1045" s="2">
        <v>24.04</v>
      </c>
      <c r="E1045" s="15"/>
      <c r="F1045" s="15"/>
      <c r="G1045" s="15"/>
      <c r="H1045" s="15"/>
    </row>
    <row r="1046" spans="1:8" x14ac:dyDescent="0.3">
      <c r="A1046" s="16"/>
      <c r="B1046" s="16"/>
      <c r="C1046" s="3" t="s">
        <v>8</v>
      </c>
      <c r="D1046" s="7">
        <v>6.359</v>
      </c>
      <c r="E1046" s="16"/>
      <c r="F1046" s="16"/>
      <c r="G1046" s="16"/>
      <c r="H1046" s="16"/>
    </row>
    <row r="1047" spans="1:8" x14ac:dyDescent="0.3">
      <c r="A1047" s="18">
        <v>175</v>
      </c>
      <c r="B1047" s="20">
        <v>44656</v>
      </c>
      <c r="C1047" s="8" t="s">
        <v>9</v>
      </c>
      <c r="D1047" s="2">
        <v>19.329999999999998</v>
      </c>
      <c r="E1047" s="19">
        <f>SUM(D1047:D1052)</f>
        <v>81.217999999999989</v>
      </c>
      <c r="F1047" s="17">
        <f>INT(MAX(D1047:D1052))</f>
        <v>23</v>
      </c>
      <c r="G1047" s="14">
        <f>INT((F1047/10)*2)</f>
        <v>4</v>
      </c>
      <c r="H1047" s="14">
        <f>F1047-G1047</f>
        <v>19</v>
      </c>
    </row>
    <row r="1048" spans="1:8" x14ac:dyDescent="0.3">
      <c r="A1048" s="15"/>
      <c r="B1048" s="15"/>
      <c r="C1048" s="3" t="s">
        <v>13</v>
      </c>
      <c r="D1048" s="2">
        <v>14.27</v>
      </c>
      <c r="E1048" s="15"/>
      <c r="F1048" s="15"/>
      <c r="G1048" s="15"/>
      <c r="H1048" s="15"/>
    </row>
    <row r="1049" spans="1:8" x14ac:dyDescent="0.3">
      <c r="A1049" s="15"/>
      <c r="B1049" s="15"/>
      <c r="C1049" s="3" t="s">
        <v>14</v>
      </c>
      <c r="D1049" s="2">
        <v>7.5</v>
      </c>
      <c r="E1049" s="15"/>
      <c r="F1049" s="15"/>
      <c r="G1049" s="15"/>
      <c r="H1049" s="15"/>
    </row>
    <row r="1050" spans="1:8" x14ac:dyDescent="0.3">
      <c r="A1050" s="15"/>
      <c r="B1050" s="15"/>
      <c r="C1050" s="3" t="s">
        <v>18</v>
      </c>
      <c r="D1050" s="7">
        <v>11.628</v>
      </c>
      <c r="E1050" s="15"/>
      <c r="F1050" s="15"/>
      <c r="G1050" s="15"/>
      <c r="H1050" s="15"/>
    </row>
    <row r="1051" spans="1:8" x14ac:dyDescent="0.3">
      <c r="A1051" s="15"/>
      <c r="B1051" s="15"/>
      <c r="C1051" s="8" t="s">
        <v>10</v>
      </c>
      <c r="D1051" s="2">
        <v>23.24</v>
      </c>
      <c r="E1051" s="15"/>
      <c r="F1051" s="15"/>
      <c r="G1051" s="15"/>
      <c r="H1051" s="15"/>
    </row>
    <row r="1052" spans="1:8" x14ac:dyDescent="0.3">
      <c r="A1052" s="16"/>
      <c r="B1052" s="16"/>
      <c r="C1052" s="3" t="s">
        <v>13</v>
      </c>
      <c r="D1052" s="2">
        <v>5.25</v>
      </c>
      <c r="E1052" s="16"/>
      <c r="F1052" s="16"/>
      <c r="G1052" s="16"/>
      <c r="H1052" s="16"/>
    </row>
    <row r="1053" spans="1:8" x14ac:dyDescent="0.3">
      <c r="A1053" s="18">
        <v>176</v>
      </c>
      <c r="B1053" s="20">
        <v>44659</v>
      </c>
      <c r="C1053" s="3" t="s">
        <v>8</v>
      </c>
      <c r="D1053" s="2">
        <v>17.2</v>
      </c>
      <c r="E1053" s="19">
        <f>SUM(D1053:D1058)</f>
        <v>116.23699999999999</v>
      </c>
      <c r="F1053" s="17">
        <f>INT(MAX(D1053:D1058))</f>
        <v>36</v>
      </c>
      <c r="G1053" s="14">
        <f>INT((F1053/10)*2)</f>
        <v>7</v>
      </c>
      <c r="H1053" s="14">
        <f>F1053-G1053</f>
        <v>29</v>
      </c>
    </row>
    <row r="1054" spans="1:8" x14ac:dyDescent="0.3">
      <c r="A1054" s="15"/>
      <c r="B1054" s="15"/>
      <c r="C1054" s="3" t="s">
        <v>16</v>
      </c>
      <c r="D1054" s="2">
        <v>2.63</v>
      </c>
      <c r="E1054" s="15"/>
      <c r="F1054" s="15"/>
      <c r="G1054" s="15"/>
      <c r="H1054" s="15"/>
    </row>
    <row r="1055" spans="1:8" x14ac:dyDescent="0.3">
      <c r="A1055" s="15"/>
      <c r="B1055" s="15"/>
      <c r="C1055" s="3" t="s">
        <v>18</v>
      </c>
      <c r="D1055" s="2">
        <v>12.94</v>
      </c>
      <c r="E1055" s="15"/>
      <c r="F1055" s="15"/>
      <c r="G1055" s="15"/>
      <c r="H1055" s="15"/>
    </row>
    <row r="1056" spans="1:8" x14ac:dyDescent="0.3">
      <c r="A1056" s="15"/>
      <c r="B1056" s="15"/>
      <c r="C1056" s="3" t="s">
        <v>17</v>
      </c>
      <c r="D1056" s="7">
        <v>20.417000000000002</v>
      </c>
      <c r="E1056" s="15"/>
      <c r="F1056" s="15"/>
      <c r="G1056" s="15"/>
      <c r="H1056" s="15"/>
    </row>
    <row r="1057" spans="1:8" x14ac:dyDescent="0.3">
      <c r="A1057" s="15"/>
      <c r="B1057" s="15"/>
      <c r="C1057" s="8" t="s">
        <v>8</v>
      </c>
      <c r="D1057" s="2">
        <v>36.96</v>
      </c>
      <c r="E1057" s="15"/>
      <c r="F1057" s="15"/>
      <c r="G1057" s="15"/>
      <c r="H1057" s="15"/>
    </row>
    <row r="1058" spans="1:8" x14ac:dyDescent="0.3">
      <c r="A1058" s="16"/>
      <c r="B1058" s="16"/>
      <c r="C1058" s="3" t="s">
        <v>15</v>
      </c>
      <c r="D1058" s="2">
        <v>26.09</v>
      </c>
      <c r="E1058" s="16"/>
      <c r="F1058" s="16"/>
      <c r="G1058" s="16"/>
      <c r="H1058" s="16"/>
    </row>
    <row r="1059" spans="1:8" x14ac:dyDescent="0.3">
      <c r="A1059" s="18">
        <v>177</v>
      </c>
      <c r="B1059" s="20">
        <v>44663</v>
      </c>
      <c r="C1059" s="3" t="s">
        <v>10</v>
      </c>
      <c r="D1059" s="2">
        <v>60.29</v>
      </c>
      <c r="E1059" s="19">
        <f>SUM(D1059:D1064)</f>
        <v>122.529</v>
      </c>
      <c r="F1059" s="17">
        <f>INT(MAX(D1059:D1064))</f>
        <v>60</v>
      </c>
      <c r="G1059" s="14">
        <f>INT((F1059/10)*2)</f>
        <v>12</v>
      </c>
      <c r="H1059" s="14">
        <f>F1059-G1059</f>
        <v>48</v>
      </c>
    </row>
    <row r="1060" spans="1:8" x14ac:dyDescent="0.3">
      <c r="A1060" s="15"/>
      <c r="B1060" s="15"/>
      <c r="C1060" s="3" t="s">
        <v>11</v>
      </c>
      <c r="D1060" s="7">
        <v>7.609</v>
      </c>
      <c r="E1060" s="15"/>
      <c r="F1060" s="15"/>
      <c r="G1060" s="15"/>
      <c r="H1060" s="15"/>
    </row>
    <row r="1061" spans="1:8" x14ac:dyDescent="0.3">
      <c r="A1061" s="15"/>
      <c r="B1061" s="15"/>
      <c r="C1061" s="8" t="s">
        <v>12</v>
      </c>
      <c r="D1061" s="2">
        <v>12.36</v>
      </c>
      <c r="E1061" s="15"/>
      <c r="F1061" s="15"/>
      <c r="G1061" s="15"/>
      <c r="H1061" s="15"/>
    </row>
    <row r="1062" spans="1:8" x14ac:dyDescent="0.3">
      <c r="A1062" s="15"/>
      <c r="B1062" s="15"/>
      <c r="C1062" s="3" t="s">
        <v>15</v>
      </c>
      <c r="D1062" s="2">
        <v>13.41</v>
      </c>
      <c r="E1062" s="15"/>
      <c r="F1062" s="15"/>
      <c r="G1062" s="15"/>
      <c r="H1062" s="15"/>
    </row>
    <row r="1063" spans="1:8" x14ac:dyDescent="0.3">
      <c r="A1063" s="15"/>
      <c r="B1063" s="15"/>
      <c r="C1063" s="3" t="s">
        <v>16</v>
      </c>
      <c r="D1063" s="2">
        <v>7.3</v>
      </c>
      <c r="E1063" s="15"/>
      <c r="F1063" s="15"/>
      <c r="G1063" s="15"/>
      <c r="H1063" s="15"/>
    </row>
    <row r="1064" spans="1:8" x14ac:dyDescent="0.3">
      <c r="A1064" s="16"/>
      <c r="B1064" s="16"/>
      <c r="C1064" s="3" t="s">
        <v>17</v>
      </c>
      <c r="D1064" s="2">
        <v>21.56</v>
      </c>
      <c r="E1064" s="16"/>
      <c r="F1064" s="16"/>
      <c r="G1064" s="16"/>
      <c r="H1064" s="16"/>
    </row>
    <row r="1065" spans="1:8" x14ac:dyDescent="0.3">
      <c r="A1065" s="18">
        <v>178</v>
      </c>
      <c r="B1065" s="20">
        <v>44666</v>
      </c>
      <c r="C1065" s="3" t="s">
        <v>9</v>
      </c>
      <c r="D1065" s="2">
        <v>6.21</v>
      </c>
      <c r="E1065" s="19">
        <f>SUM(D1065:D1070)</f>
        <v>69.447000000000003</v>
      </c>
      <c r="F1065" s="17">
        <f>INT(MAX(D1065:D1070))</f>
        <v>32</v>
      </c>
      <c r="G1065" s="14">
        <f>INT((F1065/10)*2)</f>
        <v>6</v>
      </c>
      <c r="H1065" s="14">
        <f>F1065-G1065</f>
        <v>26</v>
      </c>
    </row>
    <row r="1066" spans="1:8" x14ac:dyDescent="0.3">
      <c r="A1066" s="15"/>
      <c r="B1066" s="15"/>
      <c r="C1066" s="3" t="s">
        <v>14</v>
      </c>
      <c r="D1066" s="7">
        <v>10.096</v>
      </c>
      <c r="E1066" s="15"/>
      <c r="F1066" s="15"/>
      <c r="G1066" s="15"/>
      <c r="H1066" s="15"/>
    </row>
    <row r="1067" spans="1:8" x14ac:dyDescent="0.3">
      <c r="A1067" s="15"/>
      <c r="B1067" s="15"/>
      <c r="C1067" s="8" t="s">
        <v>8</v>
      </c>
      <c r="D1067" s="2">
        <v>9.09</v>
      </c>
      <c r="E1067" s="15"/>
      <c r="F1067" s="15"/>
      <c r="G1067" s="15"/>
      <c r="H1067" s="15"/>
    </row>
    <row r="1068" spans="1:8" x14ac:dyDescent="0.3">
      <c r="A1068" s="15"/>
      <c r="B1068" s="15"/>
      <c r="C1068" s="3" t="s">
        <v>16</v>
      </c>
      <c r="D1068" s="2">
        <v>7.26</v>
      </c>
      <c r="E1068" s="15"/>
      <c r="F1068" s="15"/>
      <c r="G1068" s="15"/>
      <c r="H1068" s="15"/>
    </row>
    <row r="1069" spans="1:8" x14ac:dyDescent="0.3">
      <c r="A1069" s="15"/>
      <c r="B1069" s="15"/>
      <c r="C1069" s="3" t="s">
        <v>10</v>
      </c>
      <c r="D1069" s="7">
        <v>4.1509999999999998</v>
      </c>
      <c r="E1069" s="15"/>
      <c r="F1069" s="15"/>
      <c r="G1069" s="15"/>
      <c r="H1069" s="15"/>
    </row>
    <row r="1070" spans="1:8" x14ac:dyDescent="0.3">
      <c r="A1070" s="16"/>
      <c r="B1070" s="16"/>
      <c r="C1070" s="8" t="s">
        <v>8</v>
      </c>
      <c r="D1070" s="2">
        <v>32.64</v>
      </c>
      <c r="E1070" s="16"/>
      <c r="F1070" s="16"/>
      <c r="G1070" s="16"/>
      <c r="H1070" s="16"/>
    </row>
    <row r="1071" spans="1:8" x14ac:dyDescent="0.3">
      <c r="A1071" s="18">
        <v>179</v>
      </c>
      <c r="B1071" s="20">
        <v>44670</v>
      </c>
      <c r="C1071" s="3" t="s">
        <v>15</v>
      </c>
      <c r="D1071" s="2">
        <v>12.23</v>
      </c>
      <c r="E1071" s="19">
        <f>SUM(D1071:D1076)</f>
        <v>121.66900000000001</v>
      </c>
      <c r="F1071" s="17">
        <f>INT(MAX(D1071:D1076))</f>
        <v>35</v>
      </c>
      <c r="G1071" s="14">
        <f>INT((F1071/10)*2)</f>
        <v>7</v>
      </c>
      <c r="H1071" s="14">
        <f>F1071-G1071</f>
        <v>28</v>
      </c>
    </row>
    <row r="1072" spans="1:8" x14ac:dyDescent="0.3">
      <c r="A1072" s="15"/>
      <c r="B1072" s="15"/>
      <c r="C1072" s="3" t="s">
        <v>17</v>
      </c>
      <c r="D1072" s="2">
        <v>27.51</v>
      </c>
      <c r="E1072" s="15"/>
      <c r="F1072" s="15"/>
      <c r="G1072" s="15"/>
      <c r="H1072" s="15"/>
    </row>
    <row r="1073" spans="1:8" x14ac:dyDescent="0.3">
      <c r="A1073" s="15"/>
      <c r="B1073" s="15"/>
      <c r="C1073" s="3" t="s">
        <v>16</v>
      </c>
      <c r="D1073" s="7">
        <v>35.554000000000002</v>
      </c>
      <c r="E1073" s="15"/>
      <c r="F1073" s="15"/>
      <c r="G1073" s="15"/>
      <c r="H1073" s="15"/>
    </row>
    <row r="1074" spans="1:8" x14ac:dyDescent="0.3">
      <c r="A1074" s="15"/>
      <c r="B1074" s="15"/>
      <c r="C1074" s="8" t="s">
        <v>15</v>
      </c>
      <c r="D1074" s="2">
        <v>25.93</v>
      </c>
      <c r="E1074" s="15"/>
      <c r="F1074" s="15"/>
      <c r="G1074" s="15"/>
      <c r="H1074" s="15"/>
    </row>
    <row r="1075" spans="1:8" x14ac:dyDescent="0.3">
      <c r="A1075" s="15"/>
      <c r="B1075" s="15"/>
      <c r="C1075" s="3" t="s">
        <v>14</v>
      </c>
      <c r="D1075" s="2">
        <v>13.19</v>
      </c>
      <c r="E1075" s="15"/>
      <c r="F1075" s="15"/>
      <c r="G1075" s="15"/>
      <c r="H1075" s="15"/>
    </row>
    <row r="1076" spans="1:8" x14ac:dyDescent="0.3">
      <c r="A1076" s="16"/>
      <c r="B1076" s="16"/>
      <c r="C1076" s="3" t="s">
        <v>8</v>
      </c>
      <c r="D1076" s="7">
        <v>7.2549999999999999</v>
      </c>
      <c r="E1076" s="16"/>
      <c r="F1076" s="16"/>
      <c r="G1076" s="16"/>
      <c r="H1076" s="16"/>
    </row>
    <row r="1077" spans="1:8" x14ac:dyDescent="0.3">
      <c r="A1077" s="18">
        <v>180</v>
      </c>
      <c r="B1077" s="20">
        <v>44673</v>
      </c>
      <c r="C1077" s="8" t="s">
        <v>10</v>
      </c>
      <c r="D1077" s="2">
        <v>25.49</v>
      </c>
      <c r="E1077" s="19">
        <f>SUM(D1077:D1082)</f>
        <v>308.52499999999998</v>
      </c>
      <c r="F1077" s="17">
        <f>INT(MAX(D1077:D1082))</f>
        <v>81</v>
      </c>
      <c r="G1077" s="14">
        <f>INT((F1077/10)*2)</f>
        <v>16</v>
      </c>
      <c r="H1077" s="14">
        <f>F1077-G1077</f>
        <v>65</v>
      </c>
    </row>
    <row r="1078" spans="1:8" x14ac:dyDescent="0.3">
      <c r="A1078" s="15"/>
      <c r="B1078" s="15"/>
      <c r="C1078" s="3" t="s">
        <v>15</v>
      </c>
      <c r="D1078" s="2">
        <v>13.45</v>
      </c>
      <c r="E1078" s="15"/>
      <c r="F1078" s="15"/>
      <c r="G1078" s="15"/>
      <c r="H1078" s="15"/>
    </row>
    <row r="1079" spans="1:8" x14ac:dyDescent="0.3">
      <c r="A1079" s="15"/>
      <c r="B1079" s="15"/>
      <c r="C1079" s="3" t="s">
        <v>14</v>
      </c>
      <c r="D1079" s="7">
        <v>49.244999999999997</v>
      </c>
      <c r="E1079" s="15"/>
      <c r="F1079" s="15"/>
      <c r="G1079" s="15"/>
      <c r="H1079" s="15"/>
    </row>
    <row r="1080" spans="1:8" x14ac:dyDescent="0.3">
      <c r="A1080" s="15"/>
      <c r="B1080" s="15"/>
      <c r="C1080" s="8" t="s">
        <v>13</v>
      </c>
      <c r="D1080" s="2">
        <v>81.31</v>
      </c>
      <c r="E1080" s="15"/>
      <c r="F1080" s="15"/>
      <c r="G1080" s="15"/>
      <c r="H1080" s="15"/>
    </row>
    <row r="1081" spans="1:8" x14ac:dyDescent="0.3">
      <c r="A1081" s="15"/>
      <c r="B1081" s="15"/>
      <c r="C1081" s="3" t="s">
        <v>15</v>
      </c>
      <c r="D1081" s="2">
        <v>58.87</v>
      </c>
      <c r="E1081" s="15"/>
      <c r="F1081" s="15"/>
      <c r="G1081" s="15"/>
      <c r="H1081" s="15"/>
    </row>
    <row r="1082" spans="1:8" x14ac:dyDescent="0.3">
      <c r="A1082" s="16"/>
      <c r="B1082" s="16"/>
      <c r="C1082" s="3" t="s">
        <v>14</v>
      </c>
      <c r="D1082" s="2">
        <v>80.16</v>
      </c>
      <c r="E1082" s="16"/>
      <c r="F1082" s="16"/>
      <c r="G1082" s="16"/>
      <c r="H1082" s="16"/>
    </row>
    <row r="1083" spans="1:8" x14ac:dyDescent="0.3">
      <c r="A1083" s="18">
        <v>181</v>
      </c>
      <c r="B1083" s="20">
        <v>44677</v>
      </c>
      <c r="C1083" s="3" t="s">
        <v>9</v>
      </c>
      <c r="D1083" s="2">
        <v>24.79</v>
      </c>
      <c r="E1083" s="19">
        <f>SUM(D1083:D1088)</f>
        <v>211.30799999999999</v>
      </c>
      <c r="F1083" s="17">
        <f>INT(MAX(D1083:D1088))</f>
        <v>65</v>
      </c>
      <c r="G1083" s="14">
        <f>INT((F1083/10)*2)</f>
        <v>13</v>
      </c>
      <c r="H1083" s="14">
        <f>F1083-G1083</f>
        <v>52</v>
      </c>
    </row>
    <row r="1084" spans="1:8" x14ac:dyDescent="0.3">
      <c r="A1084" s="15"/>
      <c r="B1084" s="15"/>
      <c r="C1084" s="3" t="s">
        <v>17</v>
      </c>
      <c r="D1084" s="7">
        <v>18.638000000000002</v>
      </c>
      <c r="E1084" s="15"/>
      <c r="F1084" s="15"/>
      <c r="G1084" s="15"/>
      <c r="H1084" s="15"/>
    </row>
    <row r="1085" spans="1:8" x14ac:dyDescent="0.3">
      <c r="A1085" s="15"/>
      <c r="B1085" s="15"/>
      <c r="C1085" s="8" t="s">
        <v>10</v>
      </c>
      <c r="D1085" s="2">
        <v>13.49</v>
      </c>
      <c r="E1085" s="15"/>
      <c r="F1085" s="15"/>
      <c r="G1085" s="15"/>
      <c r="H1085" s="15"/>
    </row>
    <row r="1086" spans="1:8" x14ac:dyDescent="0.3">
      <c r="A1086" s="15"/>
      <c r="B1086" s="15"/>
      <c r="C1086" s="3" t="s">
        <v>18</v>
      </c>
      <c r="D1086" s="2">
        <v>65.91</v>
      </c>
      <c r="E1086" s="15"/>
      <c r="F1086" s="15"/>
      <c r="G1086" s="15"/>
      <c r="H1086" s="15"/>
    </row>
    <row r="1087" spans="1:8" x14ac:dyDescent="0.3">
      <c r="A1087" s="15"/>
      <c r="B1087" s="15"/>
      <c r="C1087" s="3" t="s">
        <v>12</v>
      </c>
      <c r="D1087" s="2">
        <v>52.35</v>
      </c>
      <c r="E1087" s="15"/>
      <c r="F1087" s="15"/>
      <c r="G1087" s="15"/>
      <c r="H1087" s="15"/>
    </row>
    <row r="1088" spans="1:8" x14ac:dyDescent="0.3">
      <c r="A1088" s="16"/>
      <c r="B1088" s="16"/>
      <c r="C1088" s="3" t="s">
        <v>16</v>
      </c>
      <c r="D1088" s="2">
        <v>36.130000000000003</v>
      </c>
      <c r="E1088" s="16"/>
      <c r="F1088" s="16"/>
      <c r="G1088" s="16"/>
      <c r="H1088" s="16"/>
    </row>
    <row r="1089" spans="1:8" x14ac:dyDescent="0.3">
      <c r="A1089" s="18">
        <v>182</v>
      </c>
      <c r="B1089" s="20">
        <v>44680</v>
      </c>
      <c r="C1089" s="3" t="s">
        <v>17</v>
      </c>
      <c r="D1089" s="2">
        <v>46.52</v>
      </c>
      <c r="E1089" s="19">
        <f>SUM(D1089:D1094)</f>
        <v>269.19499999999999</v>
      </c>
      <c r="F1089" s="17">
        <f>INT(MAX(D1089:D1094))</f>
        <v>126</v>
      </c>
      <c r="G1089" s="14">
        <f>INT((F1089/10)*2)</f>
        <v>25</v>
      </c>
      <c r="H1089" s="14">
        <f>F1089-G1089</f>
        <v>101</v>
      </c>
    </row>
    <row r="1090" spans="1:8" x14ac:dyDescent="0.3">
      <c r="A1090" s="15"/>
      <c r="B1090" s="15"/>
      <c r="C1090" s="3" t="s">
        <v>8</v>
      </c>
      <c r="D1090" s="7">
        <v>32.35</v>
      </c>
      <c r="E1090" s="15"/>
      <c r="F1090" s="15"/>
      <c r="G1090" s="15"/>
      <c r="H1090" s="15"/>
    </row>
    <row r="1091" spans="1:8" x14ac:dyDescent="0.3">
      <c r="A1091" s="15"/>
      <c r="B1091" s="15"/>
      <c r="C1091" s="8" t="s">
        <v>13</v>
      </c>
      <c r="D1091" s="2">
        <v>126.77</v>
      </c>
      <c r="E1091" s="15"/>
      <c r="F1091" s="15"/>
      <c r="G1091" s="15"/>
      <c r="H1091" s="15"/>
    </row>
    <row r="1092" spans="1:8" x14ac:dyDescent="0.3">
      <c r="A1092" s="15"/>
      <c r="B1092" s="15"/>
      <c r="C1092" s="3" t="s">
        <v>11</v>
      </c>
      <c r="D1092" s="2">
        <v>21.86</v>
      </c>
      <c r="E1092" s="15"/>
      <c r="F1092" s="15"/>
      <c r="G1092" s="15"/>
      <c r="H1092" s="15"/>
    </row>
    <row r="1093" spans="1:8" x14ac:dyDescent="0.3">
      <c r="A1093" s="15"/>
      <c r="B1093" s="15"/>
      <c r="C1093" s="3" t="s">
        <v>16</v>
      </c>
      <c r="D1093" s="2">
        <v>28.54</v>
      </c>
      <c r="E1093" s="15"/>
      <c r="F1093" s="15"/>
      <c r="G1093" s="15"/>
      <c r="H1093" s="15"/>
    </row>
    <row r="1094" spans="1:8" x14ac:dyDescent="0.3">
      <c r="A1094" s="16"/>
      <c r="B1094" s="16"/>
      <c r="C1094" s="3" t="s">
        <v>17</v>
      </c>
      <c r="D1094" s="7">
        <v>13.154999999999999</v>
      </c>
      <c r="E1094" s="16"/>
      <c r="F1094" s="16"/>
      <c r="G1094" s="16"/>
      <c r="H1094" s="16"/>
    </row>
    <row r="1095" spans="1:8" x14ac:dyDescent="0.3">
      <c r="A1095" s="18">
        <v>183</v>
      </c>
      <c r="B1095" s="20">
        <v>44684</v>
      </c>
      <c r="C1095" s="8" t="s">
        <v>17</v>
      </c>
      <c r="D1095" s="2">
        <v>13.02</v>
      </c>
      <c r="E1095" s="19">
        <f>SUM(D1095:D1100)</f>
        <v>92.021999999999991</v>
      </c>
      <c r="F1095" s="17">
        <f>INT(MAX(D1095:D1100))</f>
        <v>27</v>
      </c>
      <c r="G1095" s="14">
        <f>INT((F1095/10)*2)</f>
        <v>5</v>
      </c>
      <c r="H1095" s="14">
        <f>F1095-G1095</f>
        <v>22</v>
      </c>
    </row>
    <row r="1096" spans="1:8" x14ac:dyDescent="0.3">
      <c r="A1096" s="15"/>
      <c r="B1096" s="15"/>
      <c r="C1096" s="3" t="s">
        <v>10</v>
      </c>
      <c r="D1096" s="2">
        <v>18.09</v>
      </c>
      <c r="E1096" s="15"/>
      <c r="F1096" s="15"/>
      <c r="G1096" s="15"/>
      <c r="H1096" s="15"/>
    </row>
    <row r="1097" spans="1:8" x14ac:dyDescent="0.3">
      <c r="A1097" s="15"/>
      <c r="B1097" s="15"/>
      <c r="C1097" s="3" t="s">
        <v>16</v>
      </c>
      <c r="D1097" s="2">
        <v>4.7</v>
      </c>
      <c r="E1097" s="15"/>
      <c r="F1097" s="15"/>
      <c r="G1097" s="15"/>
      <c r="H1097" s="15"/>
    </row>
    <row r="1098" spans="1:8" x14ac:dyDescent="0.3">
      <c r="A1098" s="15"/>
      <c r="B1098" s="15"/>
      <c r="C1098" s="3" t="s">
        <v>8</v>
      </c>
      <c r="D1098" s="2">
        <v>27.82</v>
      </c>
      <c r="E1098" s="15"/>
      <c r="F1098" s="15"/>
      <c r="G1098" s="15"/>
      <c r="H1098" s="15"/>
    </row>
    <row r="1099" spans="1:8" x14ac:dyDescent="0.3">
      <c r="A1099" s="15"/>
      <c r="B1099" s="15"/>
      <c r="C1099" s="3" t="s">
        <v>15</v>
      </c>
      <c r="D1099" s="7">
        <v>19.262</v>
      </c>
      <c r="E1099" s="15"/>
      <c r="F1099" s="15"/>
      <c r="G1099" s="15"/>
      <c r="H1099" s="15"/>
    </row>
    <row r="1100" spans="1:8" x14ac:dyDescent="0.3">
      <c r="A1100" s="16"/>
      <c r="B1100" s="16"/>
      <c r="C1100" s="8" t="s">
        <v>9</v>
      </c>
      <c r="D1100" s="2">
        <v>9.1300000000000008</v>
      </c>
      <c r="E1100" s="16"/>
      <c r="F1100" s="16"/>
      <c r="G1100" s="16"/>
      <c r="H1100" s="16"/>
    </row>
    <row r="1101" spans="1:8" x14ac:dyDescent="0.3">
      <c r="A1101" s="18">
        <v>184</v>
      </c>
      <c r="B1101" s="20">
        <v>44687</v>
      </c>
      <c r="C1101" s="3" t="s">
        <v>12</v>
      </c>
      <c r="D1101" s="2">
        <v>41.36</v>
      </c>
      <c r="E1101" s="19">
        <f>SUM(D1101:D1106)</f>
        <v>136.73599999999999</v>
      </c>
      <c r="F1101" s="17">
        <f>INT(MAX(D1101:D1106))</f>
        <v>41</v>
      </c>
      <c r="G1101" s="14">
        <f>INT((F1101/10)*2)</f>
        <v>8</v>
      </c>
      <c r="H1101" s="14">
        <f>F1101-G1101</f>
        <v>33</v>
      </c>
    </row>
    <row r="1102" spans="1:8" x14ac:dyDescent="0.3">
      <c r="A1102" s="15"/>
      <c r="B1102" s="15"/>
      <c r="C1102" s="3" t="s">
        <v>11</v>
      </c>
      <c r="D1102" s="7">
        <v>39.585999999999999</v>
      </c>
      <c r="E1102" s="15"/>
      <c r="F1102" s="15"/>
      <c r="G1102" s="15"/>
      <c r="H1102" s="15"/>
    </row>
    <row r="1103" spans="1:8" x14ac:dyDescent="0.3">
      <c r="A1103" s="15"/>
      <c r="B1103" s="15"/>
      <c r="C1103" s="8" t="s">
        <v>11</v>
      </c>
      <c r="D1103" s="2">
        <v>16.73</v>
      </c>
      <c r="E1103" s="15"/>
      <c r="F1103" s="15"/>
      <c r="G1103" s="15"/>
      <c r="H1103" s="15"/>
    </row>
    <row r="1104" spans="1:8" x14ac:dyDescent="0.3">
      <c r="A1104" s="15"/>
      <c r="B1104" s="15"/>
      <c r="C1104" s="3" t="s">
        <v>16</v>
      </c>
      <c r="D1104" s="2">
        <v>16.39</v>
      </c>
      <c r="E1104" s="15"/>
      <c r="F1104" s="15"/>
      <c r="G1104" s="15"/>
      <c r="H1104" s="15"/>
    </row>
    <row r="1105" spans="1:8" x14ac:dyDescent="0.3">
      <c r="A1105" s="15"/>
      <c r="B1105" s="15"/>
      <c r="C1105" s="3" t="s">
        <v>15</v>
      </c>
      <c r="D1105" s="2">
        <v>10.11</v>
      </c>
      <c r="E1105" s="15"/>
      <c r="F1105" s="15"/>
      <c r="G1105" s="15"/>
      <c r="H1105" s="15"/>
    </row>
    <row r="1106" spans="1:8" x14ac:dyDescent="0.3">
      <c r="A1106" s="16"/>
      <c r="B1106" s="16"/>
      <c r="C1106" s="3" t="s">
        <v>10</v>
      </c>
      <c r="D1106" s="2">
        <v>12.56</v>
      </c>
      <c r="E1106" s="16"/>
      <c r="F1106" s="16"/>
      <c r="G1106" s="16"/>
      <c r="H1106" s="16"/>
    </row>
    <row r="1107" spans="1:8" x14ac:dyDescent="0.3">
      <c r="A1107" s="18">
        <v>185</v>
      </c>
      <c r="B1107" s="20">
        <v>44691</v>
      </c>
      <c r="C1107" s="3" t="s">
        <v>13</v>
      </c>
      <c r="D1107" s="7">
        <v>69.736999999999995</v>
      </c>
      <c r="E1107" s="19">
        <f>SUM(D1107:D1112)</f>
        <v>380.65699999999998</v>
      </c>
      <c r="F1107" s="17">
        <f>INT(MAX(D1107:D1112))</f>
        <v>140</v>
      </c>
      <c r="G1107" s="14">
        <f>INT((F1107/10)*2)</f>
        <v>28</v>
      </c>
      <c r="H1107" s="14">
        <f>F1107-G1107</f>
        <v>112</v>
      </c>
    </row>
    <row r="1108" spans="1:8" x14ac:dyDescent="0.3">
      <c r="A1108" s="15"/>
      <c r="B1108" s="15"/>
      <c r="C1108" s="8" t="s">
        <v>15</v>
      </c>
      <c r="D1108" s="2">
        <v>21.06</v>
      </c>
      <c r="E1108" s="15"/>
      <c r="F1108" s="15"/>
      <c r="G1108" s="15"/>
      <c r="H1108" s="15"/>
    </row>
    <row r="1109" spans="1:8" x14ac:dyDescent="0.3">
      <c r="A1109" s="15"/>
      <c r="B1109" s="15"/>
      <c r="C1109" s="3" t="s">
        <v>10</v>
      </c>
      <c r="D1109" s="2">
        <v>49.86</v>
      </c>
      <c r="E1109" s="15"/>
      <c r="F1109" s="15"/>
      <c r="G1109" s="15"/>
      <c r="H1109" s="15"/>
    </row>
    <row r="1110" spans="1:8" x14ac:dyDescent="0.3">
      <c r="A1110" s="15"/>
      <c r="B1110" s="15"/>
      <c r="C1110" s="3" t="s">
        <v>8</v>
      </c>
      <c r="D1110" s="2">
        <v>60</v>
      </c>
      <c r="E1110" s="15"/>
      <c r="F1110" s="15"/>
      <c r="G1110" s="15"/>
      <c r="H1110" s="15"/>
    </row>
    <row r="1111" spans="1:8" x14ac:dyDescent="0.3">
      <c r="A1111" s="15"/>
      <c r="B1111" s="15"/>
      <c r="C1111" s="3" t="s">
        <v>17</v>
      </c>
      <c r="D1111" s="2">
        <v>140</v>
      </c>
      <c r="E1111" s="15"/>
      <c r="F1111" s="15"/>
      <c r="G1111" s="15"/>
      <c r="H1111" s="15"/>
    </row>
    <row r="1112" spans="1:8" x14ac:dyDescent="0.3">
      <c r="A1112" s="16"/>
      <c r="B1112" s="16"/>
      <c r="C1112" s="3" t="s">
        <v>13</v>
      </c>
      <c r="D1112" s="2">
        <v>40</v>
      </c>
      <c r="E1112" s="16"/>
      <c r="F1112" s="16"/>
      <c r="G1112" s="16"/>
      <c r="H1112" s="16"/>
    </row>
    <row r="1113" spans="1:8" x14ac:dyDescent="0.3">
      <c r="A1113" s="18">
        <v>186</v>
      </c>
      <c r="B1113" s="20">
        <v>44694</v>
      </c>
      <c r="C1113" s="3" t="s">
        <v>18</v>
      </c>
      <c r="D1113" s="7">
        <v>62.265999999999998</v>
      </c>
      <c r="E1113" s="19">
        <f>SUM(D1113:D1118)</f>
        <v>233.85600000000002</v>
      </c>
      <c r="F1113" s="17">
        <f>INT(MAX(D1113:D1118))</f>
        <v>62</v>
      </c>
      <c r="G1113" s="14">
        <f>INT((F1113/10)*2)</f>
        <v>12</v>
      </c>
      <c r="H1113" s="14">
        <f>F1113-G1113</f>
        <v>50</v>
      </c>
    </row>
    <row r="1114" spans="1:8" x14ac:dyDescent="0.3">
      <c r="A1114" s="15"/>
      <c r="B1114" s="15"/>
      <c r="C1114" s="8" t="s">
        <v>13</v>
      </c>
      <c r="D1114" s="2">
        <v>60.42</v>
      </c>
      <c r="E1114" s="15"/>
      <c r="F1114" s="15"/>
      <c r="G1114" s="15"/>
      <c r="H1114" s="15"/>
    </row>
    <row r="1115" spans="1:8" x14ac:dyDescent="0.3">
      <c r="A1115" s="15"/>
      <c r="B1115" s="15"/>
      <c r="C1115" s="3" t="s">
        <v>11</v>
      </c>
      <c r="D1115" s="2">
        <v>22.71</v>
      </c>
      <c r="E1115" s="15"/>
      <c r="F1115" s="15"/>
      <c r="G1115" s="15"/>
      <c r="H1115" s="15"/>
    </row>
    <row r="1116" spans="1:8" x14ac:dyDescent="0.3">
      <c r="A1116" s="15"/>
      <c r="B1116" s="15"/>
      <c r="C1116" s="3" t="s">
        <v>10</v>
      </c>
      <c r="D1116" s="2">
        <v>25.5</v>
      </c>
      <c r="E1116" s="15"/>
      <c r="F1116" s="15"/>
      <c r="G1116" s="15"/>
      <c r="H1116" s="15"/>
    </row>
    <row r="1117" spans="1:8" x14ac:dyDescent="0.3">
      <c r="A1117" s="15"/>
      <c r="B1117" s="15"/>
      <c r="C1117" s="3" t="s">
        <v>14</v>
      </c>
      <c r="D1117" s="2">
        <v>29.03</v>
      </c>
      <c r="E1117" s="15"/>
      <c r="F1117" s="15"/>
      <c r="G1117" s="15"/>
      <c r="H1117" s="15"/>
    </row>
    <row r="1118" spans="1:8" x14ac:dyDescent="0.3">
      <c r="A1118" s="16"/>
      <c r="B1118" s="16"/>
      <c r="C1118" s="3" t="s">
        <v>12</v>
      </c>
      <c r="D1118" s="2">
        <v>33.93</v>
      </c>
      <c r="E1118" s="16"/>
      <c r="F1118" s="16"/>
      <c r="G1118" s="16"/>
      <c r="H1118" s="16"/>
    </row>
    <row r="1119" spans="1:8" x14ac:dyDescent="0.3">
      <c r="A1119" s="18">
        <v>187</v>
      </c>
      <c r="B1119" s="20">
        <v>44698</v>
      </c>
      <c r="C1119" s="3" t="s">
        <v>17</v>
      </c>
      <c r="D1119" s="7">
        <v>10.843999999999999</v>
      </c>
      <c r="E1119" s="19">
        <f>SUM(D1119:D1124)</f>
        <v>55.261000000000003</v>
      </c>
      <c r="F1119" s="17">
        <f>INT(MAX(D1119:D1124))</f>
        <v>19</v>
      </c>
      <c r="G1119" s="14">
        <f>INT((F1119/10)*2)</f>
        <v>3</v>
      </c>
      <c r="H1119" s="14">
        <f>F1119-G1119</f>
        <v>16</v>
      </c>
    </row>
    <row r="1120" spans="1:8" x14ac:dyDescent="0.3">
      <c r="A1120" s="15"/>
      <c r="B1120" s="15"/>
      <c r="C1120" s="8" t="s">
        <v>15</v>
      </c>
      <c r="D1120" s="2">
        <v>4.8499999999999996</v>
      </c>
      <c r="E1120" s="15"/>
      <c r="F1120" s="15"/>
      <c r="G1120" s="15"/>
      <c r="H1120" s="15"/>
    </row>
    <row r="1121" spans="1:8" x14ac:dyDescent="0.3">
      <c r="A1121" s="15"/>
      <c r="B1121" s="15"/>
      <c r="C1121" s="3" t="s">
        <v>17</v>
      </c>
      <c r="D1121" s="2">
        <v>7.4</v>
      </c>
      <c r="E1121" s="15"/>
      <c r="F1121" s="15"/>
      <c r="G1121" s="15"/>
      <c r="H1121" s="15"/>
    </row>
    <row r="1122" spans="1:8" x14ac:dyDescent="0.3">
      <c r="A1122" s="15"/>
      <c r="B1122" s="15"/>
      <c r="C1122" s="3" t="s">
        <v>12</v>
      </c>
      <c r="D1122" s="2">
        <v>4.3499999999999996</v>
      </c>
      <c r="E1122" s="15"/>
      <c r="F1122" s="15"/>
      <c r="G1122" s="15"/>
      <c r="H1122" s="15"/>
    </row>
    <row r="1123" spans="1:8" x14ac:dyDescent="0.3">
      <c r="A1123" s="15"/>
      <c r="B1123" s="15"/>
      <c r="C1123" s="3" t="s">
        <v>18</v>
      </c>
      <c r="D1123" s="2">
        <v>8.75</v>
      </c>
      <c r="E1123" s="15"/>
      <c r="F1123" s="15"/>
      <c r="G1123" s="15"/>
      <c r="H1123" s="15"/>
    </row>
    <row r="1124" spans="1:8" x14ac:dyDescent="0.3">
      <c r="A1124" s="16"/>
      <c r="B1124" s="16"/>
      <c r="C1124" s="3" t="s">
        <v>8</v>
      </c>
      <c r="D1124" s="7">
        <v>19.067</v>
      </c>
      <c r="E1124" s="16"/>
      <c r="F1124" s="16"/>
      <c r="G1124" s="16"/>
      <c r="H1124" s="16"/>
    </row>
    <row r="1125" spans="1:8" x14ac:dyDescent="0.3">
      <c r="A1125" s="18">
        <v>188</v>
      </c>
      <c r="B1125" s="20">
        <v>44701</v>
      </c>
      <c r="C1125" s="8" t="s">
        <v>10</v>
      </c>
      <c r="D1125" s="2">
        <v>31.12</v>
      </c>
      <c r="E1125" s="19">
        <f>SUM(D1125:D1130)</f>
        <v>228.21900000000002</v>
      </c>
      <c r="F1125" s="17">
        <f>INT(MAX(D1125:D1130))</f>
        <v>76</v>
      </c>
      <c r="G1125" s="14">
        <f>INT((F1125/10)*2)</f>
        <v>15</v>
      </c>
      <c r="H1125" s="14">
        <f>F1125-G1125</f>
        <v>61</v>
      </c>
    </row>
    <row r="1126" spans="1:8" x14ac:dyDescent="0.3">
      <c r="A1126" s="15"/>
      <c r="B1126" s="15"/>
      <c r="C1126" s="3" t="s">
        <v>15</v>
      </c>
      <c r="D1126" s="2">
        <v>76.58</v>
      </c>
      <c r="E1126" s="15"/>
      <c r="F1126" s="15"/>
      <c r="G1126" s="15"/>
      <c r="H1126" s="15"/>
    </row>
    <row r="1127" spans="1:8" x14ac:dyDescent="0.3">
      <c r="A1127" s="15"/>
      <c r="B1127" s="15"/>
      <c r="C1127" s="3" t="s">
        <v>11</v>
      </c>
      <c r="D1127" s="2">
        <v>37.53</v>
      </c>
      <c r="E1127" s="15"/>
      <c r="F1127" s="15"/>
      <c r="G1127" s="15"/>
      <c r="H1127" s="15"/>
    </row>
    <row r="1128" spans="1:8" x14ac:dyDescent="0.3">
      <c r="A1128" s="15"/>
      <c r="B1128" s="15"/>
      <c r="C1128" s="3" t="s">
        <v>14</v>
      </c>
      <c r="D1128" s="2">
        <v>40.119999999999997</v>
      </c>
      <c r="E1128" s="15"/>
      <c r="F1128" s="15"/>
      <c r="G1128" s="15"/>
      <c r="H1128" s="15"/>
    </row>
    <row r="1129" spans="1:8" x14ac:dyDescent="0.3">
      <c r="A1129" s="15"/>
      <c r="B1129" s="15"/>
      <c r="C1129" s="3" t="s">
        <v>13</v>
      </c>
      <c r="D1129" s="2">
        <v>25.73</v>
      </c>
      <c r="E1129" s="15"/>
      <c r="F1129" s="15"/>
      <c r="G1129" s="15"/>
      <c r="H1129" s="15"/>
    </row>
    <row r="1130" spans="1:8" x14ac:dyDescent="0.3">
      <c r="A1130" s="16"/>
      <c r="B1130" s="16"/>
      <c r="C1130" s="3" t="s">
        <v>9</v>
      </c>
      <c r="D1130" s="7">
        <v>17.138999999999999</v>
      </c>
      <c r="E1130" s="16"/>
      <c r="F1130" s="16"/>
      <c r="G1130" s="16"/>
      <c r="H1130" s="16"/>
    </row>
    <row r="1131" spans="1:8" x14ac:dyDescent="0.3">
      <c r="A1131" s="18">
        <v>189</v>
      </c>
      <c r="B1131" s="20">
        <v>44705</v>
      </c>
      <c r="C1131" s="8" t="s">
        <v>8</v>
      </c>
      <c r="D1131" s="2">
        <v>17.059999999999999</v>
      </c>
      <c r="E1131" s="19">
        <f>SUM(D1131:D1136)</f>
        <v>138.54399999999998</v>
      </c>
      <c r="F1131" s="17">
        <f>INT(MAX(D1131:D1136))</f>
        <v>38</v>
      </c>
      <c r="G1131" s="14">
        <f>INT((F1131/10)*2)</f>
        <v>7</v>
      </c>
      <c r="H1131" s="14">
        <f>F1131-G1131</f>
        <v>31</v>
      </c>
    </row>
    <row r="1132" spans="1:8" x14ac:dyDescent="0.3">
      <c r="A1132" s="15"/>
      <c r="B1132" s="15"/>
      <c r="C1132" s="3" t="s">
        <v>14</v>
      </c>
      <c r="D1132" s="2">
        <v>8.9600000000000009</v>
      </c>
      <c r="E1132" s="15"/>
      <c r="F1132" s="15"/>
      <c r="G1132" s="15"/>
      <c r="H1132" s="15"/>
    </row>
    <row r="1133" spans="1:8" x14ac:dyDescent="0.3">
      <c r="A1133" s="15"/>
      <c r="B1133" s="15"/>
      <c r="C1133" s="3" t="s">
        <v>12</v>
      </c>
      <c r="D1133" s="2">
        <v>18.149999999999999</v>
      </c>
      <c r="E1133" s="15"/>
      <c r="F1133" s="15"/>
      <c r="G1133" s="15"/>
      <c r="H1133" s="15"/>
    </row>
    <row r="1134" spans="1:8" x14ac:dyDescent="0.3">
      <c r="A1134" s="15"/>
      <c r="B1134" s="15"/>
      <c r="C1134" s="3" t="s">
        <v>9</v>
      </c>
      <c r="D1134" s="7">
        <v>23.803999999999998</v>
      </c>
      <c r="E1134" s="15"/>
      <c r="F1134" s="15"/>
      <c r="G1134" s="15"/>
      <c r="H1134" s="15"/>
    </row>
    <row r="1135" spans="1:8" x14ac:dyDescent="0.3">
      <c r="A1135" s="15"/>
      <c r="B1135" s="15"/>
      <c r="C1135" s="8" t="s">
        <v>12</v>
      </c>
      <c r="D1135" s="2">
        <v>31.99</v>
      </c>
      <c r="E1135" s="15"/>
      <c r="F1135" s="15"/>
      <c r="G1135" s="15"/>
      <c r="H1135" s="15"/>
    </row>
    <row r="1136" spans="1:8" x14ac:dyDescent="0.3">
      <c r="A1136" s="16"/>
      <c r="B1136" s="16"/>
      <c r="C1136" s="3" t="s">
        <v>8</v>
      </c>
      <c r="D1136" s="2">
        <v>38.58</v>
      </c>
      <c r="E1136" s="16"/>
      <c r="F1136" s="16"/>
      <c r="G1136" s="16"/>
      <c r="H1136" s="16"/>
    </row>
    <row r="1137" spans="1:8" x14ac:dyDescent="0.3">
      <c r="A1137" s="18">
        <v>190</v>
      </c>
      <c r="B1137" s="20">
        <v>44708</v>
      </c>
      <c r="C1137" s="3" t="s">
        <v>9</v>
      </c>
      <c r="D1137" s="2">
        <v>16.61</v>
      </c>
      <c r="E1137" s="19">
        <f>SUM(D1137:D1142)</f>
        <v>212.59799999999998</v>
      </c>
      <c r="F1137" s="17">
        <f>INT(MAX(D1137:D1142))</f>
        <v>101</v>
      </c>
      <c r="G1137" s="14">
        <f>INT((F1137/10)*2)</f>
        <v>20</v>
      </c>
      <c r="H1137" s="14">
        <f>F1137-G1137</f>
        <v>81</v>
      </c>
    </row>
    <row r="1138" spans="1:8" x14ac:dyDescent="0.3">
      <c r="A1138" s="15"/>
      <c r="B1138" s="15"/>
      <c r="C1138" s="3" t="s">
        <v>16</v>
      </c>
      <c r="D1138" s="2">
        <v>24.42</v>
      </c>
      <c r="E1138" s="15"/>
      <c r="F1138" s="15"/>
      <c r="G1138" s="15"/>
      <c r="H1138" s="15"/>
    </row>
    <row r="1139" spans="1:8" x14ac:dyDescent="0.3">
      <c r="A1139" s="15"/>
      <c r="B1139" s="15"/>
      <c r="C1139" s="3" t="s">
        <v>10</v>
      </c>
      <c r="D1139" s="2">
        <v>101.07</v>
      </c>
      <c r="E1139" s="15"/>
      <c r="F1139" s="15"/>
      <c r="G1139" s="15"/>
      <c r="H1139" s="15"/>
    </row>
    <row r="1140" spans="1:8" x14ac:dyDescent="0.3">
      <c r="A1140" s="15"/>
      <c r="B1140" s="15"/>
      <c r="C1140" s="3" t="s">
        <v>11</v>
      </c>
      <c r="D1140" s="7">
        <v>11.548</v>
      </c>
      <c r="E1140" s="15"/>
      <c r="F1140" s="15"/>
      <c r="G1140" s="15"/>
      <c r="H1140" s="15"/>
    </row>
    <row r="1141" spans="1:8" x14ac:dyDescent="0.3">
      <c r="A1141" s="15"/>
      <c r="B1141" s="15"/>
      <c r="C1141" s="8" t="s">
        <v>18</v>
      </c>
      <c r="D1141" s="2">
        <v>26.47</v>
      </c>
      <c r="E1141" s="15"/>
      <c r="F1141" s="15"/>
      <c r="G1141" s="15"/>
      <c r="H1141" s="15"/>
    </row>
    <row r="1142" spans="1:8" x14ac:dyDescent="0.3">
      <c r="A1142" s="16"/>
      <c r="B1142" s="16"/>
      <c r="C1142" s="3" t="s">
        <v>17</v>
      </c>
      <c r="D1142" s="2">
        <v>32.479999999999997</v>
      </c>
      <c r="E1142" s="16"/>
      <c r="F1142" s="16"/>
      <c r="G1142" s="16"/>
      <c r="H1142" s="16"/>
    </row>
    <row r="1143" spans="1:8" x14ac:dyDescent="0.3">
      <c r="A1143" s="18">
        <v>191</v>
      </c>
      <c r="B1143" s="20">
        <v>44712</v>
      </c>
      <c r="C1143" s="3" t="s">
        <v>9</v>
      </c>
      <c r="D1143" s="7">
        <v>95.516999999999996</v>
      </c>
      <c r="E1143" s="19">
        <f>SUM(D1143:D1148)</f>
        <v>362.56700000000001</v>
      </c>
      <c r="F1143" s="17">
        <f>INT(MAX(D1143:D1148))</f>
        <v>95</v>
      </c>
      <c r="G1143" s="14">
        <f>INT((F1143/10)*2)</f>
        <v>19</v>
      </c>
      <c r="H1143" s="14">
        <f>F1143-G1143</f>
        <v>76</v>
      </c>
    </row>
    <row r="1144" spans="1:8" x14ac:dyDescent="0.3">
      <c r="A1144" s="15"/>
      <c r="B1144" s="15"/>
      <c r="C1144" s="8" t="s">
        <v>15</v>
      </c>
      <c r="D1144" s="2">
        <v>29.76</v>
      </c>
      <c r="E1144" s="15"/>
      <c r="F1144" s="15"/>
      <c r="G1144" s="15"/>
      <c r="H1144" s="15"/>
    </row>
    <row r="1145" spans="1:8" x14ac:dyDescent="0.3">
      <c r="A1145" s="15"/>
      <c r="B1145" s="15"/>
      <c r="C1145" s="3" t="s">
        <v>18</v>
      </c>
      <c r="D1145" s="2">
        <v>77.22</v>
      </c>
      <c r="E1145" s="15"/>
      <c r="F1145" s="15"/>
      <c r="G1145" s="15"/>
      <c r="H1145" s="15"/>
    </row>
    <row r="1146" spans="1:8" x14ac:dyDescent="0.3">
      <c r="A1146" s="15"/>
      <c r="B1146" s="15"/>
      <c r="C1146" s="3" t="s">
        <v>9</v>
      </c>
      <c r="D1146" s="2">
        <v>58.61</v>
      </c>
      <c r="E1146" s="15"/>
      <c r="F1146" s="15"/>
      <c r="G1146" s="15"/>
      <c r="H1146" s="15"/>
    </row>
    <row r="1147" spans="1:8" x14ac:dyDescent="0.3">
      <c r="A1147" s="15"/>
      <c r="B1147" s="15"/>
      <c r="C1147" s="3" t="s">
        <v>12</v>
      </c>
      <c r="D1147" s="2">
        <v>51.83</v>
      </c>
      <c r="E1147" s="15"/>
      <c r="F1147" s="15"/>
      <c r="G1147" s="15"/>
      <c r="H1147" s="15"/>
    </row>
    <row r="1148" spans="1:8" x14ac:dyDescent="0.3">
      <c r="A1148" s="16"/>
      <c r="B1148" s="16"/>
      <c r="C1148" s="3" t="s">
        <v>11</v>
      </c>
      <c r="D1148" s="2">
        <v>49.63</v>
      </c>
      <c r="E1148" s="16"/>
      <c r="F1148" s="16"/>
      <c r="G1148" s="16"/>
      <c r="H1148" s="16"/>
    </row>
    <row r="1149" spans="1:8" x14ac:dyDescent="0.3">
      <c r="A1149" s="18">
        <v>192</v>
      </c>
      <c r="B1149" s="20">
        <v>44715</v>
      </c>
      <c r="C1149" s="3" t="s">
        <v>10</v>
      </c>
      <c r="D1149" s="7">
        <v>10.404999999999999</v>
      </c>
      <c r="E1149" s="19">
        <f>SUM(D1149:D1154)</f>
        <v>76.515000000000001</v>
      </c>
      <c r="F1149" s="17">
        <f>INT(MAX(D1149:D1154))</f>
        <v>32</v>
      </c>
      <c r="G1149" s="14">
        <f>INT((F1149/10)*2)</f>
        <v>6</v>
      </c>
      <c r="H1149" s="14">
        <f>F1149-G1149</f>
        <v>26</v>
      </c>
    </row>
    <row r="1150" spans="1:8" x14ac:dyDescent="0.3">
      <c r="A1150" s="15"/>
      <c r="B1150" s="15"/>
      <c r="C1150" s="8" t="s">
        <v>17</v>
      </c>
      <c r="D1150" s="2">
        <v>8.44</v>
      </c>
      <c r="E1150" s="15"/>
      <c r="F1150" s="15"/>
      <c r="G1150" s="15"/>
      <c r="H1150" s="15"/>
    </row>
    <row r="1151" spans="1:8" x14ac:dyDescent="0.3">
      <c r="A1151" s="15"/>
      <c r="B1151" s="15"/>
      <c r="C1151" s="3" t="s">
        <v>10</v>
      </c>
      <c r="D1151" s="2">
        <v>32.86</v>
      </c>
      <c r="E1151" s="15"/>
      <c r="F1151" s="15"/>
      <c r="G1151" s="15"/>
      <c r="H1151" s="15"/>
    </row>
    <row r="1152" spans="1:8" x14ac:dyDescent="0.3">
      <c r="A1152" s="15"/>
      <c r="B1152" s="15"/>
      <c r="C1152" s="3" t="s">
        <v>13</v>
      </c>
      <c r="D1152" s="2">
        <v>5.48</v>
      </c>
      <c r="E1152" s="15"/>
      <c r="F1152" s="15"/>
      <c r="G1152" s="15"/>
      <c r="H1152" s="15"/>
    </row>
    <row r="1153" spans="1:8" x14ac:dyDescent="0.3">
      <c r="A1153" s="15"/>
      <c r="B1153" s="15"/>
      <c r="C1153" s="3" t="s">
        <v>12</v>
      </c>
      <c r="D1153" s="2">
        <v>4.3600000000000003</v>
      </c>
      <c r="E1153" s="15"/>
      <c r="F1153" s="15"/>
      <c r="G1153" s="15"/>
      <c r="H1153" s="15"/>
    </row>
    <row r="1154" spans="1:8" x14ac:dyDescent="0.3">
      <c r="A1154" s="16"/>
      <c r="B1154" s="16"/>
      <c r="C1154" s="3" t="s">
        <v>18</v>
      </c>
      <c r="D1154" s="2">
        <v>14.97</v>
      </c>
      <c r="E1154" s="16"/>
      <c r="F1154" s="16"/>
      <c r="G1154" s="16"/>
      <c r="H1154" s="16"/>
    </row>
    <row r="1155" spans="1:8" x14ac:dyDescent="0.3">
      <c r="A1155" s="18">
        <v>193</v>
      </c>
      <c r="B1155" s="20">
        <v>44719</v>
      </c>
      <c r="C1155" s="3" t="s">
        <v>14</v>
      </c>
      <c r="D1155" s="7">
        <v>78.936000000000007</v>
      </c>
      <c r="E1155" s="19">
        <f>SUM(D1155:D1160)</f>
        <v>155.99600000000001</v>
      </c>
      <c r="F1155" s="17">
        <f>INT(MAX(D1155:D1160))</f>
        <v>78</v>
      </c>
      <c r="G1155" s="14">
        <f>INT((F1155/10)*2)</f>
        <v>15</v>
      </c>
      <c r="H1155" s="14">
        <f>F1155-G1155</f>
        <v>63</v>
      </c>
    </row>
    <row r="1156" spans="1:8" x14ac:dyDescent="0.3">
      <c r="A1156" s="15"/>
      <c r="B1156" s="15"/>
      <c r="C1156" s="8" t="s">
        <v>11</v>
      </c>
      <c r="D1156" s="2">
        <v>26.77</v>
      </c>
      <c r="E1156" s="15"/>
      <c r="F1156" s="15"/>
      <c r="G1156" s="15"/>
      <c r="H1156" s="15"/>
    </row>
    <row r="1157" spans="1:8" x14ac:dyDescent="0.3">
      <c r="A1157" s="15"/>
      <c r="B1157" s="15"/>
      <c r="C1157" s="3" t="s">
        <v>8</v>
      </c>
      <c r="D1157" s="2">
        <v>16.82</v>
      </c>
      <c r="E1157" s="15"/>
      <c r="F1157" s="15"/>
      <c r="G1157" s="15"/>
      <c r="H1157" s="15"/>
    </row>
    <row r="1158" spans="1:8" x14ac:dyDescent="0.3">
      <c r="A1158" s="15"/>
      <c r="B1158" s="15"/>
      <c r="C1158" s="3" t="s">
        <v>17</v>
      </c>
      <c r="D1158" s="7">
        <v>5.43</v>
      </c>
      <c r="E1158" s="15"/>
      <c r="F1158" s="15"/>
      <c r="G1158" s="15"/>
      <c r="H1158" s="15"/>
    </row>
    <row r="1159" spans="1:8" x14ac:dyDescent="0.3">
      <c r="A1159" s="15"/>
      <c r="B1159" s="15"/>
      <c r="C1159" s="8" t="s">
        <v>16</v>
      </c>
      <c r="D1159" s="2">
        <v>12.66</v>
      </c>
      <c r="E1159" s="15"/>
      <c r="F1159" s="15"/>
      <c r="G1159" s="15"/>
      <c r="H1159" s="15"/>
    </row>
    <row r="1160" spans="1:8" x14ac:dyDescent="0.3">
      <c r="A1160" s="16"/>
      <c r="B1160" s="16"/>
      <c r="C1160" s="3" t="s">
        <v>14</v>
      </c>
      <c r="D1160" s="2">
        <v>15.38</v>
      </c>
      <c r="E1160" s="16"/>
      <c r="F1160" s="16"/>
      <c r="G1160" s="16"/>
      <c r="H1160" s="16"/>
    </row>
    <row r="1161" spans="1:8" x14ac:dyDescent="0.3">
      <c r="A1161" s="18">
        <v>194</v>
      </c>
      <c r="B1161" s="20">
        <v>44722</v>
      </c>
      <c r="C1161" s="3" t="s">
        <v>9</v>
      </c>
      <c r="D1161" s="7">
        <v>9.3770000000000007</v>
      </c>
      <c r="E1161" s="19">
        <f>SUM(D1161:D1166)</f>
        <v>147.61199999999999</v>
      </c>
      <c r="F1161" s="17">
        <f>INT(MAX(D1161:D1166))</f>
        <v>85</v>
      </c>
      <c r="G1161" s="14">
        <f>INT((F1161/10)*2)</f>
        <v>17</v>
      </c>
      <c r="H1161" s="14">
        <f>F1161-G1161</f>
        <v>68</v>
      </c>
    </row>
    <row r="1162" spans="1:8" x14ac:dyDescent="0.3">
      <c r="A1162" s="15"/>
      <c r="B1162" s="15"/>
      <c r="C1162" s="8" t="s">
        <v>10</v>
      </c>
      <c r="D1162" s="2">
        <v>9.09</v>
      </c>
      <c r="E1162" s="15"/>
      <c r="F1162" s="15"/>
      <c r="G1162" s="15"/>
      <c r="H1162" s="15"/>
    </row>
    <row r="1163" spans="1:8" x14ac:dyDescent="0.3">
      <c r="A1163" s="15"/>
      <c r="B1163" s="15"/>
      <c r="C1163" s="3" t="s">
        <v>17</v>
      </c>
      <c r="D1163" s="2">
        <v>13.17</v>
      </c>
      <c r="E1163" s="15"/>
      <c r="F1163" s="15"/>
      <c r="G1163" s="15"/>
      <c r="H1163" s="15"/>
    </row>
    <row r="1164" spans="1:8" x14ac:dyDescent="0.3">
      <c r="A1164" s="15"/>
      <c r="B1164" s="15"/>
      <c r="C1164" s="3" t="s">
        <v>12</v>
      </c>
      <c r="D1164" s="2">
        <v>13.32</v>
      </c>
      <c r="E1164" s="15"/>
      <c r="F1164" s="15"/>
      <c r="G1164" s="15"/>
      <c r="H1164" s="15"/>
    </row>
    <row r="1165" spans="1:8" x14ac:dyDescent="0.3">
      <c r="A1165" s="15"/>
      <c r="B1165" s="15"/>
      <c r="C1165" s="3" t="s">
        <v>16</v>
      </c>
      <c r="D1165" s="7">
        <v>85.674999999999997</v>
      </c>
      <c r="E1165" s="15"/>
      <c r="F1165" s="15"/>
      <c r="G1165" s="15"/>
      <c r="H1165" s="15"/>
    </row>
    <row r="1166" spans="1:8" x14ac:dyDescent="0.3">
      <c r="A1166" s="16"/>
      <c r="B1166" s="16"/>
      <c r="C1166" s="8" t="s">
        <v>11</v>
      </c>
      <c r="D1166" s="2">
        <v>16.98</v>
      </c>
      <c r="E1166" s="16"/>
      <c r="F1166" s="16"/>
      <c r="G1166" s="16"/>
      <c r="H1166" s="16"/>
    </row>
    <row r="1167" spans="1:8" x14ac:dyDescent="0.3">
      <c r="A1167" s="18">
        <v>195</v>
      </c>
      <c r="B1167" s="20">
        <v>44726</v>
      </c>
      <c r="C1167" s="3" t="s">
        <v>18</v>
      </c>
      <c r="D1167" s="2">
        <v>93.28</v>
      </c>
      <c r="E1167" s="19">
        <f>SUM(D1167:D1172)</f>
        <v>132.44500000000002</v>
      </c>
      <c r="F1167" s="17">
        <f>INT(MAX(D1167:D1172))</f>
        <v>93</v>
      </c>
      <c r="G1167" s="14">
        <f>INT((F1167/10)*2)</f>
        <v>18</v>
      </c>
      <c r="H1167" s="14">
        <f>F1167-G1167</f>
        <v>75</v>
      </c>
    </row>
    <row r="1168" spans="1:8" x14ac:dyDescent="0.3">
      <c r="A1168" s="15"/>
      <c r="B1168" s="15"/>
      <c r="C1168" s="3" t="s">
        <v>15</v>
      </c>
      <c r="D1168" s="7">
        <v>9.8209999999999997</v>
      </c>
      <c r="E1168" s="15"/>
      <c r="F1168" s="15"/>
      <c r="G1168" s="15"/>
      <c r="H1168" s="15"/>
    </row>
    <row r="1169" spans="1:8" x14ac:dyDescent="0.3">
      <c r="A1169" s="15"/>
      <c r="B1169" s="15"/>
      <c r="C1169" s="8" t="s">
        <v>15</v>
      </c>
      <c r="D1169" s="2">
        <v>10.15</v>
      </c>
      <c r="E1169" s="15"/>
      <c r="F1169" s="15"/>
      <c r="G1169" s="15"/>
      <c r="H1169" s="15"/>
    </row>
    <row r="1170" spans="1:8" x14ac:dyDescent="0.3">
      <c r="A1170" s="15"/>
      <c r="B1170" s="15"/>
      <c r="C1170" s="3" t="s">
        <v>16</v>
      </c>
      <c r="D1170" s="2">
        <v>6.79</v>
      </c>
      <c r="E1170" s="15"/>
      <c r="F1170" s="15"/>
      <c r="G1170" s="15"/>
      <c r="H1170" s="15"/>
    </row>
    <row r="1171" spans="1:8" x14ac:dyDescent="0.3">
      <c r="A1171" s="15"/>
      <c r="B1171" s="15"/>
      <c r="C1171" s="3" t="s">
        <v>12</v>
      </c>
      <c r="D1171" s="2">
        <v>7.33</v>
      </c>
      <c r="E1171" s="15"/>
      <c r="F1171" s="15"/>
      <c r="G1171" s="15"/>
      <c r="H1171" s="15"/>
    </row>
    <row r="1172" spans="1:8" x14ac:dyDescent="0.3">
      <c r="A1172" s="16"/>
      <c r="B1172" s="16"/>
      <c r="C1172" s="3" t="s">
        <v>8</v>
      </c>
      <c r="D1172" s="7">
        <v>5.0739999999999998</v>
      </c>
      <c r="E1172" s="16"/>
      <c r="F1172" s="16"/>
      <c r="G1172" s="16"/>
      <c r="H1172" s="16"/>
    </row>
    <row r="1173" spans="1:8" x14ac:dyDescent="0.3">
      <c r="A1173" s="18">
        <v>196</v>
      </c>
      <c r="B1173" s="20">
        <v>44729</v>
      </c>
      <c r="C1173" s="8" t="s">
        <v>17</v>
      </c>
      <c r="D1173" s="2">
        <v>5.55</v>
      </c>
      <c r="E1173" s="19">
        <f>SUM(D1173:D1178)</f>
        <v>106.46000000000001</v>
      </c>
      <c r="F1173" s="17">
        <f>INT(MAX(D1173:D1178))</f>
        <v>30</v>
      </c>
      <c r="G1173" s="14">
        <f>INT((F1173/10)*2)</f>
        <v>6</v>
      </c>
      <c r="H1173" s="14">
        <f>F1173-G1173</f>
        <v>24</v>
      </c>
    </row>
    <row r="1174" spans="1:8" x14ac:dyDescent="0.3">
      <c r="A1174" s="15"/>
      <c r="B1174" s="15"/>
      <c r="C1174" s="3" t="s">
        <v>12</v>
      </c>
      <c r="D1174" s="2">
        <v>24.48</v>
      </c>
      <c r="E1174" s="15"/>
      <c r="F1174" s="15"/>
      <c r="G1174" s="15"/>
      <c r="H1174" s="15"/>
    </row>
    <row r="1175" spans="1:8" x14ac:dyDescent="0.3">
      <c r="A1175" s="15"/>
      <c r="B1175" s="15"/>
      <c r="C1175" s="3" t="s">
        <v>15</v>
      </c>
      <c r="D1175" s="2">
        <v>14.72</v>
      </c>
      <c r="E1175" s="15"/>
      <c r="F1175" s="15"/>
      <c r="G1175" s="15"/>
      <c r="H1175" s="15"/>
    </row>
    <row r="1176" spans="1:8" x14ac:dyDescent="0.3">
      <c r="A1176" s="15"/>
      <c r="B1176" s="15"/>
      <c r="C1176" s="3" t="s">
        <v>14</v>
      </c>
      <c r="D1176" s="2">
        <v>26.93</v>
      </c>
      <c r="E1176" s="15"/>
      <c r="F1176" s="15"/>
      <c r="G1176" s="15"/>
      <c r="H1176" s="15"/>
    </row>
    <row r="1177" spans="1:8" x14ac:dyDescent="0.3">
      <c r="A1177" s="15"/>
      <c r="B1177" s="15"/>
      <c r="C1177" s="3" t="s">
        <v>13</v>
      </c>
      <c r="D1177" s="2">
        <v>4.1399999999999997</v>
      </c>
      <c r="E1177" s="15"/>
      <c r="F1177" s="15"/>
      <c r="G1177" s="15"/>
      <c r="H1177" s="15"/>
    </row>
    <row r="1178" spans="1:8" x14ac:dyDescent="0.3">
      <c r="A1178" s="16"/>
      <c r="B1178" s="16"/>
      <c r="C1178" s="3" t="s">
        <v>8</v>
      </c>
      <c r="D1178" s="7">
        <v>30.64</v>
      </c>
      <c r="E1178" s="16"/>
      <c r="F1178" s="16"/>
      <c r="G1178" s="16"/>
      <c r="H1178" s="16"/>
    </row>
    <row r="1179" spans="1:8" x14ac:dyDescent="0.3">
      <c r="A1179" s="18">
        <v>197</v>
      </c>
      <c r="B1179" s="20">
        <v>44733</v>
      </c>
      <c r="C1179" s="8" t="s">
        <v>9</v>
      </c>
      <c r="D1179" s="2">
        <v>33.880000000000003</v>
      </c>
      <c r="E1179" s="19">
        <f>SUM(D1179:D1184)</f>
        <v>176.56800000000004</v>
      </c>
      <c r="F1179" s="17">
        <f>INT(MAX(D1179:D1184))</f>
        <v>55</v>
      </c>
      <c r="G1179" s="14">
        <f>INT((F1179/10)*2)</f>
        <v>11</v>
      </c>
      <c r="H1179" s="14">
        <f>F1179-G1179</f>
        <v>44</v>
      </c>
    </row>
    <row r="1180" spans="1:8" x14ac:dyDescent="0.3">
      <c r="A1180" s="15"/>
      <c r="B1180" s="15"/>
      <c r="C1180" s="3" t="s">
        <v>16</v>
      </c>
      <c r="D1180" s="2">
        <v>9.64</v>
      </c>
      <c r="E1180" s="15"/>
      <c r="F1180" s="15"/>
      <c r="G1180" s="15"/>
      <c r="H1180" s="15"/>
    </row>
    <row r="1181" spans="1:8" x14ac:dyDescent="0.3">
      <c r="A1181" s="15"/>
      <c r="B1181" s="15"/>
      <c r="C1181" s="3" t="s">
        <v>10</v>
      </c>
      <c r="D1181" s="2">
        <v>16.91</v>
      </c>
      <c r="E1181" s="15"/>
      <c r="F1181" s="15"/>
      <c r="G1181" s="15"/>
      <c r="H1181" s="15"/>
    </row>
    <row r="1182" spans="1:8" x14ac:dyDescent="0.3">
      <c r="A1182" s="15"/>
      <c r="B1182" s="15"/>
      <c r="C1182" s="3" t="s">
        <v>17</v>
      </c>
      <c r="D1182" s="7">
        <v>55.857999999999997</v>
      </c>
      <c r="E1182" s="15"/>
      <c r="F1182" s="15"/>
      <c r="G1182" s="15"/>
      <c r="H1182" s="15"/>
    </row>
    <row r="1183" spans="1:8" x14ac:dyDescent="0.3">
      <c r="A1183" s="15"/>
      <c r="B1183" s="15"/>
      <c r="C1183" s="8" t="s">
        <v>11</v>
      </c>
      <c r="D1183" s="2">
        <v>27.92</v>
      </c>
      <c r="E1183" s="15"/>
      <c r="F1183" s="15"/>
      <c r="G1183" s="15"/>
      <c r="H1183" s="15"/>
    </row>
    <row r="1184" spans="1:8" x14ac:dyDescent="0.3">
      <c r="A1184" s="16"/>
      <c r="B1184" s="16"/>
      <c r="C1184" s="3" t="s">
        <v>17</v>
      </c>
      <c r="D1184" s="2">
        <v>32.36</v>
      </c>
      <c r="E1184" s="16"/>
      <c r="F1184" s="16"/>
      <c r="G1184" s="16"/>
      <c r="H1184" s="16"/>
    </row>
    <row r="1185" spans="1:8" x14ac:dyDescent="0.3">
      <c r="A1185" s="18">
        <v>198</v>
      </c>
      <c r="B1185" s="20">
        <v>44736</v>
      </c>
      <c r="C1185" s="3" t="s">
        <v>13</v>
      </c>
      <c r="D1185" s="2">
        <v>26.31</v>
      </c>
      <c r="E1185" s="19">
        <f>SUM(D1185:D1190)</f>
        <v>118.53700000000001</v>
      </c>
      <c r="F1185" s="17">
        <f>INT(MAX(D1185:D1190))</f>
        <v>43</v>
      </c>
      <c r="G1185" s="14">
        <f>INT((F1185/10)*2)</f>
        <v>8</v>
      </c>
      <c r="H1185" s="14">
        <f>F1185-G1185</f>
        <v>35</v>
      </c>
    </row>
    <row r="1186" spans="1:8" x14ac:dyDescent="0.3">
      <c r="A1186" s="15"/>
      <c r="B1186" s="15"/>
      <c r="C1186" s="3" t="s">
        <v>14</v>
      </c>
      <c r="D1186" s="2">
        <v>14.68</v>
      </c>
      <c r="E1186" s="15"/>
      <c r="F1186" s="15"/>
      <c r="G1186" s="15"/>
      <c r="H1186" s="15"/>
    </row>
    <row r="1187" spans="1:8" x14ac:dyDescent="0.3">
      <c r="A1187" s="15"/>
      <c r="B1187" s="15"/>
      <c r="C1187" s="3" t="s">
        <v>18</v>
      </c>
      <c r="D1187" s="2">
        <v>43.2</v>
      </c>
      <c r="E1187" s="15"/>
      <c r="F1187" s="15"/>
      <c r="G1187" s="15"/>
      <c r="H1187" s="15"/>
    </row>
    <row r="1188" spans="1:8" x14ac:dyDescent="0.3">
      <c r="A1188" s="15"/>
      <c r="B1188" s="15"/>
      <c r="C1188" s="3" t="s">
        <v>12</v>
      </c>
      <c r="D1188" s="7">
        <v>19.047000000000001</v>
      </c>
      <c r="E1188" s="15"/>
      <c r="F1188" s="15"/>
      <c r="G1188" s="15"/>
      <c r="H1188" s="15"/>
    </row>
    <row r="1189" spans="1:8" x14ac:dyDescent="0.3">
      <c r="A1189" s="15"/>
      <c r="B1189" s="15"/>
      <c r="C1189" s="8" t="s">
        <v>15</v>
      </c>
      <c r="D1189" s="2">
        <v>10.18</v>
      </c>
      <c r="E1189" s="15"/>
      <c r="F1189" s="15"/>
      <c r="G1189" s="15"/>
      <c r="H1189" s="15"/>
    </row>
    <row r="1190" spans="1:8" x14ac:dyDescent="0.3">
      <c r="A1190" s="16"/>
      <c r="B1190" s="16"/>
      <c r="C1190" s="3" t="s">
        <v>16</v>
      </c>
      <c r="D1190" s="2">
        <v>5.12</v>
      </c>
      <c r="E1190" s="16"/>
      <c r="F1190" s="16"/>
      <c r="G1190" s="16"/>
      <c r="H1190" s="16"/>
    </row>
    <row r="1191" spans="1:8" x14ac:dyDescent="0.3">
      <c r="A1191" s="18">
        <v>199</v>
      </c>
      <c r="B1191" s="20">
        <v>44740</v>
      </c>
      <c r="C1191" s="3" t="s">
        <v>8</v>
      </c>
      <c r="D1191" s="2">
        <v>17.940000000000001</v>
      </c>
      <c r="E1191" s="19">
        <f>SUM(D1191:D1196)</f>
        <v>54.744</v>
      </c>
      <c r="F1191" s="17">
        <f>INT(MAX(D1191:D1196))</f>
        <v>17</v>
      </c>
      <c r="G1191" s="14">
        <f>INT((F1191/10)*2)</f>
        <v>3</v>
      </c>
      <c r="H1191" s="14">
        <f>F1191-G1191</f>
        <v>14</v>
      </c>
    </row>
    <row r="1192" spans="1:8" x14ac:dyDescent="0.3">
      <c r="A1192" s="15"/>
      <c r="B1192" s="15"/>
      <c r="C1192" s="3" t="s">
        <v>14</v>
      </c>
      <c r="D1192" s="7">
        <v>9.7439999999999998</v>
      </c>
      <c r="E1192" s="15"/>
      <c r="F1192" s="15"/>
      <c r="G1192" s="15"/>
      <c r="H1192" s="15"/>
    </row>
    <row r="1193" spans="1:8" x14ac:dyDescent="0.3">
      <c r="A1193" s="15"/>
      <c r="B1193" s="15"/>
      <c r="C1193" s="8" t="s">
        <v>18</v>
      </c>
      <c r="D1193" s="2">
        <v>3.64</v>
      </c>
      <c r="E1193" s="15"/>
      <c r="F1193" s="15"/>
      <c r="G1193" s="15"/>
      <c r="H1193" s="15"/>
    </row>
    <row r="1194" spans="1:8" x14ac:dyDescent="0.3">
      <c r="A1194" s="15"/>
      <c r="B1194" s="15"/>
      <c r="C1194" s="3" t="s">
        <v>8</v>
      </c>
      <c r="D1194" s="2">
        <v>8.75</v>
      </c>
      <c r="E1194" s="15"/>
      <c r="F1194" s="15"/>
      <c r="G1194" s="15"/>
      <c r="H1194" s="15"/>
    </row>
    <row r="1195" spans="1:8" x14ac:dyDescent="0.3">
      <c r="A1195" s="15"/>
      <c r="B1195" s="15"/>
      <c r="C1195" s="3" t="s">
        <v>16</v>
      </c>
      <c r="D1195" s="2">
        <v>7.08</v>
      </c>
      <c r="E1195" s="15"/>
      <c r="F1195" s="15"/>
      <c r="G1195" s="15"/>
      <c r="H1195" s="15"/>
    </row>
    <row r="1196" spans="1:8" x14ac:dyDescent="0.3">
      <c r="A1196" s="16"/>
      <c r="B1196" s="16"/>
      <c r="C1196" s="3" t="s">
        <v>10</v>
      </c>
      <c r="D1196" s="2">
        <v>7.59</v>
      </c>
      <c r="E1196" s="16"/>
      <c r="F1196" s="16"/>
      <c r="G1196" s="16"/>
      <c r="H1196" s="16"/>
    </row>
    <row r="1197" spans="1:8" x14ac:dyDescent="0.3">
      <c r="A1197" s="18">
        <v>200</v>
      </c>
      <c r="B1197" s="20">
        <v>44743</v>
      </c>
      <c r="C1197" s="3" t="s">
        <v>14</v>
      </c>
      <c r="D1197" s="7">
        <v>9.56</v>
      </c>
      <c r="E1197" s="19">
        <f>SUM(D1197:D1202)</f>
        <v>78.537000000000006</v>
      </c>
      <c r="F1197" s="17">
        <f>INT(MAX(D1197:D1202))</f>
        <v>22</v>
      </c>
      <c r="G1197" s="14">
        <f>INT((F1197/10)*2)</f>
        <v>4</v>
      </c>
      <c r="H1197" s="14">
        <f>F1197-G1197</f>
        <v>18</v>
      </c>
    </row>
    <row r="1198" spans="1:8" x14ac:dyDescent="0.3">
      <c r="A1198" s="15"/>
      <c r="B1198" s="15"/>
      <c r="C1198" s="8" t="s">
        <v>8</v>
      </c>
      <c r="D1198" s="2">
        <v>3.68</v>
      </c>
      <c r="E1198" s="15"/>
      <c r="F1198" s="15"/>
      <c r="G1198" s="15"/>
      <c r="H1198" s="15"/>
    </row>
    <row r="1199" spans="1:8" x14ac:dyDescent="0.3">
      <c r="A1199" s="15"/>
      <c r="B1199" s="15"/>
      <c r="C1199" s="3" t="s">
        <v>10</v>
      </c>
      <c r="D1199" s="2">
        <v>13.61</v>
      </c>
      <c r="E1199" s="15"/>
      <c r="F1199" s="15"/>
      <c r="G1199" s="15"/>
      <c r="H1199" s="15"/>
    </row>
    <row r="1200" spans="1:8" x14ac:dyDescent="0.3">
      <c r="A1200" s="15"/>
      <c r="B1200" s="15"/>
      <c r="C1200" s="3" t="s">
        <v>15</v>
      </c>
      <c r="D1200" s="2">
        <v>17.32</v>
      </c>
      <c r="E1200" s="15"/>
      <c r="F1200" s="15"/>
      <c r="G1200" s="15"/>
      <c r="H1200" s="15"/>
    </row>
    <row r="1201" spans="1:8" x14ac:dyDescent="0.3">
      <c r="A1201" s="15"/>
      <c r="B1201" s="15"/>
      <c r="C1201" s="3" t="s">
        <v>11</v>
      </c>
      <c r="D1201" s="2">
        <v>11.63</v>
      </c>
      <c r="E1201" s="15"/>
      <c r="F1201" s="15"/>
      <c r="G1201" s="15"/>
      <c r="H1201" s="15"/>
    </row>
    <row r="1202" spans="1:8" x14ac:dyDescent="0.3">
      <c r="A1202" s="16"/>
      <c r="B1202" s="16"/>
      <c r="C1202" s="3" t="s">
        <v>17</v>
      </c>
      <c r="D1202" s="7">
        <v>22.736999999999998</v>
      </c>
      <c r="E1202" s="16"/>
      <c r="F1202" s="16"/>
      <c r="G1202" s="16"/>
      <c r="H1202" s="16"/>
    </row>
    <row r="1203" spans="1:8" x14ac:dyDescent="0.3">
      <c r="A1203" s="18">
        <v>201</v>
      </c>
      <c r="B1203" s="20">
        <v>44747</v>
      </c>
      <c r="C1203" s="8" t="s">
        <v>18</v>
      </c>
      <c r="D1203" s="2">
        <v>18.3</v>
      </c>
      <c r="E1203" s="19">
        <f>SUM(D1203:D1208)</f>
        <v>199.03800000000001</v>
      </c>
      <c r="F1203" s="17">
        <f>INT(MAX(D1203:D1208))</f>
        <v>52</v>
      </c>
      <c r="G1203" s="14">
        <f>INT((F1203/10)*2)</f>
        <v>10</v>
      </c>
      <c r="H1203" s="14">
        <f>F1203-G1203</f>
        <v>42</v>
      </c>
    </row>
    <row r="1204" spans="1:8" x14ac:dyDescent="0.3">
      <c r="A1204" s="15"/>
      <c r="B1204" s="15"/>
      <c r="C1204" s="3" t="s">
        <v>8</v>
      </c>
      <c r="D1204" s="2">
        <v>52.83</v>
      </c>
      <c r="E1204" s="15"/>
      <c r="F1204" s="15"/>
      <c r="G1204" s="15"/>
      <c r="H1204" s="15"/>
    </row>
    <row r="1205" spans="1:8" x14ac:dyDescent="0.3">
      <c r="A1205" s="15"/>
      <c r="B1205" s="15"/>
      <c r="C1205" s="3" t="s">
        <v>16</v>
      </c>
      <c r="D1205" s="2">
        <v>39.619999999999997</v>
      </c>
      <c r="E1205" s="15"/>
      <c r="F1205" s="15"/>
      <c r="G1205" s="15"/>
      <c r="H1205" s="15"/>
    </row>
    <row r="1206" spans="1:8" x14ac:dyDescent="0.3">
      <c r="A1206" s="15"/>
      <c r="B1206" s="15"/>
      <c r="C1206" s="3" t="s">
        <v>10</v>
      </c>
      <c r="D1206" s="7">
        <v>30.698</v>
      </c>
      <c r="E1206" s="15"/>
      <c r="F1206" s="15"/>
      <c r="G1206" s="15"/>
      <c r="H1206" s="15"/>
    </row>
    <row r="1207" spans="1:8" x14ac:dyDescent="0.3">
      <c r="A1207" s="15"/>
      <c r="B1207" s="15"/>
      <c r="C1207" s="8" t="s">
        <v>8</v>
      </c>
      <c r="D1207" s="2">
        <v>12.13</v>
      </c>
      <c r="E1207" s="15"/>
      <c r="F1207" s="15"/>
      <c r="G1207" s="15"/>
      <c r="H1207" s="15"/>
    </row>
    <row r="1208" spans="1:8" x14ac:dyDescent="0.3">
      <c r="A1208" s="16"/>
      <c r="B1208" s="16"/>
      <c r="C1208" s="3" t="s">
        <v>18</v>
      </c>
      <c r="D1208" s="2">
        <v>45.46</v>
      </c>
      <c r="E1208" s="16"/>
      <c r="F1208" s="16"/>
      <c r="G1208" s="16"/>
      <c r="H1208" s="16"/>
    </row>
    <row r="1209" spans="1:8" x14ac:dyDescent="0.3">
      <c r="A1209" s="18">
        <v>202</v>
      </c>
      <c r="B1209" s="20">
        <v>44750</v>
      </c>
      <c r="C1209" s="3" t="s">
        <v>11</v>
      </c>
      <c r="D1209" s="2">
        <v>34.479999999999997</v>
      </c>
      <c r="E1209" s="19">
        <f>SUM(D1209:D1214)</f>
        <v>451.029</v>
      </c>
      <c r="F1209" s="17">
        <f>INT(MAX(D1209:D1214))</f>
        <v>133</v>
      </c>
      <c r="G1209" s="14">
        <f>INT((F1209/10)*2)</f>
        <v>26</v>
      </c>
      <c r="H1209" s="14">
        <f>F1209-G1209</f>
        <v>107</v>
      </c>
    </row>
    <row r="1210" spans="1:8" x14ac:dyDescent="0.3">
      <c r="A1210" s="15"/>
      <c r="B1210" s="15"/>
      <c r="C1210" s="3" t="s">
        <v>17</v>
      </c>
      <c r="D1210" s="7">
        <v>13.359</v>
      </c>
      <c r="E1210" s="15"/>
      <c r="F1210" s="15"/>
      <c r="G1210" s="15"/>
      <c r="H1210" s="15"/>
    </row>
    <row r="1211" spans="1:8" x14ac:dyDescent="0.3">
      <c r="A1211" s="15"/>
      <c r="B1211" s="15"/>
      <c r="C1211" s="8" t="s">
        <v>10</v>
      </c>
      <c r="D1211" s="2">
        <v>133.66999999999999</v>
      </c>
      <c r="E1211" s="15"/>
      <c r="F1211" s="15"/>
      <c r="G1211" s="15"/>
      <c r="H1211" s="15"/>
    </row>
    <row r="1212" spans="1:8" x14ac:dyDescent="0.3">
      <c r="A1212" s="15"/>
      <c r="B1212" s="15"/>
      <c r="C1212" s="3" t="s">
        <v>13</v>
      </c>
      <c r="D1212" s="2">
        <v>60</v>
      </c>
      <c r="E1212" s="15"/>
      <c r="F1212" s="15"/>
      <c r="G1212" s="15"/>
      <c r="H1212" s="15"/>
    </row>
    <row r="1213" spans="1:8" x14ac:dyDescent="0.3">
      <c r="A1213" s="15"/>
      <c r="B1213" s="15"/>
      <c r="C1213" s="3" t="s">
        <v>17</v>
      </c>
      <c r="D1213" s="2">
        <v>132.96</v>
      </c>
      <c r="E1213" s="15"/>
      <c r="F1213" s="15"/>
      <c r="G1213" s="15"/>
      <c r="H1213" s="15"/>
    </row>
    <row r="1214" spans="1:8" x14ac:dyDescent="0.3">
      <c r="A1214" s="16"/>
      <c r="B1214" s="16"/>
      <c r="C1214" s="3" t="s">
        <v>11</v>
      </c>
      <c r="D1214" s="2">
        <v>76.56</v>
      </c>
      <c r="E1214" s="16"/>
      <c r="F1214" s="16"/>
      <c r="G1214" s="16"/>
      <c r="H1214" s="16"/>
    </row>
    <row r="1215" spans="1:8" x14ac:dyDescent="0.3">
      <c r="A1215" s="18">
        <v>203</v>
      </c>
      <c r="B1215" s="20">
        <v>44754</v>
      </c>
      <c r="C1215" s="3" t="s">
        <v>15</v>
      </c>
      <c r="D1215" s="7">
        <v>7.4169999999999998</v>
      </c>
      <c r="E1215" s="19">
        <f>SUM(D1215:D1220)</f>
        <v>72.727000000000004</v>
      </c>
      <c r="F1215" s="17">
        <f>INT(MAX(D1215:D1220))</f>
        <v>18</v>
      </c>
      <c r="G1215" s="14">
        <f>INT((F1215/10)*2)</f>
        <v>3</v>
      </c>
      <c r="H1215" s="14">
        <f>F1215-G1215</f>
        <v>15</v>
      </c>
    </row>
    <row r="1216" spans="1:8" x14ac:dyDescent="0.3">
      <c r="A1216" s="15"/>
      <c r="B1216" s="15"/>
      <c r="C1216" s="8" t="s">
        <v>8</v>
      </c>
      <c r="D1216" s="2">
        <v>12.75</v>
      </c>
      <c r="E1216" s="15"/>
      <c r="F1216" s="15"/>
      <c r="G1216" s="15"/>
      <c r="H1216" s="15"/>
    </row>
    <row r="1217" spans="1:8" x14ac:dyDescent="0.3">
      <c r="A1217" s="15"/>
      <c r="B1217" s="15"/>
      <c r="C1217" s="3" t="s">
        <v>17</v>
      </c>
      <c r="D1217" s="2">
        <v>18.82</v>
      </c>
      <c r="E1217" s="15"/>
      <c r="F1217" s="15"/>
      <c r="G1217" s="15"/>
      <c r="H1217" s="15"/>
    </row>
    <row r="1218" spans="1:8" x14ac:dyDescent="0.3">
      <c r="A1218" s="15"/>
      <c r="B1218" s="15"/>
      <c r="C1218" s="3" t="s">
        <v>11</v>
      </c>
      <c r="D1218" s="2">
        <v>8.15</v>
      </c>
      <c r="E1218" s="15"/>
      <c r="F1218" s="15"/>
      <c r="G1218" s="15"/>
      <c r="H1218" s="15"/>
    </row>
    <row r="1219" spans="1:8" x14ac:dyDescent="0.3">
      <c r="A1219" s="15"/>
      <c r="B1219" s="15"/>
      <c r="C1219" s="3" t="s">
        <v>15</v>
      </c>
      <c r="D1219" s="2">
        <v>8.3699999999999992</v>
      </c>
      <c r="E1219" s="15"/>
      <c r="F1219" s="15"/>
      <c r="G1219" s="15"/>
      <c r="H1219" s="15"/>
    </row>
    <row r="1220" spans="1:8" x14ac:dyDescent="0.3">
      <c r="A1220" s="16"/>
      <c r="B1220" s="16"/>
      <c r="C1220" s="3" t="s">
        <v>14</v>
      </c>
      <c r="D1220" s="2">
        <v>17.22</v>
      </c>
      <c r="E1220" s="16"/>
      <c r="F1220" s="16"/>
      <c r="G1220" s="16"/>
      <c r="H1220" s="16"/>
    </row>
    <row r="1221" spans="1:8" x14ac:dyDescent="0.3">
      <c r="A1221" s="18">
        <v>204</v>
      </c>
      <c r="B1221" s="20">
        <v>44757</v>
      </c>
      <c r="C1221" s="3" t="s">
        <v>13</v>
      </c>
      <c r="D1221" s="7">
        <v>10.222</v>
      </c>
      <c r="E1221" s="19">
        <f>SUM(D1221:D1226)</f>
        <v>92.701999999999998</v>
      </c>
      <c r="F1221" s="17">
        <f>INT(MAX(D1221:D1226))</f>
        <v>28</v>
      </c>
      <c r="G1221" s="14">
        <f>INT((F1221/10)*2)</f>
        <v>5</v>
      </c>
      <c r="H1221" s="14">
        <f>F1221-G1221</f>
        <v>23</v>
      </c>
    </row>
    <row r="1222" spans="1:8" x14ac:dyDescent="0.3">
      <c r="A1222" s="15"/>
      <c r="B1222" s="15"/>
      <c r="C1222" s="8" t="s">
        <v>17</v>
      </c>
      <c r="D1222" s="2">
        <v>5.18</v>
      </c>
      <c r="E1222" s="15"/>
      <c r="F1222" s="15"/>
      <c r="G1222" s="15"/>
      <c r="H1222" s="15"/>
    </row>
    <row r="1223" spans="1:8" x14ac:dyDescent="0.3">
      <c r="A1223" s="15"/>
      <c r="B1223" s="15"/>
      <c r="C1223" s="3" t="s">
        <v>10</v>
      </c>
      <c r="D1223" s="2">
        <v>7.93</v>
      </c>
      <c r="E1223" s="15"/>
      <c r="F1223" s="15"/>
      <c r="G1223" s="15"/>
      <c r="H1223" s="15"/>
    </row>
    <row r="1224" spans="1:8" x14ac:dyDescent="0.3">
      <c r="A1224" s="15"/>
      <c r="B1224" s="15"/>
      <c r="C1224" s="3" t="s">
        <v>8</v>
      </c>
      <c r="D1224" s="2">
        <v>27.32</v>
      </c>
      <c r="E1224" s="15"/>
      <c r="F1224" s="15"/>
      <c r="G1224" s="15"/>
      <c r="H1224" s="15"/>
    </row>
    <row r="1225" spans="1:8" x14ac:dyDescent="0.3">
      <c r="A1225" s="15"/>
      <c r="B1225" s="15"/>
      <c r="C1225" s="3" t="s">
        <v>15</v>
      </c>
      <c r="D1225" s="2">
        <v>13.13</v>
      </c>
      <c r="E1225" s="15"/>
      <c r="F1225" s="15"/>
      <c r="G1225" s="15"/>
      <c r="H1225" s="15"/>
    </row>
    <row r="1226" spans="1:8" x14ac:dyDescent="0.3">
      <c r="A1226" s="16"/>
      <c r="B1226" s="16"/>
      <c r="C1226" s="3" t="s">
        <v>14</v>
      </c>
      <c r="D1226" s="2">
        <v>28.92</v>
      </c>
      <c r="E1226" s="16"/>
      <c r="F1226" s="16"/>
      <c r="G1226" s="16"/>
      <c r="H1226" s="16"/>
    </row>
    <row r="1227" spans="1:8" x14ac:dyDescent="0.3">
      <c r="A1227" s="18">
        <v>205</v>
      </c>
      <c r="B1227" s="20">
        <v>44761</v>
      </c>
      <c r="C1227" s="3" t="s">
        <v>13</v>
      </c>
      <c r="D1227" s="7">
        <v>28.027999999999999</v>
      </c>
      <c r="E1227" s="19">
        <f>SUM(D1227:D1232)</f>
        <v>281.41800000000001</v>
      </c>
      <c r="F1227" s="17">
        <f>INT(MAX(D1227:D1232))</f>
        <v>97</v>
      </c>
      <c r="G1227" s="14">
        <f>INT((F1227/10)*2)</f>
        <v>19</v>
      </c>
      <c r="H1227" s="14">
        <f>F1227-G1227</f>
        <v>78</v>
      </c>
    </row>
    <row r="1228" spans="1:8" x14ac:dyDescent="0.3">
      <c r="A1228" s="15"/>
      <c r="B1228" s="15"/>
      <c r="C1228" s="8" t="s">
        <v>17</v>
      </c>
      <c r="D1228" s="2">
        <v>46.19</v>
      </c>
      <c r="E1228" s="15"/>
      <c r="F1228" s="15"/>
      <c r="G1228" s="15"/>
      <c r="H1228" s="15"/>
    </row>
    <row r="1229" spans="1:8" x14ac:dyDescent="0.3">
      <c r="A1229" s="15"/>
      <c r="B1229" s="15"/>
      <c r="C1229" s="3" t="s">
        <v>15</v>
      </c>
      <c r="D1229" s="2">
        <v>33.520000000000003</v>
      </c>
      <c r="E1229" s="15"/>
      <c r="F1229" s="15"/>
      <c r="G1229" s="15"/>
      <c r="H1229" s="15"/>
    </row>
    <row r="1230" spans="1:8" x14ac:dyDescent="0.3">
      <c r="A1230" s="15"/>
      <c r="B1230" s="15"/>
      <c r="C1230" s="3" t="s">
        <v>9</v>
      </c>
      <c r="D1230" s="2">
        <v>48.3</v>
      </c>
      <c r="E1230" s="15"/>
      <c r="F1230" s="15"/>
      <c r="G1230" s="15"/>
      <c r="H1230" s="15"/>
    </row>
    <row r="1231" spans="1:8" x14ac:dyDescent="0.3">
      <c r="A1231" s="15"/>
      <c r="B1231" s="15"/>
      <c r="C1231" s="3" t="s">
        <v>14</v>
      </c>
      <c r="D1231" s="2">
        <v>27.8</v>
      </c>
      <c r="E1231" s="15"/>
      <c r="F1231" s="15"/>
      <c r="G1231" s="15"/>
      <c r="H1231" s="15"/>
    </row>
    <row r="1232" spans="1:8" x14ac:dyDescent="0.3">
      <c r="A1232" s="16"/>
      <c r="B1232" s="16"/>
      <c r="C1232" s="3" t="s">
        <v>16</v>
      </c>
      <c r="D1232" s="2">
        <v>97.58</v>
      </c>
      <c r="E1232" s="16"/>
      <c r="F1232" s="16"/>
      <c r="G1232" s="16"/>
      <c r="H1232" s="16"/>
    </row>
    <row r="1233" spans="1:8" x14ac:dyDescent="0.3">
      <c r="A1233" s="18">
        <v>206</v>
      </c>
      <c r="B1233" s="20">
        <v>44764</v>
      </c>
      <c r="C1233" s="3" t="s">
        <v>13</v>
      </c>
      <c r="D1233" s="7">
        <v>22.074000000000002</v>
      </c>
      <c r="E1233" s="19">
        <f>SUM(D1233:D1238)</f>
        <v>130.93700000000001</v>
      </c>
      <c r="F1233" s="17">
        <f>INT(MAX(D1233:D1238))</f>
        <v>43</v>
      </c>
      <c r="G1233" s="14">
        <f>INT((F1233/10)*2)</f>
        <v>8</v>
      </c>
      <c r="H1233" s="14">
        <f>F1233-G1233</f>
        <v>35</v>
      </c>
    </row>
    <row r="1234" spans="1:8" x14ac:dyDescent="0.3">
      <c r="A1234" s="15"/>
      <c r="B1234" s="15"/>
      <c r="C1234" s="8" t="s">
        <v>9</v>
      </c>
      <c r="D1234" s="2">
        <v>9.34</v>
      </c>
      <c r="E1234" s="15"/>
      <c r="F1234" s="15"/>
      <c r="G1234" s="15"/>
      <c r="H1234" s="15"/>
    </row>
    <row r="1235" spans="1:8" x14ac:dyDescent="0.3">
      <c r="A1235" s="15"/>
      <c r="B1235" s="15"/>
      <c r="C1235" s="3" t="s">
        <v>8</v>
      </c>
      <c r="D1235" s="2">
        <v>15.05</v>
      </c>
      <c r="E1235" s="15"/>
      <c r="F1235" s="15"/>
      <c r="G1235" s="15"/>
      <c r="H1235" s="15"/>
    </row>
    <row r="1236" spans="1:8" x14ac:dyDescent="0.3">
      <c r="A1236" s="15"/>
      <c r="B1236" s="15"/>
      <c r="C1236" s="3" t="s">
        <v>17</v>
      </c>
      <c r="D1236" s="2">
        <v>43.87</v>
      </c>
      <c r="E1236" s="15"/>
      <c r="F1236" s="15"/>
      <c r="G1236" s="15"/>
      <c r="H1236" s="15"/>
    </row>
    <row r="1237" spans="1:8" x14ac:dyDescent="0.3">
      <c r="A1237" s="15"/>
      <c r="B1237" s="15"/>
      <c r="C1237" s="3" t="s">
        <v>11</v>
      </c>
      <c r="D1237" s="2">
        <v>11.52</v>
      </c>
      <c r="E1237" s="15"/>
      <c r="F1237" s="15"/>
      <c r="G1237" s="15"/>
      <c r="H1237" s="15"/>
    </row>
    <row r="1238" spans="1:8" x14ac:dyDescent="0.3">
      <c r="A1238" s="16"/>
      <c r="B1238" s="16"/>
      <c r="C1238" s="3" t="s">
        <v>12</v>
      </c>
      <c r="D1238" s="7">
        <v>29.082999999999998</v>
      </c>
      <c r="E1238" s="16"/>
      <c r="F1238" s="16"/>
      <c r="G1238" s="16"/>
      <c r="H1238" s="16"/>
    </row>
    <row r="1239" spans="1:8" x14ac:dyDescent="0.3">
      <c r="A1239" s="18">
        <v>207</v>
      </c>
      <c r="B1239" s="20">
        <v>44768</v>
      </c>
      <c r="C1239" s="8" t="s">
        <v>12</v>
      </c>
      <c r="D1239" s="2">
        <v>30.5</v>
      </c>
      <c r="E1239" s="19">
        <f>SUM(D1239:D1244)</f>
        <v>242.81700000000001</v>
      </c>
      <c r="F1239" s="17">
        <f>INT(MAX(D1239:D1244))</f>
        <v>56</v>
      </c>
      <c r="G1239" s="14">
        <f>INT((F1239/10)*2)</f>
        <v>11</v>
      </c>
      <c r="H1239" s="14">
        <f>F1239-G1239</f>
        <v>45</v>
      </c>
    </row>
    <row r="1240" spans="1:8" x14ac:dyDescent="0.3">
      <c r="A1240" s="15"/>
      <c r="B1240" s="15"/>
      <c r="C1240" s="3" t="s">
        <v>16</v>
      </c>
      <c r="D1240" s="2">
        <v>50.14</v>
      </c>
      <c r="E1240" s="15"/>
      <c r="F1240" s="15"/>
      <c r="G1240" s="15"/>
      <c r="H1240" s="15"/>
    </row>
    <row r="1241" spans="1:8" x14ac:dyDescent="0.3">
      <c r="A1241" s="15"/>
      <c r="B1241" s="15"/>
      <c r="C1241" s="3" t="s">
        <v>14</v>
      </c>
      <c r="D1241" s="2">
        <v>19.87</v>
      </c>
      <c r="E1241" s="15"/>
      <c r="F1241" s="15"/>
      <c r="G1241" s="15"/>
      <c r="H1241" s="15"/>
    </row>
    <row r="1242" spans="1:8" x14ac:dyDescent="0.3">
      <c r="A1242" s="15"/>
      <c r="B1242" s="15"/>
      <c r="C1242" s="3" t="s">
        <v>10</v>
      </c>
      <c r="D1242" s="7">
        <v>38.347000000000001</v>
      </c>
      <c r="E1242" s="15"/>
      <c r="F1242" s="15"/>
      <c r="G1242" s="15"/>
      <c r="H1242" s="15"/>
    </row>
    <row r="1243" spans="1:8" x14ac:dyDescent="0.3">
      <c r="A1243" s="15"/>
      <c r="B1243" s="15"/>
      <c r="C1243" s="8" t="s">
        <v>8</v>
      </c>
      <c r="D1243" s="2">
        <v>56.54</v>
      </c>
      <c r="E1243" s="15"/>
      <c r="F1243" s="15"/>
      <c r="G1243" s="15"/>
      <c r="H1243" s="15"/>
    </row>
    <row r="1244" spans="1:8" x14ac:dyDescent="0.3">
      <c r="A1244" s="16"/>
      <c r="B1244" s="16"/>
      <c r="C1244" s="3" t="s">
        <v>16</v>
      </c>
      <c r="D1244" s="2">
        <v>47.42</v>
      </c>
      <c r="E1244" s="16"/>
      <c r="F1244" s="16"/>
      <c r="G1244" s="16"/>
      <c r="H1244" s="16"/>
    </row>
    <row r="1245" spans="1:8" x14ac:dyDescent="0.3">
      <c r="A1245" s="18">
        <v>208</v>
      </c>
      <c r="B1245" s="20">
        <v>44771</v>
      </c>
      <c r="C1245" s="3" t="s">
        <v>13</v>
      </c>
      <c r="D1245" s="2">
        <v>64.77</v>
      </c>
      <c r="E1245" s="19">
        <f>SUM(D1245:D1250)</f>
        <v>206.7</v>
      </c>
      <c r="F1245" s="17">
        <f>INT(MAX(D1245:D1250))</f>
        <v>64</v>
      </c>
      <c r="G1245" s="14">
        <f>INT((F1245/10)*2)</f>
        <v>12</v>
      </c>
      <c r="H1245" s="14">
        <f>F1245-G1245</f>
        <v>52</v>
      </c>
    </row>
    <row r="1246" spans="1:8" x14ac:dyDescent="0.3">
      <c r="A1246" s="15"/>
      <c r="B1246" s="15"/>
      <c r="C1246" s="3" t="s">
        <v>14</v>
      </c>
      <c r="D1246" s="7">
        <v>22.19</v>
      </c>
      <c r="E1246" s="15"/>
      <c r="F1246" s="15"/>
      <c r="G1246" s="15"/>
      <c r="H1246" s="15"/>
    </row>
    <row r="1247" spans="1:8" x14ac:dyDescent="0.3">
      <c r="A1247" s="15"/>
      <c r="B1247" s="15"/>
      <c r="C1247" s="8" t="s">
        <v>9</v>
      </c>
      <c r="D1247" s="2">
        <v>38.25</v>
      </c>
      <c r="E1247" s="15"/>
      <c r="F1247" s="15"/>
      <c r="G1247" s="15"/>
      <c r="H1247" s="15"/>
    </row>
    <row r="1248" spans="1:8" x14ac:dyDescent="0.3">
      <c r="A1248" s="15"/>
      <c r="B1248" s="15"/>
      <c r="C1248" s="3" t="s">
        <v>14</v>
      </c>
      <c r="D1248" s="2">
        <v>19.48</v>
      </c>
      <c r="E1248" s="15"/>
      <c r="F1248" s="15"/>
      <c r="G1248" s="15"/>
      <c r="H1248" s="15"/>
    </row>
    <row r="1249" spans="1:8" x14ac:dyDescent="0.3">
      <c r="A1249" s="15"/>
      <c r="B1249" s="15"/>
      <c r="C1249" s="3" t="s">
        <v>17</v>
      </c>
      <c r="D1249" s="2">
        <v>15.7</v>
      </c>
      <c r="E1249" s="15"/>
      <c r="F1249" s="15"/>
      <c r="G1249" s="15"/>
      <c r="H1249" s="15"/>
    </row>
    <row r="1250" spans="1:8" x14ac:dyDescent="0.3">
      <c r="A1250" s="16"/>
      <c r="B1250" s="16"/>
      <c r="C1250" s="3" t="s">
        <v>18</v>
      </c>
      <c r="D1250" s="2">
        <v>46.31</v>
      </c>
      <c r="E1250" s="16"/>
      <c r="F1250" s="16"/>
      <c r="G1250" s="16"/>
      <c r="H1250" s="16"/>
    </row>
    <row r="1251" spans="1:8" x14ac:dyDescent="0.3">
      <c r="A1251" s="18">
        <v>209</v>
      </c>
      <c r="B1251" s="20">
        <v>44775</v>
      </c>
      <c r="C1251" s="3" t="s">
        <v>15</v>
      </c>
      <c r="D1251" s="7">
        <v>29.248999999999999</v>
      </c>
      <c r="E1251" s="19">
        <f>SUM(D1251:D1256)</f>
        <v>250.83199999999999</v>
      </c>
      <c r="F1251" s="17">
        <f>INT(MAX(D1251:D1256))</f>
        <v>87</v>
      </c>
      <c r="G1251" s="14">
        <f>INT((F1251/10)*2)</f>
        <v>17</v>
      </c>
      <c r="H1251" s="14">
        <f>F1251-G1251</f>
        <v>70</v>
      </c>
    </row>
    <row r="1252" spans="1:8" x14ac:dyDescent="0.3">
      <c r="A1252" s="15"/>
      <c r="B1252" s="15"/>
      <c r="C1252" s="8" t="s">
        <v>8</v>
      </c>
      <c r="D1252" s="2">
        <v>39.54</v>
      </c>
      <c r="E1252" s="15"/>
      <c r="F1252" s="15"/>
      <c r="G1252" s="15"/>
      <c r="H1252" s="15"/>
    </row>
    <row r="1253" spans="1:8" x14ac:dyDescent="0.3">
      <c r="A1253" s="15"/>
      <c r="B1253" s="15"/>
      <c r="C1253" s="3" t="s">
        <v>16</v>
      </c>
      <c r="D1253" s="2">
        <v>21.59</v>
      </c>
      <c r="E1253" s="15"/>
      <c r="F1253" s="15"/>
      <c r="G1253" s="15"/>
      <c r="H1253" s="15"/>
    </row>
    <row r="1254" spans="1:8" x14ac:dyDescent="0.3">
      <c r="A1254" s="15"/>
      <c r="B1254" s="15"/>
      <c r="C1254" s="3" t="s">
        <v>18</v>
      </c>
      <c r="D1254" s="7">
        <v>32.442999999999998</v>
      </c>
      <c r="E1254" s="15"/>
      <c r="F1254" s="15"/>
      <c r="G1254" s="15"/>
      <c r="H1254" s="15"/>
    </row>
    <row r="1255" spans="1:8" x14ac:dyDescent="0.3">
      <c r="A1255" s="15"/>
      <c r="B1255" s="15"/>
      <c r="C1255" s="8" t="s">
        <v>12</v>
      </c>
      <c r="D1255" s="2">
        <v>40.229999999999997</v>
      </c>
      <c r="E1255" s="15"/>
      <c r="F1255" s="15"/>
      <c r="G1255" s="15"/>
      <c r="H1255" s="15"/>
    </row>
    <row r="1256" spans="1:8" x14ac:dyDescent="0.3">
      <c r="A1256" s="16"/>
      <c r="B1256" s="16"/>
      <c r="C1256" s="3" t="s">
        <v>16</v>
      </c>
      <c r="D1256" s="2">
        <v>87.78</v>
      </c>
      <c r="E1256" s="16"/>
      <c r="F1256" s="16"/>
      <c r="G1256" s="16"/>
      <c r="H1256" s="16"/>
    </row>
    <row r="1257" spans="1:8" x14ac:dyDescent="0.3">
      <c r="A1257" s="18">
        <v>210</v>
      </c>
      <c r="B1257" s="20">
        <v>44778</v>
      </c>
      <c r="C1257" s="3" t="s">
        <v>13</v>
      </c>
      <c r="D1257" s="2">
        <v>78.41</v>
      </c>
      <c r="E1257" s="19">
        <f>SUM(D1257:D1262)</f>
        <v>266.56900000000002</v>
      </c>
      <c r="F1257" s="17">
        <f>INT(MAX(D1257:D1262))</f>
        <v>78</v>
      </c>
      <c r="G1257" s="14">
        <f>INT((F1257/10)*2)</f>
        <v>15</v>
      </c>
      <c r="H1257" s="14">
        <f>F1257-G1257</f>
        <v>63</v>
      </c>
    </row>
    <row r="1258" spans="1:8" x14ac:dyDescent="0.3">
      <c r="A1258" s="15"/>
      <c r="B1258" s="15"/>
      <c r="C1258" s="3" t="s">
        <v>15</v>
      </c>
      <c r="D1258" s="2">
        <v>33.46</v>
      </c>
      <c r="E1258" s="15"/>
      <c r="F1258" s="15"/>
      <c r="G1258" s="15"/>
      <c r="H1258" s="15"/>
    </row>
    <row r="1259" spans="1:8" x14ac:dyDescent="0.3">
      <c r="A1259" s="15"/>
      <c r="B1259" s="15"/>
      <c r="C1259" s="3" t="s">
        <v>8</v>
      </c>
      <c r="D1259" s="2">
        <v>41.45</v>
      </c>
      <c r="E1259" s="15"/>
      <c r="F1259" s="15"/>
      <c r="G1259" s="15"/>
      <c r="H1259" s="15"/>
    </row>
    <row r="1260" spans="1:8" x14ac:dyDescent="0.3">
      <c r="A1260" s="15"/>
      <c r="B1260" s="15"/>
      <c r="C1260" s="3" t="s">
        <v>9</v>
      </c>
      <c r="D1260" s="7">
        <v>42.378999999999998</v>
      </c>
      <c r="E1260" s="15"/>
      <c r="F1260" s="15"/>
      <c r="G1260" s="15"/>
      <c r="H1260" s="15"/>
    </row>
    <row r="1261" spans="1:8" x14ac:dyDescent="0.3">
      <c r="A1261" s="15"/>
      <c r="B1261" s="15"/>
      <c r="C1261" s="8" t="s">
        <v>16</v>
      </c>
      <c r="D1261" s="2">
        <v>38.270000000000003</v>
      </c>
      <c r="E1261" s="15"/>
      <c r="F1261" s="15"/>
      <c r="G1261" s="15"/>
      <c r="H1261" s="15"/>
    </row>
    <row r="1262" spans="1:8" x14ac:dyDescent="0.3">
      <c r="A1262" s="16"/>
      <c r="B1262" s="16"/>
      <c r="C1262" s="3" t="s">
        <v>14</v>
      </c>
      <c r="D1262" s="2">
        <v>32.6</v>
      </c>
      <c r="E1262" s="16"/>
      <c r="F1262" s="16"/>
      <c r="G1262" s="16"/>
      <c r="H1262" s="16"/>
    </row>
    <row r="1263" spans="1:8" x14ac:dyDescent="0.3">
      <c r="A1263" s="18">
        <v>211</v>
      </c>
      <c r="B1263" s="20">
        <v>44782</v>
      </c>
      <c r="C1263" s="3" t="s">
        <v>12</v>
      </c>
      <c r="D1263" s="2">
        <v>20.59</v>
      </c>
      <c r="E1263" s="19">
        <f>SUM(D1263:D1268)</f>
        <v>349.56500000000005</v>
      </c>
      <c r="F1263" s="17">
        <f>INT(MAX(D1263:D1268))</f>
        <v>173</v>
      </c>
      <c r="G1263" s="14">
        <f>INT((F1263/10)*2)</f>
        <v>34</v>
      </c>
      <c r="H1263" s="14">
        <f>F1263-G1263</f>
        <v>139</v>
      </c>
    </row>
    <row r="1264" spans="1:8" x14ac:dyDescent="0.3">
      <c r="A1264" s="15"/>
      <c r="B1264" s="15"/>
      <c r="C1264" s="3" t="s">
        <v>8</v>
      </c>
      <c r="D1264" s="2">
        <v>66.5</v>
      </c>
      <c r="E1264" s="15"/>
      <c r="F1264" s="15"/>
      <c r="G1264" s="15"/>
      <c r="H1264" s="15"/>
    </row>
    <row r="1265" spans="1:8" x14ac:dyDescent="0.3">
      <c r="A1265" s="15"/>
      <c r="B1265" s="15"/>
      <c r="C1265" s="3" t="s">
        <v>11</v>
      </c>
      <c r="D1265" s="2">
        <v>21.33</v>
      </c>
      <c r="E1265" s="15"/>
      <c r="F1265" s="15"/>
      <c r="G1265" s="15"/>
      <c r="H1265" s="15"/>
    </row>
    <row r="1266" spans="1:8" x14ac:dyDescent="0.3">
      <c r="A1266" s="15"/>
      <c r="B1266" s="15"/>
      <c r="C1266" s="3" t="s">
        <v>18</v>
      </c>
      <c r="D1266" s="7">
        <v>40.134999999999998</v>
      </c>
      <c r="E1266" s="15"/>
      <c r="F1266" s="15"/>
      <c r="G1266" s="15"/>
      <c r="H1266" s="15"/>
    </row>
    <row r="1267" spans="1:8" x14ac:dyDescent="0.3">
      <c r="A1267" s="15"/>
      <c r="B1267" s="15"/>
      <c r="C1267" s="8" t="s">
        <v>13</v>
      </c>
      <c r="D1267" s="2">
        <v>27.05</v>
      </c>
      <c r="E1267" s="15"/>
      <c r="F1267" s="15"/>
      <c r="G1267" s="15"/>
      <c r="H1267" s="15"/>
    </row>
    <row r="1268" spans="1:8" x14ac:dyDescent="0.3">
      <c r="A1268" s="16"/>
      <c r="B1268" s="16"/>
      <c r="C1268" s="3" t="s">
        <v>15</v>
      </c>
      <c r="D1268" s="2">
        <v>173.96</v>
      </c>
      <c r="E1268" s="16"/>
      <c r="F1268" s="16"/>
      <c r="G1268" s="16"/>
      <c r="H1268" s="16"/>
    </row>
    <row r="1269" spans="1:8" x14ac:dyDescent="0.3">
      <c r="A1269" s="18">
        <v>212</v>
      </c>
      <c r="B1269" s="20">
        <v>44785</v>
      </c>
      <c r="C1269" s="3" t="s">
        <v>11</v>
      </c>
      <c r="D1269" s="2">
        <v>32.57</v>
      </c>
      <c r="E1269" s="19">
        <f>SUM(D1269:D1274)</f>
        <v>246.661</v>
      </c>
      <c r="F1269" s="17">
        <f>INT(MAX(D1269:D1274))</f>
        <v>61</v>
      </c>
      <c r="G1269" s="14">
        <f>INT((F1269/10)*2)</f>
        <v>12</v>
      </c>
      <c r="H1269" s="14">
        <f>F1269-G1269</f>
        <v>49</v>
      </c>
    </row>
    <row r="1270" spans="1:8" x14ac:dyDescent="0.3">
      <c r="A1270" s="15"/>
      <c r="B1270" s="15"/>
      <c r="C1270" s="3" t="s">
        <v>9</v>
      </c>
      <c r="D1270" s="2">
        <v>55.18</v>
      </c>
      <c r="E1270" s="15"/>
      <c r="F1270" s="15"/>
      <c r="G1270" s="15"/>
      <c r="H1270" s="15"/>
    </row>
    <row r="1271" spans="1:8" x14ac:dyDescent="0.3">
      <c r="A1271" s="15"/>
      <c r="B1271" s="15"/>
      <c r="C1271" s="3" t="s">
        <v>14</v>
      </c>
      <c r="D1271" s="2">
        <v>19.62</v>
      </c>
      <c r="E1271" s="15"/>
      <c r="F1271" s="15"/>
      <c r="G1271" s="15"/>
      <c r="H1271" s="15"/>
    </row>
    <row r="1272" spans="1:8" x14ac:dyDescent="0.3">
      <c r="A1272" s="15"/>
      <c r="B1272" s="15"/>
      <c r="C1272" s="3" t="s">
        <v>17</v>
      </c>
      <c r="D1272" s="7">
        <v>20.971</v>
      </c>
      <c r="E1272" s="15"/>
      <c r="F1272" s="15"/>
      <c r="G1272" s="15"/>
      <c r="H1272" s="15"/>
    </row>
    <row r="1273" spans="1:8" x14ac:dyDescent="0.3">
      <c r="A1273" s="15"/>
      <c r="B1273" s="15"/>
      <c r="C1273" s="8" t="s">
        <v>8</v>
      </c>
      <c r="D1273" s="2">
        <v>56.76</v>
      </c>
      <c r="E1273" s="15"/>
      <c r="F1273" s="15"/>
      <c r="G1273" s="15"/>
      <c r="H1273" s="15"/>
    </row>
    <row r="1274" spans="1:8" x14ac:dyDescent="0.3">
      <c r="A1274" s="16"/>
      <c r="B1274" s="16"/>
      <c r="C1274" s="3" t="s">
        <v>15</v>
      </c>
      <c r="D1274" s="2">
        <v>61.56</v>
      </c>
      <c r="E1274" s="16"/>
      <c r="F1274" s="16"/>
      <c r="G1274" s="16"/>
      <c r="H1274" s="16"/>
    </row>
    <row r="1275" spans="1:8" x14ac:dyDescent="0.3">
      <c r="A1275" s="18">
        <v>213</v>
      </c>
      <c r="B1275" s="20">
        <v>44789</v>
      </c>
      <c r="C1275" s="3" t="s">
        <v>12</v>
      </c>
      <c r="D1275" s="2">
        <v>28.43</v>
      </c>
      <c r="E1275" s="19">
        <f>SUM(D1275:D1280)</f>
        <v>299.75099999999998</v>
      </c>
      <c r="F1275" s="17">
        <f>INT(MAX(D1275:D1280))</f>
        <v>81</v>
      </c>
      <c r="G1275" s="14">
        <f>INT((F1275/10)*2)</f>
        <v>16</v>
      </c>
      <c r="H1275" s="14">
        <f>F1275-G1275</f>
        <v>65</v>
      </c>
    </row>
    <row r="1276" spans="1:8" x14ac:dyDescent="0.3">
      <c r="A1276" s="15"/>
      <c r="B1276" s="15"/>
      <c r="C1276" s="3" t="s">
        <v>14</v>
      </c>
      <c r="D1276" s="2">
        <v>75.650000000000006</v>
      </c>
      <c r="E1276" s="15"/>
      <c r="F1276" s="15"/>
      <c r="G1276" s="15"/>
      <c r="H1276" s="15"/>
    </row>
    <row r="1277" spans="1:8" x14ac:dyDescent="0.3">
      <c r="A1277" s="15"/>
      <c r="B1277" s="15"/>
      <c r="C1277" s="3" t="s">
        <v>13</v>
      </c>
      <c r="D1277" s="7">
        <v>76.271000000000001</v>
      </c>
      <c r="E1277" s="15"/>
      <c r="F1277" s="15"/>
      <c r="G1277" s="15"/>
      <c r="H1277" s="15"/>
    </row>
    <row r="1278" spans="1:8" x14ac:dyDescent="0.3">
      <c r="A1278" s="15"/>
      <c r="B1278" s="15"/>
      <c r="C1278" s="8" t="s">
        <v>14</v>
      </c>
      <c r="D1278" s="2">
        <v>19.260000000000002</v>
      </c>
      <c r="E1278" s="15"/>
      <c r="F1278" s="15"/>
      <c r="G1278" s="15"/>
      <c r="H1278" s="15"/>
    </row>
    <row r="1279" spans="1:8" x14ac:dyDescent="0.3">
      <c r="A1279" s="15"/>
      <c r="B1279" s="15"/>
      <c r="C1279" s="3" t="s">
        <v>17</v>
      </c>
      <c r="D1279" s="2">
        <v>81.77</v>
      </c>
      <c r="E1279" s="15"/>
      <c r="F1279" s="15"/>
      <c r="G1279" s="15"/>
      <c r="H1279" s="15"/>
    </row>
    <row r="1280" spans="1:8" x14ac:dyDescent="0.3">
      <c r="A1280" s="16"/>
      <c r="B1280" s="16"/>
      <c r="C1280" s="3" t="s">
        <v>15</v>
      </c>
      <c r="D1280" s="2">
        <v>18.37</v>
      </c>
      <c r="E1280" s="16"/>
      <c r="F1280" s="16"/>
      <c r="G1280" s="16"/>
      <c r="H1280" s="16"/>
    </row>
    <row r="1281" spans="1:8" x14ac:dyDescent="0.3">
      <c r="A1281" s="18">
        <v>214</v>
      </c>
      <c r="B1281" s="20">
        <v>44792</v>
      </c>
      <c r="C1281" s="3" t="s">
        <v>10</v>
      </c>
      <c r="D1281" s="7">
        <v>15.388999999999999</v>
      </c>
      <c r="E1281" s="19">
        <f>SUM(D1281:D1286)</f>
        <v>73.698999999999998</v>
      </c>
      <c r="F1281" s="17">
        <f>INT(MAX(D1281:D1286))</f>
        <v>34</v>
      </c>
      <c r="G1281" s="14">
        <f>INT((F1281/10)*2)</f>
        <v>6</v>
      </c>
      <c r="H1281" s="14">
        <f>F1281-G1281</f>
        <v>28</v>
      </c>
    </row>
    <row r="1282" spans="1:8" x14ac:dyDescent="0.3">
      <c r="A1282" s="15"/>
      <c r="B1282" s="15"/>
      <c r="C1282" s="8" t="s">
        <v>9</v>
      </c>
      <c r="D1282" s="2">
        <v>34.700000000000003</v>
      </c>
      <c r="E1282" s="15"/>
      <c r="F1282" s="15"/>
      <c r="G1282" s="15"/>
      <c r="H1282" s="15"/>
    </row>
    <row r="1283" spans="1:8" x14ac:dyDescent="0.3">
      <c r="A1283" s="15"/>
      <c r="B1283" s="15"/>
      <c r="C1283" s="3" t="s">
        <v>13</v>
      </c>
      <c r="D1283" s="2">
        <v>6.72</v>
      </c>
      <c r="E1283" s="15"/>
      <c r="F1283" s="15"/>
      <c r="G1283" s="15"/>
      <c r="H1283" s="15"/>
    </row>
    <row r="1284" spans="1:8" x14ac:dyDescent="0.3">
      <c r="A1284" s="15"/>
      <c r="B1284" s="15"/>
      <c r="C1284" s="3" t="s">
        <v>8</v>
      </c>
      <c r="D1284" s="2">
        <v>5.78</v>
      </c>
      <c r="E1284" s="15"/>
      <c r="F1284" s="15"/>
      <c r="G1284" s="15"/>
      <c r="H1284" s="15"/>
    </row>
    <row r="1285" spans="1:8" x14ac:dyDescent="0.3">
      <c r="A1285" s="15"/>
      <c r="B1285" s="15"/>
      <c r="C1285" s="3" t="s">
        <v>16</v>
      </c>
      <c r="D1285" s="2">
        <v>4.78</v>
      </c>
      <c r="E1285" s="15"/>
      <c r="F1285" s="15"/>
      <c r="G1285" s="15"/>
      <c r="H1285" s="15"/>
    </row>
    <row r="1286" spans="1:8" x14ac:dyDescent="0.3">
      <c r="A1286" s="16"/>
      <c r="B1286" s="16"/>
      <c r="C1286" s="3" t="s">
        <v>17</v>
      </c>
      <c r="D1286" s="2">
        <v>6.33</v>
      </c>
      <c r="E1286" s="16"/>
      <c r="F1286" s="16"/>
      <c r="G1286" s="16"/>
      <c r="H1286" s="16"/>
    </row>
    <row r="1287" spans="1:8" x14ac:dyDescent="0.3">
      <c r="A1287" s="18">
        <v>215</v>
      </c>
      <c r="B1287" s="20">
        <v>44796</v>
      </c>
      <c r="C1287" s="3" t="s">
        <v>10</v>
      </c>
      <c r="D1287" s="7">
        <v>26.779</v>
      </c>
      <c r="E1287" s="19">
        <f>SUM(D1287:D1292)</f>
        <v>209.233</v>
      </c>
      <c r="F1287" s="17">
        <f>INT(MAX(D1287:D1292))</f>
        <v>62</v>
      </c>
      <c r="G1287" s="14">
        <f>INT((F1287/10)*2)</f>
        <v>12</v>
      </c>
      <c r="H1287" s="14">
        <f>F1287-G1287</f>
        <v>50</v>
      </c>
    </row>
    <row r="1288" spans="1:8" x14ac:dyDescent="0.3">
      <c r="A1288" s="15"/>
      <c r="B1288" s="15"/>
      <c r="C1288" s="8" t="s">
        <v>15</v>
      </c>
      <c r="D1288" s="2">
        <v>41.95</v>
      </c>
      <c r="E1288" s="15"/>
      <c r="F1288" s="15"/>
      <c r="G1288" s="15"/>
      <c r="H1288" s="15"/>
    </row>
    <row r="1289" spans="1:8" x14ac:dyDescent="0.3">
      <c r="A1289" s="15"/>
      <c r="B1289" s="15"/>
      <c r="C1289" s="3" t="s">
        <v>12</v>
      </c>
      <c r="D1289" s="2">
        <v>62.97</v>
      </c>
      <c r="E1289" s="15"/>
      <c r="F1289" s="15"/>
      <c r="G1289" s="15"/>
      <c r="H1289" s="15"/>
    </row>
    <row r="1290" spans="1:8" x14ac:dyDescent="0.3">
      <c r="A1290" s="15"/>
      <c r="B1290" s="15"/>
      <c r="C1290" s="3" t="s">
        <v>9</v>
      </c>
      <c r="D1290" s="2">
        <v>30.96</v>
      </c>
      <c r="E1290" s="15"/>
      <c r="F1290" s="15"/>
      <c r="G1290" s="15"/>
      <c r="H1290" s="15"/>
    </row>
    <row r="1291" spans="1:8" x14ac:dyDescent="0.3">
      <c r="A1291" s="15"/>
      <c r="B1291" s="15"/>
      <c r="C1291" s="3" t="s">
        <v>17</v>
      </c>
      <c r="D1291" s="2">
        <v>21.22</v>
      </c>
      <c r="E1291" s="15"/>
      <c r="F1291" s="15"/>
      <c r="G1291" s="15"/>
      <c r="H1291" s="15"/>
    </row>
    <row r="1292" spans="1:8" x14ac:dyDescent="0.3">
      <c r="A1292" s="16"/>
      <c r="B1292" s="16"/>
      <c r="C1292" s="3" t="s">
        <v>18</v>
      </c>
      <c r="D1292" s="7">
        <v>25.353999999999999</v>
      </c>
      <c r="E1292" s="16"/>
      <c r="F1292" s="16"/>
      <c r="G1292" s="16"/>
      <c r="H1292" s="16"/>
    </row>
    <row r="1293" spans="1:8" x14ac:dyDescent="0.3">
      <c r="A1293" s="18">
        <v>216</v>
      </c>
      <c r="B1293" s="20">
        <v>44799</v>
      </c>
      <c r="C1293" s="8" t="s">
        <v>15</v>
      </c>
      <c r="D1293" s="2">
        <v>9.66</v>
      </c>
      <c r="E1293" s="19">
        <f>SUM(D1293:D1298)</f>
        <v>75.723000000000013</v>
      </c>
      <c r="F1293" s="17">
        <f>INT(MAX(D1293:D1298))</f>
        <v>27</v>
      </c>
      <c r="G1293" s="14">
        <f>INT((F1293/10)*2)</f>
        <v>5</v>
      </c>
      <c r="H1293" s="14">
        <f>F1293-G1293</f>
        <v>22</v>
      </c>
    </row>
    <row r="1294" spans="1:8" x14ac:dyDescent="0.3">
      <c r="A1294" s="15"/>
      <c r="B1294" s="15"/>
      <c r="C1294" s="3" t="s">
        <v>8</v>
      </c>
      <c r="D1294" s="2">
        <v>27.23</v>
      </c>
      <c r="E1294" s="15"/>
      <c r="F1294" s="15"/>
      <c r="G1294" s="15"/>
      <c r="H1294" s="15"/>
    </row>
    <row r="1295" spans="1:8" x14ac:dyDescent="0.3">
      <c r="A1295" s="15"/>
      <c r="B1295" s="15"/>
      <c r="C1295" s="3" t="s">
        <v>9</v>
      </c>
      <c r="D1295" s="7">
        <v>9.9830000000000005</v>
      </c>
      <c r="E1295" s="15"/>
      <c r="F1295" s="15"/>
      <c r="G1295" s="15"/>
      <c r="H1295" s="15"/>
    </row>
    <row r="1296" spans="1:8" x14ac:dyDescent="0.3">
      <c r="A1296" s="15"/>
      <c r="B1296" s="15"/>
      <c r="C1296" s="8" t="s">
        <v>8</v>
      </c>
      <c r="D1296" s="2">
        <v>3.9</v>
      </c>
      <c r="E1296" s="15"/>
      <c r="F1296" s="15"/>
      <c r="G1296" s="15"/>
      <c r="H1296" s="15"/>
    </row>
    <row r="1297" spans="1:8" x14ac:dyDescent="0.3">
      <c r="A1297" s="15"/>
      <c r="B1297" s="15"/>
      <c r="C1297" s="3" t="s">
        <v>10</v>
      </c>
      <c r="D1297" s="2">
        <v>5.35</v>
      </c>
      <c r="E1297" s="15"/>
      <c r="F1297" s="15"/>
      <c r="G1297" s="15"/>
      <c r="H1297" s="15"/>
    </row>
    <row r="1298" spans="1:8" x14ac:dyDescent="0.3">
      <c r="A1298" s="16"/>
      <c r="B1298" s="16"/>
      <c r="C1298" s="3" t="s">
        <v>17</v>
      </c>
      <c r="D1298" s="2">
        <v>19.600000000000001</v>
      </c>
      <c r="E1298" s="16"/>
      <c r="F1298" s="16"/>
      <c r="G1298" s="16"/>
      <c r="H1298" s="16"/>
    </row>
    <row r="1299" spans="1:8" x14ac:dyDescent="0.3">
      <c r="A1299" s="18">
        <v>217</v>
      </c>
      <c r="B1299" s="20">
        <v>44803</v>
      </c>
      <c r="C1299" s="3" t="s">
        <v>9</v>
      </c>
      <c r="D1299" s="2">
        <v>18.79</v>
      </c>
      <c r="E1299" s="19">
        <f>SUM(D1299:D1304)</f>
        <v>118.938</v>
      </c>
      <c r="F1299" s="17">
        <f>INT(MAX(D1299:D1304))</f>
        <v>46</v>
      </c>
      <c r="G1299" s="14">
        <f>INT((F1299/10)*2)</f>
        <v>9</v>
      </c>
      <c r="H1299" s="14">
        <f>F1299-G1299</f>
        <v>37</v>
      </c>
    </row>
    <row r="1300" spans="1:8" x14ac:dyDescent="0.3">
      <c r="A1300" s="15"/>
      <c r="B1300" s="15"/>
      <c r="C1300" s="3" t="s">
        <v>13</v>
      </c>
      <c r="D1300" s="2">
        <v>9.8000000000000007</v>
      </c>
      <c r="E1300" s="15"/>
      <c r="F1300" s="15"/>
      <c r="G1300" s="15"/>
      <c r="H1300" s="15"/>
    </row>
    <row r="1301" spans="1:8" x14ac:dyDescent="0.3">
      <c r="A1301" s="15"/>
      <c r="B1301" s="15"/>
      <c r="C1301" s="3" t="s">
        <v>16</v>
      </c>
      <c r="D1301" s="7">
        <v>19.911000000000001</v>
      </c>
      <c r="E1301" s="15"/>
      <c r="F1301" s="15"/>
      <c r="G1301" s="15"/>
      <c r="H1301" s="15"/>
    </row>
    <row r="1302" spans="1:8" x14ac:dyDescent="0.3">
      <c r="A1302" s="15"/>
      <c r="B1302" s="15"/>
      <c r="C1302" s="8" t="s">
        <v>11</v>
      </c>
      <c r="D1302" s="2">
        <v>14.01</v>
      </c>
      <c r="E1302" s="15"/>
      <c r="F1302" s="15"/>
      <c r="G1302" s="15"/>
      <c r="H1302" s="15"/>
    </row>
    <row r="1303" spans="1:8" x14ac:dyDescent="0.3">
      <c r="A1303" s="15"/>
      <c r="B1303" s="15"/>
      <c r="C1303" s="3" t="s">
        <v>14</v>
      </c>
      <c r="D1303" s="2">
        <v>9.7100000000000009</v>
      </c>
      <c r="E1303" s="15"/>
      <c r="F1303" s="15"/>
      <c r="G1303" s="15"/>
      <c r="H1303" s="15"/>
    </row>
    <row r="1304" spans="1:8" x14ac:dyDescent="0.3">
      <c r="A1304" s="16"/>
      <c r="B1304" s="16"/>
      <c r="C1304" s="3" t="s">
        <v>10</v>
      </c>
      <c r="D1304" s="7">
        <v>46.716999999999999</v>
      </c>
      <c r="E1304" s="16"/>
      <c r="F1304" s="16"/>
      <c r="G1304" s="16"/>
      <c r="H1304" s="16"/>
    </row>
    <row r="1305" spans="1:8" x14ac:dyDescent="0.3">
      <c r="A1305" s="18">
        <v>218</v>
      </c>
      <c r="B1305" s="20">
        <v>44806</v>
      </c>
      <c r="C1305" s="8" t="s">
        <v>14</v>
      </c>
      <c r="D1305" s="2">
        <v>30.77</v>
      </c>
      <c r="E1305" s="19">
        <f>SUM(D1305:D1310)</f>
        <v>166.971</v>
      </c>
      <c r="F1305" s="17">
        <f>INT(MAX(D1305:D1310))</f>
        <v>42</v>
      </c>
      <c r="G1305" s="14">
        <f>INT((F1305/10)*2)</f>
        <v>8</v>
      </c>
      <c r="H1305" s="14">
        <f>F1305-G1305</f>
        <v>34</v>
      </c>
    </row>
    <row r="1306" spans="1:8" x14ac:dyDescent="0.3">
      <c r="A1306" s="15"/>
      <c r="B1306" s="15"/>
      <c r="C1306" s="3" t="s">
        <v>12</v>
      </c>
      <c r="D1306" s="2">
        <v>42.53</v>
      </c>
      <c r="E1306" s="15"/>
      <c r="F1306" s="15"/>
      <c r="G1306" s="15"/>
      <c r="H1306" s="15"/>
    </row>
    <row r="1307" spans="1:8" x14ac:dyDescent="0.3">
      <c r="A1307" s="15"/>
      <c r="B1307" s="15"/>
      <c r="C1307" s="3" t="s">
        <v>9</v>
      </c>
      <c r="D1307" s="7">
        <v>22.370999999999999</v>
      </c>
      <c r="E1307" s="15"/>
      <c r="F1307" s="15"/>
      <c r="G1307" s="15"/>
      <c r="H1307" s="15"/>
    </row>
    <row r="1308" spans="1:8" x14ac:dyDescent="0.3">
      <c r="A1308" s="15"/>
      <c r="B1308" s="15"/>
      <c r="C1308" s="8" t="s">
        <v>16</v>
      </c>
      <c r="D1308" s="2">
        <v>35.61</v>
      </c>
      <c r="E1308" s="15"/>
      <c r="F1308" s="15"/>
      <c r="G1308" s="15"/>
      <c r="H1308" s="15"/>
    </row>
    <row r="1309" spans="1:8" x14ac:dyDescent="0.3">
      <c r="A1309" s="15"/>
      <c r="B1309" s="15"/>
      <c r="C1309" s="3" t="s">
        <v>9</v>
      </c>
      <c r="D1309" s="2">
        <v>12.06</v>
      </c>
      <c r="E1309" s="15"/>
      <c r="F1309" s="15"/>
      <c r="G1309" s="15"/>
      <c r="H1309" s="15"/>
    </row>
    <row r="1310" spans="1:8" x14ac:dyDescent="0.3">
      <c r="A1310" s="16"/>
      <c r="B1310" s="16"/>
      <c r="C1310" s="3" t="s">
        <v>18</v>
      </c>
      <c r="D1310" s="7">
        <v>23.63</v>
      </c>
      <c r="E1310" s="16"/>
      <c r="F1310" s="16"/>
      <c r="G1310" s="16"/>
      <c r="H1310" s="16"/>
    </row>
    <row r="1311" spans="1:8" x14ac:dyDescent="0.3">
      <c r="A1311" s="18">
        <v>219</v>
      </c>
      <c r="B1311" s="20">
        <v>44810</v>
      </c>
      <c r="C1311" s="8" t="s">
        <v>8</v>
      </c>
      <c r="D1311" s="2">
        <v>16.190000000000001</v>
      </c>
      <c r="E1311" s="19">
        <f>SUM(D1311:D1316)</f>
        <v>111.834</v>
      </c>
      <c r="F1311" s="17">
        <f>INT(MAX(D1311:D1316))</f>
        <v>31</v>
      </c>
      <c r="G1311" s="14">
        <f>INT((F1311/10)*2)</f>
        <v>6</v>
      </c>
      <c r="H1311" s="14">
        <f>F1311-G1311</f>
        <v>25</v>
      </c>
    </row>
    <row r="1312" spans="1:8" x14ac:dyDescent="0.3">
      <c r="A1312" s="15"/>
      <c r="B1312" s="15"/>
      <c r="C1312" s="3" t="s">
        <v>12</v>
      </c>
      <c r="D1312" s="2">
        <v>31.1</v>
      </c>
      <c r="E1312" s="15"/>
      <c r="F1312" s="15"/>
      <c r="G1312" s="15"/>
      <c r="H1312" s="15"/>
    </row>
    <row r="1313" spans="1:8" x14ac:dyDescent="0.3">
      <c r="A1313" s="15"/>
      <c r="B1313" s="15"/>
      <c r="C1313" s="3" t="s">
        <v>10</v>
      </c>
      <c r="D1313" s="7">
        <v>10.734</v>
      </c>
      <c r="E1313" s="15"/>
      <c r="F1313" s="15"/>
      <c r="G1313" s="15"/>
      <c r="H1313" s="15"/>
    </row>
    <row r="1314" spans="1:8" x14ac:dyDescent="0.3">
      <c r="A1314" s="15"/>
      <c r="B1314" s="15"/>
      <c r="C1314" s="8" t="s">
        <v>10</v>
      </c>
      <c r="D1314" s="2">
        <v>16.739999999999998</v>
      </c>
      <c r="E1314" s="15"/>
      <c r="F1314" s="15"/>
      <c r="G1314" s="15"/>
      <c r="H1314" s="15"/>
    </row>
    <row r="1315" spans="1:8" x14ac:dyDescent="0.3">
      <c r="A1315" s="15"/>
      <c r="B1315" s="15"/>
      <c r="C1315" s="3" t="s">
        <v>17</v>
      </c>
      <c r="D1315" s="2">
        <v>12.44</v>
      </c>
      <c r="E1315" s="15"/>
      <c r="F1315" s="15"/>
      <c r="G1315" s="15"/>
      <c r="H1315" s="15"/>
    </row>
    <row r="1316" spans="1:8" x14ac:dyDescent="0.3">
      <c r="A1316" s="16"/>
      <c r="B1316" s="16"/>
      <c r="C1316" s="3" t="s">
        <v>15</v>
      </c>
      <c r="D1316" s="2">
        <v>24.63</v>
      </c>
      <c r="E1316" s="16"/>
      <c r="F1316" s="16"/>
      <c r="G1316" s="16"/>
      <c r="H1316" s="16"/>
    </row>
    <row r="1317" spans="1:8" x14ac:dyDescent="0.3">
      <c r="A1317" s="18">
        <v>220</v>
      </c>
      <c r="B1317" s="20">
        <v>44813</v>
      </c>
      <c r="C1317" s="3" t="s">
        <v>13</v>
      </c>
      <c r="D1317" s="7">
        <v>67.433999999999997</v>
      </c>
      <c r="E1317" s="19">
        <f>SUM(D1317:D1322)</f>
        <v>150.44399999999999</v>
      </c>
      <c r="F1317" s="17">
        <f>INT(MAX(D1317:D1322))</f>
        <v>67</v>
      </c>
      <c r="G1317" s="14">
        <f>INT((F1317/10)*2)</f>
        <v>13</v>
      </c>
      <c r="H1317" s="14">
        <f>F1317-G1317</f>
        <v>54</v>
      </c>
    </row>
    <row r="1318" spans="1:8" x14ac:dyDescent="0.3">
      <c r="A1318" s="15"/>
      <c r="B1318" s="15"/>
      <c r="C1318" s="8" t="s">
        <v>13</v>
      </c>
      <c r="D1318" s="2">
        <v>13.05</v>
      </c>
      <c r="E1318" s="15"/>
      <c r="F1318" s="15"/>
      <c r="G1318" s="15"/>
      <c r="H1318" s="15"/>
    </row>
    <row r="1319" spans="1:8" x14ac:dyDescent="0.3">
      <c r="A1319" s="15"/>
      <c r="B1319" s="15"/>
      <c r="C1319" s="3" t="s">
        <v>10</v>
      </c>
      <c r="D1319" s="2">
        <v>25.29</v>
      </c>
      <c r="E1319" s="15"/>
      <c r="F1319" s="15"/>
      <c r="G1319" s="15"/>
      <c r="H1319" s="15"/>
    </row>
    <row r="1320" spans="1:8" x14ac:dyDescent="0.3">
      <c r="A1320" s="15"/>
      <c r="B1320" s="15"/>
      <c r="C1320" s="3" t="s">
        <v>12</v>
      </c>
      <c r="D1320" s="2">
        <v>19.829999999999998</v>
      </c>
      <c r="E1320" s="15"/>
      <c r="F1320" s="15"/>
      <c r="G1320" s="15"/>
      <c r="H1320" s="15"/>
    </row>
    <row r="1321" spans="1:8" x14ac:dyDescent="0.3">
      <c r="A1321" s="15"/>
      <c r="B1321" s="15"/>
      <c r="C1321" s="3" t="s">
        <v>17</v>
      </c>
      <c r="D1321" s="2">
        <v>14.58</v>
      </c>
      <c r="E1321" s="15"/>
      <c r="F1321" s="15"/>
      <c r="G1321" s="15"/>
      <c r="H1321" s="15"/>
    </row>
    <row r="1322" spans="1:8" x14ac:dyDescent="0.3">
      <c r="A1322" s="16"/>
      <c r="B1322" s="16"/>
      <c r="C1322" s="3" t="s">
        <v>14</v>
      </c>
      <c r="D1322" s="2">
        <v>10.26</v>
      </c>
      <c r="E1322" s="16"/>
      <c r="F1322" s="16"/>
      <c r="G1322" s="16"/>
      <c r="H1322" s="16"/>
    </row>
    <row r="1323" spans="1:8" x14ac:dyDescent="0.3">
      <c r="A1323" s="18">
        <v>221</v>
      </c>
      <c r="B1323" s="20">
        <v>44817</v>
      </c>
      <c r="C1323" s="3" t="s">
        <v>16</v>
      </c>
      <c r="D1323" s="7">
        <v>60.268999999999998</v>
      </c>
      <c r="E1323" s="19">
        <f>SUM(D1323:D1328)</f>
        <v>199.90099999999998</v>
      </c>
      <c r="F1323" s="17">
        <f>INT(MAX(D1323:D1328))</f>
        <v>60</v>
      </c>
      <c r="G1323" s="14">
        <f>INT((F1323/10)*2)</f>
        <v>12</v>
      </c>
      <c r="H1323" s="14">
        <f>F1323-G1323</f>
        <v>48</v>
      </c>
    </row>
    <row r="1324" spans="1:8" x14ac:dyDescent="0.3">
      <c r="A1324" s="15"/>
      <c r="B1324" s="15"/>
      <c r="C1324" s="8" t="s">
        <v>15</v>
      </c>
      <c r="D1324" s="2">
        <v>43.57</v>
      </c>
      <c r="E1324" s="15"/>
      <c r="F1324" s="15"/>
      <c r="G1324" s="15"/>
      <c r="H1324" s="15"/>
    </row>
    <row r="1325" spans="1:8" x14ac:dyDescent="0.3">
      <c r="A1325" s="15"/>
      <c r="B1325" s="15"/>
      <c r="C1325" s="3" t="s">
        <v>9</v>
      </c>
      <c r="D1325" s="2">
        <v>30.07</v>
      </c>
      <c r="E1325" s="15"/>
      <c r="F1325" s="15"/>
      <c r="G1325" s="15"/>
      <c r="H1325" s="15"/>
    </row>
    <row r="1326" spans="1:8" x14ac:dyDescent="0.3">
      <c r="A1326" s="15"/>
      <c r="B1326" s="15"/>
      <c r="C1326" s="3" t="s">
        <v>10</v>
      </c>
      <c r="D1326" s="2">
        <v>51.9</v>
      </c>
      <c r="E1326" s="15"/>
      <c r="F1326" s="15"/>
      <c r="G1326" s="15"/>
      <c r="H1326" s="15"/>
    </row>
    <row r="1327" spans="1:8" x14ac:dyDescent="0.3">
      <c r="A1327" s="15"/>
      <c r="B1327" s="15"/>
      <c r="C1327" s="3" t="s">
        <v>16</v>
      </c>
      <c r="D1327" s="7">
        <v>8.9320000000000004</v>
      </c>
      <c r="E1327" s="15"/>
      <c r="F1327" s="15"/>
      <c r="G1327" s="15"/>
      <c r="H1327" s="15"/>
    </row>
    <row r="1328" spans="1:8" x14ac:dyDescent="0.3">
      <c r="A1328" s="16"/>
      <c r="B1328" s="16"/>
      <c r="C1328" s="8" t="s">
        <v>8</v>
      </c>
      <c r="D1328" s="2">
        <v>5.16</v>
      </c>
      <c r="E1328" s="16"/>
      <c r="F1328" s="16"/>
      <c r="G1328" s="16"/>
      <c r="H1328" s="16"/>
    </row>
    <row r="1329" spans="1:8" x14ac:dyDescent="0.3">
      <c r="A1329" s="18">
        <v>222</v>
      </c>
      <c r="B1329" s="20">
        <v>44820</v>
      </c>
      <c r="C1329" s="3" t="s">
        <v>16</v>
      </c>
      <c r="D1329" s="2">
        <v>13.69</v>
      </c>
      <c r="E1329" s="19">
        <f>SUM(D1329:D1334)</f>
        <v>155.93199999999999</v>
      </c>
      <c r="F1329" s="17">
        <f>INT(MAX(D1329:D1334))</f>
        <v>43</v>
      </c>
      <c r="G1329" s="14">
        <f>INT((F1329/10)*2)</f>
        <v>8</v>
      </c>
      <c r="H1329" s="14">
        <f>F1329-G1329</f>
        <v>35</v>
      </c>
    </row>
    <row r="1330" spans="1:8" x14ac:dyDescent="0.3">
      <c r="A1330" s="15"/>
      <c r="B1330" s="15"/>
      <c r="C1330" s="3" t="s">
        <v>9</v>
      </c>
      <c r="D1330" s="2">
        <v>21.33</v>
      </c>
      <c r="E1330" s="15"/>
      <c r="F1330" s="15"/>
      <c r="G1330" s="15"/>
      <c r="H1330" s="15"/>
    </row>
    <row r="1331" spans="1:8" x14ac:dyDescent="0.3">
      <c r="A1331" s="15"/>
      <c r="B1331" s="15"/>
      <c r="C1331" s="3" t="s">
        <v>13</v>
      </c>
      <c r="D1331" s="2">
        <v>19.68</v>
      </c>
      <c r="E1331" s="15"/>
      <c r="F1331" s="15"/>
      <c r="G1331" s="15"/>
      <c r="H1331" s="15"/>
    </row>
    <row r="1332" spans="1:8" x14ac:dyDescent="0.3">
      <c r="A1332" s="15"/>
      <c r="B1332" s="15"/>
      <c r="C1332" s="3" t="s">
        <v>15</v>
      </c>
      <c r="D1332" s="7">
        <v>29.981999999999999</v>
      </c>
      <c r="E1332" s="15"/>
      <c r="F1332" s="15"/>
      <c r="G1332" s="15"/>
      <c r="H1332" s="15"/>
    </row>
    <row r="1333" spans="1:8" x14ac:dyDescent="0.3">
      <c r="A1333" s="15"/>
      <c r="B1333" s="15"/>
      <c r="C1333" s="8" t="s">
        <v>14</v>
      </c>
      <c r="D1333" s="2">
        <v>43.06</v>
      </c>
      <c r="E1333" s="15"/>
      <c r="F1333" s="15"/>
      <c r="G1333" s="15"/>
      <c r="H1333" s="15"/>
    </row>
    <row r="1334" spans="1:8" x14ac:dyDescent="0.3">
      <c r="A1334" s="16"/>
      <c r="B1334" s="16"/>
      <c r="C1334" s="3" t="s">
        <v>15</v>
      </c>
      <c r="D1334" s="2">
        <v>28.19</v>
      </c>
      <c r="E1334" s="16"/>
      <c r="F1334" s="16"/>
      <c r="G1334" s="16"/>
      <c r="H1334" s="16"/>
    </row>
    <row r="1335" spans="1:8" x14ac:dyDescent="0.3">
      <c r="A1335" s="18">
        <v>223</v>
      </c>
      <c r="B1335" s="20">
        <v>44824</v>
      </c>
      <c r="C1335" s="3" t="s">
        <v>13</v>
      </c>
      <c r="D1335" s="2">
        <v>96.24</v>
      </c>
      <c r="E1335" s="19">
        <f>SUM(D1335:D1340)</f>
        <v>265.26400000000001</v>
      </c>
      <c r="F1335" s="17">
        <f>INT(MAX(D1335:D1340))</f>
        <v>96</v>
      </c>
      <c r="G1335" s="14">
        <f>INT((F1335/10)*2)</f>
        <v>19</v>
      </c>
      <c r="H1335" s="14">
        <f>F1335-G1335</f>
        <v>77</v>
      </c>
    </row>
    <row r="1336" spans="1:8" x14ac:dyDescent="0.3">
      <c r="A1336" s="15"/>
      <c r="B1336" s="15"/>
      <c r="C1336" s="3" t="s">
        <v>11</v>
      </c>
      <c r="D1336" s="7">
        <v>14.034000000000001</v>
      </c>
      <c r="E1336" s="15"/>
      <c r="F1336" s="15"/>
      <c r="G1336" s="15"/>
      <c r="H1336" s="15"/>
    </row>
    <row r="1337" spans="1:8" x14ac:dyDescent="0.3">
      <c r="A1337" s="15"/>
      <c r="B1337" s="15"/>
      <c r="C1337" s="8" t="s">
        <v>18</v>
      </c>
      <c r="D1337" s="2">
        <v>90.74</v>
      </c>
      <c r="E1337" s="15"/>
      <c r="F1337" s="15"/>
      <c r="G1337" s="15"/>
      <c r="H1337" s="15"/>
    </row>
    <row r="1338" spans="1:8" x14ac:dyDescent="0.3">
      <c r="A1338" s="15"/>
      <c r="B1338" s="15"/>
      <c r="C1338" s="3" t="s">
        <v>11</v>
      </c>
      <c r="D1338" s="2">
        <v>16.78</v>
      </c>
      <c r="E1338" s="15"/>
      <c r="F1338" s="15"/>
      <c r="G1338" s="15"/>
      <c r="H1338" s="15"/>
    </row>
    <row r="1339" spans="1:8" x14ac:dyDescent="0.3">
      <c r="A1339" s="15"/>
      <c r="B1339" s="15"/>
      <c r="C1339" s="3" t="s">
        <v>12</v>
      </c>
      <c r="D1339" s="2">
        <v>25</v>
      </c>
      <c r="E1339" s="15"/>
      <c r="F1339" s="15"/>
      <c r="G1339" s="15"/>
      <c r="H1339" s="15"/>
    </row>
    <row r="1340" spans="1:8" x14ac:dyDescent="0.3">
      <c r="A1340" s="16"/>
      <c r="B1340" s="16"/>
      <c r="C1340" s="3" t="s">
        <v>8</v>
      </c>
      <c r="D1340" s="2">
        <v>22.47</v>
      </c>
      <c r="E1340" s="16"/>
      <c r="F1340" s="16"/>
      <c r="G1340" s="16"/>
      <c r="H1340" s="16"/>
    </row>
    <row r="1341" spans="1:8" x14ac:dyDescent="0.3">
      <c r="A1341" s="18">
        <v>224</v>
      </c>
      <c r="B1341" s="20">
        <v>44827</v>
      </c>
      <c r="C1341" s="3" t="s">
        <v>10</v>
      </c>
      <c r="D1341" s="7">
        <v>62.475999999999999</v>
      </c>
      <c r="E1341" s="19">
        <f>SUM(D1341:D1346)</f>
        <v>320.01600000000002</v>
      </c>
      <c r="F1341" s="17">
        <f>INT(MAX(D1341:D1346))</f>
        <v>101</v>
      </c>
      <c r="G1341" s="14">
        <f>INT((F1341/10)*2)</f>
        <v>20</v>
      </c>
      <c r="H1341" s="14">
        <f>F1341-G1341</f>
        <v>81</v>
      </c>
    </row>
    <row r="1342" spans="1:8" x14ac:dyDescent="0.3">
      <c r="A1342" s="15"/>
      <c r="B1342" s="15"/>
      <c r="C1342" s="8" t="s">
        <v>13</v>
      </c>
      <c r="D1342" s="2">
        <v>58.35</v>
      </c>
      <c r="E1342" s="15"/>
      <c r="F1342" s="15"/>
      <c r="G1342" s="15"/>
      <c r="H1342" s="15"/>
    </row>
    <row r="1343" spans="1:8" x14ac:dyDescent="0.3">
      <c r="A1343" s="15"/>
      <c r="B1343" s="15"/>
      <c r="C1343" s="3" t="s">
        <v>12</v>
      </c>
      <c r="D1343" s="2">
        <v>29.84</v>
      </c>
      <c r="E1343" s="15"/>
      <c r="F1343" s="15"/>
      <c r="G1343" s="15"/>
      <c r="H1343" s="15"/>
    </row>
    <row r="1344" spans="1:8" x14ac:dyDescent="0.3">
      <c r="A1344" s="15"/>
      <c r="B1344" s="15"/>
      <c r="C1344" s="3" t="s">
        <v>10</v>
      </c>
      <c r="D1344" s="2">
        <v>101.48</v>
      </c>
      <c r="E1344" s="15"/>
      <c r="F1344" s="15"/>
      <c r="G1344" s="15"/>
      <c r="H1344" s="15"/>
    </row>
    <row r="1345" spans="1:8" x14ac:dyDescent="0.3">
      <c r="A1345" s="15"/>
      <c r="B1345" s="15"/>
      <c r="C1345" s="3" t="s">
        <v>11</v>
      </c>
      <c r="D1345" s="2">
        <v>51.73</v>
      </c>
      <c r="E1345" s="15"/>
      <c r="F1345" s="15"/>
      <c r="G1345" s="15"/>
      <c r="H1345" s="15"/>
    </row>
    <row r="1346" spans="1:8" x14ac:dyDescent="0.3">
      <c r="A1346" s="16"/>
      <c r="B1346" s="16"/>
      <c r="C1346" s="3" t="s">
        <v>9</v>
      </c>
      <c r="D1346" s="2">
        <v>16.14</v>
      </c>
      <c r="E1346" s="16"/>
      <c r="F1346" s="16"/>
      <c r="G1346" s="16"/>
      <c r="H1346" s="16"/>
    </row>
    <row r="1347" spans="1:8" x14ac:dyDescent="0.3">
      <c r="A1347" s="18">
        <v>225</v>
      </c>
      <c r="B1347" s="20">
        <v>44831</v>
      </c>
      <c r="C1347" s="3" t="s">
        <v>16</v>
      </c>
      <c r="D1347" s="7">
        <v>4.1689999999999996</v>
      </c>
      <c r="E1347" s="19">
        <f>SUM(D1347:D1352)</f>
        <v>159.96199999999999</v>
      </c>
      <c r="F1347" s="17">
        <f>INT(MAX(D1347:D1352))</f>
        <v>74</v>
      </c>
      <c r="G1347" s="14">
        <f>INT((F1347/10)*2)</f>
        <v>14</v>
      </c>
      <c r="H1347" s="14">
        <f>F1347-G1347</f>
        <v>60</v>
      </c>
    </row>
    <row r="1348" spans="1:8" x14ac:dyDescent="0.3">
      <c r="A1348" s="15"/>
      <c r="B1348" s="15"/>
      <c r="C1348" s="8" t="s">
        <v>10</v>
      </c>
      <c r="D1348" s="2">
        <v>8.43</v>
      </c>
      <c r="E1348" s="15"/>
      <c r="F1348" s="15"/>
      <c r="G1348" s="15"/>
      <c r="H1348" s="15"/>
    </row>
    <row r="1349" spans="1:8" x14ac:dyDescent="0.3">
      <c r="A1349" s="15"/>
      <c r="B1349" s="15"/>
      <c r="C1349" s="3" t="s">
        <v>14</v>
      </c>
      <c r="D1349" s="2">
        <v>17.68</v>
      </c>
      <c r="E1349" s="15"/>
      <c r="F1349" s="15"/>
      <c r="G1349" s="15"/>
      <c r="H1349" s="15"/>
    </row>
    <row r="1350" spans="1:8" x14ac:dyDescent="0.3">
      <c r="A1350" s="15"/>
      <c r="B1350" s="15"/>
      <c r="C1350" s="3" t="s">
        <v>15</v>
      </c>
      <c r="D1350" s="2">
        <v>2.83</v>
      </c>
      <c r="E1350" s="15"/>
      <c r="F1350" s="15"/>
      <c r="G1350" s="15"/>
      <c r="H1350" s="15"/>
    </row>
    <row r="1351" spans="1:8" x14ac:dyDescent="0.3">
      <c r="A1351" s="15"/>
      <c r="B1351" s="15"/>
      <c r="C1351" s="3" t="s">
        <v>18</v>
      </c>
      <c r="D1351" s="7">
        <v>74.123000000000005</v>
      </c>
      <c r="E1351" s="15"/>
      <c r="F1351" s="15"/>
      <c r="G1351" s="15"/>
      <c r="H1351" s="15"/>
    </row>
    <row r="1352" spans="1:8" x14ac:dyDescent="0.3">
      <c r="A1352" s="16"/>
      <c r="B1352" s="16"/>
      <c r="C1352" s="8" t="s">
        <v>13</v>
      </c>
      <c r="D1352" s="2">
        <v>52.73</v>
      </c>
      <c r="E1352" s="16"/>
      <c r="F1352" s="16"/>
      <c r="G1352" s="16"/>
      <c r="H1352" s="16"/>
    </row>
    <row r="1353" spans="1:8" x14ac:dyDescent="0.3">
      <c r="A1353" s="18">
        <v>226</v>
      </c>
      <c r="B1353" s="20">
        <v>44834</v>
      </c>
      <c r="C1353" s="3" t="s">
        <v>16</v>
      </c>
      <c r="D1353" s="2">
        <v>60</v>
      </c>
      <c r="E1353" s="19">
        <f>SUM(D1353:D1358)</f>
        <v>407.75399999999996</v>
      </c>
      <c r="F1353" s="17">
        <f>INT(MAX(D1353:D1358))</f>
        <v>123</v>
      </c>
      <c r="G1353" s="14">
        <f>INT((F1353/10)*2)</f>
        <v>24</v>
      </c>
      <c r="H1353" s="14">
        <f>F1353-G1353</f>
        <v>99</v>
      </c>
    </row>
    <row r="1354" spans="1:8" x14ac:dyDescent="0.3">
      <c r="A1354" s="15"/>
      <c r="B1354" s="15"/>
      <c r="C1354" s="3" t="s">
        <v>17</v>
      </c>
      <c r="D1354" s="2">
        <v>91.14</v>
      </c>
      <c r="E1354" s="15"/>
      <c r="F1354" s="15"/>
      <c r="G1354" s="15"/>
      <c r="H1354" s="15"/>
    </row>
    <row r="1355" spans="1:8" x14ac:dyDescent="0.3">
      <c r="A1355" s="15"/>
      <c r="B1355" s="15"/>
      <c r="C1355" s="3" t="s">
        <v>9</v>
      </c>
      <c r="D1355" s="2">
        <v>123.16</v>
      </c>
      <c r="E1355" s="15"/>
      <c r="F1355" s="15"/>
      <c r="G1355" s="15"/>
      <c r="H1355" s="15"/>
    </row>
    <row r="1356" spans="1:8" x14ac:dyDescent="0.3">
      <c r="A1356" s="15"/>
      <c r="B1356" s="15"/>
      <c r="C1356" s="3" t="s">
        <v>11</v>
      </c>
      <c r="D1356" s="2">
        <v>64.11</v>
      </c>
      <c r="E1356" s="15"/>
      <c r="F1356" s="15"/>
      <c r="G1356" s="15"/>
      <c r="H1356" s="15"/>
    </row>
    <row r="1357" spans="1:8" x14ac:dyDescent="0.3">
      <c r="A1357" s="15"/>
      <c r="B1357" s="15"/>
      <c r="C1357" s="3" t="s">
        <v>15</v>
      </c>
      <c r="D1357" s="7">
        <v>39.274000000000001</v>
      </c>
      <c r="E1357" s="15"/>
      <c r="F1357" s="15"/>
      <c r="G1357" s="15"/>
      <c r="H1357" s="15"/>
    </row>
    <row r="1358" spans="1:8" x14ac:dyDescent="0.3">
      <c r="A1358" s="16"/>
      <c r="B1358" s="16"/>
      <c r="C1358" s="8" t="s">
        <v>16</v>
      </c>
      <c r="D1358" s="2">
        <v>30.07</v>
      </c>
      <c r="E1358" s="16"/>
      <c r="F1358" s="16"/>
      <c r="G1358" s="16"/>
      <c r="H1358" s="16"/>
    </row>
    <row r="1359" spans="1:8" x14ac:dyDescent="0.3">
      <c r="A1359" s="18">
        <v>227</v>
      </c>
      <c r="B1359" s="20">
        <v>44838</v>
      </c>
      <c r="C1359" s="3" t="s">
        <v>14</v>
      </c>
      <c r="D1359" s="2">
        <v>61.29</v>
      </c>
      <c r="E1359" s="19">
        <f>SUM(D1359:D1364)</f>
        <v>269.79500000000002</v>
      </c>
      <c r="F1359" s="17">
        <f>INT(MAX(D1359:D1364))</f>
        <v>81</v>
      </c>
      <c r="G1359" s="14">
        <f>INT((F1359/10)*2)</f>
        <v>16</v>
      </c>
      <c r="H1359" s="14">
        <f>F1359-G1359</f>
        <v>65</v>
      </c>
    </row>
    <row r="1360" spans="1:8" x14ac:dyDescent="0.3">
      <c r="A1360" s="15"/>
      <c r="B1360" s="15"/>
      <c r="C1360" s="3" t="s">
        <v>15</v>
      </c>
      <c r="D1360" s="2">
        <v>15.41</v>
      </c>
      <c r="E1360" s="15"/>
      <c r="F1360" s="15"/>
      <c r="G1360" s="15"/>
      <c r="H1360" s="15"/>
    </row>
    <row r="1361" spans="1:8" x14ac:dyDescent="0.3">
      <c r="A1361" s="15"/>
      <c r="B1361" s="15"/>
      <c r="C1361" s="3" t="s">
        <v>12</v>
      </c>
      <c r="D1361" s="2">
        <v>72.260000000000005</v>
      </c>
      <c r="E1361" s="15"/>
      <c r="F1361" s="15"/>
      <c r="G1361" s="15"/>
      <c r="H1361" s="15"/>
    </row>
    <row r="1362" spans="1:8" x14ac:dyDescent="0.3">
      <c r="A1362" s="15"/>
      <c r="B1362" s="15"/>
      <c r="C1362" s="3" t="s">
        <v>13</v>
      </c>
      <c r="D1362" s="7">
        <v>81.245000000000005</v>
      </c>
      <c r="E1362" s="15"/>
      <c r="F1362" s="15"/>
      <c r="G1362" s="15"/>
      <c r="H1362" s="15"/>
    </row>
    <row r="1363" spans="1:8" x14ac:dyDescent="0.3">
      <c r="A1363" s="15"/>
      <c r="B1363" s="15"/>
      <c r="C1363" s="8" t="s">
        <v>13</v>
      </c>
      <c r="D1363" s="2">
        <v>19.920000000000002</v>
      </c>
      <c r="E1363" s="15"/>
      <c r="F1363" s="15"/>
      <c r="G1363" s="15"/>
      <c r="H1363" s="15"/>
    </row>
    <row r="1364" spans="1:8" x14ac:dyDescent="0.3">
      <c r="A1364" s="16"/>
      <c r="B1364" s="16"/>
      <c r="C1364" s="3" t="s">
        <v>18</v>
      </c>
      <c r="D1364" s="2">
        <v>19.670000000000002</v>
      </c>
      <c r="E1364" s="16"/>
      <c r="F1364" s="16"/>
      <c r="G1364" s="16"/>
      <c r="H1364" s="16"/>
    </row>
    <row r="1365" spans="1:8" x14ac:dyDescent="0.3">
      <c r="A1365" s="18">
        <v>228</v>
      </c>
      <c r="B1365" s="20">
        <v>44841</v>
      </c>
      <c r="C1365" s="3" t="s">
        <v>12</v>
      </c>
      <c r="D1365" s="7">
        <v>22.274000000000001</v>
      </c>
      <c r="E1365" s="19">
        <f>SUM(D1365:D1370)</f>
        <v>138.30199999999999</v>
      </c>
      <c r="F1365" s="17">
        <f>INT(MAX(D1365:D1370))</f>
        <v>37</v>
      </c>
      <c r="G1365" s="14">
        <f>INT((F1365/10)*2)</f>
        <v>7</v>
      </c>
      <c r="H1365" s="14">
        <f>F1365-G1365</f>
        <v>30</v>
      </c>
    </row>
    <row r="1366" spans="1:8" x14ac:dyDescent="0.3">
      <c r="A1366" s="15"/>
      <c r="B1366" s="15"/>
      <c r="C1366" s="8" t="s">
        <v>15</v>
      </c>
      <c r="D1366" s="2">
        <v>9.52</v>
      </c>
      <c r="E1366" s="15"/>
      <c r="F1366" s="15"/>
      <c r="G1366" s="15"/>
      <c r="H1366" s="15"/>
    </row>
    <row r="1367" spans="1:8" x14ac:dyDescent="0.3">
      <c r="A1367" s="15"/>
      <c r="B1367" s="15"/>
      <c r="C1367" s="3" t="s">
        <v>16</v>
      </c>
      <c r="D1367" s="2">
        <v>20.12</v>
      </c>
      <c r="E1367" s="15"/>
      <c r="F1367" s="15"/>
      <c r="G1367" s="15"/>
      <c r="H1367" s="15"/>
    </row>
    <row r="1368" spans="1:8" x14ac:dyDescent="0.3">
      <c r="A1368" s="15"/>
      <c r="B1368" s="15"/>
      <c r="C1368" s="3" t="s">
        <v>14</v>
      </c>
      <c r="D1368" s="7">
        <v>14.778</v>
      </c>
      <c r="E1368" s="15"/>
      <c r="F1368" s="15"/>
      <c r="G1368" s="15"/>
      <c r="H1368" s="15"/>
    </row>
    <row r="1369" spans="1:8" x14ac:dyDescent="0.3">
      <c r="A1369" s="15"/>
      <c r="B1369" s="15"/>
      <c r="C1369" s="8" t="s">
        <v>10</v>
      </c>
      <c r="D1369" s="2">
        <v>34.51</v>
      </c>
      <c r="E1369" s="15"/>
      <c r="F1369" s="15"/>
      <c r="G1369" s="15"/>
      <c r="H1369" s="15"/>
    </row>
    <row r="1370" spans="1:8" x14ac:dyDescent="0.3">
      <c r="A1370" s="16"/>
      <c r="B1370" s="16"/>
      <c r="C1370" s="3" t="s">
        <v>8</v>
      </c>
      <c r="D1370" s="2">
        <v>37.1</v>
      </c>
      <c r="E1370" s="16"/>
      <c r="F1370" s="16"/>
      <c r="G1370" s="16"/>
      <c r="H1370" s="16"/>
    </row>
    <row r="1371" spans="1:8" x14ac:dyDescent="0.3">
      <c r="A1371" s="18">
        <v>229</v>
      </c>
      <c r="B1371" s="20">
        <v>44845</v>
      </c>
      <c r="C1371" s="3" t="s">
        <v>17</v>
      </c>
      <c r="D1371" s="2">
        <v>29.71</v>
      </c>
      <c r="E1371" s="19">
        <f>SUM(D1371:D1376)</f>
        <v>153.946</v>
      </c>
      <c r="F1371" s="17">
        <f>INT(MAX(D1371:D1376))</f>
        <v>52</v>
      </c>
      <c r="G1371" s="14">
        <f>INT((F1371/10)*2)</f>
        <v>10</v>
      </c>
      <c r="H1371" s="14">
        <f>F1371-G1371</f>
        <v>42</v>
      </c>
    </row>
    <row r="1372" spans="1:8" x14ac:dyDescent="0.3">
      <c r="A1372" s="15"/>
      <c r="B1372" s="15"/>
      <c r="C1372" s="3" t="s">
        <v>9</v>
      </c>
      <c r="D1372" s="2">
        <v>12.26</v>
      </c>
      <c r="E1372" s="15"/>
      <c r="F1372" s="15"/>
      <c r="G1372" s="15"/>
      <c r="H1372" s="15"/>
    </row>
    <row r="1373" spans="1:8" x14ac:dyDescent="0.3">
      <c r="A1373" s="15"/>
      <c r="B1373" s="15"/>
      <c r="C1373" s="3" t="s">
        <v>12</v>
      </c>
      <c r="D1373" s="7">
        <v>8.6460000000000008</v>
      </c>
      <c r="E1373" s="15"/>
      <c r="F1373" s="15"/>
      <c r="G1373" s="15"/>
      <c r="H1373" s="15"/>
    </row>
    <row r="1374" spans="1:8" x14ac:dyDescent="0.3">
      <c r="A1374" s="15"/>
      <c r="B1374" s="15"/>
      <c r="C1374" s="8" t="s">
        <v>16</v>
      </c>
      <c r="D1374" s="2">
        <v>52.87</v>
      </c>
      <c r="E1374" s="15"/>
      <c r="F1374" s="15"/>
      <c r="G1374" s="15"/>
      <c r="H1374" s="15"/>
    </row>
    <row r="1375" spans="1:8" x14ac:dyDescent="0.3">
      <c r="A1375" s="15"/>
      <c r="B1375" s="15"/>
      <c r="C1375" s="3" t="s">
        <v>13</v>
      </c>
      <c r="D1375" s="2">
        <v>30.92</v>
      </c>
      <c r="E1375" s="15"/>
      <c r="F1375" s="15"/>
      <c r="G1375" s="15"/>
      <c r="H1375" s="15"/>
    </row>
    <row r="1376" spans="1:8" x14ac:dyDescent="0.3">
      <c r="A1376" s="16"/>
      <c r="B1376" s="16"/>
      <c r="C1376" s="3" t="s">
        <v>12</v>
      </c>
      <c r="D1376" s="2">
        <v>19.54</v>
      </c>
      <c r="E1376" s="16"/>
      <c r="F1376" s="16"/>
      <c r="G1376" s="16"/>
      <c r="H1376" s="16"/>
    </row>
    <row r="1377" spans="1:8" x14ac:dyDescent="0.3">
      <c r="A1377" s="18">
        <v>230</v>
      </c>
      <c r="B1377" s="20">
        <v>44848</v>
      </c>
      <c r="C1377" s="3" t="s">
        <v>8</v>
      </c>
      <c r="D1377" s="2">
        <v>10.29</v>
      </c>
      <c r="E1377" s="19">
        <f>SUM(D1377:D1382)</f>
        <v>450.59799999999996</v>
      </c>
      <c r="F1377" s="17">
        <f>INT(MAX(D1377:D1382))</f>
        <v>192</v>
      </c>
      <c r="G1377" s="14">
        <f>INT((F1377/10)*2)</f>
        <v>38</v>
      </c>
      <c r="H1377" s="14">
        <f>F1377-G1377</f>
        <v>154</v>
      </c>
    </row>
    <row r="1378" spans="1:8" x14ac:dyDescent="0.3">
      <c r="A1378" s="15"/>
      <c r="B1378" s="15"/>
      <c r="C1378" s="3" t="s">
        <v>17</v>
      </c>
      <c r="D1378" s="7">
        <v>41.468000000000004</v>
      </c>
      <c r="E1378" s="15"/>
      <c r="F1378" s="15"/>
      <c r="G1378" s="15"/>
      <c r="H1378" s="15"/>
    </row>
    <row r="1379" spans="1:8" x14ac:dyDescent="0.3">
      <c r="A1379" s="15"/>
      <c r="B1379" s="15"/>
      <c r="C1379" s="8" t="s">
        <v>18</v>
      </c>
      <c r="D1379" s="2">
        <v>21.1</v>
      </c>
      <c r="E1379" s="15"/>
      <c r="F1379" s="15"/>
      <c r="G1379" s="15"/>
      <c r="H1379" s="15"/>
    </row>
    <row r="1380" spans="1:8" x14ac:dyDescent="0.3">
      <c r="A1380" s="15"/>
      <c r="B1380" s="15"/>
      <c r="C1380" s="3" t="s">
        <v>17</v>
      </c>
      <c r="D1380" s="2">
        <v>138.72999999999999</v>
      </c>
      <c r="E1380" s="15"/>
      <c r="F1380" s="15"/>
      <c r="G1380" s="15"/>
      <c r="H1380" s="15"/>
    </row>
    <row r="1381" spans="1:8" x14ac:dyDescent="0.3">
      <c r="A1381" s="15"/>
      <c r="B1381" s="15"/>
      <c r="C1381" s="3" t="s">
        <v>13</v>
      </c>
      <c r="D1381" s="2">
        <v>192.74</v>
      </c>
      <c r="E1381" s="15"/>
      <c r="F1381" s="15"/>
      <c r="G1381" s="15"/>
      <c r="H1381" s="15"/>
    </row>
    <row r="1382" spans="1:8" x14ac:dyDescent="0.3">
      <c r="A1382" s="16"/>
      <c r="B1382" s="16"/>
      <c r="C1382" s="3" t="s">
        <v>11</v>
      </c>
      <c r="D1382" s="2">
        <v>46.27</v>
      </c>
      <c r="E1382" s="16"/>
      <c r="F1382" s="16"/>
      <c r="G1382" s="16"/>
      <c r="H1382" s="16"/>
    </row>
    <row r="1383" spans="1:8" x14ac:dyDescent="0.3">
      <c r="A1383" s="18">
        <v>231</v>
      </c>
      <c r="B1383" s="20">
        <v>44852</v>
      </c>
      <c r="C1383" s="3" t="s">
        <v>12</v>
      </c>
      <c r="D1383" s="2">
        <v>39.94</v>
      </c>
      <c r="E1383" s="19">
        <f>SUM(D1383:D1388)</f>
        <v>103.471</v>
      </c>
      <c r="F1383" s="17">
        <f>INT(MAX(D1383:D1388))</f>
        <v>39</v>
      </c>
      <c r="G1383" s="14">
        <f>INT((F1383/10)*2)</f>
        <v>7</v>
      </c>
      <c r="H1383" s="14">
        <f>F1383-G1383</f>
        <v>32</v>
      </c>
    </row>
    <row r="1384" spans="1:8" x14ac:dyDescent="0.3">
      <c r="A1384" s="15"/>
      <c r="B1384" s="15"/>
      <c r="C1384" s="3" t="s">
        <v>8</v>
      </c>
      <c r="D1384" s="7">
        <v>10.189</v>
      </c>
      <c r="E1384" s="15"/>
      <c r="F1384" s="15"/>
      <c r="G1384" s="15"/>
      <c r="H1384" s="15"/>
    </row>
    <row r="1385" spans="1:8" x14ac:dyDescent="0.3">
      <c r="A1385" s="15"/>
      <c r="B1385" s="15"/>
      <c r="C1385" s="8" t="s">
        <v>12</v>
      </c>
      <c r="D1385" s="2">
        <v>7.55</v>
      </c>
      <c r="E1385" s="15"/>
      <c r="F1385" s="15"/>
      <c r="G1385" s="15"/>
      <c r="H1385" s="15"/>
    </row>
    <row r="1386" spans="1:8" x14ac:dyDescent="0.3">
      <c r="A1386" s="15"/>
      <c r="B1386" s="15"/>
      <c r="C1386" s="3" t="s">
        <v>8</v>
      </c>
      <c r="D1386" s="2">
        <v>20.239999999999998</v>
      </c>
      <c r="E1386" s="15"/>
      <c r="F1386" s="15"/>
      <c r="G1386" s="15"/>
      <c r="H1386" s="15"/>
    </row>
    <row r="1387" spans="1:8" x14ac:dyDescent="0.3">
      <c r="A1387" s="15"/>
      <c r="B1387" s="15"/>
      <c r="C1387" s="3" t="s">
        <v>15</v>
      </c>
      <c r="D1387" s="7">
        <v>11.022</v>
      </c>
      <c r="E1387" s="15"/>
      <c r="F1387" s="15"/>
      <c r="G1387" s="15"/>
      <c r="H1387" s="15"/>
    </row>
    <row r="1388" spans="1:8" x14ac:dyDescent="0.3">
      <c r="A1388" s="16"/>
      <c r="B1388" s="16"/>
      <c r="C1388" s="8" t="s">
        <v>16</v>
      </c>
      <c r="D1388" s="2">
        <v>14.53</v>
      </c>
      <c r="E1388" s="16"/>
      <c r="F1388" s="16"/>
      <c r="G1388" s="16"/>
      <c r="H1388" s="16"/>
    </row>
    <row r="1389" spans="1:8" x14ac:dyDescent="0.3">
      <c r="A1389" s="18">
        <v>232</v>
      </c>
      <c r="B1389" s="20">
        <v>44855</v>
      </c>
      <c r="C1389" s="3" t="s">
        <v>17</v>
      </c>
      <c r="D1389" s="2">
        <v>44.97</v>
      </c>
      <c r="E1389" s="19">
        <f>SUM(D1389:D1394)</f>
        <v>234.74399999999997</v>
      </c>
      <c r="F1389" s="17">
        <f>INT(MAX(D1389:D1394))</f>
        <v>93</v>
      </c>
      <c r="G1389" s="14">
        <f>INT((F1389/10)*2)</f>
        <v>18</v>
      </c>
      <c r="H1389" s="14">
        <f>F1389-G1389</f>
        <v>75</v>
      </c>
    </row>
    <row r="1390" spans="1:8" x14ac:dyDescent="0.3">
      <c r="A1390" s="15"/>
      <c r="B1390" s="15"/>
      <c r="C1390" s="3" t="s">
        <v>11</v>
      </c>
      <c r="D1390" s="7">
        <v>46.204000000000001</v>
      </c>
      <c r="E1390" s="15"/>
      <c r="F1390" s="15"/>
      <c r="G1390" s="15"/>
      <c r="H1390" s="15"/>
    </row>
    <row r="1391" spans="1:8" x14ac:dyDescent="0.3">
      <c r="A1391" s="15"/>
      <c r="B1391" s="15"/>
      <c r="C1391" s="8" t="s">
        <v>12</v>
      </c>
      <c r="D1391" s="2">
        <v>14.02</v>
      </c>
      <c r="E1391" s="15"/>
      <c r="F1391" s="15"/>
      <c r="G1391" s="15"/>
      <c r="H1391" s="15"/>
    </row>
    <row r="1392" spans="1:8" x14ac:dyDescent="0.3">
      <c r="A1392" s="15"/>
      <c r="B1392" s="15"/>
      <c r="C1392" s="3" t="s">
        <v>16</v>
      </c>
      <c r="D1392" s="2">
        <v>12.68</v>
      </c>
      <c r="E1392" s="15"/>
      <c r="F1392" s="15"/>
      <c r="G1392" s="15"/>
      <c r="H1392" s="15"/>
    </row>
    <row r="1393" spans="1:8" x14ac:dyDescent="0.3">
      <c r="A1393" s="15"/>
      <c r="B1393" s="15"/>
      <c r="C1393" s="3" t="s">
        <v>8</v>
      </c>
      <c r="D1393" s="2">
        <v>23.38</v>
      </c>
      <c r="E1393" s="15"/>
      <c r="F1393" s="15"/>
      <c r="G1393" s="15"/>
      <c r="H1393" s="15"/>
    </row>
    <row r="1394" spans="1:8" x14ac:dyDescent="0.3">
      <c r="A1394" s="16"/>
      <c r="B1394" s="16"/>
      <c r="C1394" s="3" t="s">
        <v>18</v>
      </c>
      <c r="D1394" s="2">
        <v>93.49</v>
      </c>
      <c r="E1394" s="16"/>
      <c r="F1394" s="16"/>
      <c r="G1394" s="16"/>
      <c r="H1394" s="16"/>
    </row>
    <row r="1395" spans="1:8" x14ac:dyDescent="0.3">
      <c r="A1395" s="18">
        <v>233</v>
      </c>
      <c r="B1395" s="20">
        <v>44859</v>
      </c>
      <c r="C1395" s="3" t="s">
        <v>11</v>
      </c>
      <c r="D1395" s="2">
        <v>29.7</v>
      </c>
      <c r="E1395" s="19">
        <f>SUM(D1395:D1400)</f>
        <v>124.432</v>
      </c>
      <c r="F1395" s="17">
        <f>INT(MAX(D1395:D1400))</f>
        <v>44</v>
      </c>
      <c r="G1395" s="14">
        <f>INT((F1395/10)*2)</f>
        <v>8</v>
      </c>
      <c r="H1395" s="14">
        <f>F1395-G1395</f>
        <v>36</v>
      </c>
    </row>
    <row r="1396" spans="1:8" x14ac:dyDescent="0.3">
      <c r="A1396" s="15"/>
      <c r="B1396" s="15"/>
      <c r="C1396" s="3" t="s">
        <v>15</v>
      </c>
      <c r="D1396" s="7">
        <v>44.771999999999998</v>
      </c>
      <c r="E1396" s="15"/>
      <c r="F1396" s="15"/>
      <c r="G1396" s="15"/>
      <c r="H1396" s="15"/>
    </row>
    <row r="1397" spans="1:8" x14ac:dyDescent="0.3">
      <c r="A1397" s="15"/>
      <c r="B1397" s="15"/>
      <c r="C1397" s="8" t="s">
        <v>11</v>
      </c>
      <c r="D1397" s="2">
        <v>10.050000000000001</v>
      </c>
      <c r="E1397" s="15"/>
      <c r="F1397" s="15"/>
      <c r="G1397" s="15"/>
      <c r="H1397" s="15"/>
    </row>
    <row r="1398" spans="1:8" x14ac:dyDescent="0.3">
      <c r="A1398" s="15"/>
      <c r="B1398" s="15"/>
      <c r="C1398" s="3" t="s">
        <v>17</v>
      </c>
      <c r="D1398" s="2">
        <v>21.87</v>
      </c>
      <c r="E1398" s="15"/>
      <c r="F1398" s="15"/>
      <c r="G1398" s="15"/>
      <c r="H1398" s="15"/>
    </row>
    <row r="1399" spans="1:8" x14ac:dyDescent="0.3">
      <c r="A1399" s="15"/>
      <c r="B1399" s="15"/>
      <c r="C1399" s="3" t="s">
        <v>15</v>
      </c>
      <c r="D1399" s="2">
        <v>12.12</v>
      </c>
      <c r="E1399" s="15"/>
      <c r="F1399" s="15"/>
      <c r="G1399" s="15"/>
      <c r="H1399" s="15"/>
    </row>
    <row r="1400" spans="1:8" x14ac:dyDescent="0.3">
      <c r="A1400" s="16"/>
      <c r="B1400" s="16"/>
      <c r="C1400" s="3" t="s">
        <v>16</v>
      </c>
      <c r="D1400" s="2">
        <v>5.92</v>
      </c>
      <c r="E1400" s="16"/>
      <c r="F1400" s="16"/>
      <c r="G1400" s="16"/>
      <c r="H1400" s="16"/>
    </row>
    <row r="1401" spans="1:8" x14ac:dyDescent="0.3">
      <c r="A1401" s="18">
        <v>234</v>
      </c>
      <c r="B1401" s="20">
        <v>44862</v>
      </c>
      <c r="C1401" s="3" t="s">
        <v>8</v>
      </c>
      <c r="D1401" s="7">
        <v>50.765000000000001</v>
      </c>
      <c r="E1401" s="19">
        <f>SUM(D1401:D1406)</f>
        <v>132.179</v>
      </c>
      <c r="F1401" s="17">
        <f>INT(MAX(D1401:D1406))</f>
        <v>50</v>
      </c>
      <c r="G1401" s="14">
        <f>INT((F1401/10)*2)</f>
        <v>10</v>
      </c>
      <c r="H1401" s="14">
        <f>F1401-G1401</f>
        <v>40</v>
      </c>
    </row>
    <row r="1402" spans="1:8" x14ac:dyDescent="0.3">
      <c r="A1402" s="15"/>
      <c r="B1402" s="15"/>
      <c r="C1402" s="8" t="s">
        <v>11</v>
      </c>
      <c r="D1402" s="2">
        <v>13.28</v>
      </c>
      <c r="E1402" s="15"/>
      <c r="F1402" s="15"/>
      <c r="G1402" s="15"/>
      <c r="H1402" s="15"/>
    </row>
    <row r="1403" spans="1:8" x14ac:dyDescent="0.3">
      <c r="A1403" s="15"/>
      <c r="B1403" s="15"/>
      <c r="C1403" s="3" t="s">
        <v>8</v>
      </c>
      <c r="D1403" s="2">
        <v>16.45</v>
      </c>
      <c r="E1403" s="15"/>
      <c r="F1403" s="15"/>
      <c r="G1403" s="15"/>
      <c r="H1403" s="15"/>
    </row>
    <row r="1404" spans="1:8" x14ac:dyDescent="0.3">
      <c r="A1404" s="15"/>
      <c r="B1404" s="15"/>
      <c r="C1404" s="3" t="s">
        <v>13</v>
      </c>
      <c r="D1404" s="2">
        <v>18.8</v>
      </c>
      <c r="E1404" s="15"/>
      <c r="F1404" s="15"/>
      <c r="G1404" s="15"/>
      <c r="H1404" s="15"/>
    </row>
    <row r="1405" spans="1:8" x14ac:dyDescent="0.3">
      <c r="A1405" s="15"/>
      <c r="B1405" s="15"/>
      <c r="C1405" s="3" t="s">
        <v>14</v>
      </c>
      <c r="D1405" s="2">
        <v>17.579999999999998</v>
      </c>
      <c r="E1405" s="15"/>
      <c r="F1405" s="15"/>
      <c r="G1405" s="15"/>
      <c r="H1405" s="15"/>
    </row>
    <row r="1406" spans="1:8" x14ac:dyDescent="0.3">
      <c r="A1406" s="16"/>
      <c r="B1406" s="16"/>
      <c r="C1406" s="3" t="s">
        <v>17</v>
      </c>
      <c r="D1406" s="7">
        <v>15.304</v>
      </c>
      <c r="E1406" s="16"/>
      <c r="F1406" s="16"/>
      <c r="G1406" s="16"/>
      <c r="H1406" s="16"/>
    </row>
    <row r="1407" spans="1:8" x14ac:dyDescent="0.3">
      <c r="A1407" s="18">
        <v>235</v>
      </c>
      <c r="B1407" s="20">
        <v>44866</v>
      </c>
      <c r="C1407" s="8" t="s">
        <v>16</v>
      </c>
      <c r="D1407" s="2">
        <v>24.95</v>
      </c>
      <c r="E1407" s="19">
        <f>SUM(D1407:D1412)</f>
        <v>259.92099999999999</v>
      </c>
      <c r="F1407" s="17">
        <f>INT(MAX(D1407:D1412))</f>
        <v>95</v>
      </c>
      <c r="G1407" s="14">
        <f>INT((F1407/10)*2)</f>
        <v>19</v>
      </c>
      <c r="H1407" s="14">
        <f>F1407-G1407</f>
        <v>76</v>
      </c>
    </row>
    <row r="1408" spans="1:8" x14ac:dyDescent="0.3">
      <c r="A1408" s="15"/>
      <c r="B1408" s="15"/>
      <c r="C1408" s="3" t="s">
        <v>14</v>
      </c>
      <c r="D1408" s="2">
        <v>45.13</v>
      </c>
      <c r="E1408" s="15"/>
      <c r="F1408" s="15"/>
      <c r="G1408" s="15"/>
      <c r="H1408" s="15"/>
    </row>
    <row r="1409" spans="1:8" x14ac:dyDescent="0.3">
      <c r="A1409" s="15"/>
      <c r="B1409" s="15"/>
      <c r="C1409" s="3" t="s">
        <v>11</v>
      </c>
      <c r="D1409" s="2">
        <v>33.25</v>
      </c>
      <c r="E1409" s="15"/>
      <c r="F1409" s="15"/>
      <c r="G1409" s="15"/>
      <c r="H1409" s="15"/>
    </row>
    <row r="1410" spans="1:8" x14ac:dyDescent="0.3">
      <c r="A1410" s="15"/>
      <c r="B1410" s="15"/>
      <c r="C1410" s="3" t="s">
        <v>13</v>
      </c>
      <c r="D1410" s="2">
        <v>9.65</v>
      </c>
      <c r="E1410" s="15"/>
      <c r="F1410" s="15"/>
      <c r="G1410" s="15"/>
      <c r="H1410" s="15"/>
    </row>
    <row r="1411" spans="1:8" x14ac:dyDescent="0.3">
      <c r="A1411" s="15"/>
      <c r="B1411" s="15"/>
      <c r="C1411" s="3" t="s">
        <v>9</v>
      </c>
      <c r="D1411" s="7">
        <v>51.871000000000002</v>
      </c>
      <c r="E1411" s="15"/>
      <c r="F1411" s="15"/>
      <c r="G1411" s="15"/>
      <c r="H1411" s="15"/>
    </row>
    <row r="1412" spans="1:8" x14ac:dyDescent="0.3">
      <c r="A1412" s="16"/>
      <c r="B1412" s="16"/>
      <c r="C1412" s="8" t="s">
        <v>15</v>
      </c>
      <c r="D1412" s="2">
        <v>95.07</v>
      </c>
      <c r="E1412" s="16"/>
      <c r="F1412" s="16"/>
      <c r="G1412" s="16"/>
      <c r="H1412" s="16"/>
    </row>
    <row r="1413" spans="1:8" x14ac:dyDescent="0.3">
      <c r="A1413" s="18">
        <v>236</v>
      </c>
      <c r="B1413" s="20">
        <v>44869</v>
      </c>
      <c r="C1413" s="3" t="s">
        <v>11</v>
      </c>
      <c r="D1413" s="2">
        <v>76.040000000000006</v>
      </c>
      <c r="E1413" s="19">
        <f>SUM(D1413:D1418)</f>
        <v>154.76400000000001</v>
      </c>
      <c r="F1413" s="17">
        <f>INT(MAX(D1413:D1418))</f>
        <v>76</v>
      </c>
      <c r="G1413" s="14">
        <f>INT((F1413/10)*2)</f>
        <v>15</v>
      </c>
      <c r="H1413" s="14">
        <f>F1413-G1413</f>
        <v>61</v>
      </c>
    </row>
    <row r="1414" spans="1:8" x14ac:dyDescent="0.3">
      <c r="A1414" s="15"/>
      <c r="B1414" s="15"/>
      <c r="C1414" s="3" t="s">
        <v>13</v>
      </c>
      <c r="D1414" s="2">
        <v>8.3800000000000008</v>
      </c>
      <c r="E1414" s="15"/>
      <c r="F1414" s="15"/>
      <c r="G1414" s="15"/>
      <c r="H1414" s="15"/>
    </row>
    <row r="1415" spans="1:8" x14ac:dyDescent="0.3">
      <c r="A1415" s="15"/>
      <c r="B1415" s="15"/>
      <c r="C1415" s="3" t="s">
        <v>10</v>
      </c>
      <c r="D1415" s="7">
        <v>9.0250000000000004</v>
      </c>
      <c r="E1415" s="15"/>
      <c r="F1415" s="15"/>
      <c r="G1415" s="15"/>
      <c r="H1415" s="15"/>
    </row>
    <row r="1416" spans="1:8" x14ac:dyDescent="0.3">
      <c r="A1416" s="15"/>
      <c r="B1416" s="15"/>
      <c r="C1416" s="8" t="s">
        <v>16</v>
      </c>
      <c r="D1416" s="2">
        <v>11.67</v>
      </c>
      <c r="E1416" s="15"/>
      <c r="F1416" s="15"/>
      <c r="G1416" s="15"/>
      <c r="H1416" s="15"/>
    </row>
    <row r="1417" spans="1:8" x14ac:dyDescent="0.3">
      <c r="A1417" s="15"/>
      <c r="B1417" s="15"/>
      <c r="C1417" s="3" t="s">
        <v>8</v>
      </c>
      <c r="D1417" s="2">
        <v>6.12</v>
      </c>
      <c r="E1417" s="15"/>
      <c r="F1417" s="15"/>
      <c r="G1417" s="15"/>
      <c r="H1417" s="15"/>
    </row>
    <row r="1418" spans="1:8" x14ac:dyDescent="0.3">
      <c r="A1418" s="16"/>
      <c r="B1418" s="16"/>
      <c r="C1418" s="3" t="s">
        <v>14</v>
      </c>
      <c r="D1418" s="7">
        <v>43.529000000000003</v>
      </c>
      <c r="E1418" s="16"/>
      <c r="F1418" s="16"/>
      <c r="G1418" s="16"/>
      <c r="H1418" s="16"/>
    </row>
    <row r="1419" spans="1:8" x14ac:dyDescent="0.3">
      <c r="A1419" s="18">
        <v>237</v>
      </c>
      <c r="B1419" s="20">
        <v>44873</v>
      </c>
      <c r="C1419" s="8" t="s">
        <v>15</v>
      </c>
      <c r="D1419" s="2">
        <v>90.61</v>
      </c>
      <c r="E1419" s="19">
        <f>SUM(D1419:D1424)</f>
        <v>328.73900000000009</v>
      </c>
      <c r="F1419" s="17">
        <f>INT(MAX(D1419:D1424))</f>
        <v>90</v>
      </c>
      <c r="G1419" s="14">
        <f>INT((F1419/10)*2)</f>
        <v>18</v>
      </c>
      <c r="H1419" s="14">
        <f>F1419-G1419</f>
        <v>72</v>
      </c>
    </row>
    <row r="1420" spans="1:8" x14ac:dyDescent="0.3">
      <c r="A1420" s="15"/>
      <c r="B1420" s="15"/>
      <c r="C1420" s="3" t="s">
        <v>9</v>
      </c>
      <c r="D1420" s="2">
        <v>45.7</v>
      </c>
      <c r="E1420" s="15"/>
      <c r="F1420" s="15"/>
      <c r="G1420" s="15"/>
      <c r="H1420" s="15"/>
    </row>
    <row r="1421" spans="1:8" x14ac:dyDescent="0.3">
      <c r="A1421" s="15"/>
      <c r="B1421" s="15"/>
      <c r="C1421" s="3" t="s">
        <v>11</v>
      </c>
      <c r="D1421" s="2">
        <v>62.61</v>
      </c>
      <c r="E1421" s="15"/>
      <c r="F1421" s="15"/>
      <c r="G1421" s="15"/>
      <c r="H1421" s="15"/>
    </row>
    <row r="1422" spans="1:8" x14ac:dyDescent="0.3">
      <c r="A1422" s="15"/>
      <c r="B1422" s="15"/>
      <c r="C1422" s="3" t="s">
        <v>16</v>
      </c>
      <c r="D1422" s="2">
        <v>79.150000000000006</v>
      </c>
      <c r="E1422" s="15"/>
      <c r="F1422" s="15"/>
      <c r="G1422" s="15"/>
      <c r="H1422" s="15"/>
    </row>
    <row r="1423" spans="1:8" x14ac:dyDescent="0.3">
      <c r="A1423" s="15"/>
      <c r="B1423" s="15"/>
      <c r="C1423" s="3" t="s">
        <v>13</v>
      </c>
      <c r="D1423" s="2">
        <v>45.48</v>
      </c>
      <c r="E1423" s="15"/>
      <c r="F1423" s="15"/>
      <c r="G1423" s="15"/>
      <c r="H1423" s="15"/>
    </row>
    <row r="1424" spans="1:8" x14ac:dyDescent="0.3">
      <c r="A1424" s="16"/>
      <c r="B1424" s="16"/>
      <c r="C1424" s="3" t="s">
        <v>17</v>
      </c>
      <c r="D1424" s="7">
        <v>5.1890000000000001</v>
      </c>
      <c r="E1424" s="16"/>
      <c r="F1424" s="16"/>
      <c r="G1424" s="16"/>
      <c r="H1424" s="16"/>
    </row>
    <row r="1425" spans="1:8" x14ac:dyDescent="0.3">
      <c r="A1425" s="18">
        <v>238</v>
      </c>
      <c r="B1425" s="20">
        <v>44876</v>
      </c>
      <c r="C1425" s="8" t="s">
        <v>17</v>
      </c>
      <c r="D1425" s="2">
        <v>25.43</v>
      </c>
      <c r="E1425" s="19">
        <f>SUM(D1425:D1430)</f>
        <v>108.643</v>
      </c>
      <c r="F1425" s="17">
        <f>INT(MAX(D1425:D1430))</f>
        <v>27</v>
      </c>
      <c r="G1425" s="14">
        <f>INT((F1425/10)*2)</f>
        <v>5</v>
      </c>
      <c r="H1425" s="14">
        <f>F1425-G1425</f>
        <v>22</v>
      </c>
    </row>
    <row r="1426" spans="1:8" x14ac:dyDescent="0.3">
      <c r="A1426" s="15"/>
      <c r="B1426" s="15"/>
      <c r="C1426" s="3" t="s">
        <v>11</v>
      </c>
      <c r="D1426" s="2">
        <v>19.11</v>
      </c>
      <c r="E1426" s="15"/>
      <c r="F1426" s="15"/>
      <c r="G1426" s="15"/>
      <c r="H1426" s="15"/>
    </row>
    <row r="1427" spans="1:8" x14ac:dyDescent="0.3">
      <c r="A1427" s="15"/>
      <c r="B1427" s="15"/>
      <c r="C1427" s="3" t="s">
        <v>12</v>
      </c>
      <c r="D1427" s="2">
        <v>6.83</v>
      </c>
      <c r="E1427" s="15"/>
      <c r="F1427" s="15"/>
      <c r="G1427" s="15"/>
      <c r="H1427" s="15"/>
    </row>
    <row r="1428" spans="1:8" x14ac:dyDescent="0.3">
      <c r="A1428" s="15"/>
      <c r="B1428" s="15"/>
      <c r="C1428" s="3" t="s">
        <v>9</v>
      </c>
      <c r="D1428" s="2">
        <v>23.86</v>
      </c>
      <c r="E1428" s="15"/>
      <c r="F1428" s="15"/>
      <c r="G1428" s="15"/>
      <c r="H1428" s="15"/>
    </row>
    <row r="1429" spans="1:8" x14ac:dyDescent="0.3">
      <c r="A1429" s="15"/>
      <c r="B1429" s="15"/>
      <c r="C1429" s="3" t="s">
        <v>15</v>
      </c>
      <c r="D1429" s="2">
        <v>5.95</v>
      </c>
      <c r="E1429" s="15"/>
      <c r="F1429" s="15"/>
      <c r="G1429" s="15"/>
      <c r="H1429" s="15"/>
    </row>
    <row r="1430" spans="1:8" x14ac:dyDescent="0.3">
      <c r="A1430" s="16"/>
      <c r="B1430" s="16"/>
      <c r="C1430" s="3" t="s">
        <v>8</v>
      </c>
      <c r="D1430" s="7">
        <v>27.463000000000001</v>
      </c>
      <c r="E1430" s="16"/>
      <c r="F1430" s="16"/>
      <c r="G1430" s="16"/>
      <c r="H1430" s="16"/>
    </row>
    <row r="1431" spans="1:8" x14ac:dyDescent="0.3">
      <c r="A1431" s="18">
        <v>239</v>
      </c>
      <c r="B1431" s="20">
        <v>44880</v>
      </c>
      <c r="C1431" s="8" t="s">
        <v>14</v>
      </c>
      <c r="D1431" s="2">
        <v>45.06</v>
      </c>
      <c r="E1431" s="19">
        <f>SUM(D1431:D1436)</f>
        <v>193.65</v>
      </c>
      <c r="F1431" s="17">
        <f>INT(MAX(D1431:D1436))</f>
        <v>45</v>
      </c>
      <c r="G1431" s="14">
        <f>INT((F1431/10)*2)</f>
        <v>9</v>
      </c>
      <c r="H1431" s="14">
        <f>F1431-G1431</f>
        <v>36</v>
      </c>
    </row>
    <row r="1432" spans="1:8" x14ac:dyDescent="0.3">
      <c r="A1432" s="15"/>
      <c r="B1432" s="15"/>
      <c r="C1432" s="3" t="s">
        <v>13</v>
      </c>
      <c r="D1432" s="2">
        <v>44.78</v>
      </c>
      <c r="E1432" s="15"/>
      <c r="F1432" s="15"/>
      <c r="G1432" s="15"/>
      <c r="H1432" s="15"/>
    </row>
    <row r="1433" spans="1:8" x14ac:dyDescent="0.3">
      <c r="A1433" s="15"/>
      <c r="B1433" s="15"/>
      <c r="C1433" s="3" t="s">
        <v>15</v>
      </c>
      <c r="D1433" s="2">
        <v>32.479999999999997</v>
      </c>
      <c r="E1433" s="15"/>
      <c r="F1433" s="15"/>
      <c r="G1433" s="15"/>
      <c r="H1433" s="15"/>
    </row>
    <row r="1434" spans="1:8" x14ac:dyDescent="0.3">
      <c r="A1434" s="15"/>
      <c r="B1434" s="15"/>
      <c r="C1434" s="3" t="s">
        <v>12</v>
      </c>
      <c r="D1434" s="2">
        <v>21.96</v>
      </c>
      <c r="E1434" s="15"/>
      <c r="F1434" s="15"/>
      <c r="G1434" s="15"/>
      <c r="H1434" s="15"/>
    </row>
    <row r="1435" spans="1:8" x14ac:dyDescent="0.3">
      <c r="A1435" s="15"/>
      <c r="B1435" s="15"/>
      <c r="C1435" s="3" t="s">
        <v>9</v>
      </c>
      <c r="D1435" s="2">
        <v>27.37</v>
      </c>
      <c r="E1435" s="15"/>
      <c r="F1435" s="15"/>
      <c r="G1435" s="15"/>
      <c r="H1435" s="15"/>
    </row>
    <row r="1436" spans="1:8" x14ac:dyDescent="0.3">
      <c r="A1436" s="16"/>
      <c r="B1436" s="16"/>
      <c r="C1436" s="3" t="s">
        <v>10</v>
      </c>
      <c r="D1436" s="7">
        <v>22</v>
      </c>
      <c r="E1436" s="16"/>
      <c r="F1436" s="16"/>
      <c r="G1436" s="16"/>
      <c r="H1436" s="16"/>
    </row>
    <row r="1437" spans="1:8" x14ac:dyDescent="0.3">
      <c r="A1437" s="18">
        <v>240</v>
      </c>
      <c r="B1437" s="20">
        <v>44883</v>
      </c>
      <c r="C1437" s="8" t="s">
        <v>18</v>
      </c>
      <c r="D1437" s="2">
        <v>28.03</v>
      </c>
      <c r="E1437" s="19">
        <f>SUM(D1437:D1442)</f>
        <v>147.29899999999998</v>
      </c>
      <c r="F1437" s="17">
        <f>INT(MAX(D1437:D1442))</f>
        <v>59</v>
      </c>
      <c r="G1437" s="14">
        <f>INT((F1437/10)*2)</f>
        <v>11</v>
      </c>
      <c r="H1437" s="14">
        <f>F1437-G1437</f>
        <v>48</v>
      </c>
    </row>
    <row r="1438" spans="1:8" x14ac:dyDescent="0.3">
      <c r="A1438" s="15"/>
      <c r="B1438" s="15"/>
      <c r="C1438" s="3" t="s">
        <v>12</v>
      </c>
      <c r="D1438" s="2">
        <v>21.51</v>
      </c>
      <c r="E1438" s="15"/>
      <c r="F1438" s="15"/>
      <c r="G1438" s="15"/>
      <c r="H1438" s="15"/>
    </row>
    <row r="1439" spans="1:8" x14ac:dyDescent="0.3">
      <c r="A1439" s="15"/>
      <c r="B1439" s="15"/>
      <c r="C1439" s="3" t="s">
        <v>17</v>
      </c>
      <c r="D1439" s="2">
        <v>11.18</v>
      </c>
      <c r="E1439" s="15"/>
      <c r="F1439" s="15"/>
      <c r="G1439" s="15"/>
      <c r="H1439" s="15"/>
    </row>
    <row r="1440" spans="1:8" x14ac:dyDescent="0.3">
      <c r="A1440" s="15"/>
      <c r="B1440" s="15"/>
      <c r="C1440" s="3" t="s">
        <v>10</v>
      </c>
      <c r="D1440" s="2">
        <v>59.16</v>
      </c>
      <c r="E1440" s="15"/>
      <c r="F1440" s="15"/>
      <c r="G1440" s="15"/>
      <c r="H1440" s="15"/>
    </row>
    <row r="1441" spans="1:8" x14ac:dyDescent="0.3">
      <c r="A1441" s="15"/>
      <c r="B1441" s="15"/>
      <c r="C1441" s="3" t="s">
        <v>11</v>
      </c>
      <c r="D1441" s="2">
        <v>21.54</v>
      </c>
      <c r="E1441" s="15"/>
      <c r="F1441" s="15"/>
      <c r="G1441" s="15"/>
      <c r="H1441" s="15"/>
    </row>
    <row r="1442" spans="1:8" x14ac:dyDescent="0.3">
      <c r="A1442" s="16"/>
      <c r="B1442" s="16"/>
      <c r="C1442" s="3" t="s">
        <v>14</v>
      </c>
      <c r="D1442" s="7">
        <v>5.8789999999999996</v>
      </c>
      <c r="E1442" s="16"/>
      <c r="F1442" s="16"/>
      <c r="G1442" s="16"/>
      <c r="H1442" s="16"/>
    </row>
    <row r="1443" spans="1:8" x14ac:dyDescent="0.3">
      <c r="A1443" s="18">
        <v>241</v>
      </c>
      <c r="B1443" s="20">
        <v>44887</v>
      </c>
      <c r="C1443" s="8" t="s">
        <v>14</v>
      </c>
      <c r="D1443" s="2">
        <v>4.9800000000000004</v>
      </c>
      <c r="E1443" s="19">
        <f>SUM(D1443:D1448)</f>
        <v>109.38499999999999</v>
      </c>
      <c r="F1443" s="17">
        <f>INT(MAX(D1443:D1448))</f>
        <v>29</v>
      </c>
      <c r="G1443" s="14">
        <f>INT((F1443/10)*2)</f>
        <v>5</v>
      </c>
      <c r="H1443" s="14">
        <f>F1443-G1443</f>
        <v>24</v>
      </c>
    </row>
    <row r="1444" spans="1:8" x14ac:dyDescent="0.3">
      <c r="A1444" s="15"/>
      <c r="B1444" s="15"/>
      <c r="C1444" s="3" t="s">
        <v>10</v>
      </c>
      <c r="D1444" s="2">
        <v>7.26</v>
      </c>
      <c r="E1444" s="15"/>
      <c r="F1444" s="15"/>
      <c r="G1444" s="15"/>
      <c r="H1444" s="15"/>
    </row>
    <row r="1445" spans="1:8" x14ac:dyDescent="0.3">
      <c r="A1445" s="15"/>
      <c r="B1445" s="15"/>
      <c r="C1445" s="3" t="s">
        <v>16</v>
      </c>
      <c r="D1445" s="2">
        <v>15.67</v>
      </c>
      <c r="E1445" s="15"/>
      <c r="F1445" s="15"/>
      <c r="G1445" s="15"/>
      <c r="H1445" s="15"/>
    </row>
    <row r="1446" spans="1:8" x14ac:dyDescent="0.3">
      <c r="A1446" s="15"/>
      <c r="B1446" s="15"/>
      <c r="C1446" s="3" t="s">
        <v>9</v>
      </c>
      <c r="D1446" s="2">
        <v>23.32</v>
      </c>
      <c r="E1446" s="15"/>
      <c r="F1446" s="15"/>
      <c r="G1446" s="15"/>
      <c r="H1446" s="15"/>
    </row>
    <row r="1447" spans="1:8" x14ac:dyDescent="0.3">
      <c r="A1447" s="15"/>
      <c r="B1447" s="15"/>
      <c r="C1447" s="3" t="s">
        <v>15</v>
      </c>
      <c r="D1447" s="2">
        <v>28.43</v>
      </c>
      <c r="E1447" s="15"/>
      <c r="F1447" s="15"/>
      <c r="G1447" s="15"/>
      <c r="H1447" s="15"/>
    </row>
    <row r="1448" spans="1:8" x14ac:dyDescent="0.3">
      <c r="A1448" s="16"/>
      <c r="B1448" s="16"/>
      <c r="C1448" s="3" t="s">
        <v>13</v>
      </c>
      <c r="D1448" s="7">
        <v>29.725000000000001</v>
      </c>
      <c r="E1448" s="16"/>
      <c r="F1448" s="16"/>
      <c r="G1448" s="16"/>
      <c r="H1448" s="16"/>
    </row>
    <row r="1449" spans="1:8" x14ac:dyDescent="0.3">
      <c r="A1449" s="18">
        <v>242</v>
      </c>
      <c r="B1449" s="20">
        <v>44890</v>
      </c>
      <c r="C1449" s="8" t="s">
        <v>9</v>
      </c>
      <c r="D1449" s="2">
        <v>14.93</v>
      </c>
      <c r="E1449" s="19">
        <f>SUM(D1449:D1454)</f>
        <v>172.91199999999998</v>
      </c>
      <c r="F1449" s="17">
        <f>INT(MAX(D1449:D1454))</f>
        <v>71</v>
      </c>
      <c r="G1449" s="14">
        <f>INT((F1449/10)*2)</f>
        <v>14</v>
      </c>
      <c r="H1449" s="14">
        <f>F1449-G1449</f>
        <v>57</v>
      </c>
    </row>
    <row r="1450" spans="1:8" x14ac:dyDescent="0.3">
      <c r="A1450" s="15"/>
      <c r="B1450" s="15"/>
      <c r="C1450" s="3" t="s">
        <v>16</v>
      </c>
      <c r="D1450" s="2">
        <v>71.14</v>
      </c>
      <c r="E1450" s="15"/>
      <c r="F1450" s="15"/>
      <c r="G1450" s="15"/>
      <c r="H1450" s="15"/>
    </row>
    <row r="1451" spans="1:8" x14ac:dyDescent="0.3">
      <c r="A1451" s="15"/>
      <c r="B1451" s="15"/>
      <c r="C1451" s="3" t="s">
        <v>11</v>
      </c>
      <c r="D1451" s="2">
        <v>10.96</v>
      </c>
      <c r="E1451" s="15"/>
      <c r="F1451" s="15"/>
      <c r="G1451" s="15"/>
      <c r="H1451" s="15"/>
    </row>
    <row r="1452" spans="1:8" x14ac:dyDescent="0.3">
      <c r="A1452" s="15"/>
      <c r="B1452" s="15"/>
      <c r="C1452" s="3" t="s">
        <v>10</v>
      </c>
      <c r="D1452" s="2">
        <v>34.799999999999997</v>
      </c>
      <c r="E1452" s="15"/>
      <c r="F1452" s="15"/>
      <c r="G1452" s="15"/>
      <c r="H1452" s="15"/>
    </row>
    <row r="1453" spans="1:8" x14ac:dyDescent="0.3">
      <c r="A1453" s="15"/>
      <c r="B1453" s="15"/>
      <c r="C1453" s="3" t="s">
        <v>15</v>
      </c>
      <c r="D1453" s="2">
        <v>24.29</v>
      </c>
      <c r="E1453" s="15"/>
      <c r="F1453" s="15"/>
      <c r="G1453" s="15"/>
      <c r="H1453" s="15"/>
    </row>
    <row r="1454" spans="1:8" x14ac:dyDescent="0.3">
      <c r="A1454" s="16"/>
      <c r="B1454" s="16"/>
      <c r="C1454" s="3" t="s">
        <v>12</v>
      </c>
      <c r="D1454" s="7">
        <v>16.792000000000002</v>
      </c>
      <c r="E1454" s="16"/>
      <c r="F1454" s="16"/>
      <c r="G1454" s="16"/>
      <c r="H1454" s="16"/>
    </row>
    <row r="1455" spans="1:8" x14ac:dyDescent="0.3">
      <c r="A1455" s="18">
        <v>243</v>
      </c>
      <c r="B1455" s="20">
        <v>44894</v>
      </c>
      <c r="C1455" s="8" t="s">
        <v>12</v>
      </c>
      <c r="D1455" s="2">
        <v>7.92</v>
      </c>
      <c r="E1455" s="19">
        <f>SUM(D1455:D1460)</f>
        <v>131.22999999999999</v>
      </c>
      <c r="F1455" s="17">
        <f>INT(MAX(D1455:D1460))</f>
        <v>50</v>
      </c>
      <c r="G1455" s="14">
        <f>INT((F1455/10)*2)</f>
        <v>10</v>
      </c>
      <c r="H1455" s="14">
        <f>F1455-G1455</f>
        <v>40</v>
      </c>
    </row>
    <row r="1456" spans="1:8" x14ac:dyDescent="0.3">
      <c r="A1456" s="15"/>
      <c r="B1456" s="15"/>
      <c r="C1456" s="3" t="s">
        <v>8</v>
      </c>
      <c r="D1456" s="2">
        <v>8.51</v>
      </c>
      <c r="E1456" s="15"/>
      <c r="F1456" s="15"/>
      <c r="G1456" s="15"/>
      <c r="H1456" s="15"/>
    </row>
    <row r="1457" spans="1:8" x14ac:dyDescent="0.3">
      <c r="A1457" s="15"/>
      <c r="B1457" s="15"/>
      <c r="C1457" s="3" t="s">
        <v>9</v>
      </c>
      <c r="D1457" s="2">
        <v>2.78</v>
      </c>
      <c r="E1457" s="15"/>
      <c r="F1457" s="15"/>
      <c r="G1457" s="15"/>
      <c r="H1457" s="15"/>
    </row>
    <row r="1458" spans="1:8" x14ac:dyDescent="0.3">
      <c r="A1458" s="15"/>
      <c r="B1458" s="15"/>
      <c r="C1458" s="3" t="s">
        <v>18</v>
      </c>
      <c r="D1458" s="7">
        <v>50.61</v>
      </c>
      <c r="E1458" s="15"/>
      <c r="F1458" s="15"/>
      <c r="G1458" s="15"/>
      <c r="H1458" s="15"/>
    </row>
    <row r="1459" spans="1:8" x14ac:dyDescent="0.3">
      <c r="A1459" s="15"/>
      <c r="B1459" s="15"/>
      <c r="C1459" s="8" t="s">
        <v>13</v>
      </c>
      <c r="D1459" s="2">
        <v>24.04</v>
      </c>
      <c r="E1459" s="15"/>
      <c r="F1459" s="15"/>
      <c r="G1459" s="15"/>
      <c r="H1459" s="15"/>
    </row>
    <row r="1460" spans="1:8" x14ac:dyDescent="0.3">
      <c r="A1460" s="16"/>
      <c r="B1460" s="16"/>
      <c r="C1460" s="3" t="s">
        <v>15</v>
      </c>
      <c r="D1460" s="2">
        <v>37.369999999999997</v>
      </c>
      <c r="E1460" s="16"/>
      <c r="F1460" s="16"/>
      <c r="G1460" s="16"/>
      <c r="H1460" s="16"/>
    </row>
    <row r="1461" spans="1:8" x14ac:dyDescent="0.3">
      <c r="A1461" s="18">
        <v>244</v>
      </c>
      <c r="B1461" s="20">
        <v>44897</v>
      </c>
      <c r="C1461" s="3" t="s">
        <v>10</v>
      </c>
      <c r="D1461" s="2">
        <v>12.84</v>
      </c>
      <c r="E1461" s="19">
        <f>SUM(D1461:D1466)</f>
        <v>281.911</v>
      </c>
      <c r="F1461" s="17">
        <f>INT(MAX(D1461:D1466))</f>
        <v>110</v>
      </c>
      <c r="G1461" s="14">
        <f>INT((F1461/10)*2)</f>
        <v>22</v>
      </c>
      <c r="H1461" s="14">
        <f>F1461-G1461</f>
        <v>88</v>
      </c>
    </row>
    <row r="1462" spans="1:8" x14ac:dyDescent="0.3">
      <c r="A1462" s="15"/>
      <c r="B1462" s="15"/>
      <c r="C1462" s="3" t="s">
        <v>18</v>
      </c>
      <c r="D1462" s="7">
        <v>94.521000000000001</v>
      </c>
      <c r="E1462" s="15"/>
      <c r="F1462" s="15"/>
      <c r="G1462" s="15"/>
      <c r="H1462" s="15"/>
    </row>
    <row r="1463" spans="1:8" x14ac:dyDescent="0.3">
      <c r="A1463" s="15"/>
      <c r="B1463" s="15"/>
      <c r="C1463" s="8" t="s">
        <v>11</v>
      </c>
      <c r="D1463" s="2">
        <v>23.98</v>
      </c>
      <c r="E1463" s="15"/>
      <c r="F1463" s="15"/>
      <c r="G1463" s="15"/>
      <c r="H1463" s="15"/>
    </row>
    <row r="1464" spans="1:8" x14ac:dyDescent="0.3">
      <c r="A1464" s="15"/>
      <c r="B1464" s="15"/>
      <c r="C1464" s="3" t="s">
        <v>16</v>
      </c>
      <c r="D1464" s="2">
        <v>110.47</v>
      </c>
      <c r="E1464" s="15"/>
      <c r="F1464" s="15"/>
      <c r="G1464" s="15"/>
      <c r="H1464" s="15"/>
    </row>
    <row r="1465" spans="1:8" x14ac:dyDescent="0.3">
      <c r="A1465" s="15"/>
      <c r="B1465" s="15"/>
      <c r="C1465" s="3" t="s">
        <v>13</v>
      </c>
      <c r="D1465" s="2">
        <v>15.67</v>
      </c>
      <c r="E1465" s="15"/>
      <c r="F1465" s="15"/>
      <c r="G1465" s="15"/>
      <c r="H1465" s="15"/>
    </row>
    <row r="1466" spans="1:8" x14ac:dyDescent="0.3">
      <c r="A1466" s="16"/>
      <c r="B1466" s="16"/>
      <c r="C1466" s="3" t="s">
        <v>10</v>
      </c>
      <c r="D1466" s="7">
        <v>24.43</v>
      </c>
      <c r="E1466" s="16"/>
      <c r="F1466" s="16"/>
      <c r="G1466" s="16"/>
      <c r="H1466" s="16"/>
    </row>
    <row r="1467" spans="1:8" x14ac:dyDescent="0.3">
      <c r="A1467" s="18">
        <v>245</v>
      </c>
      <c r="B1467" s="20">
        <v>44901</v>
      </c>
      <c r="C1467" s="8" t="s">
        <v>15</v>
      </c>
      <c r="D1467" s="2">
        <v>14.04</v>
      </c>
      <c r="E1467" s="19">
        <f>SUM(D1467:D1472)</f>
        <v>65.707999999999998</v>
      </c>
      <c r="F1467" s="17">
        <f>INT(MAX(D1467:D1472))</f>
        <v>17</v>
      </c>
      <c r="G1467" s="14">
        <f>INT((F1467/10)*2)</f>
        <v>3</v>
      </c>
      <c r="H1467" s="14">
        <f>F1467-G1467</f>
        <v>14</v>
      </c>
    </row>
    <row r="1468" spans="1:8" x14ac:dyDescent="0.3">
      <c r="A1468" s="15"/>
      <c r="B1468" s="15"/>
      <c r="C1468" s="3" t="s">
        <v>11</v>
      </c>
      <c r="D1468" s="2">
        <v>8.07</v>
      </c>
      <c r="E1468" s="15"/>
      <c r="F1468" s="15"/>
      <c r="G1468" s="15"/>
      <c r="H1468" s="15"/>
    </row>
    <row r="1469" spans="1:8" x14ac:dyDescent="0.3">
      <c r="A1469" s="15"/>
      <c r="B1469" s="15"/>
      <c r="C1469" s="3" t="s">
        <v>16</v>
      </c>
      <c r="D1469" s="2">
        <v>5.5</v>
      </c>
      <c r="E1469" s="15"/>
      <c r="F1469" s="15"/>
      <c r="G1469" s="15"/>
      <c r="H1469" s="15"/>
    </row>
    <row r="1470" spans="1:8" x14ac:dyDescent="0.3">
      <c r="A1470" s="15"/>
      <c r="B1470" s="15"/>
      <c r="C1470" s="3" t="s">
        <v>17</v>
      </c>
      <c r="D1470" s="2">
        <v>6.13</v>
      </c>
      <c r="E1470" s="15"/>
      <c r="F1470" s="15"/>
      <c r="G1470" s="15"/>
      <c r="H1470" s="15"/>
    </row>
    <row r="1471" spans="1:8" x14ac:dyDescent="0.3">
      <c r="A1471" s="15"/>
      <c r="B1471" s="15"/>
      <c r="C1471" s="3" t="s">
        <v>12</v>
      </c>
      <c r="D1471" s="7">
        <v>17.628</v>
      </c>
      <c r="E1471" s="15"/>
      <c r="F1471" s="15"/>
      <c r="G1471" s="15"/>
      <c r="H1471" s="15"/>
    </row>
    <row r="1472" spans="1:8" x14ac:dyDescent="0.3">
      <c r="A1472" s="16"/>
      <c r="B1472" s="16"/>
      <c r="C1472" s="8" t="s">
        <v>16</v>
      </c>
      <c r="D1472" s="2">
        <v>14.34</v>
      </c>
      <c r="E1472" s="16"/>
      <c r="F1472" s="16"/>
      <c r="G1472" s="16"/>
      <c r="H1472" s="16"/>
    </row>
    <row r="1473" spans="1:8" x14ac:dyDescent="0.3">
      <c r="A1473" s="18">
        <v>246</v>
      </c>
      <c r="B1473" s="20">
        <v>44904</v>
      </c>
      <c r="C1473" s="3" t="s">
        <v>12</v>
      </c>
      <c r="D1473" s="2">
        <v>20.420000000000002</v>
      </c>
      <c r="E1473" s="19">
        <f>SUM(D1473:D1478)</f>
        <v>102.20000000000002</v>
      </c>
      <c r="F1473" s="17">
        <f>INT(MAX(D1473:D1478))</f>
        <v>33</v>
      </c>
      <c r="G1473" s="14">
        <f>INT((F1473/10)*2)</f>
        <v>6</v>
      </c>
      <c r="H1473" s="14">
        <f>F1473-G1473</f>
        <v>27</v>
      </c>
    </row>
    <row r="1474" spans="1:8" x14ac:dyDescent="0.3">
      <c r="A1474" s="15"/>
      <c r="B1474" s="15"/>
      <c r="C1474" s="3" t="s">
        <v>11</v>
      </c>
      <c r="D1474" s="2">
        <v>6.68</v>
      </c>
      <c r="E1474" s="15"/>
      <c r="F1474" s="15"/>
      <c r="G1474" s="15"/>
      <c r="H1474" s="15"/>
    </row>
    <row r="1475" spans="1:8" x14ac:dyDescent="0.3">
      <c r="A1475" s="15"/>
      <c r="B1475" s="15"/>
      <c r="C1475" s="3" t="s">
        <v>8</v>
      </c>
      <c r="D1475" s="2">
        <v>25.52</v>
      </c>
      <c r="E1475" s="15"/>
      <c r="F1475" s="15"/>
      <c r="G1475" s="15"/>
      <c r="H1475" s="15"/>
    </row>
    <row r="1476" spans="1:8" x14ac:dyDescent="0.3">
      <c r="A1476" s="15"/>
      <c r="B1476" s="15"/>
      <c r="C1476" s="3" t="s">
        <v>15</v>
      </c>
      <c r="D1476" s="2">
        <v>4.1500000000000004</v>
      </c>
      <c r="E1476" s="15"/>
      <c r="F1476" s="15"/>
      <c r="G1476" s="15"/>
      <c r="H1476" s="15"/>
    </row>
    <row r="1477" spans="1:8" x14ac:dyDescent="0.3">
      <c r="A1477" s="15"/>
      <c r="B1477" s="15"/>
      <c r="C1477" s="3" t="s">
        <v>18</v>
      </c>
      <c r="D1477" s="7">
        <v>33.72</v>
      </c>
      <c r="E1477" s="15"/>
      <c r="F1477" s="15"/>
      <c r="G1477" s="15"/>
      <c r="H1477" s="15"/>
    </row>
    <row r="1478" spans="1:8" x14ac:dyDescent="0.3">
      <c r="A1478" s="16"/>
      <c r="B1478" s="16"/>
      <c r="C1478" s="8" t="s">
        <v>13</v>
      </c>
      <c r="D1478" s="2">
        <v>11.71</v>
      </c>
      <c r="E1478" s="16"/>
      <c r="F1478" s="16"/>
      <c r="G1478" s="16"/>
      <c r="H1478" s="16"/>
    </row>
    <row r="1479" spans="1:8" x14ac:dyDescent="0.3">
      <c r="A1479" s="18">
        <v>247</v>
      </c>
      <c r="B1479" s="20">
        <v>44908</v>
      </c>
      <c r="C1479" s="3" t="s">
        <v>8</v>
      </c>
      <c r="D1479" s="2">
        <v>26.85</v>
      </c>
      <c r="E1479" s="19">
        <f>SUM(D1479:D1484)</f>
        <v>126.205</v>
      </c>
      <c r="F1479" s="17">
        <f>INT(MAX(D1479:D1484))</f>
        <v>37</v>
      </c>
      <c r="G1479" s="14">
        <f>INT((F1479/10)*2)</f>
        <v>7</v>
      </c>
      <c r="H1479" s="14">
        <f>F1479-G1479</f>
        <v>30</v>
      </c>
    </row>
    <row r="1480" spans="1:8" x14ac:dyDescent="0.3">
      <c r="A1480" s="15"/>
      <c r="B1480" s="15"/>
      <c r="C1480" s="3" t="s">
        <v>15</v>
      </c>
      <c r="D1480" s="2">
        <v>9.42</v>
      </c>
      <c r="E1480" s="15"/>
      <c r="F1480" s="15"/>
      <c r="G1480" s="15"/>
      <c r="H1480" s="15"/>
    </row>
    <row r="1481" spans="1:8" x14ac:dyDescent="0.3">
      <c r="A1481" s="15"/>
      <c r="B1481" s="15"/>
      <c r="C1481" s="3" t="s">
        <v>9</v>
      </c>
      <c r="D1481" s="2">
        <v>11.63</v>
      </c>
      <c r="E1481" s="15"/>
      <c r="F1481" s="15"/>
      <c r="G1481" s="15"/>
      <c r="H1481" s="15"/>
    </row>
    <row r="1482" spans="1:8" x14ac:dyDescent="0.3">
      <c r="A1482" s="15"/>
      <c r="B1482" s="15"/>
      <c r="C1482" s="3" t="s">
        <v>12</v>
      </c>
      <c r="D1482" s="2">
        <v>9.5299999999999994</v>
      </c>
      <c r="E1482" s="15"/>
      <c r="F1482" s="15"/>
      <c r="G1482" s="15"/>
      <c r="H1482" s="15"/>
    </row>
    <row r="1483" spans="1:8" x14ac:dyDescent="0.3">
      <c r="A1483" s="15"/>
      <c r="B1483" s="15"/>
      <c r="C1483" s="3" t="s">
        <v>18</v>
      </c>
      <c r="D1483" s="7">
        <v>37.195</v>
      </c>
      <c r="E1483" s="15"/>
      <c r="F1483" s="15"/>
      <c r="G1483" s="15"/>
      <c r="H1483" s="15"/>
    </row>
    <row r="1484" spans="1:8" x14ac:dyDescent="0.3">
      <c r="A1484" s="16"/>
      <c r="B1484" s="16"/>
      <c r="C1484" s="8" t="s">
        <v>11</v>
      </c>
      <c r="D1484" s="2">
        <v>31.58</v>
      </c>
      <c r="E1484" s="16"/>
      <c r="F1484" s="16"/>
      <c r="G1484" s="16"/>
      <c r="H1484" s="16"/>
    </row>
    <row r="1485" spans="1:8" x14ac:dyDescent="0.3">
      <c r="A1485" s="18">
        <v>248</v>
      </c>
      <c r="B1485" s="20">
        <v>44911</v>
      </c>
      <c r="C1485" s="3" t="s">
        <v>14</v>
      </c>
      <c r="D1485" s="2">
        <v>10.029999999999999</v>
      </c>
      <c r="E1485" s="19">
        <f>SUM(D1485:D1490)</f>
        <v>207.74599999999998</v>
      </c>
      <c r="F1485" s="17">
        <f>INT(MAX(D1485:D1490))</f>
        <v>76</v>
      </c>
      <c r="G1485" s="14">
        <f>INT((F1485/10)*2)</f>
        <v>15</v>
      </c>
      <c r="H1485" s="14">
        <f>F1485-G1485</f>
        <v>61</v>
      </c>
    </row>
    <row r="1486" spans="1:8" x14ac:dyDescent="0.3">
      <c r="A1486" s="15"/>
      <c r="B1486" s="15"/>
      <c r="C1486" s="3" t="s">
        <v>16</v>
      </c>
      <c r="D1486" s="7">
        <v>76.585999999999999</v>
      </c>
      <c r="E1486" s="15"/>
      <c r="F1486" s="15"/>
      <c r="G1486" s="15"/>
      <c r="H1486" s="15"/>
    </row>
    <row r="1487" spans="1:8" x14ac:dyDescent="0.3">
      <c r="A1487" s="15"/>
      <c r="B1487" s="15"/>
      <c r="C1487" s="8" t="s">
        <v>15</v>
      </c>
      <c r="D1487" s="2">
        <v>13.99</v>
      </c>
      <c r="E1487" s="15"/>
      <c r="F1487" s="15"/>
      <c r="G1487" s="15"/>
      <c r="H1487" s="15"/>
    </row>
    <row r="1488" spans="1:8" x14ac:dyDescent="0.3">
      <c r="A1488" s="15"/>
      <c r="B1488" s="15"/>
      <c r="C1488" s="3" t="s">
        <v>18</v>
      </c>
      <c r="D1488" s="2">
        <v>37.42</v>
      </c>
      <c r="E1488" s="15"/>
      <c r="F1488" s="15"/>
      <c r="G1488" s="15"/>
      <c r="H1488" s="15"/>
    </row>
    <row r="1489" spans="1:8" x14ac:dyDescent="0.3">
      <c r="A1489" s="15"/>
      <c r="B1489" s="15"/>
      <c r="C1489" s="3" t="s">
        <v>13</v>
      </c>
      <c r="D1489" s="2">
        <v>23.89</v>
      </c>
      <c r="E1489" s="15"/>
      <c r="F1489" s="15"/>
      <c r="G1489" s="15"/>
      <c r="H1489" s="15"/>
    </row>
    <row r="1490" spans="1:8" x14ac:dyDescent="0.3">
      <c r="A1490" s="16"/>
      <c r="B1490" s="16"/>
      <c r="C1490" s="3" t="s">
        <v>12</v>
      </c>
      <c r="D1490" s="2">
        <v>45.83</v>
      </c>
      <c r="E1490" s="16"/>
      <c r="F1490" s="16"/>
      <c r="G1490" s="16"/>
      <c r="H1490" s="16"/>
    </row>
    <row r="1491" spans="1:8" x14ac:dyDescent="0.3">
      <c r="A1491" s="18">
        <v>249</v>
      </c>
      <c r="B1491" s="20">
        <v>44915</v>
      </c>
      <c r="C1491" s="3" t="s">
        <v>11</v>
      </c>
      <c r="D1491" s="7">
        <v>42.573999999999998</v>
      </c>
      <c r="E1491" s="19">
        <f>SUM(D1491:D1496)</f>
        <v>250.904</v>
      </c>
      <c r="F1491" s="17">
        <f>INT(MAX(D1491:D1496))</f>
        <v>63</v>
      </c>
      <c r="G1491" s="14">
        <f>INT((F1491/10)*2)</f>
        <v>12</v>
      </c>
      <c r="H1491" s="14">
        <f>F1491-G1491</f>
        <v>51</v>
      </c>
    </row>
    <row r="1492" spans="1:8" x14ac:dyDescent="0.3">
      <c r="A1492" s="15"/>
      <c r="B1492" s="15"/>
      <c r="C1492" s="8" t="s">
        <v>13</v>
      </c>
      <c r="D1492" s="2">
        <v>29.88</v>
      </c>
      <c r="E1492" s="15"/>
      <c r="F1492" s="15"/>
      <c r="G1492" s="15"/>
      <c r="H1492" s="15"/>
    </row>
    <row r="1493" spans="1:8" x14ac:dyDescent="0.3">
      <c r="A1493" s="15"/>
      <c r="B1493" s="15"/>
      <c r="C1493" s="3" t="s">
        <v>17</v>
      </c>
      <c r="D1493" s="2">
        <v>47.53</v>
      </c>
      <c r="E1493" s="15"/>
      <c r="F1493" s="15"/>
      <c r="G1493" s="15"/>
      <c r="H1493" s="15"/>
    </row>
    <row r="1494" spans="1:8" x14ac:dyDescent="0.3">
      <c r="A1494" s="15"/>
      <c r="B1494" s="15"/>
      <c r="C1494" s="3" t="s">
        <v>9</v>
      </c>
      <c r="D1494" s="2">
        <v>40.99</v>
      </c>
      <c r="E1494" s="15"/>
      <c r="F1494" s="15"/>
      <c r="G1494" s="15"/>
      <c r="H1494" s="15"/>
    </row>
    <row r="1495" spans="1:8" x14ac:dyDescent="0.3">
      <c r="A1495" s="15"/>
      <c r="B1495" s="15"/>
      <c r="C1495" s="3" t="s">
        <v>8</v>
      </c>
      <c r="D1495" s="2">
        <v>63.96</v>
      </c>
      <c r="E1495" s="15"/>
      <c r="F1495" s="15"/>
      <c r="G1495" s="15"/>
      <c r="H1495" s="15"/>
    </row>
    <row r="1496" spans="1:8" x14ac:dyDescent="0.3">
      <c r="A1496" s="16"/>
      <c r="B1496" s="16"/>
      <c r="C1496" s="3" t="s">
        <v>14</v>
      </c>
      <c r="D1496" s="2">
        <v>25.97</v>
      </c>
      <c r="E1496" s="16"/>
      <c r="F1496" s="16"/>
      <c r="G1496" s="16"/>
      <c r="H1496" s="16"/>
    </row>
    <row r="1497" spans="1:8" x14ac:dyDescent="0.3">
      <c r="A1497" s="18">
        <v>250</v>
      </c>
      <c r="B1497" s="20">
        <v>44918</v>
      </c>
      <c r="C1497" s="3" t="s">
        <v>18</v>
      </c>
      <c r="D1497" s="7">
        <v>19.023</v>
      </c>
      <c r="E1497" s="19">
        <f>SUM(D1497:D1502)</f>
        <v>263.27300000000002</v>
      </c>
      <c r="F1497" s="17">
        <f>INT(MAX(D1497:D1502))</f>
        <v>65</v>
      </c>
      <c r="G1497" s="14">
        <f>INT((F1497/10)*2)</f>
        <v>13</v>
      </c>
      <c r="H1497" s="14">
        <f>F1497-G1497</f>
        <v>52</v>
      </c>
    </row>
    <row r="1498" spans="1:8" x14ac:dyDescent="0.3">
      <c r="A1498" s="15"/>
      <c r="B1498" s="15"/>
      <c r="C1498" s="8" t="s">
        <v>8</v>
      </c>
      <c r="D1498" s="2">
        <v>50.89</v>
      </c>
      <c r="E1498" s="15"/>
      <c r="F1498" s="15"/>
      <c r="G1498" s="15"/>
      <c r="H1498" s="15"/>
    </row>
    <row r="1499" spans="1:8" x14ac:dyDescent="0.3">
      <c r="A1499" s="15"/>
      <c r="B1499" s="15"/>
      <c r="C1499" s="3" t="s">
        <v>15</v>
      </c>
      <c r="D1499" s="2">
        <v>50.47</v>
      </c>
      <c r="E1499" s="15"/>
      <c r="F1499" s="15"/>
      <c r="G1499" s="15"/>
      <c r="H1499" s="15"/>
    </row>
    <row r="1500" spans="1:8" x14ac:dyDescent="0.3">
      <c r="A1500" s="15"/>
      <c r="B1500" s="15"/>
      <c r="C1500" s="3" t="s">
        <v>13</v>
      </c>
      <c r="D1500" s="2">
        <v>40.51</v>
      </c>
      <c r="E1500" s="15"/>
      <c r="F1500" s="15"/>
      <c r="G1500" s="15"/>
      <c r="H1500" s="15"/>
    </row>
    <row r="1501" spans="1:8" x14ac:dyDescent="0.3">
      <c r="A1501" s="15"/>
      <c r="B1501" s="15"/>
      <c r="C1501" s="3" t="s">
        <v>14</v>
      </c>
      <c r="D1501" s="2">
        <v>36.64</v>
      </c>
      <c r="E1501" s="15"/>
      <c r="F1501" s="15"/>
      <c r="G1501" s="15"/>
      <c r="H1501" s="15"/>
    </row>
    <row r="1502" spans="1:8" x14ac:dyDescent="0.3">
      <c r="A1502" s="16"/>
      <c r="B1502" s="16"/>
      <c r="C1502" s="3" t="s">
        <v>18</v>
      </c>
      <c r="D1502" s="2">
        <v>65.739999999999995</v>
      </c>
      <c r="E1502" s="16"/>
      <c r="F1502" s="16"/>
      <c r="G1502" s="16"/>
      <c r="H1502" s="16"/>
    </row>
    <row r="1503" spans="1:8" x14ac:dyDescent="0.3">
      <c r="A1503" s="18">
        <v>251</v>
      </c>
      <c r="B1503" s="20">
        <v>44922</v>
      </c>
      <c r="C1503" s="3" t="s">
        <v>11</v>
      </c>
      <c r="D1503" s="7">
        <v>81.14</v>
      </c>
      <c r="E1503" s="19">
        <f>SUM(D1503:D1508)</f>
        <v>283.19</v>
      </c>
      <c r="F1503" s="17">
        <f>INT(MAX(D1503:D1508))</f>
        <v>81</v>
      </c>
      <c r="G1503" s="14">
        <f>INT((F1503/10)*2)</f>
        <v>16</v>
      </c>
      <c r="H1503" s="14">
        <f>F1503-G1503</f>
        <v>65</v>
      </c>
    </row>
    <row r="1504" spans="1:8" x14ac:dyDescent="0.3">
      <c r="A1504" s="15"/>
      <c r="B1504" s="15"/>
      <c r="C1504" s="8" t="s">
        <v>15</v>
      </c>
      <c r="D1504" s="2">
        <v>59.45</v>
      </c>
      <c r="E1504" s="15"/>
      <c r="F1504" s="15"/>
      <c r="G1504" s="15"/>
      <c r="H1504" s="15"/>
    </row>
    <row r="1505" spans="1:8" x14ac:dyDescent="0.3">
      <c r="A1505" s="15"/>
      <c r="B1505" s="15"/>
      <c r="C1505" s="3" t="s">
        <v>16</v>
      </c>
      <c r="D1505" s="2">
        <v>25.23</v>
      </c>
      <c r="E1505" s="15"/>
      <c r="F1505" s="15"/>
      <c r="G1505" s="15"/>
      <c r="H1505" s="15"/>
    </row>
    <row r="1506" spans="1:8" x14ac:dyDescent="0.3">
      <c r="A1506" s="15"/>
      <c r="B1506" s="15"/>
      <c r="C1506" s="3" t="s">
        <v>18</v>
      </c>
      <c r="D1506" s="7">
        <v>6.64</v>
      </c>
      <c r="E1506" s="15"/>
      <c r="F1506" s="15"/>
      <c r="G1506" s="15"/>
      <c r="H1506" s="15"/>
    </row>
    <row r="1507" spans="1:8" x14ac:dyDescent="0.3">
      <c r="A1507" s="15"/>
      <c r="B1507" s="15"/>
      <c r="C1507" s="8" t="s">
        <v>8</v>
      </c>
      <c r="D1507" s="2">
        <v>78.36</v>
      </c>
      <c r="E1507" s="15"/>
      <c r="F1507" s="15"/>
      <c r="G1507" s="15"/>
      <c r="H1507" s="15"/>
    </row>
    <row r="1508" spans="1:8" x14ac:dyDescent="0.3">
      <c r="A1508" s="16"/>
      <c r="B1508" s="16"/>
      <c r="C1508" s="3" t="s">
        <v>11</v>
      </c>
      <c r="D1508" s="2">
        <v>32.369999999999997</v>
      </c>
      <c r="E1508" s="16"/>
      <c r="F1508" s="16"/>
      <c r="G1508" s="16"/>
      <c r="H1508" s="16"/>
    </row>
    <row r="1509" spans="1:8" x14ac:dyDescent="0.3">
      <c r="A1509" s="18">
        <v>252</v>
      </c>
      <c r="B1509" s="20">
        <v>44925</v>
      </c>
      <c r="C1509" s="3" t="s">
        <v>13</v>
      </c>
      <c r="D1509" s="2">
        <v>29.73</v>
      </c>
      <c r="E1509" s="19">
        <f>SUM(D1509:D1514)</f>
        <v>119.705</v>
      </c>
      <c r="F1509" s="17">
        <f>INT(MAX(D1509:D1514))</f>
        <v>31</v>
      </c>
      <c r="G1509" s="14">
        <f>INT((F1509/10)*2)</f>
        <v>6</v>
      </c>
      <c r="H1509" s="14">
        <f>F1509-G1509</f>
        <v>25</v>
      </c>
    </row>
    <row r="1510" spans="1:8" x14ac:dyDescent="0.3">
      <c r="A1510" s="15"/>
      <c r="B1510" s="15"/>
      <c r="C1510" s="3" t="s">
        <v>15</v>
      </c>
      <c r="D1510" s="2">
        <v>18.809999999999999</v>
      </c>
      <c r="E1510" s="15"/>
      <c r="F1510" s="15"/>
      <c r="G1510" s="15"/>
      <c r="H1510" s="15"/>
    </row>
    <row r="1511" spans="1:8" x14ac:dyDescent="0.3">
      <c r="A1511" s="15"/>
      <c r="B1511" s="15"/>
      <c r="C1511" s="3" t="s">
        <v>10</v>
      </c>
      <c r="D1511" s="2">
        <v>15.91</v>
      </c>
      <c r="E1511" s="15"/>
      <c r="F1511" s="15"/>
      <c r="G1511" s="15"/>
      <c r="H1511" s="15"/>
    </row>
    <row r="1512" spans="1:8" x14ac:dyDescent="0.3">
      <c r="A1512" s="15"/>
      <c r="B1512" s="15"/>
      <c r="C1512" s="3" t="s">
        <v>17</v>
      </c>
      <c r="D1512" s="7">
        <v>5.3150000000000004</v>
      </c>
      <c r="E1512" s="15"/>
      <c r="F1512" s="15"/>
      <c r="G1512" s="15"/>
      <c r="H1512" s="15"/>
    </row>
    <row r="1513" spans="1:8" x14ac:dyDescent="0.3">
      <c r="A1513" s="15"/>
      <c r="B1513" s="15"/>
      <c r="C1513" s="8" t="s">
        <v>8</v>
      </c>
      <c r="D1513" s="2">
        <v>18.940000000000001</v>
      </c>
      <c r="E1513" s="15"/>
      <c r="F1513" s="15"/>
      <c r="G1513" s="15"/>
      <c r="H1513" s="15"/>
    </row>
    <row r="1514" spans="1:8" x14ac:dyDescent="0.3">
      <c r="A1514" s="16"/>
      <c r="B1514" s="16"/>
      <c r="C1514" s="3" t="s">
        <v>15</v>
      </c>
      <c r="D1514" s="2">
        <v>31</v>
      </c>
      <c r="E1514" s="16"/>
      <c r="F1514" s="16"/>
      <c r="G1514" s="16"/>
      <c r="H1514" s="16"/>
    </row>
    <row r="1515" spans="1:8" x14ac:dyDescent="0.3">
      <c r="A1515" s="18">
        <v>253</v>
      </c>
      <c r="B1515" s="20">
        <v>44929</v>
      </c>
      <c r="C1515" s="3" t="s">
        <v>13</v>
      </c>
      <c r="D1515" s="2">
        <v>6.07</v>
      </c>
      <c r="E1515" s="19">
        <f>SUM(D1515:D1520)</f>
        <v>161.691</v>
      </c>
      <c r="F1515" s="17">
        <f>INT(MAX(D1515:D1520))</f>
        <v>113</v>
      </c>
      <c r="G1515" s="14">
        <f>INT((F1515/10)*2)</f>
        <v>22</v>
      </c>
      <c r="H1515" s="14">
        <f>F1515-G1515</f>
        <v>91</v>
      </c>
    </row>
    <row r="1516" spans="1:8" x14ac:dyDescent="0.3">
      <c r="A1516" s="15"/>
      <c r="B1516" s="15"/>
      <c r="C1516" s="3" t="s">
        <v>16</v>
      </c>
      <c r="D1516" s="7">
        <v>7.2930000000000001</v>
      </c>
      <c r="E1516" s="15"/>
      <c r="F1516" s="15"/>
      <c r="G1516" s="15"/>
      <c r="H1516" s="15"/>
    </row>
    <row r="1517" spans="1:8" x14ac:dyDescent="0.3">
      <c r="A1517" s="15"/>
      <c r="B1517" s="15"/>
      <c r="C1517" s="8" t="s">
        <v>12</v>
      </c>
      <c r="D1517" s="2">
        <v>14.39</v>
      </c>
      <c r="E1517" s="15"/>
      <c r="F1517" s="15"/>
      <c r="G1517" s="15"/>
      <c r="H1517" s="15"/>
    </row>
    <row r="1518" spans="1:8" x14ac:dyDescent="0.3">
      <c r="A1518" s="15"/>
      <c r="B1518" s="15"/>
      <c r="C1518" s="3" t="s">
        <v>14</v>
      </c>
      <c r="D1518" s="2">
        <v>4.8499999999999996</v>
      </c>
      <c r="E1518" s="15"/>
      <c r="F1518" s="15"/>
      <c r="G1518" s="15"/>
      <c r="H1518" s="15"/>
    </row>
    <row r="1519" spans="1:8" x14ac:dyDescent="0.3">
      <c r="A1519" s="15"/>
      <c r="B1519" s="15"/>
      <c r="C1519" s="3" t="s">
        <v>18</v>
      </c>
      <c r="D1519" s="7">
        <v>113.688</v>
      </c>
      <c r="E1519" s="15"/>
      <c r="F1519" s="15"/>
      <c r="G1519" s="15"/>
      <c r="H1519" s="15"/>
    </row>
    <row r="1520" spans="1:8" x14ac:dyDescent="0.3">
      <c r="A1520" s="16"/>
      <c r="B1520" s="16"/>
      <c r="C1520" s="8" t="s">
        <v>11</v>
      </c>
      <c r="D1520" s="2">
        <v>15.4</v>
      </c>
      <c r="E1520" s="16"/>
      <c r="F1520" s="16"/>
      <c r="G1520" s="16"/>
      <c r="H1520" s="16"/>
    </row>
    <row r="1521" spans="1:8" x14ac:dyDescent="0.3">
      <c r="A1521" s="18">
        <v>254</v>
      </c>
      <c r="B1521" s="20">
        <v>44932</v>
      </c>
      <c r="C1521" s="3" t="s">
        <v>18</v>
      </c>
      <c r="D1521" s="2">
        <v>49.44</v>
      </c>
      <c r="E1521" s="19">
        <f>SUM(D1521:D1526)</f>
        <v>93.983999999999995</v>
      </c>
      <c r="F1521" s="17">
        <f>INT(MAX(D1521:D1526))</f>
        <v>49</v>
      </c>
      <c r="G1521" s="14">
        <f>INT((F1521/10)*2)</f>
        <v>9</v>
      </c>
      <c r="H1521" s="14">
        <f>F1521-G1521</f>
        <v>40</v>
      </c>
    </row>
    <row r="1522" spans="1:8" x14ac:dyDescent="0.3">
      <c r="A1522" s="15"/>
      <c r="B1522" s="15"/>
      <c r="C1522" s="3" t="s">
        <v>15</v>
      </c>
      <c r="D1522" s="7">
        <v>13.843999999999999</v>
      </c>
      <c r="E1522" s="15"/>
      <c r="F1522" s="15"/>
      <c r="G1522" s="15"/>
      <c r="H1522" s="15"/>
    </row>
    <row r="1523" spans="1:8" x14ac:dyDescent="0.3">
      <c r="A1523" s="15"/>
      <c r="B1523" s="15"/>
      <c r="C1523" s="8" t="s">
        <v>17</v>
      </c>
      <c r="D1523" s="2">
        <v>14.92</v>
      </c>
      <c r="E1523" s="15"/>
      <c r="F1523" s="15"/>
      <c r="G1523" s="15"/>
      <c r="H1523" s="15"/>
    </row>
    <row r="1524" spans="1:8" x14ac:dyDescent="0.3">
      <c r="A1524" s="15"/>
      <c r="B1524" s="15"/>
      <c r="C1524" s="3" t="s">
        <v>15</v>
      </c>
      <c r="D1524" s="2">
        <v>6.31</v>
      </c>
      <c r="E1524" s="15"/>
      <c r="F1524" s="15"/>
      <c r="G1524" s="15"/>
      <c r="H1524" s="15"/>
    </row>
    <row r="1525" spans="1:8" x14ac:dyDescent="0.3">
      <c r="A1525" s="15"/>
      <c r="B1525" s="15"/>
      <c r="C1525" s="3" t="s">
        <v>10</v>
      </c>
      <c r="D1525" s="2">
        <v>6.52</v>
      </c>
      <c r="E1525" s="15"/>
      <c r="F1525" s="15"/>
      <c r="G1525" s="15"/>
      <c r="H1525" s="15"/>
    </row>
    <row r="1526" spans="1:8" x14ac:dyDescent="0.3">
      <c r="A1526" s="16"/>
      <c r="B1526" s="16"/>
      <c r="C1526" s="3" t="s">
        <v>16</v>
      </c>
      <c r="D1526" s="2">
        <v>2.95</v>
      </c>
      <c r="E1526" s="16"/>
      <c r="F1526" s="16"/>
      <c r="G1526" s="16"/>
      <c r="H1526" s="16"/>
    </row>
    <row r="1527" spans="1:8" x14ac:dyDescent="0.3">
      <c r="A1527" s="18">
        <v>255</v>
      </c>
      <c r="B1527" s="20">
        <v>44936</v>
      </c>
      <c r="C1527" s="3" t="s">
        <v>8</v>
      </c>
      <c r="D1527" s="7">
        <v>45.578000000000003</v>
      </c>
      <c r="E1527" s="19">
        <f>SUM(D1527:D1532)</f>
        <v>418.286</v>
      </c>
      <c r="F1527" s="17">
        <f>INT(MAX(D1527:D1532))</f>
        <v>133</v>
      </c>
      <c r="G1527" s="14">
        <f>INT((F1527/10)*2)</f>
        <v>26</v>
      </c>
      <c r="H1527" s="14">
        <f>F1527-G1527</f>
        <v>107</v>
      </c>
    </row>
    <row r="1528" spans="1:8" x14ac:dyDescent="0.3">
      <c r="A1528" s="15"/>
      <c r="B1528" s="15"/>
      <c r="C1528" s="8" t="s">
        <v>17</v>
      </c>
      <c r="D1528" s="2">
        <v>80</v>
      </c>
      <c r="E1528" s="15"/>
      <c r="F1528" s="15"/>
      <c r="G1528" s="15"/>
      <c r="H1528" s="15"/>
    </row>
    <row r="1529" spans="1:8" x14ac:dyDescent="0.3">
      <c r="A1529" s="15"/>
      <c r="B1529" s="15"/>
      <c r="C1529" s="3" t="s">
        <v>14</v>
      </c>
      <c r="D1529" s="2">
        <v>133.43</v>
      </c>
      <c r="E1529" s="15"/>
      <c r="F1529" s="15"/>
      <c r="G1529" s="15"/>
      <c r="H1529" s="15"/>
    </row>
    <row r="1530" spans="1:8" x14ac:dyDescent="0.3">
      <c r="A1530" s="15"/>
      <c r="B1530" s="15"/>
      <c r="C1530" s="3" t="s">
        <v>13</v>
      </c>
      <c r="D1530" s="2">
        <v>67.14</v>
      </c>
      <c r="E1530" s="15"/>
      <c r="F1530" s="15"/>
      <c r="G1530" s="15"/>
      <c r="H1530" s="15"/>
    </row>
    <row r="1531" spans="1:8" x14ac:dyDescent="0.3">
      <c r="A1531" s="15"/>
      <c r="B1531" s="15"/>
      <c r="C1531" s="3" t="s">
        <v>11</v>
      </c>
      <c r="D1531" s="7">
        <v>53.677999999999997</v>
      </c>
      <c r="E1531" s="15"/>
      <c r="F1531" s="15"/>
      <c r="G1531" s="15"/>
      <c r="H1531" s="15"/>
    </row>
    <row r="1532" spans="1:8" x14ac:dyDescent="0.3">
      <c r="A1532" s="16"/>
      <c r="B1532" s="16"/>
      <c r="C1532" s="8" t="s">
        <v>12</v>
      </c>
      <c r="D1532" s="2">
        <v>38.46</v>
      </c>
      <c r="E1532" s="16"/>
      <c r="F1532" s="16"/>
      <c r="G1532" s="16"/>
      <c r="H1532" s="16"/>
    </row>
    <row r="1533" spans="1:8" x14ac:dyDescent="0.3">
      <c r="A1533" s="18">
        <v>256</v>
      </c>
      <c r="B1533" s="20">
        <v>44939</v>
      </c>
      <c r="C1533" s="3" t="s">
        <v>8</v>
      </c>
      <c r="D1533" s="2">
        <v>48.14</v>
      </c>
      <c r="E1533" s="19">
        <f>SUM(D1533:D1538)</f>
        <v>245.64000000000001</v>
      </c>
      <c r="F1533" s="17">
        <f>INT(MAX(D1533:D1538))</f>
        <v>84</v>
      </c>
      <c r="G1533" s="14">
        <f>INT((F1533/10)*2)</f>
        <v>16</v>
      </c>
      <c r="H1533" s="14">
        <f>F1533-G1533</f>
        <v>68</v>
      </c>
    </row>
    <row r="1534" spans="1:8" x14ac:dyDescent="0.3">
      <c r="A1534" s="15"/>
      <c r="B1534" s="15"/>
      <c r="C1534" s="3" t="s">
        <v>9</v>
      </c>
      <c r="D1534" s="2">
        <v>84.2</v>
      </c>
      <c r="E1534" s="15"/>
      <c r="F1534" s="15"/>
      <c r="G1534" s="15"/>
      <c r="H1534" s="15"/>
    </row>
    <row r="1535" spans="1:8" x14ac:dyDescent="0.3">
      <c r="A1535" s="15"/>
      <c r="B1535" s="15"/>
      <c r="C1535" s="3" t="s">
        <v>13</v>
      </c>
      <c r="D1535" s="2">
        <v>48.73</v>
      </c>
      <c r="E1535" s="15"/>
      <c r="F1535" s="15"/>
      <c r="G1535" s="15"/>
      <c r="H1535" s="15"/>
    </row>
    <row r="1536" spans="1:8" x14ac:dyDescent="0.3">
      <c r="A1536" s="15"/>
      <c r="B1536" s="15"/>
      <c r="C1536" s="3" t="s">
        <v>17</v>
      </c>
      <c r="D1536" s="2">
        <v>26.09</v>
      </c>
      <c r="E1536" s="15"/>
      <c r="F1536" s="15"/>
      <c r="G1536" s="15"/>
      <c r="H1536" s="15"/>
    </row>
    <row r="1537" spans="1:8" x14ac:dyDescent="0.3">
      <c r="A1537" s="15"/>
      <c r="B1537" s="15"/>
      <c r="C1537" s="3" t="s">
        <v>10</v>
      </c>
      <c r="D1537" s="7">
        <v>23.24</v>
      </c>
      <c r="E1537" s="15"/>
      <c r="F1537" s="15"/>
      <c r="G1537" s="15"/>
      <c r="H1537" s="15"/>
    </row>
    <row r="1538" spans="1:8" x14ac:dyDescent="0.3">
      <c r="A1538" s="16"/>
      <c r="B1538" s="16"/>
      <c r="C1538" s="8" t="s">
        <v>9</v>
      </c>
      <c r="D1538" s="2">
        <v>15.24</v>
      </c>
      <c r="E1538" s="16"/>
      <c r="F1538" s="16"/>
      <c r="G1538" s="16"/>
      <c r="H1538" s="16"/>
    </row>
    <row r="1539" spans="1:8" x14ac:dyDescent="0.3">
      <c r="A1539" s="18">
        <v>257</v>
      </c>
      <c r="B1539" s="20">
        <v>44943</v>
      </c>
      <c r="C1539" s="3" t="s">
        <v>17</v>
      </c>
      <c r="D1539" s="2">
        <v>52.02</v>
      </c>
      <c r="E1539" s="19">
        <f>SUM(D1539:D1544)</f>
        <v>119.61900000000001</v>
      </c>
      <c r="F1539" s="17">
        <f>INT(MAX(D1539:D1544))</f>
        <v>52</v>
      </c>
      <c r="G1539" s="14">
        <f>INT((F1539/10)*2)</f>
        <v>10</v>
      </c>
      <c r="H1539" s="14">
        <f>F1539-G1539</f>
        <v>42</v>
      </c>
    </row>
    <row r="1540" spans="1:8" x14ac:dyDescent="0.3">
      <c r="A1540" s="15"/>
      <c r="B1540" s="15"/>
      <c r="C1540" s="3" t="s">
        <v>13</v>
      </c>
      <c r="D1540" s="7">
        <v>9.2750000000000004</v>
      </c>
      <c r="E1540" s="15"/>
      <c r="F1540" s="15"/>
      <c r="G1540" s="15"/>
      <c r="H1540" s="15"/>
    </row>
    <row r="1541" spans="1:8" x14ac:dyDescent="0.3">
      <c r="A1541" s="15"/>
      <c r="B1541" s="15"/>
      <c r="C1541" s="8" t="s">
        <v>10</v>
      </c>
      <c r="D1541" s="2">
        <v>26.48</v>
      </c>
      <c r="E1541" s="15"/>
      <c r="F1541" s="15"/>
      <c r="G1541" s="15"/>
      <c r="H1541" s="15"/>
    </row>
    <row r="1542" spans="1:8" x14ac:dyDescent="0.3">
      <c r="A1542" s="15"/>
      <c r="B1542" s="15"/>
      <c r="C1542" s="3" t="s">
        <v>15</v>
      </c>
      <c r="D1542" s="2">
        <v>5.84</v>
      </c>
      <c r="E1542" s="15"/>
      <c r="F1542" s="15"/>
      <c r="G1542" s="15"/>
      <c r="H1542" s="15"/>
    </row>
    <row r="1543" spans="1:8" x14ac:dyDescent="0.3">
      <c r="A1543" s="15"/>
      <c r="B1543" s="15"/>
      <c r="C1543" s="3" t="s">
        <v>17</v>
      </c>
      <c r="D1543" s="2">
        <v>18.48</v>
      </c>
      <c r="E1543" s="15"/>
      <c r="F1543" s="15"/>
      <c r="G1543" s="15"/>
      <c r="H1543" s="15"/>
    </row>
    <row r="1544" spans="1:8" x14ac:dyDescent="0.3">
      <c r="A1544" s="16"/>
      <c r="B1544" s="16"/>
      <c r="C1544" s="3" t="s">
        <v>11</v>
      </c>
      <c r="D1544" s="7">
        <v>7.524</v>
      </c>
      <c r="E1544" s="16"/>
      <c r="F1544" s="16"/>
      <c r="G1544" s="16"/>
      <c r="H1544" s="16"/>
    </row>
    <row r="1545" spans="1:8" x14ac:dyDescent="0.3">
      <c r="A1545" s="18">
        <v>258</v>
      </c>
      <c r="B1545" s="20">
        <v>44946</v>
      </c>
      <c r="C1545" s="8" t="s">
        <v>9</v>
      </c>
      <c r="D1545" s="2">
        <v>10.46</v>
      </c>
      <c r="E1545" s="19">
        <f>SUM(D1545:D1550)</f>
        <v>89.055999999999997</v>
      </c>
      <c r="F1545" s="17">
        <f>INT(MAX(D1545:D1550))</f>
        <v>33</v>
      </c>
      <c r="G1545" s="14">
        <f>INT((F1545/10)*2)</f>
        <v>6</v>
      </c>
      <c r="H1545" s="14">
        <f>F1545-G1545</f>
        <v>27</v>
      </c>
    </row>
    <row r="1546" spans="1:8" x14ac:dyDescent="0.3">
      <c r="A1546" s="15"/>
      <c r="B1546" s="15"/>
      <c r="C1546" s="3" t="s">
        <v>15</v>
      </c>
      <c r="D1546" s="2">
        <v>10.55</v>
      </c>
      <c r="E1546" s="15"/>
      <c r="F1546" s="15"/>
      <c r="G1546" s="15"/>
      <c r="H1546" s="15"/>
    </row>
    <row r="1547" spans="1:8" x14ac:dyDescent="0.3">
      <c r="A1547" s="15"/>
      <c r="B1547" s="15"/>
      <c r="C1547" s="3" t="s">
        <v>17</v>
      </c>
      <c r="D1547" s="2">
        <v>9.8000000000000007</v>
      </c>
      <c r="E1547" s="15"/>
      <c r="F1547" s="15"/>
      <c r="G1547" s="15"/>
      <c r="H1547" s="15"/>
    </row>
    <row r="1548" spans="1:8" x14ac:dyDescent="0.3">
      <c r="A1548" s="15"/>
      <c r="B1548" s="15"/>
      <c r="C1548" s="3" t="s">
        <v>14</v>
      </c>
      <c r="D1548" s="2">
        <v>9.77</v>
      </c>
      <c r="E1548" s="15"/>
      <c r="F1548" s="15"/>
      <c r="G1548" s="15"/>
      <c r="H1548" s="15"/>
    </row>
    <row r="1549" spans="1:8" x14ac:dyDescent="0.3">
      <c r="A1549" s="15"/>
      <c r="B1549" s="15"/>
      <c r="C1549" s="3" t="s">
        <v>10</v>
      </c>
      <c r="D1549" s="2">
        <v>14.9</v>
      </c>
      <c r="E1549" s="15"/>
      <c r="F1549" s="15"/>
      <c r="G1549" s="15"/>
      <c r="H1549" s="15"/>
    </row>
    <row r="1550" spans="1:8" x14ac:dyDescent="0.3">
      <c r="A1550" s="16"/>
      <c r="B1550" s="16"/>
      <c r="C1550" s="3" t="s">
        <v>16</v>
      </c>
      <c r="D1550" s="7">
        <v>33.576000000000001</v>
      </c>
      <c r="E1550" s="16"/>
      <c r="F1550" s="16"/>
      <c r="G1550" s="16"/>
      <c r="H1550" s="16"/>
    </row>
    <row r="1551" spans="1:8" x14ac:dyDescent="0.3">
      <c r="A1551" s="18">
        <v>259</v>
      </c>
      <c r="B1551" s="20">
        <v>44950</v>
      </c>
      <c r="C1551" s="8" t="s">
        <v>15</v>
      </c>
      <c r="D1551" s="2">
        <v>25.68</v>
      </c>
      <c r="E1551" s="19">
        <f>SUM(D1551:D1556)</f>
        <v>141.71199999999999</v>
      </c>
      <c r="F1551" s="17">
        <f>INT(MAX(D1551:D1556))</f>
        <v>36</v>
      </c>
      <c r="G1551" s="14">
        <f>INT((F1551/10)*2)</f>
        <v>7</v>
      </c>
      <c r="H1551" s="14">
        <f>F1551-G1551</f>
        <v>29</v>
      </c>
    </row>
    <row r="1552" spans="1:8" x14ac:dyDescent="0.3">
      <c r="A1552" s="15"/>
      <c r="B1552" s="15"/>
      <c r="C1552" s="3" t="s">
        <v>10</v>
      </c>
      <c r="D1552" s="2">
        <v>9.17</v>
      </c>
      <c r="E1552" s="15"/>
      <c r="F1552" s="15"/>
      <c r="G1552" s="15"/>
      <c r="H1552" s="15"/>
    </row>
    <row r="1553" spans="1:8" x14ac:dyDescent="0.3">
      <c r="A1553" s="15"/>
      <c r="B1553" s="15"/>
      <c r="C1553" s="3" t="s">
        <v>16</v>
      </c>
      <c r="D1553" s="2">
        <v>29.6</v>
      </c>
      <c r="E1553" s="15"/>
      <c r="F1553" s="15"/>
      <c r="G1553" s="15"/>
      <c r="H1553" s="15"/>
    </row>
    <row r="1554" spans="1:8" x14ac:dyDescent="0.3">
      <c r="A1554" s="15"/>
      <c r="B1554" s="15"/>
      <c r="C1554" s="3" t="s">
        <v>12</v>
      </c>
      <c r="D1554" s="2">
        <v>15.2</v>
      </c>
      <c r="E1554" s="15"/>
      <c r="F1554" s="15"/>
      <c r="G1554" s="15"/>
      <c r="H1554" s="15"/>
    </row>
    <row r="1555" spans="1:8" x14ac:dyDescent="0.3">
      <c r="A1555" s="15"/>
      <c r="B1555" s="15"/>
      <c r="C1555" s="3" t="s">
        <v>18</v>
      </c>
      <c r="D1555" s="2">
        <v>36.799999999999997</v>
      </c>
      <c r="E1555" s="15"/>
      <c r="F1555" s="15"/>
      <c r="G1555" s="15"/>
      <c r="H1555" s="15"/>
    </row>
    <row r="1556" spans="1:8" x14ac:dyDescent="0.3">
      <c r="A1556" s="16"/>
      <c r="B1556" s="16"/>
      <c r="C1556" s="3" t="s">
        <v>14</v>
      </c>
      <c r="D1556" s="7">
        <v>25.262</v>
      </c>
      <c r="E1556" s="16"/>
      <c r="F1556" s="16"/>
      <c r="G1556" s="16"/>
      <c r="H1556" s="16"/>
    </row>
    <row r="1557" spans="1:8" x14ac:dyDescent="0.3">
      <c r="A1557" s="18">
        <v>260</v>
      </c>
      <c r="B1557" s="20">
        <v>44953</v>
      </c>
      <c r="C1557" s="8" t="s">
        <v>15</v>
      </c>
      <c r="D1557" s="2">
        <v>13</v>
      </c>
      <c r="E1557" s="19">
        <f>SUM(D1557:D1562)</f>
        <v>143.114</v>
      </c>
      <c r="F1557" s="17">
        <f>INT(MAX(D1557:D1562))</f>
        <v>43</v>
      </c>
      <c r="G1557" s="14">
        <f>INT((F1557/10)*2)</f>
        <v>8</v>
      </c>
      <c r="H1557" s="14">
        <f>F1557-G1557</f>
        <v>35</v>
      </c>
    </row>
    <row r="1558" spans="1:8" x14ac:dyDescent="0.3">
      <c r="A1558" s="15"/>
      <c r="B1558" s="15"/>
      <c r="C1558" s="3" t="s">
        <v>8</v>
      </c>
      <c r="D1558" s="2">
        <v>22.46</v>
      </c>
      <c r="E1558" s="15"/>
      <c r="F1558" s="15"/>
      <c r="G1558" s="15"/>
      <c r="H1558" s="15"/>
    </row>
    <row r="1559" spans="1:8" x14ac:dyDescent="0.3">
      <c r="A1559" s="15"/>
      <c r="B1559" s="15"/>
      <c r="C1559" s="3" t="s">
        <v>11</v>
      </c>
      <c r="D1559" s="2">
        <v>8.58</v>
      </c>
      <c r="E1559" s="15"/>
      <c r="F1559" s="15"/>
      <c r="G1559" s="15"/>
      <c r="H1559" s="15"/>
    </row>
    <row r="1560" spans="1:8" x14ac:dyDescent="0.3">
      <c r="A1560" s="15"/>
      <c r="B1560" s="15"/>
      <c r="C1560" s="3" t="s">
        <v>10</v>
      </c>
      <c r="D1560" s="7">
        <v>32.764000000000003</v>
      </c>
      <c r="E1560" s="15"/>
      <c r="F1560" s="15"/>
      <c r="G1560" s="15"/>
      <c r="H1560" s="15"/>
    </row>
    <row r="1561" spans="1:8" x14ac:dyDescent="0.3">
      <c r="A1561" s="15"/>
      <c r="B1561" s="15"/>
      <c r="C1561" s="8" t="s">
        <v>18</v>
      </c>
      <c r="D1561" s="2">
        <v>43.54</v>
      </c>
      <c r="E1561" s="15"/>
      <c r="F1561" s="15"/>
      <c r="G1561" s="15"/>
      <c r="H1561" s="15"/>
    </row>
    <row r="1562" spans="1:8" x14ac:dyDescent="0.3">
      <c r="A1562" s="16"/>
      <c r="B1562" s="16"/>
      <c r="C1562" s="3" t="s">
        <v>14</v>
      </c>
      <c r="D1562" s="2">
        <v>22.77</v>
      </c>
      <c r="E1562" s="16"/>
      <c r="F1562" s="16"/>
      <c r="G1562" s="16"/>
      <c r="H1562" s="16"/>
    </row>
    <row r="1563" spans="1:8" x14ac:dyDescent="0.3">
      <c r="A1563" s="18">
        <v>261</v>
      </c>
      <c r="B1563" s="20">
        <v>44957</v>
      </c>
      <c r="C1563" s="3" t="s">
        <v>16</v>
      </c>
      <c r="D1563" s="2">
        <v>30.36</v>
      </c>
      <c r="E1563" s="19">
        <f>SUM(D1563:D1568)</f>
        <v>148.29300000000001</v>
      </c>
      <c r="F1563" s="17">
        <f>INT(MAX(D1563:D1568))</f>
        <v>33</v>
      </c>
      <c r="G1563" s="14">
        <f>INT((F1563/10)*2)</f>
        <v>6</v>
      </c>
      <c r="H1563" s="14">
        <f>F1563-G1563</f>
        <v>27</v>
      </c>
    </row>
    <row r="1564" spans="1:8" x14ac:dyDescent="0.3">
      <c r="A1564" s="15"/>
      <c r="B1564" s="15"/>
      <c r="C1564" s="3" t="s">
        <v>17</v>
      </c>
      <c r="D1564" s="2">
        <v>31.26</v>
      </c>
      <c r="E1564" s="15"/>
      <c r="F1564" s="15"/>
      <c r="G1564" s="15"/>
      <c r="H1564" s="15"/>
    </row>
    <row r="1565" spans="1:8" x14ac:dyDescent="0.3">
      <c r="A1565" s="15"/>
      <c r="B1565" s="15"/>
      <c r="C1565" s="3" t="s">
        <v>8</v>
      </c>
      <c r="D1565" s="2">
        <v>33.51</v>
      </c>
      <c r="E1565" s="15"/>
      <c r="F1565" s="15"/>
      <c r="G1565" s="15"/>
      <c r="H1565" s="15"/>
    </row>
    <row r="1566" spans="1:8" x14ac:dyDescent="0.3">
      <c r="A1566" s="15"/>
      <c r="B1566" s="15"/>
      <c r="C1566" s="3" t="s">
        <v>10</v>
      </c>
      <c r="D1566" s="7">
        <v>6.3330000000000002</v>
      </c>
      <c r="E1566" s="15"/>
      <c r="F1566" s="15"/>
      <c r="G1566" s="15"/>
      <c r="H1566" s="15"/>
    </row>
    <row r="1567" spans="1:8" x14ac:dyDescent="0.3">
      <c r="A1567" s="15"/>
      <c r="B1567" s="15"/>
      <c r="C1567" s="8" t="s">
        <v>16</v>
      </c>
      <c r="D1567" s="2">
        <v>32.119999999999997</v>
      </c>
      <c r="E1567" s="15"/>
      <c r="F1567" s="15"/>
      <c r="G1567" s="15"/>
      <c r="H1567" s="15"/>
    </row>
    <row r="1568" spans="1:8" x14ac:dyDescent="0.3">
      <c r="A1568" s="16"/>
      <c r="B1568" s="16"/>
      <c r="C1568" s="3" t="s">
        <v>9</v>
      </c>
      <c r="D1568" s="2">
        <v>14.71</v>
      </c>
      <c r="E1568" s="16"/>
      <c r="F1568" s="16"/>
      <c r="G1568" s="16"/>
      <c r="H1568" s="16"/>
    </row>
    <row r="1569" spans="1:8" x14ac:dyDescent="0.3">
      <c r="A1569" s="18">
        <v>262</v>
      </c>
      <c r="B1569" s="20">
        <v>44960</v>
      </c>
      <c r="C1569" s="3" t="s">
        <v>13</v>
      </c>
      <c r="D1569" s="2">
        <v>12.08</v>
      </c>
      <c r="E1569" s="19">
        <f>SUM(D1569:D1574)</f>
        <v>249.85399999999998</v>
      </c>
      <c r="F1569" s="17">
        <f>INT(MAX(D1569:D1574))</f>
        <v>111</v>
      </c>
      <c r="G1569" s="14">
        <f>INT((F1569/10)*2)</f>
        <v>22</v>
      </c>
      <c r="H1569" s="14">
        <f>F1569-G1569</f>
        <v>89</v>
      </c>
    </row>
    <row r="1570" spans="1:8" x14ac:dyDescent="0.3">
      <c r="A1570" s="15"/>
      <c r="B1570" s="15"/>
      <c r="C1570" s="3" t="s">
        <v>18</v>
      </c>
      <c r="D1570" s="2">
        <v>30.97</v>
      </c>
      <c r="E1570" s="15"/>
      <c r="F1570" s="15"/>
      <c r="G1570" s="15"/>
      <c r="H1570" s="15"/>
    </row>
    <row r="1571" spans="1:8" x14ac:dyDescent="0.3">
      <c r="A1571" s="15"/>
      <c r="B1571" s="15"/>
      <c r="C1571" s="3" t="s">
        <v>11</v>
      </c>
      <c r="D1571" s="7">
        <v>49.4</v>
      </c>
      <c r="E1571" s="15"/>
      <c r="F1571" s="15"/>
      <c r="G1571" s="15"/>
      <c r="H1571" s="15"/>
    </row>
    <row r="1572" spans="1:8" x14ac:dyDescent="0.3">
      <c r="A1572" s="15"/>
      <c r="B1572" s="15"/>
      <c r="C1572" s="8" t="s">
        <v>14</v>
      </c>
      <c r="D1572" s="2">
        <v>30.83</v>
      </c>
      <c r="E1572" s="15"/>
      <c r="F1572" s="15"/>
      <c r="G1572" s="15"/>
      <c r="H1572" s="15"/>
    </row>
    <row r="1573" spans="1:8" x14ac:dyDescent="0.3">
      <c r="A1573" s="15"/>
      <c r="B1573" s="15"/>
      <c r="C1573" s="3" t="s">
        <v>9</v>
      </c>
      <c r="D1573" s="2">
        <v>111.3</v>
      </c>
      <c r="E1573" s="15"/>
      <c r="F1573" s="15"/>
      <c r="G1573" s="15"/>
      <c r="H1573" s="15"/>
    </row>
    <row r="1574" spans="1:8" x14ac:dyDescent="0.3">
      <c r="A1574" s="16"/>
      <c r="B1574" s="16"/>
      <c r="C1574" s="3" t="s">
        <v>11</v>
      </c>
      <c r="D1574" s="7">
        <v>15.273999999999999</v>
      </c>
      <c r="E1574" s="16"/>
      <c r="F1574" s="16"/>
      <c r="G1574" s="16"/>
      <c r="H1574" s="16"/>
    </row>
    <row r="1575" spans="1:8" x14ac:dyDescent="0.3">
      <c r="A1575" s="18">
        <v>263</v>
      </c>
      <c r="B1575" s="20">
        <v>44964</v>
      </c>
      <c r="C1575" s="8" t="s">
        <v>12</v>
      </c>
      <c r="D1575" s="2">
        <v>23.27</v>
      </c>
      <c r="E1575" s="19">
        <f>SUM(D1575:D1580)</f>
        <v>164.08600000000001</v>
      </c>
      <c r="F1575" s="17">
        <f>INT(MAX(D1575:D1580))</f>
        <v>54</v>
      </c>
      <c r="G1575" s="14">
        <f>INT((F1575/10)*2)</f>
        <v>10</v>
      </c>
      <c r="H1575" s="14">
        <f>F1575-G1575</f>
        <v>44</v>
      </c>
    </row>
    <row r="1576" spans="1:8" x14ac:dyDescent="0.3">
      <c r="A1576" s="15"/>
      <c r="B1576" s="15"/>
      <c r="C1576" s="3" t="s">
        <v>8</v>
      </c>
      <c r="D1576" s="2">
        <v>31.29</v>
      </c>
      <c r="E1576" s="15"/>
      <c r="F1576" s="15"/>
      <c r="G1576" s="15"/>
      <c r="H1576" s="15"/>
    </row>
    <row r="1577" spans="1:8" x14ac:dyDescent="0.3">
      <c r="A1577" s="15"/>
      <c r="B1577" s="15"/>
      <c r="C1577" s="3" t="s">
        <v>15</v>
      </c>
      <c r="D1577" s="2">
        <v>29.38</v>
      </c>
      <c r="E1577" s="15"/>
      <c r="F1577" s="15"/>
      <c r="G1577" s="15"/>
      <c r="H1577" s="15"/>
    </row>
    <row r="1578" spans="1:8" x14ac:dyDescent="0.3">
      <c r="A1578" s="15"/>
      <c r="B1578" s="15"/>
      <c r="C1578" s="3" t="s">
        <v>9</v>
      </c>
      <c r="D1578" s="2">
        <v>12.75</v>
      </c>
      <c r="E1578" s="15"/>
      <c r="F1578" s="15"/>
      <c r="G1578" s="15"/>
      <c r="H1578" s="15"/>
    </row>
    <row r="1579" spans="1:8" x14ac:dyDescent="0.3">
      <c r="A1579" s="15"/>
      <c r="B1579" s="15"/>
      <c r="C1579" s="3" t="s">
        <v>18</v>
      </c>
      <c r="D1579" s="2">
        <v>12.48</v>
      </c>
      <c r="E1579" s="15"/>
      <c r="F1579" s="15"/>
      <c r="G1579" s="15"/>
      <c r="H1579" s="15"/>
    </row>
    <row r="1580" spans="1:8" x14ac:dyDescent="0.3">
      <c r="A1580" s="16"/>
      <c r="B1580" s="16"/>
      <c r="C1580" s="3" t="s">
        <v>10</v>
      </c>
      <c r="D1580" s="7">
        <v>54.915999999999997</v>
      </c>
      <c r="E1580" s="16"/>
      <c r="F1580" s="16"/>
      <c r="G1580" s="16"/>
      <c r="H1580" s="16"/>
    </row>
    <row r="1581" spans="1:8" x14ac:dyDescent="0.3">
      <c r="A1581" s="18">
        <v>264</v>
      </c>
      <c r="B1581" s="20">
        <v>44967</v>
      </c>
      <c r="C1581" s="8" t="s">
        <v>13</v>
      </c>
      <c r="D1581" s="2">
        <v>37.020000000000003</v>
      </c>
      <c r="E1581" s="19">
        <f>SUM(D1581:D1586)</f>
        <v>186.59900000000002</v>
      </c>
      <c r="F1581" s="17">
        <f>INT(MAX(D1581:D1586))</f>
        <v>37</v>
      </c>
      <c r="G1581" s="14">
        <f>INT((F1581/10)*2)</f>
        <v>7</v>
      </c>
      <c r="H1581" s="14">
        <f>F1581-G1581</f>
        <v>30</v>
      </c>
    </row>
    <row r="1582" spans="1:8" x14ac:dyDescent="0.3">
      <c r="A1582" s="15"/>
      <c r="B1582" s="15"/>
      <c r="C1582" s="3" t="s">
        <v>11</v>
      </c>
      <c r="D1582" s="2">
        <v>37.18</v>
      </c>
      <c r="E1582" s="15"/>
      <c r="F1582" s="15"/>
      <c r="G1582" s="15"/>
      <c r="H1582" s="15"/>
    </row>
    <row r="1583" spans="1:8" x14ac:dyDescent="0.3">
      <c r="A1583" s="15"/>
      <c r="B1583" s="15"/>
      <c r="C1583" s="3" t="s">
        <v>12</v>
      </c>
      <c r="D1583" s="2">
        <v>32.81</v>
      </c>
      <c r="E1583" s="15"/>
      <c r="F1583" s="15"/>
      <c r="G1583" s="15"/>
      <c r="H1583" s="15"/>
    </row>
    <row r="1584" spans="1:8" x14ac:dyDescent="0.3">
      <c r="A1584" s="15"/>
      <c r="B1584" s="15"/>
      <c r="C1584" s="3" t="s">
        <v>17</v>
      </c>
      <c r="D1584" s="7">
        <v>22.949000000000002</v>
      </c>
      <c r="E1584" s="15"/>
      <c r="F1584" s="15"/>
      <c r="G1584" s="15"/>
      <c r="H1584" s="15"/>
    </row>
    <row r="1585" spans="1:8" x14ac:dyDescent="0.3">
      <c r="A1585" s="15"/>
      <c r="B1585" s="15"/>
      <c r="C1585" s="8" t="s">
        <v>13</v>
      </c>
      <c r="D1585" s="2">
        <v>26.61</v>
      </c>
      <c r="E1585" s="15"/>
      <c r="F1585" s="15"/>
      <c r="G1585" s="15"/>
      <c r="H1585" s="15"/>
    </row>
    <row r="1586" spans="1:8" x14ac:dyDescent="0.3">
      <c r="A1586" s="16"/>
      <c r="B1586" s="16"/>
      <c r="C1586" s="3" t="s">
        <v>15</v>
      </c>
      <c r="D1586" s="2">
        <v>30.03</v>
      </c>
      <c r="E1586" s="16"/>
      <c r="F1586" s="16"/>
      <c r="G1586" s="16"/>
      <c r="H1586" s="16"/>
    </row>
    <row r="1587" spans="1:8" x14ac:dyDescent="0.3">
      <c r="A1587" s="18">
        <v>265</v>
      </c>
      <c r="B1587" s="20">
        <v>44971</v>
      </c>
      <c r="C1587" s="3" t="s">
        <v>14</v>
      </c>
      <c r="D1587" s="2">
        <v>15.27</v>
      </c>
      <c r="E1587" s="19">
        <f>SUM(D1587:D1592)</f>
        <v>201.54099999999997</v>
      </c>
      <c r="F1587" s="17">
        <f>INT(MAX(D1587:D1592))</f>
        <v>54</v>
      </c>
      <c r="G1587" s="14">
        <f>INT((F1587/10)*2)</f>
        <v>10</v>
      </c>
      <c r="H1587" s="14">
        <f>F1587-G1587</f>
        <v>44</v>
      </c>
    </row>
    <row r="1588" spans="1:8" x14ac:dyDescent="0.3">
      <c r="A1588" s="15"/>
      <c r="B1588" s="15"/>
      <c r="C1588" s="3" t="s">
        <v>8</v>
      </c>
      <c r="D1588" s="7">
        <v>33.680999999999997</v>
      </c>
      <c r="E1588" s="15"/>
      <c r="F1588" s="15"/>
      <c r="G1588" s="15"/>
      <c r="H1588" s="15"/>
    </row>
    <row r="1589" spans="1:8" x14ac:dyDescent="0.3">
      <c r="A1589" s="15"/>
      <c r="B1589" s="15"/>
      <c r="C1589" s="8" t="s">
        <v>14</v>
      </c>
      <c r="D1589" s="2">
        <v>15.74</v>
      </c>
      <c r="E1589" s="15"/>
      <c r="F1589" s="15"/>
      <c r="G1589" s="15"/>
      <c r="H1589" s="15"/>
    </row>
    <row r="1590" spans="1:8" x14ac:dyDescent="0.3">
      <c r="A1590" s="15"/>
      <c r="B1590" s="15"/>
      <c r="C1590" s="3" t="s">
        <v>10</v>
      </c>
      <c r="D1590" s="2">
        <v>30.01</v>
      </c>
      <c r="E1590" s="15"/>
      <c r="F1590" s="15"/>
      <c r="G1590" s="15"/>
      <c r="H1590" s="15"/>
    </row>
    <row r="1591" spans="1:8" x14ac:dyDescent="0.3">
      <c r="A1591" s="15"/>
      <c r="B1591" s="15"/>
      <c r="C1591" s="3" t="s">
        <v>17</v>
      </c>
      <c r="D1591" s="2">
        <v>52.55</v>
      </c>
      <c r="E1591" s="15"/>
      <c r="F1591" s="15"/>
      <c r="G1591" s="15"/>
      <c r="H1591" s="15"/>
    </row>
    <row r="1592" spans="1:8" x14ac:dyDescent="0.3">
      <c r="A1592" s="16"/>
      <c r="B1592" s="16"/>
      <c r="C1592" s="3" t="s">
        <v>15</v>
      </c>
      <c r="D1592" s="2">
        <v>54.29</v>
      </c>
      <c r="E1592" s="16"/>
      <c r="F1592" s="16"/>
      <c r="G1592" s="16"/>
      <c r="H1592" s="16"/>
    </row>
    <row r="1593" spans="1:8" x14ac:dyDescent="0.3">
      <c r="A1593" s="18">
        <v>266</v>
      </c>
      <c r="B1593" s="20">
        <v>44974</v>
      </c>
      <c r="C1593" s="3" t="s">
        <v>16</v>
      </c>
      <c r="D1593" s="2">
        <v>69.97</v>
      </c>
      <c r="E1593" s="19">
        <f>SUM(D1593:D1598)</f>
        <v>228.18199999999999</v>
      </c>
      <c r="F1593" s="17">
        <f>INT(MAX(D1593:D1598))</f>
        <v>69</v>
      </c>
      <c r="G1593" s="14">
        <f>INT((F1593/10)*2)</f>
        <v>13</v>
      </c>
      <c r="H1593" s="14">
        <f>F1593-G1593</f>
        <v>56</v>
      </c>
    </row>
    <row r="1594" spans="1:8" x14ac:dyDescent="0.3">
      <c r="A1594" s="15"/>
      <c r="B1594" s="15"/>
      <c r="C1594" s="3" t="s">
        <v>13</v>
      </c>
      <c r="D1594" s="7">
        <v>16.393999999999998</v>
      </c>
      <c r="E1594" s="15"/>
      <c r="F1594" s="15"/>
      <c r="G1594" s="15"/>
      <c r="H1594" s="15"/>
    </row>
    <row r="1595" spans="1:8" x14ac:dyDescent="0.3">
      <c r="A1595" s="15"/>
      <c r="B1595" s="15"/>
      <c r="C1595" s="8" t="s">
        <v>18</v>
      </c>
      <c r="D1595" s="2">
        <v>17.32</v>
      </c>
      <c r="E1595" s="15"/>
      <c r="F1595" s="15"/>
      <c r="G1595" s="15"/>
      <c r="H1595" s="15"/>
    </row>
    <row r="1596" spans="1:8" x14ac:dyDescent="0.3">
      <c r="A1596" s="15"/>
      <c r="B1596" s="15"/>
      <c r="C1596" s="3" t="s">
        <v>14</v>
      </c>
      <c r="D1596" s="2">
        <v>27.18</v>
      </c>
      <c r="E1596" s="15"/>
      <c r="F1596" s="15"/>
      <c r="G1596" s="15"/>
      <c r="H1596" s="15"/>
    </row>
    <row r="1597" spans="1:8" x14ac:dyDescent="0.3">
      <c r="A1597" s="15"/>
      <c r="B1597" s="15"/>
      <c r="C1597" s="3" t="s">
        <v>15</v>
      </c>
      <c r="D1597" s="2">
        <v>35.32</v>
      </c>
      <c r="E1597" s="15"/>
      <c r="F1597" s="15"/>
      <c r="G1597" s="15"/>
      <c r="H1597" s="15"/>
    </row>
    <row r="1598" spans="1:8" x14ac:dyDescent="0.3">
      <c r="A1598" s="16"/>
      <c r="B1598" s="16"/>
      <c r="C1598" s="3" t="s">
        <v>8</v>
      </c>
      <c r="D1598" s="7">
        <v>61.997999999999998</v>
      </c>
      <c r="E1598" s="16"/>
      <c r="F1598" s="16"/>
      <c r="G1598" s="16"/>
      <c r="H1598" s="16"/>
    </row>
    <row r="1599" spans="1:8" x14ac:dyDescent="0.3">
      <c r="A1599" s="18">
        <v>267</v>
      </c>
      <c r="B1599" s="20">
        <v>44978</v>
      </c>
      <c r="C1599" s="8" t="s">
        <v>9</v>
      </c>
      <c r="D1599" s="2">
        <v>35.56</v>
      </c>
      <c r="E1599" s="19">
        <f>SUM(D1599:D1604)</f>
        <v>278.86699999999996</v>
      </c>
      <c r="F1599" s="17">
        <f>INT(MAX(D1599:D1604))</f>
        <v>90</v>
      </c>
      <c r="G1599" s="14">
        <f>INT((F1599/10)*2)</f>
        <v>18</v>
      </c>
      <c r="H1599" s="14">
        <f>F1599-G1599</f>
        <v>72</v>
      </c>
    </row>
    <row r="1600" spans="1:8" x14ac:dyDescent="0.3">
      <c r="A1600" s="15"/>
      <c r="B1600" s="15"/>
      <c r="C1600" s="3" t="s">
        <v>14</v>
      </c>
      <c r="D1600" s="2">
        <v>43.88</v>
      </c>
      <c r="E1600" s="15"/>
      <c r="F1600" s="15"/>
      <c r="G1600" s="15"/>
      <c r="H1600" s="15"/>
    </row>
    <row r="1601" spans="1:8" x14ac:dyDescent="0.3">
      <c r="A1601" s="15"/>
      <c r="B1601" s="15"/>
      <c r="C1601" s="3" t="s">
        <v>12</v>
      </c>
      <c r="D1601" s="2">
        <v>40.99</v>
      </c>
      <c r="E1601" s="15"/>
      <c r="F1601" s="15"/>
      <c r="G1601" s="15"/>
      <c r="H1601" s="15"/>
    </row>
    <row r="1602" spans="1:8" x14ac:dyDescent="0.3">
      <c r="A1602" s="15"/>
      <c r="B1602" s="15"/>
      <c r="C1602" s="3" t="s">
        <v>17</v>
      </c>
      <c r="D1602" s="7">
        <v>7.7670000000000003</v>
      </c>
      <c r="E1602" s="15"/>
      <c r="F1602" s="15"/>
      <c r="G1602" s="15"/>
      <c r="H1602" s="15"/>
    </row>
    <row r="1603" spans="1:8" x14ac:dyDescent="0.3">
      <c r="A1603" s="15"/>
      <c r="B1603" s="15"/>
      <c r="C1603" s="8" t="s">
        <v>8</v>
      </c>
      <c r="D1603" s="2">
        <v>60.29</v>
      </c>
      <c r="E1603" s="15"/>
      <c r="F1603" s="15"/>
      <c r="G1603" s="15"/>
      <c r="H1603" s="15"/>
    </row>
    <row r="1604" spans="1:8" x14ac:dyDescent="0.3">
      <c r="A1604" s="16"/>
      <c r="B1604" s="16"/>
      <c r="C1604" s="3" t="s">
        <v>11</v>
      </c>
      <c r="D1604" s="2">
        <v>90.38</v>
      </c>
      <c r="E1604" s="16"/>
      <c r="F1604" s="16"/>
      <c r="G1604" s="16"/>
      <c r="H1604" s="16"/>
    </row>
    <row r="1605" spans="1:8" x14ac:dyDescent="0.3">
      <c r="A1605" s="18">
        <v>268</v>
      </c>
      <c r="B1605" s="20">
        <v>44981</v>
      </c>
      <c r="C1605" s="3" t="s">
        <v>13</v>
      </c>
      <c r="D1605" s="2">
        <v>33.33</v>
      </c>
      <c r="E1605" s="19">
        <f>SUM(D1605:D1610)</f>
        <v>89.933999999999983</v>
      </c>
      <c r="F1605" s="17">
        <f>INT(MAX(D1605:D1610))</f>
        <v>33</v>
      </c>
      <c r="G1605" s="14">
        <f>INT((F1605/10)*2)</f>
        <v>6</v>
      </c>
      <c r="H1605" s="14">
        <f>F1605-G1605</f>
        <v>27</v>
      </c>
    </row>
    <row r="1606" spans="1:8" x14ac:dyDescent="0.3">
      <c r="A1606" s="15"/>
      <c r="B1606" s="15"/>
      <c r="C1606" s="3" t="s">
        <v>9</v>
      </c>
      <c r="D1606" s="7">
        <v>5.2539999999999996</v>
      </c>
      <c r="E1606" s="15"/>
      <c r="F1606" s="15"/>
      <c r="G1606" s="15"/>
      <c r="H1606" s="15"/>
    </row>
    <row r="1607" spans="1:8" x14ac:dyDescent="0.3">
      <c r="A1607" s="15"/>
      <c r="B1607" s="15"/>
      <c r="C1607" s="8" t="s">
        <v>8</v>
      </c>
      <c r="D1607" s="2">
        <v>8.08</v>
      </c>
      <c r="E1607" s="15"/>
      <c r="F1607" s="15"/>
      <c r="G1607" s="15"/>
      <c r="H1607" s="15"/>
    </row>
    <row r="1608" spans="1:8" x14ac:dyDescent="0.3">
      <c r="A1608" s="15"/>
      <c r="B1608" s="15"/>
      <c r="C1608" s="3" t="s">
        <v>12</v>
      </c>
      <c r="D1608" s="2">
        <v>9.73</v>
      </c>
      <c r="E1608" s="15"/>
      <c r="F1608" s="15"/>
      <c r="G1608" s="15"/>
      <c r="H1608" s="15"/>
    </row>
    <row r="1609" spans="1:8" x14ac:dyDescent="0.3">
      <c r="A1609" s="15"/>
      <c r="B1609" s="15"/>
      <c r="C1609" s="3" t="s">
        <v>17</v>
      </c>
      <c r="D1609" s="2">
        <v>14.35</v>
      </c>
      <c r="E1609" s="15"/>
      <c r="F1609" s="15"/>
      <c r="G1609" s="15"/>
      <c r="H1609" s="15"/>
    </row>
    <row r="1610" spans="1:8" x14ac:dyDescent="0.3">
      <c r="A1610" s="16"/>
      <c r="B1610" s="16"/>
      <c r="C1610" s="3" t="s">
        <v>14</v>
      </c>
      <c r="D1610" s="2">
        <v>19.190000000000001</v>
      </c>
      <c r="E1610" s="16"/>
      <c r="F1610" s="16"/>
      <c r="G1610" s="16"/>
      <c r="H1610" s="16"/>
    </row>
    <row r="1611" spans="1:8" x14ac:dyDescent="0.3">
      <c r="A1611" s="18">
        <v>269</v>
      </c>
      <c r="B1611" s="20">
        <v>44985</v>
      </c>
      <c r="C1611" s="3" t="s">
        <v>15</v>
      </c>
      <c r="D1611" s="2">
        <v>5.15</v>
      </c>
      <c r="E1611" s="19">
        <f>SUM(D1611:D1616)</f>
        <v>125.959</v>
      </c>
      <c r="F1611" s="17">
        <f>INT(MAX(D1611:D1616))</f>
        <v>32</v>
      </c>
      <c r="G1611" s="14">
        <f>INT((F1611/10)*2)</f>
        <v>6</v>
      </c>
      <c r="H1611" s="14">
        <f>F1611-G1611</f>
        <v>26</v>
      </c>
    </row>
    <row r="1612" spans="1:8" x14ac:dyDescent="0.3">
      <c r="A1612" s="15"/>
      <c r="B1612" s="15"/>
      <c r="C1612" s="3" t="s">
        <v>9</v>
      </c>
      <c r="D1612" s="7">
        <v>31.629000000000001</v>
      </c>
      <c r="E1612" s="15"/>
      <c r="F1612" s="15"/>
      <c r="G1612" s="15"/>
      <c r="H1612" s="15"/>
    </row>
    <row r="1613" spans="1:8" x14ac:dyDescent="0.3">
      <c r="A1613" s="15"/>
      <c r="B1613" s="15"/>
      <c r="C1613" s="8" t="s">
        <v>8</v>
      </c>
      <c r="D1613" s="2">
        <v>8.61</v>
      </c>
      <c r="E1613" s="15"/>
      <c r="F1613" s="15"/>
      <c r="G1613" s="15"/>
      <c r="H1613" s="15"/>
    </row>
    <row r="1614" spans="1:8" x14ac:dyDescent="0.3">
      <c r="A1614" s="15"/>
      <c r="B1614" s="15"/>
      <c r="C1614" s="3" t="s">
        <v>18</v>
      </c>
      <c r="D1614" s="2">
        <v>15.49</v>
      </c>
      <c r="E1614" s="15"/>
      <c r="F1614" s="15"/>
      <c r="G1614" s="15"/>
      <c r="H1614" s="15"/>
    </row>
    <row r="1615" spans="1:8" x14ac:dyDescent="0.3">
      <c r="A1615" s="15"/>
      <c r="B1615" s="15"/>
      <c r="C1615" s="3" t="s">
        <v>14</v>
      </c>
      <c r="D1615" s="2">
        <v>32.200000000000003</v>
      </c>
      <c r="E1615" s="15"/>
      <c r="F1615" s="15"/>
      <c r="G1615" s="15"/>
      <c r="H1615" s="15"/>
    </row>
    <row r="1616" spans="1:8" x14ac:dyDescent="0.3">
      <c r="A1616" s="16"/>
      <c r="B1616" s="16"/>
      <c r="C1616" s="3" t="s">
        <v>10</v>
      </c>
      <c r="D1616" s="2">
        <v>32.880000000000003</v>
      </c>
      <c r="E1616" s="16"/>
      <c r="F1616" s="16"/>
      <c r="G1616" s="16"/>
      <c r="H1616" s="16"/>
    </row>
    <row r="1617" spans="1:8" x14ac:dyDescent="0.3">
      <c r="A1617" s="18">
        <v>270</v>
      </c>
      <c r="B1617" s="20">
        <v>44988</v>
      </c>
      <c r="C1617" s="3" t="s">
        <v>12</v>
      </c>
      <c r="D1617" s="7">
        <v>37.451999999999998</v>
      </c>
      <c r="E1617" s="19">
        <f>SUM(D1617:D1622)</f>
        <v>460.89000000000004</v>
      </c>
      <c r="F1617" s="17">
        <f>INT(MAX(D1617:D1622))</f>
        <v>176</v>
      </c>
      <c r="G1617" s="14">
        <f>INT((F1617/10)*2)</f>
        <v>35</v>
      </c>
      <c r="H1617" s="14">
        <f>F1617-G1617</f>
        <v>141</v>
      </c>
    </row>
    <row r="1618" spans="1:8" x14ac:dyDescent="0.3">
      <c r="A1618" s="15"/>
      <c r="B1618" s="15"/>
      <c r="C1618" s="8" t="s">
        <v>14</v>
      </c>
      <c r="D1618" s="2">
        <v>88.66</v>
      </c>
      <c r="E1618" s="15"/>
      <c r="F1618" s="15"/>
      <c r="G1618" s="15"/>
      <c r="H1618" s="15"/>
    </row>
    <row r="1619" spans="1:8" x14ac:dyDescent="0.3">
      <c r="A1619" s="15"/>
      <c r="B1619" s="15"/>
      <c r="C1619" s="3" t="s">
        <v>9</v>
      </c>
      <c r="D1619" s="2">
        <v>176.8</v>
      </c>
      <c r="E1619" s="15"/>
      <c r="F1619" s="15"/>
      <c r="G1619" s="15"/>
      <c r="H1619" s="15"/>
    </row>
    <row r="1620" spans="1:8" x14ac:dyDescent="0.3">
      <c r="A1620" s="15"/>
      <c r="B1620" s="15"/>
      <c r="C1620" s="3" t="s">
        <v>11</v>
      </c>
      <c r="D1620" s="2">
        <v>35.700000000000003</v>
      </c>
      <c r="E1620" s="15"/>
      <c r="F1620" s="15"/>
      <c r="G1620" s="15"/>
      <c r="H1620" s="15"/>
    </row>
    <row r="1621" spans="1:8" x14ac:dyDescent="0.3">
      <c r="A1621" s="15"/>
      <c r="B1621" s="15"/>
      <c r="C1621" s="3" t="s">
        <v>8</v>
      </c>
      <c r="D1621" s="2">
        <v>111.36</v>
      </c>
      <c r="E1621" s="15"/>
      <c r="F1621" s="15"/>
      <c r="G1621" s="15"/>
      <c r="H1621" s="15"/>
    </row>
    <row r="1622" spans="1:8" x14ac:dyDescent="0.3">
      <c r="A1622" s="16"/>
      <c r="B1622" s="16"/>
      <c r="C1622" s="3" t="s">
        <v>13</v>
      </c>
      <c r="D1622" s="7">
        <v>10.917999999999999</v>
      </c>
      <c r="E1622" s="16"/>
      <c r="F1622" s="16"/>
      <c r="G1622" s="16"/>
      <c r="H1622" s="16"/>
    </row>
    <row r="1623" spans="1:8" x14ac:dyDescent="0.3">
      <c r="A1623" s="18">
        <v>271</v>
      </c>
      <c r="B1623" s="20">
        <v>44992</v>
      </c>
      <c r="C1623" s="8" t="s">
        <v>8</v>
      </c>
      <c r="D1623" s="2">
        <v>19.190000000000001</v>
      </c>
      <c r="E1623" s="19">
        <f>SUM(D1623:D1628)</f>
        <v>105.69599999999998</v>
      </c>
      <c r="F1623" s="17">
        <f>INT(MAX(D1623:D1628))</f>
        <v>31</v>
      </c>
      <c r="G1623" s="14">
        <f>INT((F1623/10)*2)</f>
        <v>6</v>
      </c>
      <c r="H1623" s="14">
        <f>F1623-G1623</f>
        <v>25</v>
      </c>
    </row>
    <row r="1624" spans="1:8" x14ac:dyDescent="0.3">
      <c r="A1624" s="15"/>
      <c r="B1624" s="15"/>
      <c r="C1624" s="3" t="s">
        <v>17</v>
      </c>
      <c r="D1624" s="2">
        <v>31.58</v>
      </c>
      <c r="E1624" s="15"/>
      <c r="F1624" s="15"/>
      <c r="G1624" s="15"/>
      <c r="H1624" s="15"/>
    </row>
    <row r="1625" spans="1:8" x14ac:dyDescent="0.3">
      <c r="A1625" s="15"/>
      <c r="B1625" s="15"/>
      <c r="C1625" s="3" t="s">
        <v>14</v>
      </c>
      <c r="D1625" s="7">
        <v>13.946</v>
      </c>
      <c r="E1625" s="15"/>
      <c r="F1625" s="15"/>
      <c r="G1625" s="15"/>
      <c r="H1625" s="15"/>
    </row>
    <row r="1626" spans="1:8" x14ac:dyDescent="0.3">
      <c r="A1626" s="15"/>
      <c r="B1626" s="15"/>
      <c r="C1626" s="8" t="s">
        <v>16</v>
      </c>
      <c r="D1626" s="2">
        <v>16.239999999999998</v>
      </c>
      <c r="E1626" s="15"/>
      <c r="F1626" s="15"/>
      <c r="G1626" s="15"/>
      <c r="H1626" s="15"/>
    </row>
    <row r="1627" spans="1:8" x14ac:dyDescent="0.3">
      <c r="A1627" s="15"/>
      <c r="B1627" s="15"/>
      <c r="C1627" s="3" t="s">
        <v>12</v>
      </c>
      <c r="D1627" s="2">
        <v>18.440000000000001</v>
      </c>
      <c r="E1627" s="15"/>
      <c r="F1627" s="15"/>
      <c r="G1627" s="15"/>
      <c r="H1627" s="15"/>
    </row>
    <row r="1628" spans="1:8" x14ac:dyDescent="0.3">
      <c r="A1628" s="16"/>
      <c r="B1628" s="16"/>
      <c r="C1628" s="3" t="s">
        <v>9</v>
      </c>
      <c r="D1628" s="2">
        <v>6.3</v>
      </c>
      <c r="E1628" s="16"/>
      <c r="F1628" s="16"/>
      <c r="G1628" s="16"/>
      <c r="H1628" s="16"/>
    </row>
    <row r="1629" spans="1:8" x14ac:dyDescent="0.3">
      <c r="A1629" s="18">
        <v>272</v>
      </c>
      <c r="B1629" s="20">
        <v>44995</v>
      </c>
      <c r="C1629" s="3" t="s">
        <v>18</v>
      </c>
      <c r="D1629" s="7">
        <v>78.525999999999996</v>
      </c>
      <c r="E1629" s="19">
        <f>SUM(D1629:D1634)</f>
        <v>309.73599999999999</v>
      </c>
      <c r="F1629" s="17">
        <f>INT(MAX(D1629:D1634))</f>
        <v>124</v>
      </c>
      <c r="G1629" s="14">
        <f>INT((F1629/10)*2)</f>
        <v>24</v>
      </c>
      <c r="H1629" s="14">
        <f>F1629-G1629</f>
        <v>100</v>
      </c>
    </row>
    <row r="1630" spans="1:8" x14ac:dyDescent="0.3">
      <c r="A1630" s="15"/>
      <c r="B1630" s="15"/>
      <c r="C1630" s="8" t="s">
        <v>11</v>
      </c>
      <c r="D1630" s="2">
        <v>10.31</v>
      </c>
      <c r="E1630" s="15"/>
      <c r="F1630" s="15"/>
      <c r="G1630" s="15"/>
      <c r="H1630" s="15"/>
    </row>
    <row r="1631" spans="1:8" x14ac:dyDescent="0.3">
      <c r="A1631" s="15"/>
      <c r="B1631" s="15"/>
      <c r="C1631" s="3" t="s">
        <v>12</v>
      </c>
      <c r="D1631" s="2">
        <v>22.81</v>
      </c>
      <c r="E1631" s="15"/>
      <c r="F1631" s="15"/>
      <c r="G1631" s="15"/>
      <c r="H1631" s="15"/>
    </row>
    <row r="1632" spans="1:8" x14ac:dyDescent="0.3">
      <c r="A1632" s="15"/>
      <c r="B1632" s="15"/>
      <c r="C1632" s="3" t="s">
        <v>15</v>
      </c>
      <c r="D1632" s="2">
        <v>15.41</v>
      </c>
      <c r="E1632" s="15"/>
      <c r="F1632" s="15"/>
      <c r="G1632" s="15"/>
      <c r="H1632" s="15"/>
    </row>
    <row r="1633" spans="1:8" x14ac:dyDescent="0.3">
      <c r="A1633" s="15"/>
      <c r="B1633" s="15"/>
      <c r="C1633" s="3" t="s">
        <v>18</v>
      </c>
      <c r="D1633" s="7">
        <v>124.48</v>
      </c>
      <c r="E1633" s="15"/>
      <c r="F1633" s="15"/>
      <c r="G1633" s="15"/>
      <c r="H1633" s="15"/>
    </row>
    <row r="1634" spans="1:8" x14ac:dyDescent="0.3">
      <c r="A1634" s="16"/>
      <c r="B1634" s="16"/>
      <c r="C1634" s="8" t="s">
        <v>11</v>
      </c>
      <c r="D1634" s="2">
        <v>58.2</v>
      </c>
      <c r="E1634" s="16"/>
      <c r="F1634" s="16"/>
      <c r="G1634" s="16"/>
      <c r="H1634" s="16"/>
    </row>
    <row r="1635" spans="1:8" x14ac:dyDescent="0.3">
      <c r="A1635" s="18">
        <v>273</v>
      </c>
      <c r="B1635" s="20">
        <v>44999</v>
      </c>
      <c r="C1635" s="3" t="s">
        <v>15</v>
      </c>
      <c r="D1635" s="2">
        <v>24.98</v>
      </c>
      <c r="E1635" s="19">
        <f>SUM(D1635:D1640)</f>
        <v>120.68400000000001</v>
      </c>
      <c r="F1635" s="17">
        <f>INT(MAX(D1635:D1640))</f>
        <v>38</v>
      </c>
      <c r="G1635" s="14">
        <f>INT((F1635/10)*2)</f>
        <v>7</v>
      </c>
      <c r="H1635" s="14">
        <f>F1635-G1635</f>
        <v>31</v>
      </c>
    </row>
    <row r="1636" spans="1:8" x14ac:dyDescent="0.3">
      <c r="A1636" s="15"/>
      <c r="B1636" s="15"/>
      <c r="C1636" s="3" t="s">
        <v>14</v>
      </c>
      <c r="D1636" s="2">
        <v>38.06</v>
      </c>
      <c r="E1636" s="15"/>
      <c r="F1636" s="15"/>
      <c r="G1636" s="15"/>
      <c r="H1636" s="15"/>
    </row>
    <row r="1637" spans="1:8" x14ac:dyDescent="0.3">
      <c r="A1637" s="15"/>
      <c r="B1637" s="15"/>
      <c r="C1637" s="3" t="s">
        <v>16</v>
      </c>
      <c r="D1637" s="2">
        <v>15.11</v>
      </c>
      <c r="E1637" s="15"/>
      <c r="F1637" s="15"/>
      <c r="G1637" s="15"/>
      <c r="H1637" s="15"/>
    </row>
    <row r="1638" spans="1:8" x14ac:dyDescent="0.3">
      <c r="A1638" s="15"/>
      <c r="B1638" s="15"/>
      <c r="C1638" s="3" t="s">
        <v>8</v>
      </c>
      <c r="D1638" s="7">
        <v>13.784000000000001</v>
      </c>
      <c r="E1638" s="15"/>
      <c r="F1638" s="15"/>
      <c r="G1638" s="15"/>
      <c r="H1638" s="15"/>
    </row>
    <row r="1639" spans="1:8" x14ac:dyDescent="0.3">
      <c r="A1639" s="15"/>
      <c r="B1639" s="15"/>
      <c r="C1639" s="8" t="s">
        <v>14</v>
      </c>
      <c r="D1639" s="2">
        <v>19.170000000000002</v>
      </c>
      <c r="E1639" s="15"/>
      <c r="F1639" s="15"/>
      <c r="G1639" s="15"/>
      <c r="H1639" s="15"/>
    </row>
    <row r="1640" spans="1:8" x14ac:dyDescent="0.3">
      <c r="A1640" s="16"/>
      <c r="B1640" s="16"/>
      <c r="C1640" s="3" t="s">
        <v>15</v>
      </c>
      <c r="D1640" s="2">
        <v>9.58</v>
      </c>
      <c r="E1640" s="16"/>
      <c r="F1640" s="16"/>
      <c r="G1640" s="16"/>
      <c r="H1640" s="16"/>
    </row>
    <row r="1641" spans="1:8" x14ac:dyDescent="0.3">
      <c r="A1641" s="18">
        <v>274</v>
      </c>
      <c r="B1641" s="20">
        <v>45002</v>
      </c>
      <c r="C1641" s="3" t="s">
        <v>18</v>
      </c>
      <c r="D1641" s="2">
        <v>11.78</v>
      </c>
      <c r="E1641" s="19">
        <f>SUM(D1641:D1646)</f>
        <v>78.606999999999999</v>
      </c>
      <c r="F1641" s="17">
        <f>INT(MAX(D1641:D1646))</f>
        <v>18</v>
      </c>
      <c r="G1641" s="14">
        <f>INT((F1641/10)*2)</f>
        <v>3</v>
      </c>
      <c r="H1641" s="14">
        <f>F1641-G1641</f>
        <v>15</v>
      </c>
    </row>
    <row r="1642" spans="1:8" x14ac:dyDescent="0.3">
      <c r="A1642" s="15"/>
      <c r="B1642" s="15"/>
      <c r="C1642" s="3" t="s">
        <v>13</v>
      </c>
      <c r="D1642" s="2">
        <v>13.78</v>
      </c>
      <c r="E1642" s="15"/>
      <c r="F1642" s="15"/>
      <c r="G1642" s="15"/>
      <c r="H1642" s="15"/>
    </row>
    <row r="1643" spans="1:8" x14ac:dyDescent="0.3">
      <c r="A1643" s="15"/>
      <c r="B1643" s="15"/>
      <c r="C1643" s="3" t="s">
        <v>17</v>
      </c>
      <c r="D1643" s="2">
        <v>10.76</v>
      </c>
      <c r="E1643" s="15"/>
      <c r="F1643" s="15"/>
      <c r="G1643" s="15"/>
      <c r="H1643" s="15"/>
    </row>
    <row r="1644" spans="1:8" x14ac:dyDescent="0.3">
      <c r="A1644" s="15"/>
      <c r="B1644" s="15"/>
      <c r="C1644" s="3" t="s">
        <v>16</v>
      </c>
      <c r="D1644" s="7">
        <v>6.3170000000000002</v>
      </c>
      <c r="E1644" s="15"/>
      <c r="F1644" s="15"/>
      <c r="G1644" s="15"/>
      <c r="H1644" s="15"/>
    </row>
    <row r="1645" spans="1:8" x14ac:dyDescent="0.3">
      <c r="A1645" s="15"/>
      <c r="B1645" s="15"/>
      <c r="C1645" s="8" t="s">
        <v>8</v>
      </c>
      <c r="D1645" s="2">
        <v>17.399999999999999</v>
      </c>
      <c r="E1645" s="15"/>
      <c r="F1645" s="15"/>
      <c r="G1645" s="15"/>
      <c r="H1645" s="15"/>
    </row>
    <row r="1646" spans="1:8" x14ac:dyDescent="0.3">
      <c r="A1646" s="16"/>
      <c r="B1646" s="16"/>
      <c r="C1646" s="3" t="s">
        <v>16</v>
      </c>
      <c r="D1646" s="2">
        <v>18.57</v>
      </c>
      <c r="E1646" s="16"/>
      <c r="F1646" s="16"/>
      <c r="G1646" s="16"/>
      <c r="H1646" s="16"/>
    </row>
    <row r="1647" spans="1:8" x14ac:dyDescent="0.3">
      <c r="A1647" s="18">
        <v>275</v>
      </c>
      <c r="B1647" s="20">
        <v>45006</v>
      </c>
      <c r="C1647" s="3" t="s">
        <v>13</v>
      </c>
      <c r="D1647" s="2">
        <v>49.49</v>
      </c>
      <c r="E1647" s="19">
        <f>SUM(D1647:D1652)</f>
        <v>133.77599999999998</v>
      </c>
      <c r="F1647" s="17">
        <f>INT(MAX(D1647:D1652))</f>
        <v>49</v>
      </c>
      <c r="G1647" s="14">
        <f>INT((F1647/10)*2)</f>
        <v>9</v>
      </c>
      <c r="H1647" s="14">
        <f>F1647-G1647</f>
        <v>40</v>
      </c>
    </row>
    <row r="1648" spans="1:8" x14ac:dyDescent="0.3">
      <c r="A1648" s="15"/>
      <c r="B1648" s="15"/>
      <c r="C1648" s="3" t="s">
        <v>11</v>
      </c>
      <c r="D1648" s="2">
        <v>25.36</v>
      </c>
      <c r="E1648" s="15"/>
      <c r="F1648" s="15"/>
      <c r="G1648" s="15"/>
      <c r="H1648" s="15"/>
    </row>
    <row r="1649" spans="1:8" x14ac:dyDescent="0.3">
      <c r="A1649" s="15"/>
      <c r="B1649" s="15"/>
      <c r="C1649" s="3" t="s">
        <v>15</v>
      </c>
      <c r="D1649" s="7">
        <v>7.806</v>
      </c>
      <c r="E1649" s="15"/>
      <c r="F1649" s="15"/>
      <c r="G1649" s="15"/>
      <c r="H1649" s="15"/>
    </row>
    <row r="1650" spans="1:8" x14ac:dyDescent="0.3">
      <c r="A1650" s="15"/>
      <c r="B1650" s="15"/>
      <c r="C1650" s="8" t="s">
        <v>17</v>
      </c>
      <c r="D1650" s="2">
        <v>28.17</v>
      </c>
      <c r="E1650" s="15"/>
      <c r="F1650" s="15"/>
      <c r="G1650" s="15"/>
      <c r="H1650" s="15"/>
    </row>
    <row r="1651" spans="1:8" x14ac:dyDescent="0.3">
      <c r="A1651" s="15"/>
      <c r="B1651" s="15"/>
      <c r="C1651" s="3" t="s">
        <v>15</v>
      </c>
      <c r="D1651" s="2">
        <v>5.36</v>
      </c>
      <c r="E1651" s="15"/>
      <c r="F1651" s="15"/>
      <c r="G1651" s="15"/>
      <c r="H1651" s="15"/>
    </row>
    <row r="1652" spans="1:8" x14ac:dyDescent="0.3">
      <c r="A1652" s="16"/>
      <c r="B1652" s="16"/>
      <c r="C1652" s="3" t="s">
        <v>18</v>
      </c>
      <c r="D1652" s="2">
        <v>17.59</v>
      </c>
      <c r="E1652" s="16"/>
      <c r="F1652" s="16"/>
      <c r="G1652" s="16"/>
      <c r="H1652" s="16"/>
    </row>
    <row r="1653" spans="1:8" x14ac:dyDescent="0.3">
      <c r="A1653" s="18">
        <v>276</v>
      </c>
      <c r="B1653" s="20">
        <v>45009</v>
      </c>
      <c r="C1653" s="3" t="s">
        <v>12</v>
      </c>
      <c r="D1653" s="7">
        <v>21.300999999999998</v>
      </c>
      <c r="E1653" s="19">
        <f>SUM(D1653:D1658)</f>
        <v>100.61499999999999</v>
      </c>
      <c r="F1653" s="17">
        <f>INT(MAX(D1653:D1658))</f>
        <v>25</v>
      </c>
      <c r="G1653" s="14">
        <f>INT((F1653/10)*2)</f>
        <v>5</v>
      </c>
      <c r="H1653" s="14">
        <f>F1653-G1653</f>
        <v>20</v>
      </c>
    </row>
    <row r="1654" spans="1:8" x14ac:dyDescent="0.3">
      <c r="A1654" s="15"/>
      <c r="B1654" s="15"/>
      <c r="C1654" s="8" t="s">
        <v>13</v>
      </c>
      <c r="D1654" s="2">
        <v>20.7</v>
      </c>
      <c r="E1654" s="15"/>
      <c r="F1654" s="15"/>
      <c r="G1654" s="15"/>
      <c r="H1654" s="15"/>
    </row>
    <row r="1655" spans="1:8" x14ac:dyDescent="0.3">
      <c r="A1655" s="15"/>
      <c r="B1655" s="15"/>
      <c r="C1655" s="3" t="s">
        <v>9</v>
      </c>
      <c r="D1655" s="2">
        <v>10.3</v>
      </c>
      <c r="E1655" s="15"/>
      <c r="F1655" s="15"/>
      <c r="G1655" s="15"/>
      <c r="H1655" s="15"/>
    </row>
    <row r="1656" spans="1:8" x14ac:dyDescent="0.3">
      <c r="A1656" s="15"/>
      <c r="B1656" s="15"/>
      <c r="C1656" s="3" t="s">
        <v>8</v>
      </c>
      <c r="D1656" s="2">
        <v>3.47</v>
      </c>
      <c r="E1656" s="15"/>
      <c r="F1656" s="15"/>
      <c r="G1656" s="15"/>
      <c r="H1656" s="15"/>
    </row>
    <row r="1657" spans="1:8" x14ac:dyDescent="0.3">
      <c r="A1657" s="15"/>
      <c r="B1657" s="15"/>
      <c r="C1657" s="3" t="s">
        <v>18</v>
      </c>
      <c r="D1657" s="7">
        <v>25.103999999999999</v>
      </c>
      <c r="E1657" s="15"/>
      <c r="F1657" s="15"/>
      <c r="G1657" s="15"/>
      <c r="H1657" s="15"/>
    </row>
    <row r="1658" spans="1:8" x14ac:dyDescent="0.3">
      <c r="A1658" s="16"/>
      <c r="B1658" s="16"/>
      <c r="C1658" s="8" t="s">
        <v>16</v>
      </c>
      <c r="D1658" s="2">
        <v>19.739999999999998</v>
      </c>
      <c r="E1658" s="16"/>
      <c r="F1658" s="16"/>
      <c r="G1658" s="16"/>
      <c r="H1658" s="16"/>
    </row>
    <row r="1659" spans="1:8" x14ac:dyDescent="0.3">
      <c r="A1659" s="18">
        <v>277</v>
      </c>
      <c r="B1659" s="20">
        <v>45013</v>
      </c>
      <c r="C1659" s="3" t="s">
        <v>17</v>
      </c>
      <c r="D1659" s="2">
        <v>15.96</v>
      </c>
      <c r="E1659" s="19">
        <f>SUM(D1659:D1664)</f>
        <v>147.499</v>
      </c>
      <c r="F1659" s="17">
        <f>INT(MAX(D1659:D1664))</f>
        <v>64</v>
      </c>
      <c r="G1659" s="14">
        <f>INT((F1659/10)*2)</f>
        <v>12</v>
      </c>
      <c r="H1659" s="14">
        <f>F1659-G1659</f>
        <v>52</v>
      </c>
    </row>
    <row r="1660" spans="1:8" x14ac:dyDescent="0.3">
      <c r="A1660" s="15"/>
      <c r="B1660" s="15"/>
      <c r="C1660" s="3" t="s">
        <v>18</v>
      </c>
      <c r="D1660" s="2">
        <v>24</v>
      </c>
      <c r="E1660" s="15"/>
      <c r="F1660" s="15"/>
      <c r="G1660" s="15"/>
      <c r="H1660" s="15"/>
    </row>
    <row r="1661" spans="1:8" x14ac:dyDescent="0.3">
      <c r="A1661" s="15"/>
      <c r="B1661" s="15"/>
      <c r="C1661" s="3" t="s">
        <v>8</v>
      </c>
      <c r="D1661" s="2">
        <v>64.599999999999994</v>
      </c>
      <c r="E1661" s="15"/>
      <c r="F1661" s="15"/>
      <c r="G1661" s="15"/>
      <c r="H1661" s="15"/>
    </row>
    <row r="1662" spans="1:8" x14ac:dyDescent="0.3">
      <c r="A1662" s="15"/>
      <c r="B1662" s="15"/>
      <c r="C1662" s="3" t="s">
        <v>13</v>
      </c>
      <c r="D1662" s="2">
        <v>20.14</v>
      </c>
      <c r="E1662" s="15"/>
      <c r="F1662" s="15"/>
      <c r="G1662" s="15"/>
      <c r="H1662" s="15"/>
    </row>
    <row r="1663" spans="1:8" x14ac:dyDescent="0.3">
      <c r="A1663" s="15"/>
      <c r="B1663" s="15"/>
      <c r="C1663" s="3" t="s">
        <v>10</v>
      </c>
      <c r="D1663" s="7">
        <v>3.9289999999999998</v>
      </c>
      <c r="E1663" s="15"/>
      <c r="F1663" s="15"/>
      <c r="G1663" s="15"/>
      <c r="H1663" s="15"/>
    </row>
    <row r="1664" spans="1:8" x14ac:dyDescent="0.3">
      <c r="A1664" s="16"/>
      <c r="B1664" s="16"/>
      <c r="C1664" s="8" t="s">
        <v>18</v>
      </c>
      <c r="D1664" s="2">
        <v>18.87</v>
      </c>
      <c r="E1664" s="16"/>
      <c r="F1664" s="16"/>
      <c r="G1664" s="16"/>
      <c r="H1664" s="16"/>
    </row>
    <row r="1665" spans="1:8" x14ac:dyDescent="0.3">
      <c r="A1665" s="18">
        <v>278</v>
      </c>
      <c r="B1665" s="20">
        <v>45016</v>
      </c>
      <c r="C1665" s="3" t="s">
        <v>9</v>
      </c>
      <c r="D1665" s="2">
        <v>5.94</v>
      </c>
      <c r="E1665" s="19">
        <f>SUM(D1665:D1670)</f>
        <v>262.27499999999998</v>
      </c>
      <c r="F1665" s="17">
        <f>INT(MAX(D1665:D1670))</f>
        <v>71</v>
      </c>
      <c r="G1665" s="14">
        <f>INT((F1665/10)*2)</f>
        <v>14</v>
      </c>
      <c r="H1665" s="14">
        <f>F1665-G1665</f>
        <v>57</v>
      </c>
    </row>
    <row r="1666" spans="1:8" x14ac:dyDescent="0.3">
      <c r="A1666" s="15"/>
      <c r="B1666" s="15"/>
      <c r="C1666" s="3" t="s">
        <v>8</v>
      </c>
      <c r="D1666" s="7">
        <v>42.325000000000003</v>
      </c>
      <c r="E1666" s="15"/>
      <c r="F1666" s="15"/>
      <c r="G1666" s="15"/>
      <c r="H1666" s="15"/>
    </row>
    <row r="1667" spans="1:8" x14ac:dyDescent="0.3">
      <c r="A1667" s="15"/>
      <c r="B1667" s="15"/>
      <c r="C1667" s="8" t="s">
        <v>11</v>
      </c>
      <c r="D1667" s="2">
        <v>71.91</v>
      </c>
      <c r="E1667" s="15"/>
      <c r="F1667" s="15"/>
      <c r="G1667" s="15"/>
      <c r="H1667" s="15"/>
    </row>
    <row r="1668" spans="1:8" x14ac:dyDescent="0.3">
      <c r="A1668" s="15"/>
      <c r="B1668" s="15"/>
      <c r="C1668" s="3" t="s">
        <v>9</v>
      </c>
      <c r="D1668" s="2">
        <v>49.86</v>
      </c>
      <c r="E1668" s="15"/>
      <c r="F1668" s="15"/>
      <c r="G1668" s="15"/>
      <c r="H1668" s="15"/>
    </row>
    <row r="1669" spans="1:8" x14ac:dyDescent="0.3">
      <c r="A1669" s="15"/>
      <c r="B1669" s="15"/>
      <c r="C1669" s="3" t="s">
        <v>15</v>
      </c>
      <c r="D1669" s="2">
        <v>69.02</v>
      </c>
      <c r="E1669" s="15"/>
      <c r="F1669" s="15"/>
      <c r="G1669" s="15"/>
      <c r="H1669" s="15"/>
    </row>
    <row r="1670" spans="1:8" x14ac:dyDescent="0.3">
      <c r="A1670" s="16"/>
      <c r="B1670" s="16"/>
      <c r="C1670" s="3" t="s">
        <v>13</v>
      </c>
      <c r="D1670" s="2">
        <v>23.22</v>
      </c>
      <c r="E1670" s="16"/>
      <c r="F1670" s="16"/>
      <c r="G1670" s="16"/>
      <c r="H1670" s="16"/>
    </row>
    <row r="1671" spans="1:8" x14ac:dyDescent="0.3">
      <c r="A1671" s="18">
        <v>279</v>
      </c>
      <c r="B1671" s="20">
        <v>45020</v>
      </c>
      <c r="C1671" s="3" t="s">
        <v>8</v>
      </c>
      <c r="D1671" s="7">
        <v>15.988</v>
      </c>
      <c r="E1671" s="19">
        <f>SUM(D1671:D1676)</f>
        <v>189.239</v>
      </c>
      <c r="F1671" s="17">
        <f>INT(MAX(D1671:D1676))</f>
        <v>127</v>
      </c>
      <c r="G1671" s="14">
        <f>INT((F1671/10)*2)</f>
        <v>25</v>
      </c>
      <c r="H1671" s="14">
        <f>F1671-G1671</f>
        <v>102</v>
      </c>
    </row>
    <row r="1672" spans="1:8" x14ac:dyDescent="0.3">
      <c r="A1672" s="15"/>
      <c r="B1672" s="15"/>
      <c r="C1672" s="8" t="s">
        <v>16</v>
      </c>
      <c r="D1672" s="2">
        <v>14.13</v>
      </c>
      <c r="E1672" s="15"/>
      <c r="F1672" s="15"/>
      <c r="G1672" s="15"/>
      <c r="H1672" s="15"/>
    </row>
    <row r="1673" spans="1:8" x14ac:dyDescent="0.3">
      <c r="A1673" s="15"/>
      <c r="B1673" s="15"/>
      <c r="C1673" s="3" t="s">
        <v>12</v>
      </c>
      <c r="D1673" s="2">
        <v>3.74</v>
      </c>
      <c r="E1673" s="15"/>
      <c r="F1673" s="15"/>
      <c r="G1673" s="15"/>
      <c r="H1673" s="15"/>
    </row>
    <row r="1674" spans="1:8" x14ac:dyDescent="0.3">
      <c r="A1674" s="15"/>
      <c r="B1674" s="15"/>
      <c r="C1674" s="3" t="s">
        <v>18</v>
      </c>
      <c r="D1674" s="2">
        <v>11.57</v>
      </c>
      <c r="E1674" s="15"/>
      <c r="F1674" s="15"/>
      <c r="G1674" s="15"/>
      <c r="H1674" s="15"/>
    </row>
    <row r="1675" spans="1:8" x14ac:dyDescent="0.3">
      <c r="A1675" s="15"/>
      <c r="B1675" s="15"/>
      <c r="C1675" s="3" t="s">
        <v>8</v>
      </c>
      <c r="D1675" s="7">
        <v>16.181000000000001</v>
      </c>
      <c r="E1675" s="15"/>
      <c r="F1675" s="15"/>
      <c r="G1675" s="15"/>
      <c r="H1675" s="15"/>
    </row>
    <row r="1676" spans="1:8" x14ac:dyDescent="0.3">
      <c r="A1676" s="16"/>
      <c r="B1676" s="16"/>
      <c r="C1676" s="8" t="s">
        <v>16</v>
      </c>
      <c r="D1676" s="2">
        <v>127.63</v>
      </c>
      <c r="E1676" s="16"/>
      <c r="F1676" s="16"/>
      <c r="G1676" s="16"/>
      <c r="H1676" s="16"/>
    </row>
    <row r="1677" spans="1:8" x14ac:dyDescent="0.3">
      <c r="A1677" s="18">
        <v>280</v>
      </c>
      <c r="B1677" s="20">
        <v>45023</v>
      </c>
      <c r="C1677" s="3" t="s">
        <v>11</v>
      </c>
      <c r="D1677" s="2">
        <v>31.84</v>
      </c>
      <c r="E1677" s="19">
        <f>SUM(D1677:D1682)</f>
        <v>165.20999999999998</v>
      </c>
      <c r="F1677" s="17">
        <f>INT(MAX(D1677:D1682))</f>
        <v>72</v>
      </c>
      <c r="G1677" s="14">
        <f>INT((F1677/10)*2)</f>
        <v>14</v>
      </c>
      <c r="H1677" s="14">
        <f>F1677-G1677</f>
        <v>58</v>
      </c>
    </row>
    <row r="1678" spans="1:8" x14ac:dyDescent="0.3">
      <c r="A1678" s="15"/>
      <c r="B1678" s="15"/>
      <c r="C1678" s="3" t="s">
        <v>9</v>
      </c>
      <c r="D1678" s="2">
        <v>72.83</v>
      </c>
      <c r="E1678" s="15"/>
      <c r="F1678" s="15"/>
      <c r="G1678" s="15"/>
      <c r="H1678" s="15"/>
    </row>
    <row r="1679" spans="1:8" x14ac:dyDescent="0.3">
      <c r="A1679" s="15"/>
      <c r="B1679" s="15"/>
      <c r="C1679" s="3" t="s">
        <v>13</v>
      </c>
      <c r="D1679" s="7">
        <v>14.59</v>
      </c>
      <c r="E1679" s="15"/>
      <c r="F1679" s="15"/>
      <c r="G1679" s="15"/>
      <c r="H1679" s="15"/>
    </row>
    <row r="1680" spans="1:8" x14ac:dyDescent="0.3">
      <c r="A1680" s="15"/>
      <c r="B1680" s="15"/>
      <c r="C1680" s="8" t="s">
        <v>8</v>
      </c>
      <c r="D1680" s="2">
        <v>20.9</v>
      </c>
      <c r="E1680" s="15"/>
      <c r="F1680" s="15"/>
      <c r="G1680" s="15"/>
      <c r="H1680" s="15"/>
    </row>
    <row r="1681" spans="1:8" x14ac:dyDescent="0.3">
      <c r="A1681" s="15"/>
      <c r="B1681" s="15"/>
      <c r="C1681" s="3" t="s">
        <v>14</v>
      </c>
      <c r="D1681" s="2">
        <v>10.36</v>
      </c>
      <c r="E1681" s="15"/>
      <c r="F1681" s="15"/>
      <c r="G1681" s="15"/>
      <c r="H1681" s="15"/>
    </row>
    <row r="1682" spans="1:8" x14ac:dyDescent="0.3">
      <c r="A1682" s="16"/>
      <c r="B1682" s="16"/>
      <c r="C1682" s="3" t="s">
        <v>18</v>
      </c>
      <c r="D1682" s="2">
        <v>14.69</v>
      </c>
      <c r="E1682" s="16"/>
      <c r="F1682" s="16"/>
      <c r="G1682" s="16"/>
      <c r="H1682" s="16"/>
    </row>
    <row r="1683" spans="1:8" x14ac:dyDescent="0.3">
      <c r="A1683" s="18">
        <v>281</v>
      </c>
      <c r="B1683" s="20">
        <v>45027</v>
      </c>
      <c r="C1683" s="3" t="s">
        <v>13</v>
      </c>
      <c r="D1683" s="2">
        <v>13.16</v>
      </c>
      <c r="E1683" s="19">
        <f>SUM(D1683:D1688)</f>
        <v>99.376999999999995</v>
      </c>
      <c r="F1683" s="17">
        <f>INT(MAX(D1683:D1688))</f>
        <v>26</v>
      </c>
      <c r="G1683" s="14">
        <f>INT((F1683/10)*2)</f>
        <v>5</v>
      </c>
      <c r="H1683" s="14">
        <f>F1683-G1683</f>
        <v>21</v>
      </c>
    </row>
    <row r="1684" spans="1:8" x14ac:dyDescent="0.3">
      <c r="A1684" s="15"/>
      <c r="B1684" s="15"/>
      <c r="C1684" s="3" t="s">
        <v>10</v>
      </c>
      <c r="D1684" s="2">
        <v>12.02</v>
      </c>
      <c r="E1684" s="15"/>
      <c r="F1684" s="15"/>
      <c r="G1684" s="15"/>
      <c r="H1684" s="15"/>
    </row>
    <row r="1685" spans="1:8" x14ac:dyDescent="0.3">
      <c r="A1685" s="15"/>
      <c r="B1685" s="15"/>
      <c r="C1685" s="3" t="s">
        <v>17</v>
      </c>
      <c r="D1685" s="7">
        <v>11.337</v>
      </c>
      <c r="E1685" s="15"/>
      <c r="F1685" s="15"/>
      <c r="G1685" s="15"/>
      <c r="H1685" s="15"/>
    </row>
    <row r="1686" spans="1:8" x14ac:dyDescent="0.3">
      <c r="A1686" s="15"/>
      <c r="B1686" s="15"/>
      <c r="C1686" s="8" t="s">
        <v>16</v>
      </c>
      <c r="D1686" s="2">
        <v>15.29</v>
      </c>
      <c r="E1686" s="15"/>
      <c r="F1686" s="15"/>
      <c r="G1686" s="15"/>
      <c r="H1686" s="15"/>
    </row>
    <row r="1687" spans="1:8" x14ac:dyDescent="0.3">
      <c r="A1687" s="15"/>
      <c r="B1687" s="15"/>
      <c r="C1687" s="3" t="s">
        <v>18</v>
      </c>
      <c r="D1687" s="2">
        <v>20.74</v>
      </c>
      <c r="E1687" s="15"/>
      <c r="F1687" s="15"/>
      <c r="G1687" s="15"/>
      <c r="H1687" s="15"/>
    </row>
    <row r="1688" spans="1:8" x14ac:dyDescent="0.3">
      <c r="A1688" s="16"/>
      <c r="B1688" s="16"/>
      <c r="C1688" s="3" t="s">
        <v>11</v>
      </c>
      <c r="D1688" s="2">
        <v>26.83</v>
      </c>
      <c r="E1688" s="16"/>
      <c r="F1688" s="16"/>
      <c r="G1688" s="16"/>
      <c r="H1688" s="16"/>
    </row>
    <row r="1689" spans="1:8" x14ac:dyDescent="0.3">
      <c r="A1689" s="18">
        <v>282</v>
      </c>
      <c r="B1689" s="20">
        <v>45030</v>
      </c>
      <c r="C1689" s="3" t="s">
        <v>9</v>
      </c>
      <c r="D1689" s="2">
        <v>10.73</v>
      </c>
      <c r="E1689" s="19">
        <f>SUM(D1689:D1694)</f>
        <v>84.047000000000011</v>
      </c>
      <c r="F1689" s="17">
        <f>INT(MAX(D1689:D1694))</f>
        <v>37</v>
      </c>
      <c r="G1689" s="14">
        <f>INT((F1689/10)*2)</f>
        <v>7</v>
      </c>
      <c r="H1689" s="14">
        <f>F1689-G1689</f>
        <v>30</v>
      </c>
    </row>
    <row r="1690" spans="1:8" x14ac:dyDescent="0.3">
      <c r="A1690" s="15"/>
      <c r="B1690" s="15"/>
      <c r="C1690" s="3" t="s">
        <v>12</v>
      </c>
      <c r="D1690" s="7">
        <v>7.24</v>
      </c>
      <c r="E1690" s="15"/>
      <c r="F1690" s="15"/>
      <c r="G1690" s="15"/>
      <c r="H1690" s="15"/>
    </row>
    <row r="1691" spans="1:8" x14ac:dyDescent="0.3">
      <c r="A1691" s="15"/>
      <c r="B1691" s="15"/>
      <c r="C1691" s="8" t="s">
        <v>18</v>
      </c>
      <c r="D1691" s="2">
        <v>12.51</v>
      </c>
      <c r="E1691" s="15"/>
      <c r="F1691" s="15"/>
      <c r="G1691" s="15"/>
      <c r="H1691" s="15"/>
    </row>
    <row r="1692" spans="1:8" x14ac:dyDescent="0.3">
      <c r="A1692" s="15"/>
      <c r="B1692" s="15"/>
      <c r="C1692" s="3" t="s">
        <v>16</v>
      </c>
      <c r="D1692" s="2">
        <v>37.11</v>
      </c>
      <c r="E1692" s="15"/>
      <c r="F1692" s="15"/>
      <c r="G1692" s="15"/>
      <c r="H1692" s="15"/>
    </row>
    <row r="1693" spans="1:8" x14ac:dyDescent="0.3">
      <c r="A1693" s="15"/>
      <c r="B1693" s="15"/>
      <c r="C1693" s="3" t="s">
        <v>15</v>
      </c>
      <c r="D1693" s="2">
        <v>11.96</v>
      </c>
      <c r="E1693" s="15"/>
      <c r="F1693" s="15"/>
      <c r="G1693" s="15"/>
      <c r="H1693" s="15"/>
    </row>
    <row r="1694" spans="1:8" x14ac:dyDescent="0.3">
      <c r="A1694" s="16"/>
      <c r="B1694" s="16"/>
      <c r="C1694" s="3" t="s">
        <v>10</v>
      </c>
      <c r="D1694" s="7">
        <v>4.4969999999999999</v>
      </c>
      <c r="E1694" s="16"/>
      <c r="F1694" s="16"/>
      <c r="G1694" s="16"/>
      <c r="H1694" s="16"/>
    </row>
    <row r="1695" spans="1:8" x14ac:dyDescent="0.3">
      <c r="A1695" s="18">
        <v>283</v>
      </c>
      <c r="B1695" s="20">
        <v>45034</v>
      </c>
      <c r="C1695" s="8" t="s">
        <v>10</v>
      </c>
      <c r="D1695" s="2">
        <v>5.57</v>
      </c>
      <c r="E1695" s="19">
        <f>SUM(D1695:D1700)</f>
        <v>228.06399999999999</v>
      </c>
      <c r="F1695" s="17">
        <f>INT(MAX(D1695:D1700))</f>
        <v>140</v>
      </c>
      <c r="G1695" s="14">
        <f>INT((F1695/10)*2)</f>
        <v>28</v>
      </c>
      <c r="H1695" s="14">
        <f>F1695-G1695</f>
        <v>112</v>
      </c>
    </row>
    <row r="1696" spans="1:8" x14ac:dyDescent="0.3">
      <c r="A1696" s="15"/>
      <c r="B1696" s="15"/>
      <c r="C1696" s="3" t="s">
        <v>18</v>
      </c>
      <c r="D1696" s="2">
        <v>8.2100000000000009</v>
      </c>
      <c r="E1696" s="15"/>
      <c r="F1696" s="15"/>
      <c r="G1696" s="15"/>
      <c r="H1696" s="15"/>
    </row>
    <row r="1697" spans="1:8" x14ac:dyDescent="0.3">
      <c r="A1697" s="15"/>
      <c r="B1697" s="15"/>
      <c r="C1697" s="3" t="s">
        <v>9</v>
      </c>
      <c r="D1697" s="2">
        <v>11.4</v>
      </c>
      <c r="E1697" s="15"/>
      <c r="F1697" s="15"/>
      <c r="G1697" s="15"/>
      <c r="H1697" s="15"/>
    </row>
    <row r="1698" spans="1:8" x14ac:dyDescent="0.3">
      <c r="A1698" s="15"/>
      <c r="B1698" s="15"/>
      <c r="C1698" s="3" t="s">
        <v>12</v>
      </c>
      <c r="D1698" s="2">
        <v>14.01</v>
      </c>
      <c r="E1698" s="15"/>
      <c r="F1698" s="15"/>
      <c r="G1698" s="15"/>
      <c r="H1698" s="15"/>
    </row>
    <row r="1699" spans="1:8" x14ac:dyDescent="0.3">
      <c r="A1699" s="15"/>
      <c r="B1699" s="15"/>
      <c r="C1699" s="3" t="s">
        <v>17</v>
      </c>
      <c r="D1699" s="7">
        <v>48.874000000000002</v>
      </c>
      <c r="E1699" s="15"/>
      <c r="F1699" s="15"/>
      <c r="G1699" s="15"/>
      <c r="H1699" s="15"/>
    </row>
    <row r="1700" spans="1:8" x14ac:dyDescent="0.3">
      <c r="A1700" s="16"/>
      <c r="B1700" s="16"/>
      <c r="C1700" s="8" t="s">
        <v>17</v>
      </c>
      <c r="D1700" s="2">
        <v>140</v>
      </c>
      <c r="E1700" s="16"/>
      <c r="F1700" s="16"/>
      <c r="G1700" s="16"/>
      <c r="H1700" s="16"/>
    </row>
    <row r="1701" spans="1:8" x14ac:dyDescent="0.3">
      <c r="A1701" s="18">
        <v>284</v>
      </c>
      <c r="B1701" s="20">
        <v>45037</v>
      </c>
      <c r="C1701" s="3" t="s">
        <v>13</v>
      </c>
      <c r="D1701" s="2">
        <v>110</v>
      </c>
      <c r="E1701" s="19">
        <f>SUM(D1701:D1706)</f>
        <v>252.51600000000002</v>
      </c>
      <c r="F1701" s="17">
        <f>INT(MAX(D1701:D1706))</f>
        <v>110</v>
      </c>
      <c r="G1701" s="14">
        <f>INT((F1701/10)*2)</f>
        <v>22</v>
      </c>
      <c r="H1701" s="14">
        <f>F1701-G1701</f>
        <v>88</v>
      </c>
    </row>
    <row r="1702" spans="1:8" x14ac:dyDescent="0.3">
      <c r="A1702" s="15"/>
      <c r="B1702" s="15"/>
      <c r="C1702" s="3" t="s">
        <v>15</v>
      </c>
      <c r="D1702" s="7">
        <v>8.9290000000000003</v>
      </c>
      <c r="E1702" s="15"/>
      <c r="F1702" s="15"/>
      <c r="G1702" s="15"/>
      <c r="H1702" s="15"/>
    </row>
    <row r="1703" spans="1:8" x14ac:dyDescent="0.3">
      <c r="A1703" s="15"/>
      <c r="B1703" s="15"/>
      <c r="C1703" s="8" t="s">
        <v>8</v>
      </c>
      <c r="D1703" s="2">
        <v>9.51</v>
      </c>
      <c r="E1703" s="15"/>
      <c r="F1703" s="15"/>
      <c r="G1703" s="15"/>
      <c r="H1703" s="15"/>
    </row>
    <row r="1704" spans="1:8" x14ac:dyDescent="0.3">
      <c r="A1704" s="15"/>
      <c r="B1704" s="15"/>
      <c r="C1704" s="3" t="s">
        <v>18</v>
      </c>
      <c r="D1704" s="2">
        <v>11.43</v>
      </c>
      <c r="E1704" s="15"/>
      <c r="F1704" s="15"/>
      <c r="G1704" s="15"/>
      <c r="H1704" s="15"/>
    </row>
    <row r="1705" spans="1:8" x14ac:dyDescent="0.3">
      <c r="A1705" s="15"/>
      <c r="B1705" s="15"/>
      <c r="C1705" s="3" t="s">
        <v>15</v>
      </c>
      <c r="D1705" s="7">
        <v>55.726999999999997</v>
      </c>
      <c r="E1705" s="15"/>
      <c r="F1705" s="15"/>
      <c r="G1705" s="15"/>
      <c r="H1705" s="15"/>
    </row>
    <row r="1706" spans="1:8" x14ac:dyDescent="0.3">
      <c r="A1706" s="16"/>
      <c r="B1706" s="16"/>
      <c r="C1706" s="8" t="s">
        <v>14</v>
      </c>
      <c r="D1706" s="2">
        <v>56.92</v>
      </c>
      <c r="E1706" s="16"/>
      <c r="F1706" s="16"/>
      <c r="G1706" s="16"/>
      <c r="H1706" s="16"/>
    </row>
    <row r="1707" spans="1:8" x14ac:dyDescent="0.3">
      <c r="A1707" s="18">
        <v>285</v>
      </c>
      <c r="B1707" s="20">
        <v>45041</v>
      </c>
      <c r="C1707" s="3" t="s">
        <v>12</v>
      </c>
      <c r="D1707" s="2">
        <v>42.72</v>
      </c>
      <c r="E1707" s="19">
        <f>SUM(D1707:D1712)</f>
        <v>237.49</v>
      </c>
      <c r="F1707" s="17">
        <f>INT(MAX(D1707:D1712))</f>
        <v>72</v>
      </c>
      <c r="G1707" s="14">
        <f>INT((F1707/10)*2)</f>
        <v>14</v>
      </c>
      <c r="H1707" s="14">
        <f>F1707-G1707</f>
        <v>58</v>
      </c>
    </row>
    <row r="1708" spans="1:8" x14ac:dyDescent="0.3">
      <c r="A1708" s="15"/>
      <c r="B1708" s="15"/>
      <c r="C1708" s="3" t="s">
        <v>8</v>
      </c>
      <c r="D1708" s="2">
        <v>33.79</v>
      </c>
      <c r="E1708" s="15"/>
      <c r="F1708" s="15"/>
      <c r="G1708" s="15"/>
      <c r="H1708" s="15"/>
    </row>
    <row r="1709" spans="1:8" x14ac:dyDescent="0.3">
      <c r="A1709" s="15"/>
      <c r="B1709" s="15"/>
      <c r="C1709" s="3" t="s">
        <v>18</v>
      </c>
      <c r="D1709" s="2">
        <v>72.22</v>
      </c>
      <c r="E1709" s="15"/>
      <c r="F1709" s="15"/>
      <c r="G1709" s="15"/>
      <c r="H1709" s="15"/>
    </row>
    <row r="1710" spans="1:8" x14ac:dyDescent="0.3">
      <c r="A1710" s="15"/>
      <c r="B1710" s="15"/>
      <c r="C1710" s="3" t="s">
        <v>13</v>
      </c>
      <c r="D1710" s="2">
        <v>43.49</v>
      </c>
      <c r="E1710" s="15"/>
      <c r="F1710" s="15"/>
      <c r="G1710" s="15"/>
      <c r="H1710" s="15"/>
    </row>
    <row r="1711" spans="1:8" x14ac:dyDescent="0.3">
      <c r="A1711" s="15"/>
      <c r="B1711" s="15"/>
      <c r="C1711" s="3" t="s">
        <v>17</v>
      </c>
      <c r="D1711" s="7">
        <v>13.97</v>
      </c>
      <c r="E1711" s="15"/>
      <c r="F1711" s="15"/>
      <c r="G1711" s="15"/>
      <c r="H1711" s="15"/>
    </row>
    <row r="1712" spans="1:8" x14ac:dyDescent="0.3">
      <c r="A1712" s="16"/>
      <c r="B1712" s="16"/>
      <c r="C1712" s="8" t="s">
        <v>16</v>
      </c>
      <c r="D1712" s="2">
        <v>31.3</v>
      </c>
      <c r="E1712" s="16"/>
      <c r="F1712" s="16"/>
      <c r="G1712" s="16"/>
      <c r="H1712" s="16"/>
    </row>
    <row r="1713" spans="1:8" x14ac:dyDescent="0.3">
      <c r="A1713" s="18">
        <v>286</v>
      </c>
      <c r="B1713" s="20">
        <v>45044</v>
      </c>
      <c r="C1713" s="3" t="s">
        <v>13</v>
      </c>
      <c r="D1713" s="2">
        <v>9.1300000000000008</v>
      </c>
      <c r="E1713" s="19">
        <f>SUM(D1713:D1718)</f>
        <v>201.71100000000001</v>
      </c>
      <c r="F1713" s="17">
        <f>INT(MAX(D1713:D1718))</f>
        <v>69</v>
      </c>
      <c r="G1713" s="14">
        <f>INT((F1713/10)*2)</f>
        <v>13</v>
      </c>
      <c r="H1713" s="14">
        <f>F1713-G1713</f>
        <v>56</v>
      </c>
    </row>
    <row r="1714" spans="1:8" x14ac:dyDescent="0.3">
      <c r="A1714" s="15"/>
      <c r="B1714" s="15"/>
      <c r="C1714" s="3" t="s">
        <v>8</v>
      </c>
      <c r="D1714" s="7">
        <v>60.180999999999997</v>
      </c>
      <c r="E1714" s="15"/>
      <c r="F1714" s="15"/>
      <c r="G1714" s="15"/>
      <c r="H1714" s="15"/>
    </row>
    <row r="1715" spans="1:8" x14ac:dyDescent="0.3">
      <c r="A1715" s="15"/>
      <c r="B1715" s="15"/>
      <c r="C1715" s="8" t="s">
        <v>11</v>
      </c>
      <c r="D1715" s="2">
        <v>11.25</v>
      </c>
      <c r="E1715" s="15"/>
      <c r="F1715" s="15"/>
      <c r="G1715" s="15"/>
      <c r="H1715" s="15"/>
    </row>
    <row r="1716" spans="1:8" x14ac:dyDescent="0.3">
      <c r="A1716" s="15"/>
      <c r="B1716" s="15"/>
      <c r="C1716" s="3" t="s">
        <v>8</v>
      </c>
      <c r="D1716" s="2">
        <v>24.47</v>
      </c>
      <c r="E1716" s="15"/>
      <c r="F1716" s="15"/>
      <c r="G1716" s="15"/>
      <c r="H1716" s="15"/>
    </row>
    <row r="1717" spans="1:8" x14ac:dyDescent="0.3">
      <c r="A1717" s="15"/>
      <c r="B1717" s="15"/>
      <c r="C1717" s="3" t="s">
        <v>12</v>
      </c>
      <c r="D1717" s="2">
        <v>69.540000000000006</v>
      </c>
      <c r="E1717" s="15"/>
      <c r="F1717" s="15"/>
      <c r="G1717" s="15"/>
      <c r="H1717" s="15"/>
    </row>
    <row r="1718" spans="1:8" x14ac:dyDescent="0.3">
      <c r="A1718" s="16"/>
      <c r="B1718" s="16"/>
      <c r="C1718" s="3" t="s">
        <v>15</v>
      </c>
      <c r="D1718" s="2">
        <v>27.14</v>
      </c>
      <c r="E1718" s="16"/>
      <c r="F1718" s="16"/>
      <c r="G1718" s="16"/>
      <c r="H1718" s="16"/>
    </row>
    <row r="1719" spans="1:8" x14ac:dyDescent="0.3">
      <c r="A1719" s="18">
        <v>287</v>
      </c>
      <c r="B1719" s="20">
        <v>45048</v>
      </c>
      <c r="C1719" s="3" t="s">
        <v>9</v>
      </c>
      <c r="D1719" s="2">
        <v>21.43</v>
      </c>
      <c r="E1719" s="19">
        <f>SUM(D1719:D1724)</f>
        <v>305.72000000000003</v>
      </c>
      <c r="F1719" s="17">
        <f>INT(MAX(D1719:D1724))</f>
        <v>122</v>
      </c>
      <c r="G1719" s="14">
        <f>INT((F1719/10)*2)</f>
        <v>24</v>
      </c>
      <c r="H1719" s="14">
        <f>F1719-G1719</f>
        <v>98</v>
      </c>
    </row>
    <row r="1720" spans="1:8" x14ac:dyDescent="0.3">
      <c r="A1720" s="15"/>
      <c r="B1720" s="15"/>
      <c r="C1720" s="3" t="s">
        <v>17</v>
      </c>
      <c r="D1720" s="7">
        <v>35.837000000000003</v>
      </c>
      <c r="E1720" s="15"/>
      <c r="F1720" s="15"/>
      <c r="G1720" s="15"/>
      <c r="H1720" s="15"/>
    </row>
    <row r="1721" spans="1:8" x14ac:dyDescent="0.3">
      <c r="A1721" s="15"/>
      <c r="B1721" s="15"/>
      <c r="C1721" s="8" t="s">
        <v>17</v>
      </c>
      <c r="D1721" s="2">
        <v>75.97</v>
      </c>
      <c r="E1721" s="15"/>
      <c r="F1721" s="15"/>
      <c r="G1721" s="15"/>
      <c r="H1721" s="15"/>
    </row>
    <row r="1722" spans="1:8" x14ac:dyDescent="0.3">
      <c r="A1722" s="15"/>
      <c r="B1722" s="15"/>
      <c r="C1722" s="3" t="s">
        <v>15</v>
      </c>
      <c r="D1722" s="2">
        <v>122.57</v>
      </c>
      <c r="E1722" s="15"/>
      <c r="F1722" s="15"/>
      <c r="G1722" s="15"/>
      <c r="H1722" s="15"/>
    </row>
    <row r="1723" spans="1:8" x14ac:dyDescent="0.3">
      <c r="A1723" s="15"/>
      <c r="B1723" s="15"/>
      <c r="C1723" s="3" t="s">
        <v>11</v>
      </c>
      <c r="D1723" s="2">
        <v>35.26</v>
      </c>
      <c r="E1723" s="15"/>
      <c r="F1723" s="15"/>
      <c r="G1723" s="15"/>
      <c r="H1723" s="15"/>
    </row>
    <row r="1724" spans="1:8" x14ac:dyDescent="0.3">
      <c r="A1724" s="16"/>
      <c r="B1724" s="16"/>
      <c r="C1724" s="3" t="s">
        <v>13</v>
      </c>
      <c r="D1724" s="7">
        <v>14.653</v>
      </c>
      <c r="E1724" s="16"/>
      <c r="F1724" s="16"/>
      <c r="G1724" s="16"/>
      <c r="H1724" s="16"/>
    </row>
    <row r="1725" spans="1:8" x14ac:dyDescent="0.3">
      <c r="A1725" s="18">
        <v>288</v>
      </c>
      <c r="B1725" s="20">
        <v>45051</v>
      </c>
      <c r="C1725" s="8" t="s">
        <v>10</v>
      </c>
      <c r="D1725" s="2">
        <v>89.01</v>
      </c>
      <c r="E1725" s="19">
        <f>SUM(D1725:D1730)</f>
        <v>234.55200000000002</v>
      </c>
      <c r="F1725" s="17">
        <f>INT(MAX(D1725:D1730))</f>
        <v>89</v>
      </c>
      <c r="G1725" s="14">
        <f>INT((F1725/10)*2)</f>
        <v>17</v>
      </c>
      <c r="H1725" s="14">
        <f>F1725-G1725</f>
        <v>72</v>
      </c>
    </row>
    <row r="1726" spans="1:8" x14ac:dyDescent="0.3">
      <c r="A1726" s="15"/>
      <c r="B1726" s="15"/>
      <c r="C1726" s="3" t="s">
        <v>11</v>
      </c>
      <c r="D1726" s="2">
        <v>31.76</v>
      </c>
      <c r="E1726" s="15"/>
      <c r="F1726" s="15"/>
      <c r="G1726" s="15"/>
      <c r="H1726" s="15"/>
    </row>
    <row r="1727" spans="1:8" x14ac:dyDescent="0.3">
      <c r="A1727" s="15"/>
      <c r="B1727" s="15"/>
      <c r="C1727" s="3" t="s">
        <v>16</v>
      </c>
      <c r="D1727" s="2">
        <v>27.64</v>
      </c>
      <c r="E1727" s="15"/>
      <c r="F1727" s="15"/>
      <c r="G1727" s="15"/>
      <c r="H1727" s="15"/>
    </row>
    <row r="1728" spans="1:8" x14ac:dyDescent="0.3">
      <c r="A1728" s="15"/>
      <c r="B1728" s="15"/>
      <c r="C1728" s="3" t="s">
        <v>12</v>
      </c>
      <c r="D1728" s="2">
        <v>36.75</v>
      </c>
      <c r="E1728" s="15"/>
      <c r="F1728" s="15"/>
      <c r="G1728" s="15"/>
      <c r="H1728" s="15"/>
    </row>
    <row r="1729" spans="1:8" x14ac:dyDescent="0.3">
      <c r="A1729" s="15"/>
      <c r="B1729" s="15"/>
      <c r="C1729" s="3" t="s">
        <v>14</v>
      </c>
      <c r="D1729" s="2">
        <v>44.15</v>
      </c>
      <c r="E1729" s="15"/>
      <c r="F1729" s="15"/>
      <c r="G1729" s="15"/>
      <c r="H1729" s="15"/>
    </row>
    <row r="1730" spans="1:8" x14ac:dyDescent="0.3">
      <c r="A1730" s="16"/>
      <c r="B1730" s="16"/>
      <c r="C1730" s="3" t="s">
        <v>13</v>
      </c>
      <c r="D1730" s="7">
        <v>5.242</v>
      </c>
      <c r="E1730" s="16"/>
      <c r="F1730" s="16"/>
      <c r="G1730" s="16"/>
      <c r="H1730" s="16"/>
    </row>
    <row r="1731" spans="1:8" x14ac:dyDescent="0.3">
      <c r="A1731" s="18">
        <v>289</v>
      </c>
      <c r="B1731" s="20">
        <v>45055</v>
      </c>
      <c r="C1731" s="8" t="s">
        <v>17</v>
      </c>
      <c r="D1731" s="2">
        <v>4.8600000000000003</v>
      </c>
      <c r="E1731" s="19">
        <f>SUM(D1731:D1736)</f>
        <v>113.59400000000001</v>
      </c>
      <c r="F1731" s="17">
        <f>INT(MAX(D1731:D1736))</f>
        <v>40</v>
      </c>
      <c r="G1731" s="14">
        <f>INT((F1731/10)*2)</f>
        <v>8</v>
      </c>
      <c r="H1731" s="14">
        <f>F1731-G1731</f>
        <v>32</v>
      </c>
    </row>
    <row r="1732" spans="1:8" x14ac:dyDescent="0.3">
      <c r="A1732" s="15"/>
      <c r="B1732" s="15"/>
      <c r="C1732" s="3" t="s">
        <v>18</v>
      </c>
      <c r="D1732" s="2">
        <v>27.61</v>
      </c>
      <c r="E1732" s="15"/>
      <c r="F1732" s="15"/>
      <c r="G1732" s="15"/>
      <c r="H1732" s="15"/>
    </row>
    <row r="1733" spans="1:8" x14ac:dyDescent="0.3">
      <c r="A1733" s="15"/>
      <c r="B1733" s="15"/>
      <c r="C1733" s="3" t="s">
        <v>13</v>
      </c>
      <c r="D1733" s="2">
        <v>21.06</v>
      </c>
      <c r="E1733" s="15"/>
      <c r="F1733" s="15"/>
      <c r="G1733" s="15"/>
      <c r="H1733" s="15"/>
    </row>
    <row r="1734" spans="1:8" x14ac:dyDescent="0.3">
      <c r="A1734" s="15"/>
      <c r="B1734" s="15"/>
      <c r="C1734" s="3" t="s">
        <v>15</v>
      </c>
      <c r="D1734" s="2">
        <v>40.700000000000003</v>
      </c>
      <c r="E1734" s="15"/>
      <c r="F1734" s="15"/>
      <c r="G1734" s="15"/>
      <c r="H1734" s="15"/>
    </row>
    <row r="1735" spans="1:8" x14ac:dyDescent="0.3">
      <c r="A1735" s="15"/>
      <c r="B1735" s="15"/>
      <c r="C1735" s="3" t="s">
        <v>11</v>
      </c>
      <c r="D1735" s="2">
        <v>11.78</v>
      </c>
      <c r="E1735" s="15"/>
      <c r="F1735" s="15"/>
      <c r="G1735" s="15"/>
      <c r="H1735" s="15"/>
    </row>
    <row r="1736" spans="1:8" x14ac:dyDescent="0.3">
      <c r="A1736" s="16"/>
      <c r="B1736" s="16"/>
      <c r="C1736" s="3" t="s">
        <v>12</v>
      </c>
      <c r="D1736" s="7">
        <v>7.5839999999999996</v>
      </c>
      <c r="E1736" s="16"/>
      <c r="F1736" s="16"/>
      <c r="G1736" s="16"/>
      <c r="H1736" s="16"/>
    </row>
    <row r="1737" spans="1:8" x14ac:dyDescent="0.3">
      <c r="A1737" s="18">
        <v>290</v>
      </c>
      <c r="B1737" s="20">
        <v>45058</v>
      </c>
      <c r="C1737" s="8" t="s">
        <v>10</v>
      </c>
      <c r="D1737" s="2">
        <v>11.94</v>
      </c>
      <c r="E1737" s="19">
        <f>SUM(D1737:D1742)</f>
        <v>106.998</v>
      </c>
      <c r="F1737" s="17">
        <f>INT(MAX(D1737:D1742))</f>
        <v>29</v>
      </c>
      <c r="G1737" s="14">
        <f>INT((F1737/10)*2)</f>
        <v>5</v>
      </c>
      <c r="H1737" s="14">
        <f>F1737-G1737</f>
        <v>24</v>
      </c>
    </row>
    <row r="1738" spans="1:8" x14ac:dyDescent="0.3">
      <c r="A1738" s="15"/>
      <c r="B1738" s="15"/>
      <c r="C1738" s="3" t="s">
        <v>18</v>
      </c>
      <c r="D1738" s="2">
        <v>7.98</v>
      </c>
      <c r="E1738" s="15"/>
      <c r="F1738" s="15"/>
      <c r="G1738" s="15"/>
      <c r="H1738" s="15"/>
    </row>
    <row r="1739" spans="1:8" x14ac:dyDescent="0.3">
      <c r="A1739" s="15"/>
      <c r="B1739" s="15"/>
      <c r="C1739" s="3" t="s">
        <v>8</v>
      </c>
      <c r="D1739" s="2">
        <v>23.06</v>
      </c>
      <c r="E1739" s="15"/>
      <c r="F1739" s="15"/>
      <c r="G1739" s="15"/>
      <c r="H1739" s="15"/>
    </row>
    <row r="1740" spans="1:8" x14ac:dyDescent="0.3">
      <c r="A1740" s="15"/>
      <c r="B1740" s="15"/>
      <c r="C1740" s="3" t="s">
        <v>15</v>
      </c>
      <c r="D1740" s="2">
        <v>29.64</v>
      </c>
      <c r="E1740" s="15"/>
      <c r="F1740" s="15"/>
      <c r="G1740" s="15"/>
      <c r="H1740" s="15"/>
    </row>
    <row r="1741" spans="1:8" x14ac:dyDescent="0.3">
      <c r="A1741" s="15"/>
      <c r="B1741" s="15"/>
      <c r="C1741" s="3" t="s">
        <v>9</v>
      </c>
      <c r="D1741" s="7">
        <v>7.2080000000000002</v>
      </c>
      <c r="E1741" s="15"/>
      <c r="F1741" s="15"/>
      <c r="G1741" s="15"/>
      <c r="H1741" s="15"/>
    </row>
    <row r="1742" spans="1:8" x14ac:dyDescent="0.3">
      <c r="A1742" s="16"/>
      <c r="B1742" s="16"/>
      <c r="C1742" s="8" t="s">
        <v>16</v>
      </c>
      <c r="D1742" s="2">
        <v>27.17</v>
      </c>
      <c r="E1742" s="16"/>
      <c r="F1742" s="16"/>
      <c r="G1742" s="16"/>
      <c r="H1742" s="16"/>
    </row>
    <row r="1743" spans="1:8" x14ac:dyDescent="0.3">
      <c r="A1743" s="18">
        <v>291</v>
      </c>
      <c r="B1743" s="20">
        <v>45062</v>
      </c>
      <c r="C1743" s="3" t="s">
        <v>13</v>
      </c>
      <c r="D1743" s="2">
        <v>34.53</v>
      </c>
      <c r="E1743" s="19">
        <f>SUM(D1743:D1748)</f>
        <v>286.29999999999995</v>
      </c>
      <c r="F1743" s="17">
        <f>INT(MAX(D1743:D1748))</f>
        <v>84</v>
      </c>
      <c r="G1743" s="14">
        <f>INT((F1743/10)*2)</f>
        <v>16</v>
      </c>
      <c r="H1743" s="14">
        <f>F1743-G1743</f>
        <v>68</v>
      </c>
    </row>
    <row r="1744" spans="1:8" x14ac:dyDescent="0.3">
      <c r="A1744" s="15"/>
      <c r="B1744" s="15"/>
      <c r="C1744" s="3" t="s">
        <v>11</v>
      </c>
      <c r="D1744" s="7">
        <v>84.093999999999994</v>
      </c>
      <c r="E1744" s="15"/>
      <c r="F1744" s="15"/>
      <c r="G1744" s="15"/>
      <c r="H1744" s="15"/>
    </row>
    <row r="1745" spans="1:8" x14ac:dyDescent="0.3">
      <c r="A1745" s="15"/>
      <c r="B1745" s="15"/>
      <c r="C1745" s="8" t="s">
        <v>17</v>
      </c>
      <c r="D1745" s="2">
        <v>26.7</v>
      </c>
      <c r="E1745" s="15"/>
      <c r="F1745" s="15"/>
      <c r="G1745" s="15"/>
      <c r="H1745" s="15"/>
    </row>
    <row r="1746" spans="1:8" x14ac:dyDescent="0.3">
      <c r="A1746" s="15"/>
      <c r="B1746" s="15"/>
      <c r="C1746" s="3" t="s">
        <v>18</v>
      </c>
      <c r="D1746" s="2">
        <v>70</v>
      </c>
      <c r="E1746" s="15"/>
      <c r="F1746" s="15"/>
      <c r="G1746" s="15"/>
      <c r="H1746" s="15"/>
    </row>
    <row r="1747" spans="1:8" x14ac:dyDescent="0.3">
      <c r="A1747" s="15"/>
      <c r="B1747" s="15"/>
      <c r="C1747" s="3" t="s">
        <v>12</v>
      </c>
      <c r="D1747" s="7">
        <v>45.345999999999997</v>
      </c>
      <c r="E1747" s="15"/>
      <c r="F1747" s="15"/>
      <c r="G1747" s="15"/>
      <c r="H1747" s="15"/>
    </row>
    <row r="1748" spans="1:8" x14ac:dyDescent="0.3">
      <c r="A1748" s="16"/>
      <c r="B1748" s="16"/>
      <c r="C1748" s="8" t="s">
        <v>13</v>
      </c>
      <c r="D1748" s="2">
        <v>25.63</v>
      </c>
      <c r="E1748" s="16"/>
      <c r="F1748" s="16"/>
      <c r="G1748" s="16"/>
      <c r="H1748" s="16"/>
    </row>
    <row r="1749" spans="1:8" x14ac:dyDescent="0.3">
      <c r="A1749" s="18">
        <v>292</v>
      </c>
      <c r="B1749" s="20">
        <v>45065</v>
      </c>
      <c r="C1749" s="3" t="s">
        <v>17</v>
      </c>
      <c r="D1749" s="2">
        <v>23.44</v>
      </c>
      <c r="E1749" s="19">
        <f>SUM(D1749:D1754)</f>
        <v>217.113</v>
      </c>
      <c r="F1749" s="17">
        <f>INT(MAX(D1749:D1754))</f>
        <v>88</v>
      </c>
      <c r="G1749" s="14">
        <f>INT((F1749/10)*2)</f>
        <v>17</v>
      </c>
      <c r="H1749" s="14">
        <f>F1749-G1749</f>
        <v>71</v>
      </c>
    </row>
    <row r="1750" spans="1:8" x14ac:dyDescent="0.3">
      <c r="A1750" s="15"/>
      <c r="B1750" s="15"/>
      <c r="C1750" s="3" t="s">
        <v>14</v>
      </c>
      <c r="D1750" s="2">
        <v>88.53</v>
      </c>
      <c r="E1750" s="15"/>
      <c r="F1750" s="15"/>
      <c r="G1750" s="15"/>
      <c r="H1750" s="15"/>
    </row>
    <row r="1751" spans="1:8" x14ac:dyDescent="0.3">
      <c r="A1751" s="15"/>
      <c r="B1751" s="15"/>
      <c r="C1751" s="3" t="s">
        <v>11</v>
      </c>
      <c r="D1751" s="2">
        <v>13.94</v>
      </c>
      <c r="E1751" s="15"/>
      <c r="F1751" s="15"/>
      <c r="G1751" s="15"/>
      <c r="H1751" s="15"/>
    </row>
    <row r="1752" spans="1:8" x14ac:dyDescent="0.3">
      <c r="A1752" s="15"/>
      <c r="B1752" s="15"/>
      <c r="C1752" s="3" t="s">
        <v>10</v>
      </c>
      <c r="D1752" s="2">
        <v>7.37</v>
      </c>
      <c r="E1752" s="15"/>
      <c r="F1752" s="15"/>
      <c r="G1752" s="15"/>
      <c r="H1752" s="15"/>
    </row>
    <row r="1753" spans="1:8" x14ac:dyDescent="0.3">
      <c r="A1753" s="15"/>
      <c r="B1753" s="15"/>
      <c r="C1753" s="3" t="s">
        <v>8</v>
      </c>
      <c r="D1753" s="7">
        <v>36.593000000000004</v>
      </c>
      <c r="E1753" s="15"/>
      <c r="F1753" s="15"/>
      <c r="G1753" s="15"/>
      <c r="H1753" s="15"/>
    </row>
    <row r="1754" spans="1:8" x14ac:dyDescent="0.3">
      <c r="A1754" s="16"/>
      <c r="B1754" s="16"/>
      <c r="C1754" s="8" t="s">
        <v>17</v>
      </c>
      <c r="D1754" s="2">
        <v>47.24</v>
      </c>
      <c r="E1754" s="16"/>
      <c r="F1754" s="16"/>
      <c r="G1754" s="16"/>
      <c r="H1754" s="16"/>
    </row>
    <row r="1755" spans="1:8" x14ac:dyDescent="0.3">
      <c r="A1755" s="18">
        <v>293</v>
      </c>
      <c r="B1755" s="20">
        <v>45069</v>
      </c>
      <c r="C1755" s="3" t="s">
        <v>15</v>
      </c>
      <c r="D1755" s="2">
        <v>34.56</v>
      </c>
      <c r="E1755" s="19">
        <f>SUM(D1755:D1760)</f>
        <v>370.798</v>
      </c>
      <c r="F1755" s="17">
        <f>INT(MAX(D1755:D1760))</f>
        <v>159</v>
      </c>
      <c r="G1755" s="14">
        <f>INT((F1755/10)*2)</f>
        <v>31</v>
      </c>
      <c r="H1755" s="14">
        <f>F1755-G1755</f>
        <v>128</v>
      </c>
    </row>
    <row r="1756" spans="1:8" x14ac:dyDescent="0.3">
      <c r="A1756" s="15"/>
      <c r="B1756" s="15"/>
      <c r="C1756" s="3" t="s">
        <v>16</v>
      </c>
      <c r="D1756" s="7">
        <v>159.36799999999999</v>
      </c>
      <c r="E1756" s="15"/>
      <c r="F1756" s="15"/>
      <c r="G1756" s="15"/>
      <c r="H1756" s="15"/>
    </row>
    <row r="1757" spans="1:8" x14ac:dyDescent="0.3">
      <c r="A1757" s="15"/>
      <c r="B1757" s="15"/>
      <c r="C1757" s="8" t="s">
        <v>13</v>
      </c>
      <c r="D1757" s="2">
        <v>47.92</v>
      </c>
      <c r="E1757" s="15"/>
      <c r="F1757" s="15"/>
      <c r="G1757" s="15"/>
      <c r="H1757" s="15"/>
    </row>
    <row r="1758" spans="1:8" x14ac:dyDescent="0.3">
      <c r="A1758" s="15"/>
      <c r="B1758" s="15"/>
      <c r="C1758" s="3" t="s">
        <v>10</v>
      </c>
      <c r="D1758" s="2">
        <v>50</v>
      </c>
      <c r="E1758" s="15"/>
      <c r="F1758" s="15"/>
      <c r="G1758" s="15"/>
      <c r="H1758" s="15"/>
    </row>
    <row r="1759" spans="1:8" x14ac:dyDescent="0.3">
      <c r="A1759" s="15"/>
      <c r="B1759" s="15"/>
      <c r="C1759" s="3" t="s">
        <v>8</v>
      </c>
      <c r="D1759" s="2">
        <v>54.34</v>
      </c>
      <c r="E1759" s="15"/>
      <c r="F1759" s="15"/>
      <c r="G1759" s="15"/>
      <c r="H1759" s="15"/>
    </row>
    <row r="1760" spans="1:8" x14ac:dyDescent="0.3">
      <c r="A1760" s="16"/>
      <c r="B1760" s="16"/>
      <c r="C1760" s="3" t="s">
        <v>14</v>
      </c>
      <c r="D1760" s="2">
        <v>24.61</v>
      </c>
      <c r="E1760" s="16"/>
      <c r="F1760" s="16"/>
      <c r="G1760" s="16"/>
      <c r="H1760" s="16"/>
    </row>
    <row r="1761" spans="1:8" x14ac:dyDescent="0.3">
      <c r="A1761" s="18">
        <v>294</v>
      </c>
      <c r="B1761" s="20">
        <v>45072</v>
      </c>
      <c r="C1761" s="3" t="s">
        <v>16</v>
      </c>
      <c r="D1761" s="7">
        <v>21.885999999999999</v>
      </c>
      <c r="E1761" s="19">
        <f>SUM(D1761:D1766)</f>
        <v>77.972999999999999</v>
      </c>
      <c r="F1761" s="17">
        <f>INT(MAX(D1761:D1766))</f>
        <v>30</v>
      </c>
      <c r="G1761" s="14">
        <f>INT((F1761/10)*2)</f>
        <v>6</v>
      </c>
      <c r="H1761" s="14">
        <f>F1761-G1761</f>
        <v>24</v>
      </c>
    </row>
    <row r="1762" spans="1:8" x14ac:dyDescent="0.3">
      <c r="A1762" s="15"/>
      <c r="B1762" s="15"/>
      <c r="C1762" s="8" t="s">
        <v>9</v>
      </c>
      <c r="D1762" s="2">
        <v>7.03</v>
      </c>
      <c r="E1762" s="15"/>
      <c r="F1762" s="15"/>
      <c r="G1762" s="15"/>
      <c r="H1762" s="15"/>
    </row>
    <row r="1763" spans="1:8" x14ac:dyDescent="0.3">
      <c r="A1763" s="15"/>
      <c r="B1763" s="15"/>
      <c r="C1763" s="3" t="s">
        <v>10</v>
      </c>
      <c r="D1763" s="2">
        <v>3.23</v>
      </c>
      <c r="E1763" s="15"/>
      <c r="F1763" s="15"/>
      <c r="G1763" s="15"/>
      <c r="H1763" s="15"/>
    </row>
    <row r="1764" spans="1:8" x14ac:dyDescent="0.3">
      <c r="A1764" s="15"/>
      <c r="B1764" s="15"/>
      <c r="C1764" s="3" t="s">
        <v>18</v>
      </c>
      <c r="D1764" s="2">
        <v>12.9</v>
      </c>
      <c r="E1764" s="15"/>
      <c r="F1764" s="15"/>
      <c r="G1764" s="15"/>
      <c r="H1764" s="15"/>
    </row>
    <row r="1765" spans="1:8" x14ac:dyDescent="0.3">
      <c r="A1765" s="15"/>
      <c r="B1765" s="15"/>
      <c r="C1765" s="3" t="s">
        <v>16</v>
      </c>
      <c r="D1765" s="2">
        <v>2.52</v>
      </c>
      <c r="E1765" s="15"/>
      <c r="F1765" s="15"/>
      <c r="G1765" s="15"/>
      <c r="H1765" s="15"/>
    </row>
    <row r="1766" spans="1:8" x14ac:dyDescent="0.3">
      <c r="A1766" s="16"/>
      <c r="B1766" s="16"/>
      <c r="C1766" s="3" t="s">
        <v>8</v>
      </c>
      <c r="D1766" s="7">
        <v>30.407</v>
      </c>
      <c r="E1766" s="16"/>
      <c r="F1766" s="16"/>
      <c r="G1766" s="16"/>
      <c r="H1766" s="16"/>
    </row>
    <row r="1767" spans="1:8" x14ac:dyDescent="0.3">
      <c r="A1767" s="18">
        <v>295</v>
      </c>
      <c r="B1767" s="20">
        <v>45076</v>
      </c>
      <c r="C1767" s="8" t="s">
        <v>12</v>
      </c>
      <c r="D1767" s="2">
        <v>7.13</v>
      </c>
      <c r="E1767" s="19">
        <f>SUM(D1767:D1772)</f>
        <v>92.31</v>
      </c>
      <c r="F1767" s="17">
        <f>INT(MAX(D1767:D1772))</f>
        <v>22</v>
      </c>
      <c r="G1767" s="14">
        <f>INT((F1767/10)*2)</f>
        <v>4</v>
      </c>
      <c r="H1767" s="14">
        <f>F1767-G1767</f>
        <v>18</v>
      </c>
    </row>
    <row r="1768" spans="1:8" x14ac:dyDescent="0.3">
      <c r="A1768" s="15"/>
      <c r="B1768" s="15"/>
      <c r="C1768" s="3" t="s">
        <v>10</v>
      </c>
      <c r="D1768" s="2">
        <v>22.94</v>
      </c>
      <c r="E1768" s="15"/>
      <c r="F1768" s="15"/>
      <c r="G1768" s="15"/>
      <c r="H1768" s="15"/>
    </row>
    <row r="1769" spans="1:8" x14ac:dyDescent="0.3">
      <c r="A1769" s="15"/>
      <c r="B1769" s="15"/>
      <c r="C1769" s="3" t="s">
        <v>8</v>
      </c>
      <c r="D1769" s="2">
        <v>21.3</v>
      </c>
      <c r="E1769" s="15"/>
      <c r="F1769" s="15"/>
      <c r="G1769" s="15"/>
      <c r="H1769" s="15"/>
    </row>
    <row r="1770" spans="1:8" x14ac:dyDescent="0.3">
      <c r="A1770" s="15"/>
      <c r="B1770" s="15"/>
      <c r="C1770" s="3" t="s">
        <v>16</v>
      </c>
      <c r="D1770" s="2">
        <v>17.329999999999998</v>
      </c>
      <c r="E1770" s="15"/>
      <c r="F1770" s="15"/>
      <c r="G1770" s="15"/>
      <c r="H1770" s="15"/>
    </row>
    <row r="1771" spans="1:8" x14ac:dyDescent="0.3">
      <c r="A1771" s="15"/>
      <c r="B1771" s="15"/>
      <c r="C1771" s="3" t="s">
        <v>18</v>
      </c>
      <c r="D1771" s="7">
        <v>8.7100000000000009</v>
      </c>
      <c r="E1771" s="15"/>
      <c r="F1771" s="15"/>
      <c r="G1771" s="15"/>
      <c r="H1771" s="15"/>
    </row>
    <row r="1772" spans="1:8" x14ac:dyDescent="0.3">
      <c r="A1772" s="16"/>
      <c r="B1772" s="16"/>
      <c r="C1772" s="8" t="s">
        <v>16</v>
      </c>
      <c r="D1772" s="2">
        <v>14.9</v>
      </c>
      <c r="E1772" s="16"/>
      <c r="F1772" s="16"/>
      <c r="G1772" s="16"/>
      <c r="H1772" s="16"/>
    </row>
    <row r="1773" spans="1:8" x14ac:dyDescent="0.3">
      <c r="A1773" s="18">
        <v>296</v>
      </c>
      <c r="B1773" s="20">
        <v>45079</v>
      </c>
      <c r="C1773" s="3" t="s">
        <v>9</v>
      </c>
      <c r="D1773" s="2">
        <v>38.39</v>
      </c>
      <c r="E1773" s="19">
        <f>SUM(D1773:D1778)</f>
        <v>151.63900000000001</v>
      </c>
      <c r="F1773" s="17">
        <f>INT(MAX(D1773:D1778))</f>
        <v>44</v>
      </c>
      <c r="G1773" s="14">
        <f>INT((F1773/10)*2)</f>
        <v>8</v>
      </c>
      <c r="H1773" s="14">
        <f>F1773-G1773</f>
        <v>36</v>
      </c>
    </row>
    <row r="1774" spans="1:8" x14ac:dyDescent="0.3">
      <c r="A1774" s="15"/>
      <c r="B1774" s="15"/>
      <c r="C1774" s="3" t="s">
        <v>15</v>
      </c>
      <c r="D1774" s="2">
        <v>9.75</v>
      </c>
      <c r="E1774" s="15"/>
      <c r="F1774" s="15"/>
      <c r="G1774" s="15"/>
      <c r="H1774" s="15"/>
    </row>
    <row r="1775" spans="1:8" x14ac:dyDescent="0.3">
      <c r="A1775" s="15"/>
      <c r="B1775" s="15"/>
      <c r="C1775" s="3" t="s">
        <v>17</v>
      </c>
      <c r="D1775" s="7">
        <v>9.8190000000000008</v>
      </c>
      <c r="E1775" s="15"/>
      <c r="F1775" s="15"/>
      <c r="G1775" s="15"/>
      <c r="H1775" s="15"/>
    </row>
    <row r="1776" spans="1:8" x14ac:dyDescent="0.3">
      <c r="A1776" s="15"/>
      <c r="B1776" s="15"/>
      <c r="C1776" s="8" t="s">
        <v>12</v>
      </c>
      <c r="D1776" s="2">
        <v>44.52</v>
      </c>
      <c r="E1776" s="15"/>
      <c r="F1776" s="15"/>
      <c r="G1776" s="15"/>
      <c r="H1776" s="15"/>
    </row>
    <row r="1777" spans="1:8" x14ac:dyDescent="0.3">
      <c r="A1777" s="15"/>
      <c r="B1777" s="15"/>
      <c r="C1777" s="3" t="s">
        <v>13</v>
      </c>
      <c r="D1777" s="2">
        <v>31.65</v>
      </c>
      <c r="E1777" s="15"/>
      <c r="F1777" s="15"/>
      <c r="G1777" s="15"/>
      <c r="H1777" s="15"/>
    </row>
    <row r="1778" spans="1:8" x14ac:dyDescent="0.3">
      <c r="A1778" s="16"/>
      <c r="B1778" s="16"/>
      <c r="C1778" s="3" t="s">
        <v>15</v>
      </c>
      <c r="D1778" s="2">
        <v>17.510000000000002</v>
      </c>
      <c r="E1778" s="16"/>
      <c r="F1778" s="16"/>
      <c r="G1778" s="16"/>
      <c r="H1778" s="16"/>
    </row>
    <row r="1779" spans="1:8" x14ac:dyDescent="0.3">
      <c r="A1779" s="18">
        <v>297</v>
      </c>
      <c r="B1779" s="20">
        <v>45083</v>
      </c>
      <c r="C1779" s="3" t="s">
        <v>18</v>
      </c>
      <c r="D1779" s="2">
        <v>9.16</v>
      </c>
      <c r="E1779" s="19">
        <f>SUM(D1779:D1784)</f>
        <v>126.914</v>
      </c>
      <c r="F1779" s="17">
        <f>INT(MAX(D1779:D1784))</f>
        <v>58</v>
      </c>
      <c r="G1779" s="14">
        <f>INT((F1779/10)*2)</f>
        <v>11</v>
      </c>
      <c r="H1779" s="14">
        <f>F1779-G1779</f>
        <v>47</v>
      </c>
    </row>
    <row r="1780" spans="1:8" x14ac:dyDescent="0.3">
      <c r="A1780" s="15"/>
      <c r="B1780" s="15"/>
      <c r="C1780" s="3" t="s">
        <v>9</v>
      </c>
      <c r="D1780" s="2">
        <v>25.09</v>
      </c>
      <c r="E1780" s="15"/>
      <c r="F1780" s="15"/>
      <c r="G1780" s="15"/>
      <c r="H1780" s="15"/>
    </row>
    <row r="1781" spans="1:8" x14ac:dyDescent="0.3">
      <c r="A1781" s="15"/>
      <c r="B1781" s="15"/>
      <c r="C1781" s="3" t="s">
        <v>16</v>
      </c>
      <c r="D1781" s="7">
        <v>15.224</v>
      </c>
      <c r="E1781" s="15"/>
      <c r="F1781" s="15"/>
      <c r="G1781" s="15"/>
      <c r="H1781" s="15"/>
    </row>
    <row r="1782" spans="1:8" x14ac:dyDescent="0.3">
      <c r="A1782" s="15"/>
      <c r="B1782" s="15"/>
      <c r="C1782" s="8" t="s">
        <v>18</v>
      </c>
      <c r="D1782" s="2">
        <v>5.66</v>
      </c>
      <c r="E1782" s="15"/>
      <c r="F1782" s="15"/>
      <c r="G1782" s="15"/>
      <c r="H1782" s="15"/>
    </row>
    <row r="1783" spans="1:8" x14ac:dyDescent="0.3">
      <c r="A1783" s="15"/>
      <c r="B1783" s="15"/>
      <c r="C1783" s="3" t="s">
        <v>10</v>
      </c>
      <c r="D1783" s="2">
        <v>58.08</v>
      </c>
      <c r="E1783" s="15"/>
      <c r="F1783" s="15"/>
      <c r="G1783" s="15"/>
      <c r="H1783" s="15"/>
    </row>
    <row r="1784" spans="1:8" x14ac:dyDescent="0.3">
      <c r="A1784" s="16"/>
      <c r="B1784" s="16"/>
      <c r="C1784" s="3" t="s">
        <v>11</v>
      </c>
      <c r="D1784" s="2">
        <v>13.7</v>
      </c>
      <c r="E1784" s="16"/>
      <c r="F1784" s="16"/>
      <c r="G1784" s="16"/>
      <c r="H1784" s="16"/>
    </row>
    <row r="1785" spans="1:8" x14ac:dyDescent="0.3">
      <c r="A1785" s="18">
        <v>298</v>
      </c>
      <c r="B1785" s="20">
        <v>45086</v>
      </c>
      <c r="C1785" s="3" t="s">
        <v>8</v>
      </c>
      <c r="D1785" s="2">
        <v>13.35</v>
      </c>
      <c r="E1785" s="19">
        <f>SUM(D1785:D1790)</f>
        <v>105.113</v>
      </c>
      <c r="F1785" s="17">
        <f>INT(MAX(D1785:D1790))</f>
        <v>40</v>
      </c>
      <c r="G1785" s="14">
        <f>INT((F1785/10)*2)</f>
        <v>8</v>
      </c>
      <c r="H1785" s="14">
        <f>F1785-G1785</f>
        <v>32</v>
      </c>
    </row>
    <row r="1786" spans="1:8" x14ac:dyDescent="0.3">
      <c r="A1786" s="15"/>
      <c r="B1786" s="15"/>
      <c r="C1786" s="3" t="s">
        <v>12</v>
      </c>
      <c r="D1786" s="2">
        <v>40.200000000000003</v>
      </c>
      <c r="E1786" s="15"/>
      <c r="F1786" s="15"/>
      <c r="G1786" s="15"/>
      <c r="H1786" s="15"/>
    </row>
    <row r="1787" spans="1:8" x14ac:dyDescent="0.3">
      <c r="A1787" s="15"/>
      <c r="B1787" s="15"/>
      <c r="C1787" s="3" t="s">
        <v>15</v>
      </c>
      <c r="D1787" s="7">
        <v>17.222999999999999</v>
      </c>
      <c r="E1787" s="15"/>
      <c r="F1787" s="15"/>
      <c r="G1787" s="15"/>
      <c r="H1787" s="15"/>
    </row>
    <row r="1788" spans="1:8" x14ac:dyDescent="0.3">
      <c r="A1788" s="15"/>
      <c r="B1788" s="15"/>
      <c r="C1788" s="8" t="s">
        <v>16</v>
      </c>
      <c r="D1788" s="2">
        <v>19.559999999999999</v>
      </c>
      <c r="E1788" s="15"/>
      <c r="F1788" s="15"/>
      <c r="G1788" s="15"/>
      <c r="H1788" s="15"/>
    </row>
    <row r="1789" spans="1:8" x14ac:dyDescent="0.3">
      <c r="A1789" s="15"/>
      <c r="B1789" s="15"/>
      <c r="C1789" s="3" t="s">
        <v>14</v>
      </c>
      <c r="D1789" s="2">
        <v>8.98</v>
      </c>
      <c r="E1789" s="15"/>
      <c r="F1789" s="15"/>
      <c r="G1789" s="15"/>
      <c r="H1789" s="15"/>
    </row>
    <row r="1790" spans="1:8" x14ac:dyDescent="0.3">
      <c r="A1790" s="16"/>
      <c r="B1790" s="16"/>
      <c r="C1790" s="3" t="s">
        <v>17</v>
      </c>
      <c r="D1790" s="2">
        <v>5.8</v>
      </c>
      <c r="E1790" s="16"/>
      <c r="F1790" s="16"/>
      <c r="G1790" s="16"/>
      <c r="H1790" s="16"/>
    </row>
    <row r="1791" spans="1:8" x14ac:dyDescent="0.3">
      <c r="A1791" s="18">
        <v>299</v>
      </c>
      <c r="B1791" s="20">
        <v>45090</v>
      </c>
      <c r="C1791" s="3" t="s">
        <v>12</v>
      </c>
      <c r="D1791" s="7">
        <v>29.122</v>
      </c>
      <c r="E1791" s="19">
        <f>SUM(D1791:D1796)</f>
        <v>229.33499999999998</v>
      </c>
      <c r="F1791" s="17">
        <f>INT(MAX(D1791:D1796))</f>
        <v>62</v>
      </c>
      <c r="G1791" s="14">
        <f>INT((F1791/10)*2)</f>
        <v>12</v>
      </c>
      <c r="H1791" s="14">
        <f>F1791-G1791</f>
        <v>50</v>
      </c>
    </row>
    <row r="1792" spans="1:8" x14ac:dyDescent="0.3">
      <c r="A1792" s="15"/>
      <c r="B1792" s="15"/>
      <c r="C1792" s="8" t="s">
        <v>16</v>
      </c>
      <c r="D1792" s="2">
        <v>11.03</v>
      </c>
      <c r="E1792" s="15"/>
      <c r="F1792" s="15"/>
      <c r="G1792" s="15"/>
      <c r="H1792" s="15"/>
    </row>
    <row r="1793" spans="1:8" x14ac:dyDescent="0.3">
      <c r="A1793" s="15"/>
      <c r="B1793" s="15"/>
      <c r="C1793" s="3" t="s">
        <v>10</v>
      </c>
      <c r="D1793" s="2">
        <v>32.75</v>
      </c>
      <c r="E1793" s="15"/>
      <c r="F1793" s="15"/>
      <c r="G1793" s="15"/>
      <c r="H1793" s="15"/>
    </row>
    <row r="1794" spans="1:8" x14ac:dyDescent="0.3">
      <c r="A1794" s="15"/>
      <c r="B1794" s="15"/>
      <c r="C1794" s="3" t="s">
        <v>12</v>
      </c>
      <c r="D1794" s="2">
        <v>44.96</v>
      </c>
      <c r="E1794" s="15"/>
      <c r="F1794" s="15"/>
      <c r="G1794" s="15"/>
      <c r="H1794" s="15"/>
    </row>
    <row r="1795" spans="1:8" x14ac:dyDescent="0.3">
      <c r="A1795" s="15"/>
      <c r="B1795" s="15"/>
      <c r="C1795" s="3" t="s">
        <v>9</v>
      </c>
      <c r="D1795" s="2">
        <v>62.22</v>
      </c>
      <c r="E1795" s="15"/>
      <c r="F1795" s="15"/>
      <c r="G1795" s="15"/>
      <c r="H1795" s="15"/>
    </row>
    <row r="1796" spans="1:8" x14ac:dyDescent="0.3">
      <c r="A1796" s="16"/>
      <c r="B1796" s="16"/>
      <c r="C1796" s="3" t="s">
        <v>15</v>
      </c>
      <c r="D1796" s="7">
        <v>49.253</v>
      </c>
      <c r="E1796" s="16"/>
      <c r="F1796" s="16"/>
      <c r="G1796" s="16"/>
      <c r="H1796" s="16"/>
    </row>
    <row r="1797" spans="1:8" x14ac:dyDescent="0.3">
      <c r="A1797" s="18">
        <v>300</v>
      </c>
      <c r="B1797" s="20">
        <v>45093</v>
      </c>
      <c r="C1797" s="8" t="s">
        <v>11</v>
      </c>
      <c r="D1797" s="2">
        <v>9.6</v>
      </c>
      <c r="E1797" s="19">
        <f>SUM(D1797:D1802)</f>
        <v>107.324</v>
      </c>
      <c r="F1797" s="17">
        <f>INT(MAX(D1797:D1802))</f>
        <v>31</v>
      </c>
      <c r="G1797" s="14">
        <f>INT((F1797/10)*2)</f>
        <v>6</v>
      </c>
      <c r="H1797" s="14">
        <f>F1797-G1797</f>
        <v>25</v>
      </c>
    </row>
    <row r="1798" spans="1:8" x14ac:dyDescent="0.3">
      <c r="A1798" s="15"/>
      <c r="B1798" s="15"/>
      <c r="C1798" s="3" t="s">
        <v>10</v>
      </c>
      <c r="D1798" s="2">
        <v>10.11</v>
      </c>
      <c r="E1798" s="15"/>
      <c r="F1798" s="15"/>
      <c r="G1798" s="15"/>
      <c r="H1798" s="15"/>
    </row>
    <row r="1799" spans="1:8" x14ac:dyDescent="0.3">
      <c r="A1799" s="15"/>
      <c r="B1799" s="15"/>
      <c r="C1799" s="3" t="s">
        <v>8</v>
      </c>
      <c r="D1799" s="2">
        <v>11.59</v>
      </c>
      <c r="E1799" s="15"/>
      <c r="F1799" s="15"/>
      <c r="G1799" s="15"/>
      <c r="H1799" s="15"/>
    </row>
    <row r="1800" spans="1:8" x14ac:dyDescent="0.3">
      <c r="A1800" s="15"/>
      <c r="B1800" s="15"/>
      <c r="C1800" s="3" t="s">
        <v>16</v>
      </c>
      <c r="D1800" s="7">
        <v>31.184000000000001</v>
      </c>
      <c r="E1800" s="15"/>
      <c r="F1800" s="15"/>
      <c r="G1800" s="15"/>
      <c r="H1800" s="15"/>
    </row>
    <row r="1801" spans="1:8" x14ac:dyDescent="0.3">
      <c r="A1801" s="15"/>
      <c r="B1801" s="15"/>
      <c r="C1801" s="8" t="s">
        <v>10</v>
      </c>
      <c r="D1801" s="2">
        <v>24.4</v>
      </c>
      <c r="E1801" s="15"/>
      <c r="F1801" s="15"/>
      <c r="G1801" s="15"/>
      <c r="H1801" s="15"/>
    </row>
    <row r="1802" spans="1:8" x14ac:dyDescent="0.3">
      <c r="A1802" s="16"/>
      <c r="B1802" s="16"/>
      <c r="C1802" s="3" t="s">
        <v>18</v>
      </c>
      <c r="D1802" s="2">
        <v>20.440000000000001</v>
      </c>
      <c r="E1802" s="16"/>
      <c r="F1802" s="16"/>
      <c r="G1802" s="16"/>
      <c r="H1802" s="16"/>
    </row>
    <row r="1803" spans="1:8" x14ac:dyDescent="0.3">
      <c r="A1803" s="18">
        <v>301</v>
      </c>
      <c r="B1803" s="20">
        <v>45097</v>
      </c>
      <c r="C1803" s="3" t="s">
        <v>14</v>
      </c>
      <c r="D1803" s="2">
        <v>22.66</v>
      </c>
      <c r="E1803" s="19">
        <f>SUM(D1803:D1808)</f>
        <v>363.53400000000005</v>
      </c>
      <c r="F1803" s="17">
        <f>INT(MAX(D1803:D1808))</f>
        <v>148</v>
      </c>
      <c r="G1803" s="14">
        <f>INT((F1803/10)*2)</f>
        <v>29</v>
      </c>
      <c r="H1803" s="14">
        <f>F1803-G1803</f>
        <v>119</v>
      </c>
    </row>
    <row r="1804" spans="1:8" x14ac:dyDescent="0.3">
      <c r="A1804" s="15"/>
      <c r="B1804" s="15"/>
      <c r="C1804" s="3" t="s">
        <v>16</v>
      </c>
      <c r="D1804" s="2">
        <v>43.22</v>
      </c>
      <c r="E1804" s="15"/>
      <c r="F1804" s="15"/>
      <c r="G1804" s="15"/>
      <c r="H1804" s="15"/>
    </row>
    <row r="1805" spans="1:8" x14ac:dyDescent="0.3">
      <c r="A1805" s="15"/>
      <c r="B1805" s="15"/>
      <c r="C1805" s="3" t="s">
        <v>17</v>
      </c>
      <c r="D1805" s="2">
        <v>56.99</v>
      </c>
      <c r="E1805" s="15"/>
      <c r="F1805" s="15"/>
      <c r="G1805" s="15"/>
      <c r="H1805" s="15"/>
    </row>
    <row r="1806" spans="1:8" x14ac:dyDescent="0.3">
      <c r="A1806" s="15"/>
      <c r="B1806" s="15"/>
      <c r="C1806" s="3" t="s">
        <v>13</v>
      </c>
      <c r="D1806" s="7">
        <v>148.024</v>
      </c>
      <c r="E1806" s="15"/>
      <c r="F1806" s="15"/>
      <c r="G1806" s="15"/>
      <c r="H1806" s="15"/>
    </row>
    <row r="1807" spans="1:8" x14ac:dyDescent="0.3">
      <c r="A1807" s="15"/>
      <c r="B1807" s="15"/>
      <c r="C1807" s="8" t="s">
        <v>11</v>
      </c>
      <c r="D1807" s="2">
        <v>60.22</v>
      </c>
      <c r="E1807" s="15"/>
      <c r="F1807" s="15"/>
      <c r="G1807" s="15"/>
      <c r="H1807" s="15"/>
    </row>
    <row r="1808" spans="1:8" x14ac:dyDescent="0.3">
      <c r="A1808" s="16"/>
      <c r="B1808" s="16"/>
      <c r="C1808" s="3" t="s">
        <v>9</v>
      </c>
      <c r="D1808" s="2">
        <v>32.42</v>
      </c>
      <c r="E1808" s="16"/>
      <c r="F1808" s="16"/>
      <c r="G1808" s="16"/>
      <c r="H1808" s="16"/>
    </row>
    <row r="1809" spans="1:8" x14ac:dyDescent="0.3">
      <c r="A1809" s="18">
        <v>302</v>
      </c>
      <c r="B1809" s="20">
        <v>45100</v>
      </c>
      <c r="C1809" s="3" t="s">
        <v>13</v>
      </c>
      <c r="D1809" s="2">
        <v>44.97</v>
      </c>
      <c r="E1809" s="19">
        <f>SUM(D1809:D1814)</f>
        <v>133.51400000000001</v>
      </c>
      <c r="F1809" s="17">
        <f>INT(MAX(D1809:D1814))</f>
        <v>44</v>
      </c>
      <c r="G1809" s="14">
        <f>INT((F1809/10)*2)</f>
        <v>8</v>
      </c>
      <c r="H1809" s="14">
        <f>F1809-G1809</f>
        <v>36</v>
      </c>
    </row>
    <row r="1810" spans="1:8" x14ac:dyDescent="0.3">
      <c r="A1810" s="15"/>
      <c r="B1810" s="15"/>
      <c r="C1810" s="3" t="s">
        <v>12</v>
      </c>
      <c r="D1810" s="2">
        <v>28.65</v>
      </c>
      <c r="E1810" s="15"/>
      <c r="F1810" s="15"/>
      <c r="G1810" s="15"/>
      <c r="H1810" s="15"/>
    </row>
    <row r="1811" spans="1:8" x14ac:dyDescent="0.3">
      <c r="A1811" s="15"/>
      <c r="B1811" s="15"/>
      <c r="C1811" s="3" t="s">
        <v>15</v>
      </c>
      <c r="D1811" s="7">
        <v>11.874000000000001</v>
      </c>
      <c r="E1811" s="15"/>
      <c r="F1811" s="15"/>
      <c r="G1811" s="15"/>
      <c r="H1811" s="15"/>
    </row>
    <row r="1812" spans="1:8" x14ac:dyDescent="0.3">
      <c r="A1812" s="15"/>
      <c r="B1812" s="15"/>
      <c r="C1812" s="8" t="s">
        <v>8</v>
      </c>
      <c r="D1812" s="2">
        <v>7.6</v>
      </c>
      <c r="E1812" s="15"/>
      <c r="F1812" s="15"/>
      <c r="G1812" s="15"/>
      <c r="H1812" s="15"/>
    </row>
    <row r="1813" spans="1:8" x14ac:dyDescent="0.3">
      <c r="A1813" s="15"/>
      <c r="B1813" s="15"/>
      <c r="C1813" s="3" t="s">
        <v>18</v>
      </c>
      <c r="D1813" s="2">
        <v>17.71</v>
      </c>
      <c r="E1813" s="15"/>
      <c r="F1813" s="15"/>
      <c r="G1813" s="15"/>
      <c r="H1813" s="15"/>
    </row>
    <row r="1814" spans="1:8" x14ac:dyDescent="0.3">
      <c r="A1814" s="16"/>
      <c r="B1814" s="16"/>
      <c r="C1814" s="3" t="s">
        <v>16</v>
      </c>
      <c r="D1814" s="2">
        <v>22.71</v>
      </c>
      <c r="E1814" s="16"/>
      <c r="F1814" s="16"/>
      <c r="G1814" s="16"/>
      <c r="H1814" s="16"/>
    </row>
    <row r="1815" spans="1:8" x14ac:dyDescent="0.3">
      <c r="A1815" s="18">
        <v>303</v>
      </c>
      <c r="B1815" s="20">
        <v>45104</v>
      </c>
      <c r="C1815" s="3" t="s">
        <v>9</v>
      </c>
      <c r="D1815" s="7">
        <v>3.5640000000000001</v>
      </c>
      <c r="E1815" s="19">
        <f>SUM(D1815:D1820)</f>
        <v>87.603999999999999</v>
      </c>
      <c r="F1815" s="17">
        <f>INT(MAX(D1815:D1820))</f>
        <v>38</v>
      </c>
      <c r="G1815" s="14">
        <f>INT((F1815/10)*2)</f>
        <v>7</v>
      </c>
      <c r="H1815" s="14">
        <f>F1815-G1815</f>
        <v>31</v>
      </c>
    </row>
    <row r="1816" spans="1:8" x14ac:dyDescent="0.3">
      <c r="A1816" s="15"/>
      <c r="B1816" s="15"/>
      <c r="C1816" s="8" t="s">
        <v>8</v>
      </c>
      <c r="D1816" s="2">
        <v>5.01</v>
      </c>
      <c r="E1816" s="15"/>
      <c r="F1816" s="15"/>
      <c r="G1816" s="15"/>
      <c r="H1816" s="15"/>
    </row>
    <row r="1817" spans="1:8" x14ac:dyDescent="0.3">
      <c r="A1817" s="15"/>
      <c r="B1817" s="15"/>
      <c r="C1817" s="3" t="s">
        <v>16</v>
      </c>
      <c r="D1817" s="2">
        <v>6.02</v>
      </c>
      <c r="E1817" s="15"/>
      <c r="F1817" s="15"/>
      <c r="G1817" s="15"/>
      <c r="H1817" s="15"/>
    </row>
    <row r="1818" spans="1:8" x14ac:dyDescent="0.3">
      <c r="A1818" s="15"/>
      <c r="B1818" s="15"/>
      <c r="C1818" s="3" t="s">
        <v>10</v>
      </c>
      <c r="D1818" s="2">
        <v>14.85</v>
      </c>
      <c r="E1818" s="15"/>
      <c r="F1818" s="15"/>
      <c r="G1818" s="15"/>
      <c r="H1818" s="15"/>
    </row>
    <row r="1819" spans="1:8" x14ac:dyDescent="0.3">
      <c r="A1819" s="15"/>
      <c r="B1819" s="15"/>
      <c r="C1819" s="3" t="s">
        <v>12</v>
      </c>
      <c r="D1819" s="2">
        <v>20.059999999999999</v>
      </c>
      <c r="E1819" s="15"/>
      <c r="F1819" s="15"/>
      <c r="G1819" s="15"/>
      <c r="H1819" s="15"/>
    </row>
    <row r="1820" spans="1:8" x14ac:dyDescent="0.3">
      <c r="A1820" s="16"/>
      <c r="B1820" s="16"/>
      <c r="C1820" s="3" t="s">
        <v>14</v>
      </c>
      <c r="D1820" s="2">
        <v>38.1</v>
      </c>
      <c r="E1820" s="16"/>
      <c r="F1820" s="16"/>
      <c r="G1820" s="16"/>
      <c r="H1820" s="16"/>
    </row>
    <row r="1821" spans="1:8" x14ac:dyDescent="0.3">
      <c r="A1821" s="18">
        <v>304</v>
      </c>
      <c r="B1821" s="20">
        <v>45107</v>
      </c>
      <c r="C1821" s="3" t="s">
        <v>13</v>
      </c>
      <c r="D1821" s="7">
        <v>55.750999999999998</v>
      </c>
      <c r="E1821" s="19">
        <f>SUM(D1821:D1826)</f>
        <v>164.751</v>
      </c>
      <c r="F1821" s="17">
        <f>INT(MAX(D1821:D1826))</f>
        <v>55</v>
      </c>
      <c r="G1821" s="14">
        <f>INT((F1821/10)*2)</f>
        <v>11</v>
      </c>
      <c r="H1821" s="14">
        <f>F1821-G1821</f>
        <v>44</v>
      </c>
    </row>
    <row r="1822" spans="1:8" x14ac:dyDescent="0.3">
      <c r="A1822" s="15"/>
      <c r="B1822" s="15"/>
      <c r="C1822" s="8" t="s">
        <v>9</v>
      </c>
      <c r="D1822" s="2">
        <v>23.4</v>
      </c>
      <c r="E1822" s="15"/>
      <c r="F1822" s="15"/>
      <c r="G1822" s="15"/>
      <c r="H1822" s="15"/>
    </row>
    <row r="1823" spans="1:8" x14ac:dyDescent="0.3">
      <c r="A1823" s="15"/>
      <c r="B1823" s="15"/>
      <c r="C1823" s="3" t="s">
        <v>8</v>
      </c>
      <c r="D1823" s="2">
        <v>10.64</v>
      </c>
      <c r="E1823" s="15"/>
      <c r="F1823" s="15"/>
      <c r="G1823" s="15"/>
      <c r="H1823" s="15"/>
    </row>
    <row r="1824" spans="1:8" x14ac:dyDescent="0.3">
      <c r="A1824" s="15"/>
      <c r="B1824" s="15"/>
      <c r="C1824" s="3" t="s">
        <v>10</v>
      </c>
      <c r="D1824" s="2">
        <v>28.16</v>
      </c>
      <c r="E1824" s="15"/>
      <c r="F1824" s="15"/>
      <c r="G1824" s="15"/>
      <c r="H1824" s="15"/>
    </row>
    <row r="1825" spans="1:8" x14ac:dyDescent="0.3">
      <c r="A1825" s="15"/>
      <c r="B1825" s="15"/>
      <c r="C1825" s="3" t="s">
        <v>14</v>
      </c>
      <c r="D1825" s="2">
        <v>35.56</v>
      </c>
      <c r="E1825" s="15"/>
      <c r="F1825" s="15"/>
      <c r="G1825" s="15"/>
      <c r="H1825" s="15"/>
    </row>
    <row r="1826" spans="1:8" x14ac:dyDescent="0.3">
      <c r="A1826" s="16"/>
      <c r="B1826" s="16"/>
      <c r="C1826" s="3" t="s">
        <v>17</v>
      </c>
      <c r="D1826" s="7">
        <v>11.24</v>
      </c>
      <c r="E1826" s="16"/>
      <c r="F1826" s="16"/>
      <c r="G1826" s="16"/>
      <c r="H1826" s="16"/>
    </row>
    <row r="1827" spans="1:8" x14ac:dyDescent="0.3">
      <c r="A1827" s="18">
        <v>305</v>
      </c>
      <c r="B1827" s="20">
        <v>45111</v>
      </c>
      <c r="C1827" s="8" t="s">
        <v>15</v>
      </c>
      <c r="D1827" s="2">
        <v>2.91</v>
      </c>
      <c r="E1827" s="19">
        <f>SUM(D1827:D1832)</f>
        <v>368.04899999999998</v>
      </c>
      <c r="F1827" s="17">
        <f>INT(MAX(D1827:D1832))</f>
        <v>173</v>
      </c>
      <c r="G1827" s="14">
        <f>INT((F1827/10)*2)</f>
        <v>34</v>
      </c>
      <c r="H1827" s="14">
        <f>F1827-G1827</f>
        <v>139</v>
      </c>
    </row>
    <row r="1828" spans="1:8" x14ac:dyDescent="0.3">
      <c r="A1828" s="15"/>
      <c r="B1828" s="15"/>
      <c r="C1828" s="3" t="s">
        <v>10</v>
      </c>
      <c r="D1828" s="2">
        <v>21.16</v>
      </c>
      <c r="E1828" s="15"/>
      <c r="F1828" s="15"/>
      <c r="G1828" s="15"/>
      <c r="H1828" s="15"/>
    </row>
    <row r="1829" spans="1:8" x14ac:dyDescent="0.3">
      <c r="A1829" s="15"/>
      <c r="B1829" s="15"/>
      <c r="C1829" s="3" t="s">
        <v>11</v>
      </c>
      <c r="D1829" s="2">
        <v>6.91</v>
      </c>
      <c r="E1829" s="15"/>
      <c r="F1829" s="15"/>
      <c r="G1829" s="15"/>
      <c r="H1829" s="15"/>
    </row>
    <row r="1830" spans="1:8" x14ac:dyDescent="0.3">
      <c r="A1830" s="15"/>
      <c r="B1830" s="15"/>
      <c r="C1830" s="3" t="s">
        <v>17</v>
      </c>
      <c r="D1830" s="7">
        <v>173.46899999999999</v>
      </c>
      <c r="E1830" s="15"/>
      <c r="F1830" s="15"/>
      <c r="G1830" s="15"/>
      <c r="H1830" s="15"/>
    </row>
    <row r="1831" spans="1:8" x14ac:dyDescent="0.3">
      <c r="A1831" s="15"/>
      <c r="B1831" s="15"/>
      <c r="C1831" s="8" t="s">
        <v>11</v>
      </c>
      <c r="D1831" s="2">
        <v>140</v>
      </c>
      <c r="E1831" s="15"/>
      <c r="F1831" s="15"/>
      <c r="G1831" s="15"/>
      <c r="H1831" s="15"/>
    </row>
    <row r="1832" spans="1:8" x14ac:dyDescent="0.3">
      <c r="A1832" s="16"/>
      <c r="B1832" s="16"/>
      <c r="C1832" s="3" t="s">
        <v>13</v>
      </c>
      <c r="D1832" s="2">
        <v>23.6</v>
      </c>
      <c r="E1832" s="16"/>
      <c r="F1832" s="16"/>
      <c r="G1832" s="16"/>
      <c r="H1832" s="16"/>
    </row>
    <row r="1833" spans="1:8" x14ac:dyDescent="0.3">
      <c r="A1833" s="18">
        <v>306</v>
      </c>
      <c r="B1833" s="20">
        <v>45114</v>
      </c>
      <c r="C1833" s="3" t="s">
        <v>16</v>
      </c>
      <c r="D1833" s="2">
        <v>40</v>
      </c>
      <c r="E1833" s="19">
        <f>SUM(D1833:D1838)</f>
        <v>170.18599999999998</v>
      </c>
      <c r="F1833" s="17">
        <f>INT(MAX(D1833:D1838))</f>
        <v>44</v>
      </c>
      <c r="G1833" s="14">
        <f>INT((F1833/10)*2)</f>
        <v>8</v>
      </c>
      <c r="H1833" s="14">
        <f>F1833-G1833</f>
        <v>36</v>
      </c>
    </row>
    <row r="1834" spans="1:8" x14ac:dyDescent="0.3">
      <c r="A1834" s="15"/>
      <c r="B1834" s="15"/>
      <c r="C1834" s="3" t="s">
        <v>18</v>
      </c>
      <c r="D1834" s="2">
        <v>44.04</v>
      </c>
      <c r="E1834" s="15"/>
      <c r="F1834" s="15"/>
      <c r="G1834" s="15"/>
      <c r="H1834" s="15"/>
    </row>
    <row r="1835" spans="1:8" x14ac:dyDescent="0.3">
      <c r="A1835" s="15"/>
      <c r="B1835" s="15"/>
      <c r="C1835" s="3" t="s">
        <v>10</v>
      </c>
      <c r="D1835" s="7">
        <v>22.506</v>
      </c>
      <c r="E1835" s="15"/>
      <c r="F1835" s="15"/>
      <c r="G1835" s="15"/>
      <c r="H1835" s="15"/>
    </row>
    <row r="1836" spans="1:8" x14ac:dyDescent="0.3">
      <c r="A1836" s="15"/>
      <c r="B1836" s="15"/>
      <c r="C1836" s="8" t="s">
        <v>8</v>
      </c>
      <c r="D1836" s="2">
        <v>32.82</v>
      </c>
      <c r="E1836" s="15"/>
      <c r="F1836" s="15"/>
      <c r="G1836" s="15"/>
      <c r="H1836" s="15"/>
    </row>
    <row r="1837" spans="1:8" x14ac:dyDescent="0.3">
      <c r="A1837" s="15"/>
      <c r="B1837" s="15"/>
      <c r="C1837" s="3" t="s">
        <v>17</v>
      </c>
      <c r="D1837" s="2">
        <v>12.7</v>
      </c>
      <c r="E1837" s="15"/>
      <c r="F1837" s="15"/>
      <c r="G1837" s="15"/>
      <c r="H1837" s="15"/>
    </row>
    <row r="1838" spans="1:8" x14ac:dyDescent="0.3">
      <c r="A1838" s="16"/>
      <c r="B1838" s="16"/>
      <c r="C1838" s="3" t="s">
        <v>18</v>
      </c>
      <c r="D1838" s="2">
        <v>18.12</v>
      </c>
      <c r="E1838" s="16"/>
      <c r="F1838" s="16"/>
      <c r="G1838" s="16"/>
      <c r="H1838" s="16"/>
    </row>
    <row r="1839" spans="1:8" x14ac:dyDescent="0.3">
      <c r="A1839" s="18">
        <v>307</v>
      </c>
      <c r="B1839" s="20">
        <v>45118</v>
      </c>
      <c r="C1839" s="3" t="s">
        <v>12</v>
      </c>
      <c r="D1839" s="2">
        <v>37.950000000000003</v>
      </c>
      <c r="E1839" s="19">
        <f>SUM(D1839:D1844)</f>
        <v>162.76700000000002</v>
      </c>
      <c r="F1839" s="17">
        <f>INT(MAX(D1839:D1844))</f>
        <v>60</v>
      </c>
      <c r="G1839" s="14">
        <f>INT((F1839/10)*2)</f>
        <v>12</v>
      </c>
      <c r="H1839" s="14">
        <f>F1839-G1839</f>
        <v>48</v>
      </c>
    </row>
    <row r="1840" spans="1:8" x14ac:dyDescent="0.3">
      <c r="A1840" s="15"/>
      <c r="B1840" s="15"/>
      <c r="C1840" s="3" t="s">
        <v>13</v>
      </c>
      <c r="D1840" s="7">
        <v>60.384999999999998</v>
      </c>
      <c r="E1840" s="15"/>
      <c r="F1840" s="15"/>
      <c r="G1840" s="15"/>
      <c r="H1840" s="15"/>
    </row>
    <row r="1841" spans="1:8" x14ac:dyDescent="0.3">
      <c r="A1841" s="15"/>
      <c r="B1841" s="15"/>
      <c r="C1841" s="8" t="s">
        <v>15</v>
      </c>
      <c r="D1841" s="2">
        <v>13.03</v>
      </c>
      <c r="E1841" s="15"/>
      <c r="F1841" s="15"/>
      <c r="G1841" s="15"/>
      <c r="H1841" s="15"/>
    </row>
    <row r="1842" spans="1:8" x14ac:dyDescent="0.3">
      <c r="A1842" s="15"/>
      <c r="B1842" s="15"/>
      <c r="C1842" s="3" t="s">
        <v>17</v>
      </c>
      <c r="D1842" s="2">
        <v>12.25</v>
      </c>
      <c r="E1842" s="15"/>
      <c r="F1842" s="15"/>
      <c r="G1842" s="15"/>
      <c r="H1842" s="15"/>
    </row>
    <row r="1843" spans="1:8" x14ac:dyDescent="0.3">
      <c r="A1843" s="15"/>
      <c r="B1843" s="15"/>
      <c r="C1843" s="3" t="s">
        <v>10</v>
      </c>
      <c r="D1843" s="2">
        <v>12.05</v>
      </c>
      <c r="E1843" s="15"/>
      <c r="F1843" s="15"/>
      <c r="G1843" s="15"/>
      <c r="H1843" s="15"/>
    </row>
    <row r="1844" spans="1:8" x14ac:dyDescent="0.3">
      <c r="A1844" s="16"/>
      <c r="B1844" s="16"/>
      <c r="C1844" s="3" t="s">
        <v>8</v>
      </c>
      <c r="D1844" s="7">
        <v>27.102</v>
      </c>
      <c r="E1844" s="16"/>
      <c r="F1844" s="16"/>
      <c r="G1844" s="16"/>
      <c r="H1844" s="16"/>
    </row>
    <row r="1845" spans="1:8" x14ac:dyDescent="0.3">
      <c r="A1845" s="18">
        <v>308</v>
      </c>
      <c r="B1845" s="20">
        <v>45121</v>
      </c>
      <c r="C1845" s="8" t="s">
        <v>12</v>
      </c>
      <c r="D1845" s="2">
        <v>68.72</v>
      </c>
      <c r="E1845" s="19">
        <f>SUM(D1845:D1850)</f>
        <v>203.98400000000001</v>
      </c>
      <c r="F1845" s="17">
        <f>INT(MAX(D1845:D1850))</f>
        <v>68</v>
      </c>
      <c r="G1845" s="14">
        <f>INT((F1845/10)*2)</f>
        <v>13</v>
      </c>
      <c r="H1845" s="14">
        <f>F1845-G1845</f>
        <v>55</v>
      </c>
    </row>
    <row r="1846" spans="1:8" x14ac:dyDescent="0.3">
      <c r="A1846" s="15"/>
      <c r="B1846" s="15"/>
      <c r="C1846" s="3" t="s">
        <v>9</v>
      </c>
      <c r="D1846" s="2">
        <v>39.4</v>
      </c>
      <c r="E1846" s="15"/>
      <c r="F1846" s="15"/>
      <c r="G1846" s="15"/>
      <c r="H1846" s="15"/>
    </row>
    <row r="1847" spans="1:8" x14ac:dyDescent="0.3">
      <c r="A1847" s="15"/>
      <c r="B1847" s="15"/>
      <c r="C1847" s="3" t="s">
        <v>10</v>
      </c>
      <c r="D1847" s="2">
        <v>8.2100000000000009</v>
      </c>
      <c r="E1847" s="15"/>
      <c r="F1847" s="15"/>
      <c r="G1847" s="15"/>
      <c r="H1847" s="15"/>
    </row>
    <row r="1848" spans="1:8" x14ac:dyDescent="0.3">
      <c r="A1848" s="15"/>
      <c r="B1848" s="15"/>
      <c r="C1848" s="3" t="s">
        <v>18</v>
      </c>
      <c r="D1848" s="2">
        <v>48.11</v>
      </c>
      <c r="E1848" s="15"/>
      <c r="F1848" s="15"/>
      <c r="G1848" s="15"/>
      <c r="H1848" s="15"/>
    </row>
    <row r="1849" spans="1:8" x14ac:dyDescent="0.3">
      <c r="A1849" s="15"/>
      <c r="B1849" s="15"/>
      <c r="C1849" s="3" t="s">
        <v>14</v>
      </c>
      <c r="D1849" s="7">
        <v>6.6440000000000001</v>
      </c>
      <c r="E1849" s="15"/>
      <c r="F1849" s="15"/>
      <c r="G1849" s="15"/>
      <c r="H1849" s="15"/>
    </row>
    <row r="1850" spans="1:8" x14ac:dyDescent="0.3">
      <c r="A1850" s="16"/>
      <c r="B1850" s="16"/>
      <c r="C1850" s="8" t="s">
        <v>17</v>
      </c>
      <c r="D1850" s="2">
        <v>32.9</v>
      </c>
      <c r="E1850" s="16"/>
      <c r="F1850" s="16"/>
      <c r="G1850" s="16"/>
      <c r="H1850" s="16"/>
    </row>
    <row r="1851" spans="1:8" x14ac:dyDescent="0.3">
      <c r="A1851" s="18">
        <v>309</v>
      </c>
      <c r="B1851" s="20">
        <v>45125</v>
      </c>
      <c r="C1851" s="3" t="s">
        <v>13</v>
      </c>
      <c r="D1851" s="2">
        <v>16.760000000000002</v>
      </c>
      <c r="E1851" s="19">
        <f>SUM(D1851:D1856)</f>
        <v>141.59</v>
      </c>
      <c r="F1851" s="17">
        <f>INT(MAX(D1851:D1856))</f>
        <v>43</v>
      </c>
      <c r="G1851" s="14">
        <f>INT((F1851/10)*2)</f>
        <v>8</v>
      </c>
      <c r="H1851" s="14">
        <f>F1851-G1851</f>
        <v>35</v>
      </c>
    </row>
    <row r="1852" spans="1:8" x14ac:dyDescent="0.3">
      <c r="A1852" s="15"/>
      <c r="B1852" s="15"/>
      <c r="C1852" s="3" t="s">
        <v>12</v>
      </c>
      <c r="D1852" s="2">
        <v>9.2100000000000009</v>
      </c>
      <c r="E1852" s="15"/>
      <c r="F1852" s="15"/>
      <c r="G1852" s="15"/>
      <c r="H1852" s="15"/>
    </row>
    <row r="1853" spans="1:8" x14ac:dyDescent="0.3">
      <c r="A1853" s="15"/>
      <c r="B1853" s="15"/>
      <c r="C1853" s="3" t="s">
        <v>16</v>
      </c>
      <c r="D1853" s="7">
        <v>31.719000000000001</v>
      </c>
      <c r="E1853" s="15"/>
      <c r="F1853" s="15"/>
      <c r="G1853" s="15"/>
      <c r="H1853" s="15"/>
    </row>
    <row r="1854" spans="1:8" x14ac:dyDescent="0.3">
      <c r="A1854" s="15"/>
      <c r="B1854" s="15"/>
      <c r="C1854" s="8" t="s">
        <v>18</v>
      </c>
      <c r="D1854" s="2">
        <v>30.57</v>
      </c>
      <c r="E1854" s="15"/>
      <c r="F1854" s="15"/>
      <c r="G1854" s="15"/>
      <c r="H1854" s="15"/>
    </row>
    <row r="1855" spans="1:8" x14ac:dyDescent="0.3">
      <c r="A1855" s="15"/>
      <c r="B1855" s="15"/>
      <c r="C1855" s="3" t="s">
        <v>10</v>
      </c>
      <c r="D1855" s="2">
        <v>43.47</v>
      </c>
      <c r="E1855" s="15"/>
      <c r="F1855" s="15"/>
      <c r="G1855" s="15"/>
      <c r="H1855" s="15"/>
    </row>
    <row r="1856" spans="1:8" x14ac:dyDescent="0.3">
      <c r="A1856" s="16"/>
      <c r="B1856" s="16"/>
      <c r="C1856" s="3" t="s">
        <v>12</v>
      </c>
      <c r="D1856" s="7">
        <v>9.8610000000000007</v>
      </c>
      <c r="E1856" s="16"/>
      <c r="F1856" s="16"/>
      <c r="G1856" s="16"/>
      <c r="H1856" s="16"/>
    </row>
    <row r="1857" spans="1:8" x14ac:dyDescent="0.3">
      <c r="A1857" s="18">
        <v>310</v>
      </c>
      <c r="B1857" s="20">
        <v>45128</v>
      </c>
      <c r="C1857" s="8" t="s">
        <v>17</v>
      </c>
      <c r="D1857" s="2">
        <v>36.96</v>
      </c>
      <c r="E1857" s="19">
        <f>SUM(D1857:D1862)</f>
        <v>232.667</v>
      </c>
      <c r="F1857" s="17">
        <f>INT(MAX(D1857:D1862))</f>
        <v>80</v>
      </c>
      <c r="G1857" s="14">
        <f>INT((F1857/10)*2)</f>
        <v>16</v>
      </c>
      <c r="H1857" s="14">
        <f>F1857-G1857</f>
        <v>64</v>
      </c>
    </row>
    <row r="1858" spans="1:8" x14ac:dyDescent="0.3">
      <c r="A1858" s="15"/>
      <c r="B1858" s="15"/>
      <c r="C1858" s="3" t="s">
        <v>12</v>
      </c>
      <c r="D1858" s="2">
        <v>9.18</v>
      </c>
      <c r="E1858" s="15"/>
      <c r="F1858" s="15"/>
      <c r="G1858" s="15"/>
      <c r="H1858" s="15"/>
    </row>
    <row r="1859" spans="1:8" x14ac:dyDescent="0.3">
      <c r="A1859" s="15"/>
      <c r="B1859" s="15"/>
      <c r="C1859" s="3" t="s">
        <v>10</v>
      </c>
      <c r="D1859" s="2">
        <v>58.58</v>
      </c>
      <c r="E1859" s="15"/>
      <c r="F1859" s="15"/>
      <c r="G1859" s="15"/>
      <c r="H1859" s="15"/>
    </row>
    <row r="1860" spans="1:8" x14ac:dyDescent="0.3">
      <c r="A1860" s="15"/>
      <c r="B1860" s="15"/>
      <c r="C1860" s="3" t="s">
        <v>15</v>
      </c>
      <c r="D1860" s="7">
        <v>23.396999999999998</v>
      </c>
      <c r="E1860" s="15"/>
      <c r="F1860" s="15"/>
      <c r="G1860" s="15"/>
      <c r="H1860" s="15"/>
    </row>
    <row r="1861" spans="1:8" x14ac:dyDescent="0.3">
      <c r="A1861" s="15"/>
      <c r="B1861" s="15"/>
      <c r="C1861" s="8" t="s">
        <v>18</v>
      </c>
      <c r="D1861" s="2">
        <v>80.28</v>
      </c>
      <c r="E1861" s="15"/>
      <c r="F1861" s="15"/>
      <c r="G1861" s="15"/>
      <c r="H1861" s="15"/>
    </row>
    <row r="1862" spans="1:8" x14ac:dyDescent="0.3">
      <c r="A1862" s="16"/>
      <c r="B1862" s="16"/>
      <c r="C1862" s="3" t="s">
        <v>9</v>
      </c>
      <c r="D1862" s="2">
        <v>24.27</v>
      </c>
      <c r="E1862" s="16"/>
      <c r="F1862" s="16"/>
      <c r="G1862" s="16"/>
      <c r="H1862" s="16"/>
    </row>
    <row r="1863" spans="1:8" x14ac:dyDescent="0.3">
      <c r="A1863" s="18">
        <v>311</v>
      </c>
      <c r="B1863" s="20">
        <v>45132</v>
      </c>
      <c r="C1863" s="3" t="s">
        <v>8</v>
      </c>
      <c r="D1863" s="7">
        <v>18.579000000000001</v>
      </c>
      <c r="E1863" s="19">
        <f>SUM(D1863:D1868)</f>
        <v>130.28899999999999</v>
      </c>
      <c r="F1863" s="17">
        <f>INT(MAX(D1863:D1868))</f>
        <v>37</v>
      </c>
      <c r="G1863" s="14">
        <f>INT((F1863/10)*2)</f>
        <v>7</v>
      </c>
      <c r="H1863" s="14">
        <f>F1863-G1863</f>
        <v>30</v>
      </c>
    </row>
    <row r="1864" spans="1:8" x14ac:dyDescent="0.3">
      <c r="A1864" s="15"/>
      <c r="B1864" s="15"/>
      <c r="C1864" s="8" t="s">
        <v>15</v>
      </c>
      <c r="D1864" s="2">
        <v>37.229999999999997</v>
      </c>
      <c r="E1864" s="15"/>
      <c r="F1864" s="15"/>
      <c r="G1864" s="15"/>
      <c r="H1864" s="15"/>
    </row>
    <row r="1865" spans="1:8" x14ac:dyDescent="0.3">
      <c r="A1865" s="15"/>
      <c r="B1865" s="15"/>
      <c r="C1865" s="3" t="s">
        <v>11</v>
      </c>
      <c r="D1865" s="2">
        <v>10.8</v>
      </c>
      <c r="E1865" s="15"/>
      <c r="F1865" s="15"/>
      <c r="G1865" s="15"/>
      <c r="H1865" s="15"/>
    </row>
    <row r="1866" spans="1:8" x14ac:dyDescent="0.3">
      <c r="A1866" s="15"/>
      <c r="B1866" s="15"/>
      <c r="C1866" s="3" t="s">
        <v>9</v>
      </c>
      <c r="D1866" s="2">
        <v>18.170000000000002</v>
      </c>
      <c r="E1866" s="15"/>
      <c r="F1866" s="15"/>
      <c r="G1866" s="15"/>
      <c r="H1866" s="15"/>
    </row>
    <row r="1867" spans="1:8" x14ac:dyDescent="0.3">
      <c r="A1867" s="15"/>
      <c r="B1867" s="15"/>
      <c r="C1867" s="3" t="s">
        <v>13</v>
      </c>
      <c r="D1867" s="2">
        <v>27.06</v>
      </c>
      <c r="E1867" s="15"/>
      <c r="F1867" s="15"/>
      <c r="G1867" s="15"/>
      <c r="H1867" s="15"/>
    </row>
    <row r="1868" spans="1:8" x14ac:dyDescent="0.3">
      <c r="A1868" s="16"/>
      <c r="B1868" s="16"/>
      <c r="C1868" s="3" t="s">
        <v>14</v>
      </c>
      <c r="D1868" s="2">
        <v>18.45</v>
      </c>
      <c r="E1868" s="16"/>
      <c r="F1868" s="16"/>
      <c r="G1868" s="16"/>
      <c r="H1868" s="16"/>
    </row>
    <row r="1869" spans="1:8" x14ac:dyDescent="0.3">
      <c r="A1869" s="18">
        <v>312</v>
      </c>
      <c r="B1869" s="20">
        <v>45135</v>
      </c>
      <c r="C1869" s="3" t="s">
        <v>16</v>
      </c>
      <c r="D1869" s="7">
        <v>47.151000000000003</v>
      </c>
      <c r="E1869" s="19">
        <f>SUM(D1869:D1874)</f>
        <v>247.67100000000002</v>
      </c>
      <c r="F1869" s="17">
        <f>INT(MAX(D1869:D1874))</f>
        <v>72</v>
      </c>
      <c r="G1869" s="14">
        <f>INT((F1869/10)*2)</f>
        <v>14</v>
      </c>
      <c r="H1869" s="14">
        <f>F1869-G1869</f>
        <v>58</v>
      </c>
    </row>
    <row r="1870" spans="1:8" x14ac:dyDescent="0.3">
      <c r="A1870" s="15"/>
      <c r="B1870" s="15"/>
      <c r="C1870" s="8" t="s">
        <v>10</v>
      </c>
      <c r="D1870" s="2">
        <v>41.62</v>
      </c>
      <c r="E1870" s="15"/>
      <c r="F1870" s="15"/>
      <c r="G1870" s="15"/>
      <c r="H1870" s="15"/>
    </row>
    <row r="1871" spans="1:8" x14ac:dyDescent="0.3">
      <c r="A1871" s="15"/>
      <c r="B1871" s="15"/>
      <c r="C1871" s="3" t="s">
        <v>16</v>
      </c>
      <c r="D1871" s="2">
        <v>24.92</v>
      </c>
      <c r="E1871" s="15"/>
      <c r="F1871" s="15"/>
      <c r="G1871" s="15"/>
      <c r="H1871" s="15"/>
    </row>
    <row r="1872" spans="1:8" x14ac:dyDescent="0.3">
      <c r="A1872" s="15"/>
      <c r="B1872" s="15"/>
      <c r="C1872" s="3" t="s">
        <v>8</v>
      </c>
      <c r="D1872" s="2">
        <v>36.450000000000003</v>
      </c>
      <c r="E1872" s="15"/>
      <c r="F1872" s="15"/>
      <c r="G1872" s="15"/>
      <c r="H1872" s="15"/>
    </row>
    <row r="1873" spans="1:8" x14ac:dyDescent="0.3">
      <c r="A1873" s="15"/>
      <c r="B1873" s="15"/>
      <c r="C1873" s="3" t="s">
        <v>17</v>
      </c>
      <c r="D1873" s="2">
        <v>24.63</v>
      </c>
      <c r="E1873" s="15"/>
      <c r="F1873" s="15"/>
      <c r="G1873" s="15"/>
      <c r="H1873" s="15"/>
    </row>
    <row r="1874" spans="1:8" x14ac:dyDescent="0.3">
      <c r="A1874" s="16"/>
      <c r="B1874" s="16"/>
      <c r="C1874" s="3" t="s">
        <v>12</v>
      </c>
      <c r="D1874" s="7">
        <v>72.900000000000006</v>
      </c>
      <c r="E1874" s="16"/>
      <c r="F1874" s="16"/>
      <c r="G1874" s="16"/>
      <c r="H1874" s="16"/>
    </row>
    <row r="1875" spans="1:8" x14ac:dyDescent="0.3">
      <c r="A1875" s="18">
        <v>313</v>
      </c>
      <c r="B1875" s="20">
        <v>45139</v>
      </c>
      <c r="C1875" s="8" t="s">
        <v>13</v>
      </c>
      <c r="D1875" s="2">
        <v>26.62</v>
      </c>
      <c r="E1875" s="19">
        <f>SUM(D1875:D1880)</f>
        <v>288.54700000000003</v>
      </c>
      <c r="F1875" s="17">
        <f>INT(MAX(D1875:D1880))</f>
        <v>87</v>
      </c>
      <c r="G1875" s="14">
        <f>INT((F1875/10)*2)</f>
        <v>17</v>
      </c>
      <c r="H1875" s="14">
        <f>F1875-G1875</f>
        <v>70</v>
      </c>
    </row>
    <row r="1876" spans="1:8" x14ac:dyDescent="0.3">
      <c r="A1876" s="15"/>
      <c r="B1876" s="15"/>
      <c r="C1876" s="3" t="s">
        <v>8</v>
      </c>
      <c r="D1876" s="2">
        <v>25.07</v>
      </c>
      <c r="E1876" s="15"/>
      <c r="F1876" s="15"/>
      <c r="G1876" s="15"/>
      <c r="H1876" s="15"/>
    </row>
    <row r="1877" spans="1:8" x14ac:dyDescent="0.3">
      <c r="A1877" s="15"/>
      <c r="B1877" s="15"/>
      <c r="C1877" s="3" t="s">
        <v>15</v>
      </c>
      <c r="D1877" s="7">
        <v>19.117000000000001</v>
      </c>
      <c r="E1877" s="15"/>
      <c r="F1877" s="15"/>
      <c r="G1877" s="15"/>
      <c r="H1877" s="15"/>
    </row>
    <row r="1878" spans="1:8" x14ac:dyDescent="0.3">
      <c r="A1878" s="15"/>
      <c r="B1878" s="15"/>
      <c r="C1878" s="8" t="s">
        <v>18</v>
      </c>
      <c r="D1878" s="2">
        <v>50</v>
      </c>
      <c r="E1878" s="15"/>
      <c r="F1878" s="15"/>
      <c r="G1878" s="15"/>
      <c r="H1878" s="15"/>
    </row>
    <row r="1879" spans="1:8" x14ac:dyDescent="0.3">
      <c r="A1879" s="15"/>
      <c r="B1879" s="15"/>
      <c r="C1879" s="3" t="s">
        <v>8</v>
      </c>
      <c r="D1879" s="2">
        <v>87.74</v>
      </c>
      <c r="E1879" s="15"/>
      <c r="F1879" s="15"/>
      <c r="G1879" s="15"/>
      <c r="H1879" s="15"/>
    </row>
    <row r="1880" spans="1:8" x14ac:dyDescent="0.3">
      <c r="A1880" s="16"/>
      <c r="B1880" s="16"/>
      <c r="C1880" s="3" t="s">
        <v>15</v>
      </c>
      <c r="D1880" s="2">
        <v>80</v>
      </c>
      <c r="E1880" s="16"/>
      <c r="F1880" s="16"/>
      <c r="G1880" s="16"/>
      <c r="H1880" s="16"/>
    </row>
    <row r="1881" spans="1:8" x14ac:dyDescent="0.3">
      <c r="A1881" s="18">
        <v>314</v>
      </c>
      <c r="B1881" s="20">
        <v>45142</v>
      </c>
      <c r="C1881" s="3" t="s">
        <v>14</v>
      </c>
      <c r="D1881" s="2">
        <v>25.61</v>
      </c>
      <c r="E1881" s="19">
        <f>SUM(D1881:D1886)</f>
        <v>128.74900000000002</v>
      </c>
      <c r="F1881" s="17">
        <f>INT(MAX(D1881:D1886))</f>
        <v>43</v>
      </c>
      <c r="G1881" s="14">
        <f>INT((F1881/10)*2)</f>
        <v>8</v>
      </c>
      <c r="H1881" s="14">
        <f>F1881-G1881</f>
        <v>35</v>
      </c>
    </row>
    <row r="1882" spans="1:8" x14ac:dyDescent="0.3">
      <c r="A1882" s="15"/>
      <c r="B1882" s="15"/>
      <c r="C1882" s="3" t="s">
        <v>16</v>
      </c>
      <c r="D1882" s="7">
        <v>43.874000000000002</v>
      </c>
      <c r="E1882" s="15"/>
      <c r="F1882" s="15"/>
      <c r="G1882" s="15"/>
      <c r="H1882" s="15"/>
    </row>
    <row r="1883" spans="1:8" x14ac:dyDescent="0.3">
      <c r="A1883" s="15"/>
      <c r="B1883" s="15"/>
      <c r="C1883" s="8" t="s">
        <v>11</v>
      </c>
      <c r="D1883" s="2">
        <v>20.39</v>
      </c>
      <c r="E1883" s="15"/>
      <c r="F1883" s="15"/>
      <c r="G1883" s="15"/>
      <c r="H1883" s="15"/>
    </row>
    <row r="1884" spans="1:8" x14ac:dyDescent="0.3">
      <c r="A1884" s="15"/>
      <c r="B1884" s="15"/>
      <c r="C1884" s="3" t="s">
        <v>17</v>
      </c>
      <c r="D1884" s="2">
        <v>5.52</v>
      </c>
      <c r="E1884" s="15"/>
      <c r="F1884" s="15"/>
      <c r="G1884" s="15"/>
      <c r="H1884" s="15"/>
    </row>
    <row r="1885" spans="1:8" x14ac:dyDescent="0.3">
      <c r="A1885" s="15"/>
      <c r="B1885" s="15"/>
      <c r="C1885" s="3" t="s">
        <v>10</v>
      </c>
      <c r="D1885" s="2">
        <v>18.399999999999999</v>
      </c>
      <c r="E1885" s="15"/>
      <c r="F1885" s="15"/>
      <c r="G1885" s="15"/>
      <c r="H1885" s="15"/>
    </row>
    <row r="1886" spans="1:8" x14ac:dyDescent="0.3">
      <c r="A1886" s="16"/>
      <c r="B1886" s="16"/>
      <c r="C1886" s="3" t="s">
        <v>12</v>
      </c>
      <c r="D1886" s="7">
        <v>14.955</v>
      </c>
      <c r="E1886" s="16"/>
      <c r="F1886" s="16"/>
      <c r="G1886" s="16"/>
      <c r="H1886" s="16"/>
    </row>
    <row r="1887" spans="1:8" x14ac:dyDescent="0.3">
      <c r="A1887" s="18">
        <v>315</v>
      </c>
      <c r="B1887" s="20">
        <v>45146</v>
      </c>
      <c r="C1887" s="8" t="s">
        <v>8</v>
      </c>
      <c r="D1887" s="2">
        <v>8.5399999999999991</v>
      </c>
      <c r="E1887" s="19">
        <f>SUM(D1887:D1892)</f>
        <v>70.155000000000001</v>
      </c>
      <c r="F1887" s="17">
        <f>INT(MAX(D1887:D1892))</f>
        <v>23</v>
      </c>
      <c r="G1887" s="14">
        <f>INT((F1887/10)*2)</f>
        <v>4</v>
      </c>
      <c r="H1887" s="14">
        <f>F1887-G1887</f>
        <v>19</v>
      </c>
    </row>
    <row r="1888" spans="1:8" x14ac:dyDescent="0.3">
      <c r="A1888" s="15"/>
      <c r="B1888" s="15"/>
      <c r="C1888" s="3" t="s">
        <v>18</v>
      </c>
      <c r="D1888" s="2">
        <v>7</v>
      </c>
      <c r="E1888" s="15"/>
      <c r="F1888" s="15"/>
      <c r="G1888" s="15"/>
      <c r="H1888" s="15"/>
    </row>
    <row r="1889" spans="1:8" x14ac:dyDescent="0.3">
      <c r="A1889" s="15"/>
      <c r="B1889" s="15"/>
      <c r="C1889" s="3" t="s">
        <v>10</v>
      </c>
      <c r="D1889" s="7">
        <v>8.4670000000000005</v>
      </c>
      <c r="E1889" s="15"/>
      <c r="F1889" s="15"/>
      <c r="G1889" s="15"/>
      <c r="H1889" s="15"/>
    </row>
    <row r="1890" spans="1:8" x14ac:dyDescent="0.3">
      <c r="A1890" s="15"/>
      <c r="B1890" s="15"/>
      <c r="C1890" s="8" t="s">
        <v>10</v>
      </c>
      <c r="D1890" s="2">
        <v>16.22</v>
      </c>
      <c r="E1890" s="15"/>
      <c r="F1890" s="15"/>
      <c r="G1890" s="15"/>
      <c r="H1890" s="15"/>
    </row>
    <row r="1891" spans="1:8" x14ac:dyDescent="0.3">
      <c r="A1891" s="15"/>
      <c r="B1891" s="15"/>
      <c r="C1891" s="3" t="s">
        <v>14</v>
      </c>
      <c r="D1891" s="2">
        <v>23.07</v>
      </c>
      <c r="E1891" s="15"/>
      <c r="F1891" s="15"/>
      <c r="G1891" s="15"/>
      <c r="H1891" s="15"/>
    </row>
    <row r="1892" spans="1:8" x14ac:dyDescent="0.3">
      <c r="A1892" s="16"/>
      <c r="B1892" s="16"/>
      <c r="C1892" s="3" t="s">
        <v>9</v>
      </c>
      <c r="D1892" s="7">
        <v>6.8579999999999997</v>
      </c>
      <c r="E1892" s="16"/>
      <c r="F1892" s="16"/>
      <c r="G1892" s="16"/>
      <c r="H1892" s="16"/>
    </row>
    <row r="1893" spans="1:8" x14ac:dyDescent="0.3">
      <c r="A1893" s="18">
        <v>316</v>
      </c>
      <c r="B1893" s="20">
        <v>45149</v>
      </c>
      <c r="C1893" s="8" t="s">
        <v>12</v>
      </c>
      <c r="D1893" s="2">
        <v>34.68</v>
      </c>
      <c r="E1893" s="19">
        <f>SUM(D1893:D1898)</f>
        <v>114.91</v>
      </c>
      <c r="F1893" s="17">
        <f>INT(MAX(D1893:D1898))</f>
        <v>34</v>
      </c>
      <c r="G1893" s="14">
        <f>INT((F1893/10)*2)</f>
        <v>6</v>
      </c>
      <c r="H1893" s="14">
        <f>F1893-G1893</f>
        <v>28</v>
      </c>
    </row>
    <row r="1894" spans="1:8" x14ac:dyDescent="0.3">
      <c r="A1894" s="15"/>
      <c r="B1894" s="15"/>
      <c r="C1894" s="3" t="s">
        <v>11</v>
      </c>
      <c r="D1894" s="2">
        <v>5.03</v>
      </c>
      <c r="E1894" s="15"/>
      <c r="F1894" s="15"/>
      <c r="G1894" s="15"/>
      <c r="H1894" s="15"/>
    </row>
    <row r="1895" spans="1:8" x14ac:dyDescent="0.3">
      <c r="A1895" s="15"/>
      <c r="B1895" s="15"/>
      <c r="C1895" s="3" t="s">
        <v>8</v>
      </c>
      <c r="D1895" s="2">
        <v>7.29</v>
      </c>
      <c r="E1895" s="15"/>
      <c r="F1895" s="15"/>
      <c r="G1895" s="15"/>
      <c r="H1895" s="15"/>
    </row>
    <row r="1896" spans="1:8" x14ac:dyDescent="0.3">
      <c r="A1896" s="15"/>
      <c r="B1896" s="15"/>
      <c r="C1896" s="3" t="s">
        <v>9</v>
      </c>
      <c r="D1896" s="7">
        <v>31.49</v>
      </c>
      <c r="E1896" s="15"/>
      <c r="F1896" s="15"/>
      <c r="G1896" s="15"/>
      <c r="H1896" s="15"/>
    </row>
    <row r="1897" spans="1:8" x14ac:dyDescent="0.3">
      <c r="A1897" s="15"/>
      <c r="B1897" s="15"/>
      <c r="C1897" s="8" t="s">
        <v>8</v>
      </c>
      <c r="D1897" s="2">
        <v>22.01</v>
      </c>
      <c r="E1897" s="15"/>
      <c r="F1897" s="15"/>
      <c r="G1897" s="15"/>
      <c r="H1897" s="15"/>
    </row>
    <row r="1898" spans="1:8" x14ac:dyDescent="0.3">
      <c r="A1898" s="16"/>
      <c r="B1898" s="16"/>
      <c r="C1898" s="3" t="s">
        <v>18</v>
      </c>
      <c r="D1898" s="2">
        <v>14.41</v>
      </c>
      <c r="E1898" s="16"/>
      <c r="F1898" s="16"/>
      <c r="G1898" s="16"/>
      <c r="H1898" s="16"/>
    </row>
    <row r="1899" spans="1:8" x14ac:dyDescent="0.3">
      <c r="A1899" s="18">
        <v>317</v>
      </c>
      <c r="B1899" s="20">
        <v>45153</v>
      </c>
      <c r="C1899" s="3" t="s">
        <v>17</v>
      </c>
      <c r="D1899" s="7">
        <v>12.695</v>
      </c>
      <c r="E1899" s="19">
        <f>SUM(D1899:D1904)</f>
        <v>385.47899999999998</v>
      </c>
      <c r="F1899" s="17">
        <f>INT(MAX(D1899:D1904))</f>
        <v>99</v>
      </c>
      <c r="G1899" s="14">
        <f>INT((F1899/10)*2)</f>
        <v>19</v>
      </c>
      <c r="H1899" s="14">
        <f>F1899-G1899</f>
        <v>80</v>
      </c>
    </row>
    <row r="1900" spans="1:8" x14ac:dyDescent="0.3">
      <c r="A1900" s="15"/>
      <c r="B1900" s="15"/>
      <c r="C1900" s="8" t="s">
        <v>8</v>
      </c>
      <c r="D1900" s="2">
        <v>96.12</v>
      </c>
      <c r="E1900" s="15"/>
      <c r="F1900" s="15"/>
      <c r="G1900" s="15"/>
      <c r="H1900" s="15"/>
    </row>
    <row r="1901" spans="1:8" x14ac:dyDescent="0.3">
      <c r="A1901" s="15"/>
      <c r="B1901" s="15"/>
      <c r="C1901" s="3" t="s">
        <v>9</v>
      </c>
      <c r="D1901" s="2">
        <v>31.71</v>
      </c>
      <c r="E1901" s="15"/>
      <c r="F1901" s="15"/>
      <c r="G1901" s="15"/>
      <c r="H1901" s="15"/>
    </row>
    <row r="1902" spans="1:8" x14ac:dyDescent="0.3">
      <c r="A1902" s="15"/>
      <c r="B1902" s="15"/>
      <c r="C1902" s="3" t="s">
        <v>17</v>
      </c>
      <c r="D1902" s="7">
        <v>65.194000000000003</v>
      </c>
      <c r="E1902" s="15"/>
      <c r="F1902" s="15"/>
      <c r="G1902" s="15"/>
      <c r="H1902" s="15"/>
    </row>
    <row r="1903" spans="1:8" x14ac:dyDescent="0.3">
      <c r="A1903" s="15"/>
      <c r="B1903" s="15"/>
      <c r="C1903" s="8" t="s">
        <v>8</v>
      </c>
      <c r="D1903" s="2">
        <v>80</v>
      </c>
      <c r="E1903" s="15"/>
      <c r="F1903" s="15"/>
      <c r="G1903" s="15"/>
      <c r="H1903" s="15"/>
    </row>
    <row r="1904" spans="1:8" x14ac:dyDescent="0.3">
      <c r="A1904" s="16"/>
      <c r="B1904" s="16"/>
      <c r="C1904" s="3" t="s">
        <v>14</v>
      </c>
      <c r="D1904" s="2">
        <v>99.76</v>
      </c>
      <c r="E1904" s="16"/>
      <c r="F1904" s="16"/>
      <c r="G1904" s="16"/>
      <c r="H1904" s="16"/>
    </row>
    <row r="1905" spans="1:8" x14ac:dyDescent="0.3">
      <c r="A1905" s="18">
        <v>318</v>
      </c>
      <c r="B1905" s="20">
        <v>45156</v>
      </c>
      <c r="C1905" s="3" t="s">
        <v>15</v>
      </c>
      <c r="D1905" s="7">
        <v>13.701000000000001</v>
      </c>
      <c r="E1905" s="19">
        <f>SUM(D1905:D1910)</f>
        <v>112.47499999999999</v>
      </c>
      <c r="F1905" s="17">
        <f>INT(MAX(D1905:D1910))</f>
        <v>48</v>
      </c>
      <c r="G1905" s="14">
        <f>INT((F1905/10)*2)</f>
        <v>9</v>
      </c>
      <c r="H1905" s="14">
        <f>F1905-G1905</f>
        <v>39</v>
      </c>
    </row>
    <row r="1906" spans="1:8" x14ac:dyDescent="0.3">
      <c r="A1906" s="15"/>
      <c r="B1906" s="15"/>
      <c r="C1906" s="8" t="s">
        <v>17</v>
      </c>
      <c r="D1906" s="2">
        <v>10.19</v>
      </c>
      <c r="E1906" s="15"/>
      <c r="F1906" s="15"/>
      <c r="G1906" s="15"/>
      <c r="H1906" s="15"/>
    </row>
    <row r="1907" spans="1:8" x14ac:dyDescent="0.3">
      <c r="A1907" s="15"/>
      <c r="B1907" s="15"/>
      <c r="C1907" s="3" t="s">
        <v>8</v>
      </c>
      <c r="D1907" s="2">
        <v>48.84</v>
      </c>
      <c r="E1907" s="15"/>
      <c r="F1907" s="15"/>
      <c r="G1907" s="15"/>
      <c r="H1907" s="15"/>
    </row>
    <row r="1908" spans="1:8" x14ac:dyDescent="0.3">
      <c r="A1908" s="15"/>
      <c r="B1908" s="15"/>
      <c r="C1908" s="3" t="s">
        <v>11</v>
      </c>
      <c r="D1908" s="2">
        <v>7.32</v>
      </c>
      <c r="E1908" s="15"/>
      <c r="F1908" s="15"/>
      <c r="G1908" s="15"/>
      <c r="H1908" s="15"/>
    </row>
    <row r="1909" spans="1:8" x14ac:dyDescent="0.3">
      <c r="A1909" s="15"/>
      <c r="B1909" s="15"/>
      <c r="C1909" s="3" t="s">
        <v>12</v>
      </c>
      <c r="D1909" s="2">
        <v>13.18</v>
      </c>
      <c r="E1909" s="15"/>
      <c r="F1909" s="15"/>
      <c r="G1909" s="15"/>
      <c r="H1909" s="15"/>
    </row>
    <row r="1910" spans="1:8" x14ac:dyDescent="0.3">
      <c r="A1910" s="16"/>
      <c r="B1910" s="16"/>
      <c r="C1910" s="3" t="s">
        <v>16</v>
      </c>
      <c r="D1910" s="7">
        <v>19.244</v>
      </c>
      <c r="E1910" s="16"/>
      <c r="F1910" s="16"/>
      <c r="G1910" s="16"/>
      <c r="H1910" s="16"/>
    </row>
    <row r="1911" spans="1:8" x14ac:dyDescent="0.3">
      <c r="A1911" s="18">
        <v>319</v>
      </c>
      <c r="B1911" s="20">
        <v>45160</v>
      </c>
      <c r="C1911" s="8" t="s">
        <v>9</v>
      </c>
      <c r="D1911" s="2">
        <v>8.48</v>
      </c>
      <c r="E1911" s="19">
        <f>SUM(D1911:D1916)</f>
        <v>103.83199999999999</v>
      </c>
      <c r="F1911" s="17">
        <f>INT(MAX(D1911:D1916))</f>
        <v>37</v>
      </c>
      <c r="G1911" s="14">
        <f>INT((F1911/10)*2)</f>
        <v>7</v>
      </c>
      <c r="H1911" s="14">
        <f>F1911-G1911</f>
        <v>30</v>
      </c>
    </row>
    <row r="1912" spans="1:8" x14ac:dyDescent="0.3">
      <c r="A1912" s="15"/>
      <c r="B1912" s="15"/>
      <c r="C1912" s="3" t="s">
        <v>12</v>
      </c>
      <c r="D1912" s="2">
        <v>10.48</v>
      </c>
      <c r="E1912" s="15"/>
      <c r="F1912" s="15"/>
      <c r="G1912" s="15"/>
      <c r="H1912" s="15"/>
    </row>
    <row r="1913" spans="1:8" x14ac:dyDescent="0.3">
      <c r="A1913" s="15"/>
      <c r="B1913" s="15"/>
      <c r="C1913" s="3" t="s">
        <v>16</v>
      </c>
      <c r="D1913" s="2">
        <v>27.81</v>
      </c>
      <c r="E1913" s="15"/>
      <c r="F1913" s="15"/>
      <c r="G1913" s="15"/>
      <c r="H1913" s="15"/>
    </row>
    <row r="1914" spans="1:8" x14ac:dyDescent="0.3">
      <c r="A1914" s="15"/>
      <c r="B1914" s="15"/>
      <c r="C1914" s="3" t="s">
        <v>11</v>
      </c>
      <c r="D1914" s="2">
        <v>10.25</v>
      </c>
      <c r="E1914" s="15"/>
      <c r="F1914" s="15"/>
      <c r="G1914" s="15"/>
      <c r="H1914" s="15"/>
    </row>
    <row r="1915" spans="1:8" x14ac:dyDescent="0.3">
      <c r="A1915" s="15"/>
      <c r="B1915" s="15"/>
      <c r="C1915" s="3" t="s">
        <v>10</v>
      </c>
      <c r="D1915" s="2">
        <v>9.36</v>
      </c>
      <c r="E1915" s="15"/>
      <c r="F1915" s="15"/>
      <c r="G1915" s="15"/>
      <c r="H1915" s="15"/>
    </row>
    <row r="1916" spans="1:8" x14ac:dyDescent="0.3">
      <c r="A1916" s="16"/>
      <c r="B1916" s="16"/>
      <c r="C1916" s="3" t="s">
        <v>17</v>
      </c>
      <c r="D1916" s="7">
        <v>37.451999999999998</v>
      </c>
      <c r="E1916" s="16"/>
      <c r="F1916" s="16"/>
      <c r="G1916" s="16"/>
      <c r="H1916" s="16"/>
    </row>
    <row r="1917" spans="1:8" x14ac:dyDescent="0.3">
      <c r="A1917" s="18">
        <v>320</v>
      </c>
      <c r="B1917" s="20">
        <v>45163</v>
      </c>
      <c r="C1917" s="8" t="s">
        <v>15</v>
      </c>
      <c r="D1917" s="2">
        <v>54.51</v>
      </c>
      <c r="E1917" s="19">
        <f>SUM(D1917:D1922)</f>
        <v>142.16900000000001</v>
      </c>
      <c r="F1917" s="17">
        <f>INT(MAX(D1917:D1922))</f>
        <v>54</v>
      </c>
      <c r="G1917" s="14">
        <f>INT((F1917/10)*2)</f>
        <v>10</v>
      </c>
      <c r="H1917" s="14">
        <f>F1917-G1917</f>
        <v>44</v>
      </c>
    </row>
    <row r="1918" spans="1:8" x14ac:dyDescent="0.3">
      <c r="A1918" s="15"/>
      <c r="B1918" s="15"/>
      <c r="C1918" s="3" t="s">
        <v>12</v>
      </c>
      <c r="D1918" s="2">
        <v>30.36</v>
      </c>
      <c r="E1918" s="15"/>
      <c r="F1918" s="15"/>
      <c r="G1918" s="15"/>
      <c r="H1918" s="15"/>
    </row>
    <row r="1919" spans="1:8" x14ac:dyDescent="0.3">
      <c r="A1919" s="15"/>
      <c r="B1919" s="15"/>
      <c r="C1919" s="3" t="s">
        <v>9</v>
      </c>
      <c r="D1919" s="7">
        <v>3.2650000000000001</v>
      </c>
      <c r="E1919" s="15"/>
      <c r="F1919" s="15"/>
      <c r="G1919" s="15"/>
      <c r="H1919" s="15"/>
    </row>
    <row r="1920" spans="1:8" x14ac:dyDescent="0.3">
      <c r="A1920" s="15"/>
      <c r="B1920" s="15"/>
      <c r="C1920" s="8" t="s">
        <v>8</v>
      </c>
      <c r="D1920" s="2">
        <v>25.79</v>
      </c>
      <c r="E1920" s="15"/>
      <c r="F1920" s="15"/>
      <c r="G1920" s="15"/>
      <c r="H1920" s="15"/>
    </row>
    <row r="1921" spans="1:8" x14ac:dyDescent="0.3">
      <c r="A1921" s="15"/>
      <c r="B1921" s="15"/>
      <c r="C1921" s="3" t="s">
        <v>13</v>
      </c>
      <c r="D1921" s="2">
        <v>8.59</v>
      </c>
      <c r="E1921" s="15"/>
      <c r="F1921" s="15"/>
      <c r="G1921" s="15"/>
      <c r="H1921" s="15"/>
    </row>
    <row r="1922" spans="1:8" x14ac:dyDescent="0.3">
      <c r="A1922" s="16"/>
      <c r="B1922" s="16"/>
      <c r="C1922" s="3" t="s">
        <v>18</v>
      </c>
      <c r="D1922" s="7">
        <v>19.654</v>
      </c>
      <c r="E1922" s="16"/>
      <c r="F1922" s="16"/>
      <c r="G1922" s="16"/>
      <c r="H1922" s="16"/>
    </row>
    <row r="1923" spans="1:8" x14ac:dyDescent="0.3">
      <c r="A1923" s="18">
        <v>321</v>
      </c>
      <c r="B1923" s="20">
        <v>45167</v>
      </c>
      <c r="C1923" s="8" t="s">
        <v>10</v>
      </c>
      <c r="D1923" s="2">
        <v>70.760000000000005</v>
      </c>
      <c r="E1923" s="19">
        <f>SUM(D1923:D1928)</f>
        <v>179.64300000000003</v>
      </c>
      <c r="F1923" s="17">
        <f>INT(MAX(D1923:D1928))</f>
        <v>70</v>
      </c>
      <c r="G1923" s="14">
        <f>INT((F1923/10)*2)</f>
        <v>14</v>
      </c>
      <c r="H1923" s="14">
        <f>F1923-G1923</f>
        <v>56</v>
      </c>
    </row>
    <row r="1924" spans="1:8" x14ac:dyDescent="0.3">
      <c r="A1924" s="15"/>
      <c r="B1924" s="15"/>
      <c r="C1924" s="3" t="s">
        <v>13</v>
      </c>
      <c r="D1924" s="2">
        <v>29.97</v>
      </c>
      <c r="E1924" s="15"/>
      <c r="F1924" s="15"/>
      <c r="G1924" s="15"/>
      <c r="H1924" s="15"/>
    </row>
    <row r="1925" spans="1:8" x14ac:dyDescent="0.3">
      <c r="A1925" s="15"/>
      <c r="B1925" s="15"/>
      <c r="C1925" s="3" t="s">
        <v>18</v>
      </c>
      <c r="D1925" s="2">
        <v>36.24</v>
      </c>
      <c r="E1925" s="15"/>
      <c r="F1925" s="15"/>
      <c r="G1925" s="15"/>
      <c r="H1925" s="15"/>
    </row>
    <row r="1926" spans="1:8" x14ac:dyDescent="0.3">
      <c r="A1926" s="15"/>
      <c r="B1926" s="15"/>
      <c r="C1926" s="3" t="s">
        <v>14</v>
      </c>
      <c r="D1926" s="7">
        <v>24.632999999999999</v>
      </c>
      <c r="E1926" s="15"/>
      <c r="F1926" s="15"/>
      <c r="G1926" s="15"/>
      <c r="H1926" s="15"/>
    </row>
    <row r="1927" spans="1:8" x14ac:dyDescent="0.3">
      <c r="A1927" s="15"/>
      <c r="B1927" s="15"/>
      <c r="C1927" s="8" t="s">
        <v>11</v>
      </c>
      <c r="D1927" s="2">
        <v>7.15</v>
      </c>
      <c r="E1927" s="15"/>
      <c r="F1927" s="15"/>
      <c r="G1927" s="15"/>
      <c r="H1927" s="15"/>
    </row>
    <row r="1928" spans="1:8" x14ac:dyDescent="0.3">
      <c r="A1928" s="16"/>
      <c r="B1928" s="16"/>
      <c r="C1928" s="3" t="s">
        <v>8</v>
      </c>
      <c r="D1928" s="2">
        <v>10.89</v>
      </c>
      <c r="E1928" s="16"/>
      <c r="F1928" s="16"/>
      <c r="G1928" s="16"/>
      <c r="H1928" s="16"/>
    </row>
    <row r="1929" spans="1:8" x14ac:dyDescent="0.3">
      <c r="A1929" s="18">
        <v>322</v>
      </c>
      <c r="B1929" s="20">
        <v>45170</v>
      </c>
      <c r="C1929" s="3" t="s">
        <v>12</v>
      </c>
      <c r="D1929" s="2">
        <v>12.94</v>
      </c>
      <c r="E1929" s="19">
        <f>SUM(D1929:D1934)</f>
        <v>150.69899999999998</v>
      </c>
      <c r="F1929" s="17">
        <f>INT(MAX(D1929:D1934))</f>
        <v>44</v>
      </c>
      <c r="G1929" s="14">
        <f>INT((F1929/10)*2)</f>
        <v>8</v>
      </c>
      <c r="H1929" s="14">
        <f>F1929-G1929</f>
        <v>36</v>
      </c>
    </row>
    <row r="1930" spans="1:8" x14ac:dyDescent="0.3">
      <c r="A1930" s="15"/>
      <c r="B1930" s="15"/>
      <c r="C1930" s="3" t="s">
        <v>9</v>
      </c>
      <c r="D1930" s="7">
        <v>6.1909999999999998</v>
      </c>
      <c r="E1930" s="15"/>
      <c r="F1930" s="15"/>
      <c r="G1930" s="15"/>
      <c r="H1930" s="15"/>
    </row>
    <row r="1931" spans="1:8" x14ac:dyDescent="0.3">
      <c r="A1931" s="15"/>
      <c r="B1931" s="15"/>
      <c r="C1931" s="8" t="s">
        <v>18</v>
      </c>
      <c r="D1931" s="2">
        <v>16.71</v>
      </c>
      <c r="E1931" s="15"/>
      <c r="F1931" s="15"/>
      <c r="G1931" s="15"/>
      <c r="H1931" s="15"/>
    </row>
    <row r="1932" spans="1:8" x14ac:dyDescent="0.3">
      <c r="A1932" s="15"/>
      <c r="B1932" s="15"/>
      <c r="C1932" s="3" t="s">
        <v>8</v>
      </c>
      <c r="D1932" s="2">
        <v>41.2</v>
      </c>
      <c r="E1932" s="15"/>
      <c r="F1932" s="15"/>
      <c r="G1932" s="15"/>
      <c r="H1932" s="15"/>
    </row>
    <row r="1933" spans="1:8" x14ac:dyDescent="0.3">
      <c r="A1933" s="15"/>
      <c r="B1933" s="15"/>
      <c r="C1933" s="3" t="s">
        <v>11</v>
      </c>
      <c r="D1933" s="2">
        <v>28.77</v>
      </c>
      <c r="E1933" s="15"/>
      <c r="F1933" s="15"/>
      <c r="G1933" s="15"/>
      <c r="H1933" s="15"/>
    </row>
    <row r="1934" spans="1:8" x14ac:dyDescent="0.3">
      <c r="A1934" s="16"/>
      <c r="B1934" s="16"/>
      <c r="C1934" s="3" t="s">
        <v>10</v>
      </c>
      <c r="D1934" s="7">
        <v>44.887999999999998</v>
      </c>
      <c r="E1934" s="16"/>
      <c r="F1934" s="16"/>
      <c r="G1934" s="16"/>
      <c r="H1934" s="16"/>
    </row>
    <row r="1935" spans="1:8" x14ac:dyDescent="0.3">
      <c r="A1935" s="18">
        <v>323</v>
      </c>
      <c r="B1935" s="20">
        <v>45174</v>
      </c>
      <c r="C1935" s="8" t="s">
        <v>8</v>
      </c>
      <c r="D1935" s="2">
        <v>25.63</v>
      </c>
      <c r="E1935" s="19">
        <f>SUM(D1935:D1940)</f>
        <v>158.33699999999999</v>
      </c>
      <c r="F1935" s="17">
        <f>INT(MAX(D1935:D1940))</f>
        <v>46</v>
      </c>
      <c r="G1935" s="14">
        <f>INT((F1935/10)*2)</f>
        <v>9</v>
      </c>
      <c r="H1935" s="14">
        <f>F1935-G1935</f>
        <v>37</v>
      </c>
    </row>
    <row r="1936" spans="1:8" x14ac:dyDescent="0.3">
      <c r="A1936" s="15"/>
      <c r="B1936" s="15"/>
      <c r="C1936" s="3" t="s">
        <v>17</v>
      </c>
      <c r="D1936" s="2">
        <v>42.33</v>
      </c>
      <c r="E1936" s="15"/>
      <c r="F1936" s="15"/>
      <c r="G1936" s="15"/>
      <c r="H1936" s="15"/>
    </row>
    <row r="1937" spans="1:8" x14ac:dyDescent="0.3">
      <c r="A1937" s="15"/>
      <c r="B1937" s="15"/>
      <c r="C1937" s="3" t="s">
        <v>12</v>
      </c>
      <c r="D1937" s="2">
        <v>46.29</v>
      </c>
      <c r="E1937" s="15"/>
      <c r="F1937" s="15"/>
      <c r="G1937" s="15"/>
      <c r="H1937" s="15"/>
    </row>
    <row r="1938" spans="1:8" x14ac:dyDescent="0.3">
      <c r="A1938" s="15"/>
      <c r="B1938" s="15"/>
      <c r="C1938" s="3" t="s">
        <v>13</v>
      </c>
      <c r="D1938" s="7">
        <v>12.887</v>
      </c>
      <c r="E1938" s="15"/>
      <c r="F1938" s="15"/>
      <c r="G1938" s="15"/>
      <c r="H1938" s="15"/>
    </row>
    <row r="1939" spans="1:8" x14ac:dyDescent="0.3">
      <c r="A1939" s="15"/>
      <c r="B1939" s="15"/>
      <c r="C1939" s="8" t="s">
        <v>12</v>
      </c>
      <c r="D1939" s="2">
        <v>12.95</v>
      </c>
      <c r="E1939" s="15"/>
      <c r="F1939" s="15"/>
      <c r="G1939" s="15"/>
      <c r="H1939" s="15"/>
    </row>
    <row r="1940" spans="1:8" x14ac:dyDescent="0.3">
      <c r="A1940" s="16"/>
      <c r="B1940" s="16"/>
      <c r="C1940" s="3" t="s">
        <v>10</v>
      </c>
      <c r="D1940" s="2">
        <v>18.25</v>
      </c>
      <c r="E1940" s="16"/>
      <c r="F1940" s="16"/>
      <c r="G1940" s="16"/>
      <c r="H1940" s="16"/>
    </row>
    <row r="1941" spans="1:8" x14ac:dyDescent="0.3">
      <c r="A1941" s="18">
        <v>324</v>
      </c>
      <c r="B1941" s="20">
        <v>45177</v>
      </c>
      <c r="C1941" s="3" t="s">
        <v>16</v>
      </c>
      <c r="D1941" s="2">
        <v>8.1199999999999992</v>
      </c>
      <c r="E1941" s="19">
        <f>SUM(D1941:D1946)</f>
        <v>309.17700000000002</v>
      </c>
      <c r="F1941" s="17">
        <f>INT(MAX(D1941:D1946))</f>
        <v>130</v>
      </c>
      <c r="G1941" s="14">
        <f>INT((F1941/10)*2)</f>
        <v>26</v>
      </c>
      <c r="H1941" s="14">
        <f>F1941-G1941</f>
        <v>104</v>
      </c>
    </row>
    <row r="1942" spans="1:8" x14ac:dyDescent="0.3">
      <c r="A1942" s="15"/>
      <c r="B1942" s="15"/>
      <c r="C1942" s="3" t="s">
        <v>17</v>
      </c>
      <c r="D1942" s="7">
        <v>20.667000000000002</v>
      </c>
      <c r="E1942" s="15"/>
      <c r="F1942" s="15"/>
      <c r="G1942" s="15"/>
      <c r="H1942" s="15"/>
    </row>
    <row r="1943" spans="1:8" x14ac:dyDescent="0.3">
      <c r="A1943" s="15"/>
      <c r="B1943" s="15"/>
      <c r="C1943" s="8" t="s">
        <v>8</v>
      </c>
      <c r="D1943" s="2">
        <v>53.3</v>
      </c>
      <c r="E1943" s="15"/>
      <c r="F1943" s="15"/>
      <c r="G1943" s="15"/>
      <c r="H1943" s="15"/>
    </row>
    <row r="1944" spans="1:8" x14ac:dyDescent="0.3">
      <c r="A1944" s="15"/>
      <c r="B1944" s="15"/>
      <c r="C1944" s="3" t="s">
        <v>14</v>
      </c>
      <c r="D1944" s="2">
        <v>18.86</v>
      </c>
      <c r="E1944" s="15"/>
      <c r="F1944" s="15"/>
      <c r="G1944" s="15"/>
      <c r="H1944" s="15"/>
    </row>
    <row r="1945" spans="1:8" x14ac:dyDescent="0.3">
      <c r="A1945" s="15"/>
      <c r="B1945" s="15"/>
      <c r="C1945" s="3" t="s">
        <v>18</v>
      </c>
      <c r="D1945" s="2">
        <v>130.08000000000001</v>
      </c>
      <c r="E1945" s="15"/>
      <c r="F1945" s="15"/>
      <c r="G1945" s="15"/>
      <c r="H1945" s="15"/>
    </row>
    <row r="1946" spans="1:8" x14ac:dyDescent="0.3">
      <c r="A1946" s="16"/>
      <c r="B1946" s="16"/>
      <c r="C1946" s="3" t="s">
        <v>11</v>
      </c>
      <c r="D1946" s="2">
        <v>78.150000000000006</v>
      </c>
      <c r="E1946" s="16"/>
      <c r="F1946" s="16"/>
      <c r="G1946" s="16"/>
      <c r="H1946" s="16"/>
    </row>
    <row r="1947" spans="1:8" x14ac:dyDescent="0.3">
      <c r="A1947" s="18">
        <v>325</v>
      </c>
      <c r="B1947" s="20">
        <v>45181</v>
      </c>
      <c r="C1947" s="3" t="s">
        <v>9</v>
      </c>
      <c r="D1947" s="7">
        <v>15.792999999999999</v>
      </c>
      <c r="E1947" s="19">
        <f>SUM(D1947:D1952)</f>
        <v>145.71899999999999</v>
      </c>
      <c r="F1947" s="17">
        <f>INT(MAX(D1947:D1952))</f>
        <v>52</v>
      </c>
      <c r="G1947" s="14">
        <f>INT((F1947/10)*2)</f>
        <v>10</v>
      </c>
      <c r="H1947" s="14">
        <f>F1947-G1947</f>
        <v>42</v>
      </c>
    </row>
    <row r="1948" spans="1:8" x14ac:dyDescent="0.3">
      <c r="A1948" s="15"/>
      <c r="B1948" s="15"/>
      <c r="C1948" s="8" t="s">
        <v>18</v>
      </c>
      <c r="D1948" s="2">
        <v>38.42</v>
      </c>
      <c r="E1948" s="15"/>
      <c r="F1948" s="15"/>
      <c r="G1948" s="15"/>
      <c r="H1948" s="15"/>
    </row>
    <row r="1949" spans="1:8" x14ac:dyDescent="0.3">
      <c r="A1949" s="15"/>
      <c r="B1949" s="15"/>
      <c r="C1949" s="3" t="s">
        <v>10</v>
      </c>
      <c r="D1949" s="2">
        <v>31.17</v>
      </c>
      <c r="E1949" s="15"/>
      <c r="F1949" s="15"/>
      <c r="G1949" s="15"/>
      <c r="H1949" s="15"/>
    </row>
    <row r="1950" spans="1:8" x14ac:dyDescent="0.3">
      <c r="A1950" s="15"/>
      <c r="B1950" s="15"/>
      <c r="C1950" s="3" t="s">
        <v>16</v>
      </c>
      <c r="D1950" s="2">
        <v>52.92</v>
      </c>
      <c r="E1950" s="15"/>
      <c r="F1950" s="15"/>
      <c r="G1950" s="15"/>
      <c r="H1950" s="15"/>
    </row>
    <row r="1951" spans="1:8" x14ac:dyDescent="0.3">
      <c r="A1951" s="15"/>
      <c r="B1951" s="15"/>
      <c r="C1951" s="3" t="s">
        <v>12</v>
      </c>
      <c r="D1951" s="7">
        <v>2.5659999999999998</v>
      </c>
      <c r="E1951" s="15"/>
      <c r="F1951" s="15"/>
      <c r="G1951" s="15"/>
      <c r="H1951" s="15"/>
    </row>
    <row r="1952" spans="1:8" x14ac:dyDescent="0.3">
      <c r="A1952" s="16"/>
      <c r="B1952" s="16"/>
      <c r="C1952" s="8" t="s">
        <v>10</v>
      </c>
      <c r="D1952" s="2">
        <v>4.8499999999999996</v>
      </c>
      <c r="E1952" s="16"/>
      <c r="F1952" s="16"/>
      <c r="G1952" s="16"/>
      <c r="H1952" s="16"/>
    </row>
    <row r="1953" spans="1:8" x14ac:dyDescent="0.3">
      <c r="A1953" s="18">
        <v>326</v>
      </c>
      <c r="B1953" s="20">
        <v>45184</v>
      </c>
      <c r="C1953" s="3" t="s">
        <v>17</v>
      </c>
      <c r="D1953" s="2">
        <v>35.74</v>
      </c>
      <c r="E1953" s="19">
        <f>SUM(D1953:D1958)</f>
        <v>101.782</v>
      </c>
      <c r="F1953" s="17">
        <f>INT(MAX(D1953:D1958))</f>
        <v>35</v>
      </c>
      <c r="G1953" s="14">
        <f>INT((F1953/10)*2)</f>
        <v>7</v>
      </c>
      <c r="H1953" s="14">
        <f>F1953-G1953</f>
        <v>28</v>
      </c>
    </row>
    <row r="1954" spans="1:8" x14ac:dyDescent="0.3">
      <c r="A1954" s="15"/>
      <c r="B1954" s="15"/>
      <c r="C1954" s="3" t="s">
        <v>11</v>
      </c>
      <c r="D1954" s="2">
        <v>9.23</v>
      </c>
      <c r="E1954" s="15"/>
      <c r="F1954" s="15"/>
      <c r="G1954" s="15"/>
      <c r="H1954" s="15"/>
    </row>
    <row r="1955" spans="1:8" x14ac:dyDescent="0.3">
      <c r="A1955" s="15"/>
      <c r="B1955" s="15"/>
      <c r="C1955" s="3" t="s">
        <v>9</v>
      </c>
      <c r="D1955" s="7">
        <v>16.294</v>
      </c>
      <c r="E1955" s="15"/>
      <c r="F1955" s="15"/>
      <c r="G1955" s="15"/>
      <c r="H1955" s="15"/>
    </row>
    <row r="1956" spans="1:8" x14ac:dyDescent="0.3">
      <c r="A1956" s="15"/>
      <c r="B1956" s="15"/>
      <c r="C1956" s="8" t="s">
        <v>11</v>
      </c>
      <c r="D1956" s="2">
        <v>17.170000000000002</v>
      </c>
      <c r="E1956" s="15"/>
      <c r="F1956" s="15"/>
      <c r="G1956" s="15"/>
      <c r="H1956" s="15"/>
    </row>
    <row r="1957" spans="1:8" x14ac:dyDescent="0.3">
      <c r="A1957" s="15"/>
      <c r="B1957" s="15"/>
      <c r="C1957" s="3" t="s">
        <v>14</v>
      </c>
      <c r="D1957" s="2">
        <v>11.92</v>
      </c>
      <c r="E1957" s="15"/>
      <c r="F1957" s="15"/>
      <c r="G1957" s="15"/>
      <c r="H1957" s="15"/>
    </row>
    <row r="1958" spans="1:8" x14ac:dyDescent="0.3">
      <c r="A1958" s="16"/>
      <c r="B1958" s="16"/>
      <c r="C1958" s="3" t="s">
        <v>17</v>
      </c>
      <c r="D1958" s="7">
        <v>11.428000000000001</v>
      </c>
      <c r="E1958" s="16"/>
      <c r="F1958" s="16"/>
      <c r="G1958" s="16"/>
      <c r="H1958" s="16"/>
    </row>
    <row r="1959" spans="1:8" x14ac:dyDescent="0.3">
      <c r="A1959" s="18">
        <v>327</v>
      </c>
      <c r="B1959" s="20">
        <v>45188</v>
      </c>
      <c r="C1959" s="8" t="s">
        <v>17</v>
      </c>
      <c r="D1959" s="2">
        <v>5.86</v>
      </c>
      <c r="E1959" s="19">
        <f>SUM(D1959:D1964)</f>
        <v>101.224</v>
      </c>
      <c r="F1959" s="17">
        <f>INT(MAX(D1959:D1964))</f>
        <v>32</v>
      </c>
      <c r="G1959" s="14">
        <f>INT((F1959/10)*2)</f>
        <v>6</v>
      </c>
      <c r="H1959" s="14">
        <f>F1959-G1959</f>
        <v>26</v>
      </c>
    </row>
    <row r="1960" spans="1:8" x14ac:dyDescent="0.3">
      <c r="A1960" s="15"/>
      <c r="B1960" s="15"/>
      <c r="C1960" s="3" t="s">
        <v>9</v>
      </c>
      <c r="D1960" s="2">
        <v>32.94</v>
      </c>
      <c r="E1960" s="15"/>
      <c r="F1960" s="15"/>
      <c r="G1960" s="15"/>
      <c r="H1960" s="15"/>
    </row>
    <row r="1961" spans="1:8" x14ac:dyDescent="0.3">
      <c r="A1961" s="15"/>
      <c r="B1961" s="15"/>
      <c r="C1961" s="3" t="s">
        <v>11</v>
      </c>
      <c r="D1961" s="2">
        <v>6.18</v>
      </c>
      <c r="E1961" s="15"/>
      <c r="F1961" s="15"/>
      <c r="G1961" s="15"/>
      <c r="H1961" s="15"/>
    </row>
    <row r="1962" spans="1:8" x14ac:dyDescent="0.3">
      <c r="A1962" s="15"/>
      <c r="B1962" s="15"/>
      <c r="C1962" s="3" t="s">
        <v>16</v>
      </c>
      <c r="D1962" s="2">
        <v>25.74</v>
      </c>
      <c r="E1962" s="15"/>
      <c r="F1962" s="15"/>
      <c r="G1962" s="15"/>
      <c r="H1962" s="15"/>
    </row>
    <row r="1963" spans="1:8" x14ac:dyDescent="0.3">
      <c r="A1963" s="15"/>
      <c r="B1963" s="15"/>
      <c r="C1963" s="3" t="s">
        <v>13</v>
      </c>
      <c r="D1963" s="2">
        <v>8.2799999999999994</v>
      </c>
      <c r="E1963" s="15"/>
      <c r="F1963" s="15"/>
      <c r="G1963" s="15"/>
      <c r="H1963" s="15"/>
    </row>
    <row r="1964" spans="1:8" x14ac:dyDescent="0.3">
      <c r="A1964" s="16"/>
      <c r="B1964" s="16"/>
      <c r="C1964" s="3" t="s">
        <v>15</v>
      </c>
      <c r="D1964" s="7">
        <v>22.224</v>
      </c>
      <c r="E1964" s="16"/>
      <c r="F1964" s="16"/>
      <c r="G1964" s="16"/>
      <c r="H1964" s="16"/>
    </row>
    <row r="1965" spans="1:8" x14ac:dyDescent="0.3">
      <c r="A1965" s="18">
        <v>328</v>
      </c>
      <c r="B1965" s="20">
        <v>45191</v>
      </c>
      <c r="C1965" s="8" t="s">
        <v>10</v>
      </c>
      <c r="D1965" s="2">
        <v>78.349999999999994</v>
      </c>
      <c r="E1965" s="19">
        <f>SUM(D1965:D1970)</f>
        <v>351.053</v>
      </c>
      <c r="F1965" s="17">
        <f>INT(MAX(D1965:D1970))</f>
        <v>182</v>
      </c>
      <c r="G1965" s="14">
        <f>INT((F1965/10)*2)</f>
        <v>36</v>
      </c>
      <c r="H1965" s="14">
        <f>F1965-G1965</f>
        <v>146</v>
      </c>
    </row>
    <row r="1966" spans="1:8" x14ac:dyDescent="0.3">
      <c r="A1966" s="15"/>
      <c r="B1966" s="15"/>
      <c r="C1966" s="3" t="s">
        <v>14</v>
      </c>
      <c r="D1966" s="2">
        <v>182.25</v>
      </c>
      <c r="E1966" s="15"/>
      <c r="F1966" s="15"/>
      <c r="G1966" s="15"/>
      <c r="H1966" s="15"/>
    </row>
    <row r="1967" spans="1:8" x14ac:dyDescent="0.3">
      <c r="A1967" s="15"/>
      <c r="B1967" s="15"/>
      <c r="C1967" s="3" t="s">
        <v>11</v>
      </c>
      <c r="D1967" s="2">
        <v>23.81</v>
      </c>
      <c r="E1967" s="15"/>
      <c r="F1967" s="15"/>
      <c r="G1967" s="15"/>
      <c r="H1967" s="15"/>
    </row>
    <row r="1968" spans="1:8" x14ac:dyDescent="0.3">
      <c r="A1968" s="15"/>
      <c r="B1968" s="15"/>
      <c r="C1968" s="3" t="s">
        <v>16</v>
      </c>
      <c r="D1968" s="7">
        <v>19.283000000000001</v>
      </c>
      <c r="E1968" s="15"/>
      <c r="F1968" s="15"/>
      <c r="G1968" s="15"/>
      <c r="H1968" s="15"/>
    </row>
    <row r="1969" spans="1:8" x14ac:dyDescent="0.3">
      <c r="A1969" s="15"/>
      <c r="B1969" s="15"/>
      <c r="C1969" s="8" t="s">
        <v>8</v>
      </c>
      <c r="D1969" s="2">
        <v>30.83</v>
      </c>
      <c r="E1969" s="15"/>
      <c r="F1969" s="15"/>
      <c r="G1969" s="15"/>
      <c r="H1969" s="15"/>
    </row>
    <row r="1970" spans="1:8" x14ac:dyDescent="0.3">
      <c r="A1970" s="16"/>
      <c r="B1970" s="16"/>
      <c r="C1970" s="3" t="s">
        <v>9</v>
      </c>
      <c r="D1970" s="2">
        <v>16.53</v>
      </c>
      <c r="E1970" s="16"/>
      <c r="F1970" s="16"/>
      <c r="G1970" s="16"/>
      <c r="H1970" s="16"/>
    </row>
    <row r="1971" spans="1:8" x14ac:dyDescent="0.3">
      <c r="A1971" s="18">
        <v>329</v>
      </c>
      <c r="B1971" s="20">
        <v>45195</v>
      </c>
      <c r="C1971" s="3" t="s">
        <v>17</v>
      </c>
      <c r="D1971" s="7">
        <v>30.556000000000001</v>
      </c>
      <c r="E1971" s="19">
        <f>SUM(D1971:D1976)</f>
        <v>348.33600000000001</v>
      </c>
      <c r="F1971" s="17">
        <f>INT(MAX(D1971:D1976))</f>
        <v>86</v>
      </c>
      <c r="G1971" s="14">
        <f>INT((F1971/10)*2)</f>
        <v>17</v>
      </c>
      <c r="H1971" s="14">
        <f>F1971-G1971</f>
        <v>69</v>
      </c>
    </row>
    <row r="1972" spans="1:8" x14ac:dyDescent="0.3">
      <c r="A1972" s="15"/>
      <c r="B1972" s="15"/>
      <c r="C1972" s="8" t="s">
        <v>17</v>
      </c>
      <c r="D1972" s="2">
        <v>39.56</v>
      </c>
      <c r="E1972" s="15"/>
      <c r="F1972" s="15"/>
      <c r="G1972" s="15"/>
      <c r="H1972" s="15"/>
    </row>
    <row r="1973" spans="1:8" x14ac:dyDescent="0.3">
      <c r="A1973" s="15"/>
      <c r="B1973" s="15"/>
      <c r="C1973" s="3" t="s">
        <v>8</v>
      </c>
      <c r="D1973" s="2">
        <v>86.89</v>
      </c>
      <c r="E1973" s="15"/>
      <c r="F1973" s="15"/>
      <c r="G1973" s="15"/>
      <c r="H1973" s="15"/>
    </row>
    <row r="1974" spans="1:8" x14ac:dyDescent="0.3">
      <c r="A1974" s="15"/>
      <c r="B1974" s="15"/>
      <c r="C1974" s="3" t="s">
        <v>11</v>
      </c>
      <c r="D1974" s="2">
        <v>48.65</v>
      </c>
      <c r="E1974" s="15"/>
      <c r="F1974" s="15"/>
      <c r="G1974" s="15"/>
      <c r="H1974" s="15"/>
    </row>
    <row r="1975" spans="1:8" x14ac:dyDescent="0.3">
      <c r="A1975" s="15"/>
      <c r="B1975" s="15"/>
      <c r="C1975" s="3" t="s">
        <v>10</v>
      </c>
      <c r="D1975" s="2">
        <v>80</v>
      </c>
      <c r="E1975" s="15"/>
      <c r="F1975" s="15"/>
      <c r="G1975" s="15"/>
      <c r="H1975" s="15"/>
    </row>
    <row r="1976" spans="1:8" x14ac:dyDescent="0.3">
      <c r="A1976" s="16"/>
      <c r="B1976" s="16"/>
      <c r="C1976" s="3" t="s">
        <v>14</v>
      </c>
      <c r="D1976" s="2">
        <v>62.68</v>
      </c>
      <c r="E1976" s="16"/>
      <c r="F1976" s="16"/>
      <c r="G1976" s="16"/>
      <c r="H1976" s="16"/>
    </row>
    <row r="1977" spans="1:8" x14ac:dyDescent="0.3">
      <c r="A1977" s="18">
        <v>330</v>
      </c>
      <c r="B1977" s="20">
        <v>45198</v>
      </c>
      <c r="C1977" s="3" t="s">
        <v>12</v>
      </c>
      <c r="D1977" s="7">
        <v>12.096</v>
      </c>
      <c r="E1977" s="19">
        <f>SUM(D1977:D1982)</f>
        <v>94.245999999999995</v>
      </c>
      <c r="F1977" s="17">
        <f>INT(MAX(D1977:D1982))</f>
        <v>30</v>
      </c>
      <c r="G1977" s="14">
        <f>INT((F1977/10)*2)</f>
        <v>6</v>
      </c>
      <c r="H1977" s="14">
        <f>F1977-G1977</f>
        <v>24</v>
      </c>
    </row>
    <row r="1978" spans="1:8" x14ac:dyDescent="0.3">
      <c r="A1978" s="15"/>
      <c r="B1978" s="15"/>
      <c r="C1978" s="8" t="s">
        <v>15</v>
      </c>
      <c r="D1978" s="2">
        <v>22.19</v>
      </c>
      <c r="E1978" s="15"/>
      <c r="F1978" s="15"/>
      <c r="G1978" s="15"/>
      <c r="H1978" s="15"/>
    </row>
    <row r="1979" spans="1:8" x14ac:dyDescent="0.3">
      <c r="A1979" s="15"/>
      <c r="B1979" s="15"/>
      <c r="C1979" s="3" t="s">
        <v>9</v>
      </c>
      <c r="D1979" s="2">
        <v>30.17</v>
      </c>
      <c r="E1979" s="15"/>
      <c r="F1979" s="15"/>
      <c r="G1979" s="15"/>
      <c r="H1979" s="15"/>
    </row>
    <row r="1980" spans="1:8" x14ac:dyDescent="0.3">
      <c r="A1980" s="15"/>
      <c r="B1980" s="15"/>
      <c r="C1980" s="3" t="s">
        <v>11</v>
      </c>
      <c r="D1980" s="2">
        <v>20.49</v>
      </c>
      <c r="E1980" s="15"/>
      <c r="F1980" s="15"/>
      <c r="G1980" s="15"/>
      <c r="H1980" s="15"/>
    </row>
    <row r="1981" spans="1:8" x14ac:dyDescent="0.3">
      <c r="A1981" s="15"/>
      <c r="B1981" s="15"/>
      <c r="C1981" s="3" t="s">
        <v>13</v>
      </c>
      <c r="D1981" s="2">
        <v>4</v>
      </c>
      <c r="E1981" s="15"/>
      <c r="F1981" s="15"/>
      <c r="G1981" s="15"/>
      <c r="H1981" s="15"/>
    </row>
    <row r="1982" spans="1:8" x14ac:dyDescent="0.3">
      <c r="A1982" s="16"/>
      <c r="B1982" s="16"/>
      <c r="C1982" s="3" t="s">
        <v>10</v>
      </c>
      <c r="D1982" s="2">
        <v>5.3</v>
      </c>
      <c r="E1982" s="16"/>
      <c r="F1982" s="16"/>
      <c r="G1982" s="16"/>
      <c r="H1982" s="16"/>
    </row>
    <row r="1983" spans="1:8" x14ac:dyDescent="0.3">
      <c r="A1983" s="18">
        <v>331</v>
      </c>
      <c r="B1983" s="20">
        <v>45202</v>
      </c>
      <c r="C1983" s="3" t="s">
        <v>12</v>
      </c>
      <c r="D1983" s="7">
        <v>13.917999999999999</v>
      </c>
      <c r="E1983" s="19">
        <f>SUM(D1983:D1988)</f>
        <v>104.01900000000001</v>
      </c>
      <c r="F1983" s="17">
        <f>INT(MAX(D1983:D1988))</f>
        <v>32</v>
      </c>
      <c r="G1983" s="14">
        <f>INT((F1983/10)*2)</f>
        <v>6</v>
      </c>
      <c r="H1983" s="14">
        <f>F1983-G1983</f>
        <v>26</v>
      </c>
    </row>
    <row r="1984" spans="1:8" x14ac:dyDescent="0.3">
      <c r="A1984" s="15"/>
      <c r="B1984" s="15"/>
      <c r="C1984" s="8" t="s">
        <v>17</v>
      </c>
      <c r="D1984" s="2">
        <v>10.02</v>
      </c>
      <c r="E1984" s="15"/>
      <c r="F1984" s="15"/>
      <c r="G1984" s="15"/>
      <c r="H1984" s="15"/>
    </row>
    <row r="1985" spans="1:8" x14ac:dyDescent="0.3">
      <c r="A1985" s="15"/>
      <c r="B1985" s="15"/>
      <c r="C1985" s="3" t="s">
        <v>10</v>
      </c>
      <c r="D1985" s="2">
        <v>3.43</v>
      </c>
      <c r="E1985" s="15"/>
      <c r="F1985" s="15"/>
      <c r="G1985" s="15"/>
      <c r="H1985" s="15"/>
    </row>
    <row r="1986" spans="1:8" x14ac:dyDescent="0.3">
      <c r="A1986" s="15"/>
      <c r="B1986" s="15"/>
      <c r="C1986" s="3" t="s">
        <v>8</v>
      </c>
      <c r="D1986" s="7">
        <v>12.930999999999999</v>
      </c>
      <c r="E1986" s="15"/>
      <c r="F1986" s="15"/>
      <c r="G1986" s="15"/>
      <c r="H1986" s="15"/>
    </row>
    <row r="1987" spans="1:8" x14ac:dyDescent="0.3">
      <c r="A1987" s="15"/>
      <c r="B1987" s="15"/>
      <c r="C1987" s="8" t="s">
        <v>8</v>
      </c>
      <c r="D1987" s="2">
        <v>32.909999999999997</v>
      </c>
      <c r="E1987" s="15"/>
      <c r="F1987" s="15"/>
      <c r="G1987" s="15"/>
      <c r="H1987" s="15"/>
    </row>
    <row r="1988" spans="1:8" x14ac:dyDescent="0.3">
      <c r="A1988" s="16"/>
      <c r="B1988" s="16"/>
      <c r="C1988" s="3" t="s">
        <v>16</v>
      </c>
      <c r="D1988" s="2">
        <v>30.81</v>
      </c>
      <c r="E1988" s="16"/>
      <c r="F1988" s="16"/>
      <c r="G1988" s="16"/>
      <c r="H1988" s="16"/>
    </row>
    <row r="1989" spans="1:8" x14ac:dyDescent="0.3">
      <c r="A1989" s="18">
        <v>332</v>
      </c>
      <c r="B1989" s="20">
        <v>45205</v>
      </c>
      <c r="C1989" s="3" t="s">
        <v>18</v>
      </c>
      <c r="D1989" s="7">
        <v>13.721</v>
      </c>
      <c r="E1989" s="19">
        <f>SUM(D1989:D1994)</f>
        <v>169.07100000000003</v>
      </c>
      <c r="F1989" s="17">
        <f>INT(MAX(D1989:D1994))</f>
        <v>61</v>
      </c>
      <c r="G1989" s="14">
        <f>INT((F1989/10)*2)</f>
        <v>12</v>
      </c>
      <c r="H1989" s="14">
        <f>F1989-G1989</f>
        <v>49</v>
      </c>
    </row>
    <row r="1990" spans="1:8" x14ac:dyDescent="0.3">
      <c r="A1990" s="15"/>
      <c r="B1990" s="15"/>
      <c r="C1990" s="8" t="s">
        <v>18</v>
      </c>
      <c r="D1990" s="2">
        <v>17.850000000000001</v>
      </c>
      <c r="E1990" s="15"/>
      <c r="F1990" s="15"/>
      <c r="G1990" s="15"/>
      <c r="H1990" s="15"/>
    </row>
    <row r="1991" spans="1:8" x14ac:dyDescent="0.3">
      <c r="A1991" s="15"/>
      <c r="B1991" s="15"/>
      <c r="C1991" s="3" t="s">
        <v>16</v>
      </c>
      <c r="D1991" s="2">
        <v>34.409999999999997</v>
      </c>
      <c r="E1991" s="15"/>
      <c r="F1991" s="15"/>
      <c r="G1991" s="15"/>
      <c r="H1991" s="15"/>
    </row>
    <row r="1992" spans="1:8" x14ac:dyDescent="0.3">
      <c r="A1992" s="15"/>
      <c r="B1992" s="15"/>
      <c r="C1992" s="3" t="s">
        <v>12</v>
      </c>
      <c r="D1992" s="2">
        <v>61.68</v>
      </c>
      <c r="E1992" s="15"/>
      <c r="F1992" s="15"/>
      <c r="G1992" s="15"/>
      <c r="H1992" s="15"/>
    </row>
    <row r="1993" spans="1:8" x14ac:dyDescent="0.3">
      <c r="A1993" s="15"/>
      <c r="B1993" s="15"/>
      <c r="C1993" s="3" t="s">
        <v>15</v>
      </c>
      <c r="D1993" s="2">
        <v>16.02</v>
      </c>
      <c r="E1993" s="15"/>
      <c r="F1993" s="15"/>
      <c r="G1993" s="15"/>
      <c r="H1993" s="15"/>
    </row>
    <row r="1994" spans="1:8" x14ac:dyDescent="0.3">
      <c r="A1994" s="16"/>
      <c r="B1994" s="16"/>
      <c r="C1994" s="3" t="s">
        <v>9</v>
      </c>
      <c r="D1994" s="2">
        <v>25.39</v>
      </c>
      <c r="E1994" s="16"/>
      <c r="F1994" s="16"/>
      <c r="G1994" s="16"/>
      <c r="H1994" s="16"/>
    </row>
    <row r="1995" spans="1:8" x14ac:dyDescent="0.3">
      <c r="A1995" s="18">
        <v>333</v>
      </c>
      <c r="B1995" s="20">
        <v>45209</v>
      </c>
      <c r="C1995" s="3" t="s">
        <v>17</v>
      </c>
      <c r="D1995" s="7">
        <v>16.695</v>
      </c>
      <c r="E1995" s="19">
        <f>SUM(D1995:D2000)</f>
        <v>184.834</v>
      </c>
      <c r="F1995" s="17">
        <f>INT(MAX(D1995:D2000))</f>
        <v>68</v>
      </c>
      <c r="G1995" s="14">
        <f>INT((F1995/10)*2)</f>
        <v>13</v>
      </c>
      <c r="H1995" s="14">
        <f>F1995-G1995</f>
        <v>55</v>
      </c>
    </row>
    <row r="1996" spans="1:8" x14ac:dyDescent="0.3">
      <c r="A1996" s="15"/>
      <c r="B1996" s="15"/>
      <c r="C1996" s="8" t="s">
        <v>18</v>
      </c>
      <c r="D1996" s="2">
        <v>68.98</v>
      </c>
      <c r="E1996" s="15"/>
      <c r="F1996" s="15"/>
      <c r="G1996" s="15"/>
      <c r="H1996" s="15"/>
    </row>
    <row r="1997" spans="1:8" x14ac:dyDescent="0.3">
      <c r="A1997" s="15"/>
      <c r="B1997" s="15"/>
      <c r="C1997" s="3" t="s">
        <v>13</v>
      </c>
      <c r="D1997" s="2">
        <v>18.75</v>
      </c>
      <c r="E1997" s="15"/>
      <c r="F1997" s="15"/>
      <c r="G1997" s="15"/>
      <c r="H1997" s="15"/>
    </row>
    <row r="1998" spans="1:8" x14ac:dyDescent="0.3">
      <c r="A1998" s="15"/>
      <c r="B1998" s="15"/>
      <c r="C1998" s="3" t="s">
        <v>8</v>
      </c>
      <c r="D1998" s="2">
        <v>34.83</v>
      </c>
      <c r="E1998" s="15"/>
      <c r="F1998" s="15"/>
      <c r="G1998" s="15"/>
      <c r="H1998" s="15"/>
    </row>
    <row r="1999" spans="1:8" x14ac:dyDescent="0.3">
      <c r="A1999" s="15"/>
      <c r="B1999" s="15"/>
      <c r="C1999" s="3" t="s">
        <v>15</v>
      </c>
      <c r="D1999" s="7">
        <v>9.5190000000000001</v>
      </c>
      <c r="E1999" s="15"/>
      <c r="F1999" s="15"/>
      <c r="G1999" s="15"/>
      <c r="H1999" s="15"/>
    </row>
    <row r="2000" spans="1:8" x14ac:dyDescent="0.3">
      <c r="A2000" s="16"/>
      <c r="B2000" s="16"/>
      <c r="C2000" s="8" t="s">
        <v>12</v>
      </c>
      <c r="D2000" s="2">
        <v>36.06</v>
      </c>
      <c r="E2000" s="16"/>
      <c r="F2000" s="16"/>
      <c r="G2000" s="16"/>
      <c r="H2000" s="16"/>
    </row>
    <row r="2001" spans="1:8" x14ac:dyDescent="0.3">
      <c r="A2001" s="18">
        <v>334</v>
      </c>
      <c r="B2001" s="20">
        <v>45212</v>
      </c>
      <c r="C2001" s="3" t="s">
        <v>11</v>
      </c>
      <c r="D2001" s="2">
        <v>6.79</v>
      </c>
      <c r="E2001" s="19">
        <f>SUM(D2001:D2006)</f>
        <v>187.13800000000001</v>
      </c>
      <c r="F2001" s="17">
        <f>INT(MAX(D2001:D2006))</f>
        <v>58</v>
      </c>
      <c r="G2001" s="14">
        <f>INT((F2001/10)*2)</f>
        <v>11</v>
      </c>
      <c r="H2001" s="14">
        <f>F2001-G2001</f>
        <v>47</v>
      </c>
    </row>
    <row r="2002" spans="1:8" x14ac:dyDescent="0.3">
      <c r="A2002" s="15"/>
      <c r="B2002" s="15"/>
      <c r="C2002" s="3" t="s">
        <v>17</v>
      </c>
      <c r="D2002" s="7">
        <v>24.978000000000002</v>
      </c>
      <c r="E2002" s="15"/>
      <c r="F2002" s="15"/>
      <c r="G2002" s="15"/>
      <c r="H2002" s="15"/>
    </row>
    <row r="2003" spans="1:8" x14ac:dyDescent="0.3">
      <c r="A2003" s="15"/>
      <c r="B2003" s="15"/>
      <c r="C2003" s="8" t="s">
        <v>18</v>
      </c>
      <c r="D2003" s="2">
        <v>19.96</v>
      </c>
      <c r="E2003" s="15"/>
      <c r="F2003" s="15"/>
      <c r="G2003" s="15"/>
      <c r="H2003" s="15"/>
    </row>
    <row r="2004" spans="1:8" x14ac:dyDescent="0.3">
      <c r="A2004" s="15"/>
      <c r="B2004" s="15"/>
      <c r="C2004" s="3" t="s">
        <v>8</v>
      </c>
      <c r="D2004" s="2">
        <v>58.44</v>
      </c>
      <c r="E2004" s="15"/>
      <c r="F2004" s="15"/>
      <c r="G2004" s="15"/>
      <c r="H2004" s="15"/>
    </row>
    <row r="2005" spans="1:8" x14ac:dyDescent="0.3">
      <c r="A2005" s="15"/>
      <c r="B2005" s="15"/>
      <c r="C2005" s="3" t="s">
        <v>14</v>
      </c>
      <c r="D2005" s="2">
        <v>50.72</v>
      </c>
      <c r="E2005" s="15"/>
      <c r="F2005" s="15"/>
      <c r="G2005" s="15"/>
      <c r="H2005" s="15"/>
    </row>
    <row r="2006" spans="1:8" x14ac:dyDescent="0.3">
      <c r="A2006" s="16"/>
      <c r="B2006" s="16"/>
      <c r="C2006" s="3" t="s">
        <v>16</v>
      </c>
      <c r="D2006" s="2">
        <v>26.25</v>
      </c>
      <c r="E2006" s="16"/>
      <c r="F2006" s="16"/>
      <c r="G2006" s="16"/>
      <c r="H2006" s="16"/>
    </row>
    <row r="2007" spans="1:8" x14ac:dyDescent="0.3">
      <c r="A2007" s="18">
        <v>335</v>
      </c>
      <c r="B2007" s="20">
        <v>45216</v>
      </c>
      <c r="C2007" s="3" t="s">
        <v>17</v>
      </c>
      <c r="D2007" s="7">
        <v>22.65</v>
      </c>
      <c r="E2007" s="19">
        <f>SUM(D2007:D2012)</f>
        <v>174.55099999999999</v>
      </c>
      <c r="F2007" s="17">
        <f>INT(MAX(D2007:D2012))</f>
        <v>53</v>
      </c>
      <c r="G2007" s="14">
        <f>INT((F2007/10)*2)</f>
        <v>10</v>
      </c>
      <c r="H2007" s="14">
        <f>F2007-G2007</f>
        <v>43</v>
      </c>
    </row>
    <row r="2008" spans="1:8" x14ac:dyDescent="0.3">
      <c r="A2008" s="15"/>
      <c r="B2008" s="15"/>
      <c r="C2008" s="8" t="s">
        <v>18</v>
      </c>
      <c r="D2008" s="2">
        <v>24.04</v>
      </c>
      <c r="E2008" s="15"/>
      <c r="F2008" s="15"/>
      <c r="G2008" s="15"/>
      <c r="H2008" s="15"/>
    </row>
    <row r="2009" spans="1:8" x14ac:dyDescent="0.3">
      <c r="A2009" s="15"/>
      <c r="B2009" s="15"/>
      <c r="C2009" s="3" t="s">
        <v>14</v>
      </c>
      <c r="D2009" s="2">
        <v>53.25</v>
      </c>
      <c r="E2009" s="15"/>
      <c r="F2009" s="15"/>
      <c r="G2009" s="15"/>
      <c r="H2009" s="15"/>
    </row>
    <row r="2010" spans="1:8" x14ac:dyDescent="0.3">
      <c r="A2010" s="15"/>
      <c r="B2010" s="15"/>
      <c r="C2010" s="3" t="s">
        <v>12</v>
      </c>
      <c r="D2010" s="2">
        <v>19.07</v>
      </c>
      <c r="E2010" s="15"/>
      <c r="F2010" s="15"/>
      <c r="G2010" s="15"/>
      <c r="H2010" s="15"/>
    </row>
    <row r="2011" spans="1:8" x14ac:dyDescent="0.3">
      <c r="A2011" s="15"/>
      <c r="B2011" s="15"/>
      <c r="C2011" s="3" t="s">
        <v>16</v>
      </c>
      <c r="D2011" s="2">
        <v>16.309999999999999</v>
      </c>
      <c r="E2011" s="15"/>
      <c r="F2011" s="15"/>
      <c r="G2011" s="15"/>
      <c r="H2011" s="15"/>
    </row>
    <row r="2012" spans="1:8" x14ac:dyDescent="0.3">
      <c r="A2012" s="16"/>
      <c r="B2012" s="16"/>
      <c r="C2012" s="3" t="s">
        <v>10</v>
      </c>
      <c r="D2012" s="7">
        <v>39.231000000000002</v>
      </c>
      <c r="E2012" s="16"/>
      <c r="F2012" s="16"/>
      <c r="G2012" s="16"/>
      <c r="H2012" s="16"/>
    </row>
    <row r="2013" spans="1:8" x14ac:dyDescent="0.3">
      <c r="A2013" s="18">
        <v>336</v>
      </c>
      <c r="B2013" s="20">
        <v>45219</v>
      </c>
      <c r="C2013" s="8" t="s">
        <v>11</v>
      </c>
      <c r="D2013" s="2">
        <v>47.66</v>
      </c>
      <c r="E2013" s="19">
        <f>SUM(D2013:D2018)</f>
        <v>176.41</v>
      </c>
      <c r="F2013" s="17">
        <f>INT(MAX(D2013:D2018))</f>
        <v>52</v>
      </c>
      <c r="G2013" s="14">
        <f>INT((F2013/10)*2)</f>
        <v>10</v>
      </c>
      <c r="H2013" s="14">
        <f>F2013-G2013</f>
        <v>42</v>
      </c>
    </row>
    <row r="2014" spans="1:8" x14ac:dyDescent="0.3">
      <c r="A2014" s="15"/>
      <c r="B2014" s="15"/>
      <c r="C2014" s="3" t="s">
        <v>16</v>
      </c>
      <c r="D2014" s="2">
        <v>7.15</v>
      </c>
      <c r="E2014" s="15"/>
      <c r="F2014" s="15"/>
      <c r="G2014" s="15"/>
      <c r="H2014" s="15"/>
    </row>
    <row r="2015" spans="1:8" x14ac:dyDescent="0.3">
      <c r="A2015" s="15"/>
      <c r="B2015" s="15"/>
      <c r="C2015" s="3" t="s">
        <v>10</v>
      </c>
      <c r="D2015" s="2">
        <v>34.380000000000003</v>
      </c>
      <c r="E2015" s="15"/>
      <c r="F2015" s="15"/>
      <c r="G2015" s="15"/>
      <c r="H2015" s="15"/>
    </row>
    <row r="2016" spans="1:8" x14ac:dyDescent="0.3">
      <c r="A2016" s="15"/>
      <c r="B2016" s="15"/>
      <c r="C2016" s="3" t="s">
        <v>13</v>
      </c>
      <c r="D2016" s="2">
        <v>29.14</v>
      </c>
      <c r="E2016" s="15"/>
      <c r="F2016" s="15"/>
      <c r="G2016" s="15"/>
      <c r="H2016" s="15"/>
    </row>
    <row r="2017" spans="1:8" x14ac:dyDescent="0.3">
      <c r="A2017" s="15"/>
      <c r="B2017" s="15"/>
      <c r="C2017" s="3" t="s">
        <v>15</v>
      </c>
      <c r="D2017" s="2">
        <v>52.89</v>
      </c>
      <c r="E2017" s="15"/>
      <c r="F2017" s="15"/>
      <c r="G2017" s="15"/>
      <c r="H2017" s="15"/>
    </row>
    <row r="2018" spans="1:8" x14ac:dyDescent="0.3">
      <c r="A2018" s="16"/>
      <c r="B2018" s="16"/>
      <c r="C2018" s="3" t="s">
        <v>14</v>
      </c>
      <c r="D2018" s="7">
        <v>5.19</v>
      </c>
      <c r="E2018" s="16"/>
      <c r="F2018" s="16"/>
      <c r="G2018" s="16"/>
      <c r="H2018" s="16"/>
    </row>
    <row r="2019" spans="1:8" x14ac:dyDescent="0.3">
      <c r="A2019" s="18">
        <v>337</v>
      </c>
      <c r="B2019" s="20">
        <v>45223</v>
      </c>
      <c r="C2019" s="8" t="s">
        <v>16</v>
      </c>
      <c r="D2019" s="2">
        <v>5.76</v>
      </c>
      <c r="E2019" s="19">
        <f>SUM(D2019:D2024)</f>
        <v>140.08600000000001</v>
      </c>
      <c r="F2019" s="17">
        <f>INT(MAX(D2019:D2024))</f>
        <v>71</v>
      </c>
      <c r="G2019" s="14">
        <f>INT((F2019/10)*2)</f>
        <v>14</v>
      </c>
      <c r="H2019" s="14">
        <f>F2019-G2019</f>
        <v>57</v>
      </c>
    </row>
    <row r="2020" spans="1:8" x14ac:dyDescent="0.3">
      <c r="A2020" s="15"/>
      <c r="B2020" s="15"/>
      <c r="C2020" s="3" t="s">
        <v>9</v>
      </c>
      <c r="D2020" s="2">
        <v>9.19</v>
      </c>
      <c r="E2020" s="15"/>
      <c r="F2020" s="15"/>
      <c r="G2020" s="15"/>
      <c r="H2020" s="15"/>
    </row>
    <row r="2021" spans="1:8" x14ac:dyDescent="0.3">
      <c r="A2021" s="15"/>
      <c r="B2021" s="15"/>
      <c r="C2021" s="3" t="s">
        <v>12</v>
      </c>
      <c r="D2021" s="2">
        <v>27.19</v>
      </c>
      <c r="E2021" s="15"/>
      <c r="F2021" s="15"/>
      <c r="G2021" s="15"/>
      <c r="H2021" s="15"/>
    </row>
    <row r="2022" spans="1:8" x14ac:dyDescent="0.3">
      <c r="A2022" s="15"/>
      <c r="B2022" s="15"/>
      <c r="C2022" s="3" t="s">
        <v>15</v>
      </c>
      <c r="D2022" s="2">
        <v>14.21</v>
      </c>
      <c r="E2022" s="15"/>
      <c r="F2022" s="15"/>
      <c r="G2022" s="15"/>
      <c r="H2022" s="15"/>
    </row>
    <row r="2023" spans="1:8" x14ac:dyDescent="0.3">
      <c r="A2023" s="15"/>
      <c r="B2023" s="15"/>
      <c r="C2023" s="3" t="s">
        <v>14</v>
      </c>
      <c r="D2023" s="7">
        <v>12.086</v>
      </c>
      <c r="E2023" s="15"/>
      <c r="F2023" s="15"/>
      <c r="G2023" s="15"/>
      <c r="H2023" s="15"/>
    </row>
    <row r="2024" spans="1:8" x14ac:dyDescent="0.3">
      <c r="A2024" s="16"/>
      <c r="B2024" s="16"/>
      <c r="C2024" s="8" t="s">
        <v>18</v>
      </c>
      <c r="D2024" s="2">
        <v>71.650000000000006</v>
      </c>
      <c r="E2024" s="16"/>
      <c r="F2024" s="16"/>
      <c r="G2024" s="16"/>
      <c r="H2024" s="16"/>
    </row>
    <row r="2025" spans="1:8" x14ac:dyDescent="0.3">
      <c r="A2025" s="18">
        <v>338</v>
      </c>
      <c r="B2025" s="20">
        <v>45226</v>
      </c>
      <c r="C2025" s="3" t="s">
        <v>11</v>
      </c>
      <c r="D2025" s="2">
        <v>16.170000000000002</v>
      </c>
      <c r="E2025" s="19">
        <f>SUM(D2025:D2030)</f>
        <v>73.570999999999998</v>
      </c>
      <c r="F2025" s="17">
        <f>INT(MAX(D2025:D2030))</f>
        <v>16</v>
      </c>
      <c r="G2025" s="14">
        <f>INT((F2025/10)*2)</f>
        <v>3</v>
      </c>
      <c r="H2025" s="14">
        <f>F2025-G2025</f>
        <v>13</v>
      </c>
    </row>
    <row r="2026" spans="1:8" x14ac:dyDescent="0.3">
      <c r="A2026" s="15"/>
      <c r="B2026" s="15"/>
      <c r="C2026" s="3" t="s">
        <v>17</v>
      </c>
      <c r="D2026" s="7">
        <v>16.530999999999999</v>
      </c>
      <c r="E2026" s="15"/>
      <c r="F2026" s="15"/>
      <c r="G2026" s="15"/>
      <c r="H2026" s="15"/>
    </row>
    <row r="2027" spans="1:8" x14ac:dyDescent="0.3">
      <c r="A2027" s="15"/>
      <c r="B2027" s="15"/>
      <c r="C2027" s="8" t="s">
        <v>8</v>
      </c>
      <c r="D2027" s="2">
        <v>11.75</v>
      </c>
      <c r="E2027" s="15"/>
      <c r="F2027" s="15"/>
      <c r="G2027" s="15"/>
      <c r="H2027" s="15"/>
    </row>
    <row r="2028" spans="1:8" x14ac:dyDescent="0.3">
      <c r="A2028" s="15"/>
      <c r="B2028" s="15"/>
      <c r="C2028" s="3" t="s">
        <v>9</v>
      </c>
      <c r="D2028" s="2">
        <v>15.26</v>
      </c>
      <c r="E2028" s="15"/>
      <c r="F2028" s="15"/>
      <c r="G2028" s="15"/>
      <c r="H2028" s="15"/>
    </row>
    <row r="2029" spans="1:8" x14ac:dyDescent="0.3">
      <c r="A2029" s="15"/>
      <c r="B2029" s="15"/>
      <c r="C2029" s="3" t="s">
        <v>13</v>
      </c>
      <c r="D2029" s="2">
        <v>6.85</v>
      </c>
      <c r="E2029" s="15"/>
      <c r="F2029" s="15"/>
      <c r="G2029" s="15"/>
      <c r="H2029" s="15"/>
    </row>
    <row r="2030" spans="1:8" x14ac:dyDescent="0.3">
      <c r="A2030" s="16"/>
      <c r="B2030" s="16"/>
      <c r="C2030" s="3" t="s">
        <v>10</v>
      </c>
      <c r="D2030" s="2">
        <v>7.01</v>
      </c>
      <c r="E2030" s="16"/>
      <c r="F2030" s="16"/>
      <c r="G2030" s="16"/>
      <c r="H2030" s="16"/>
    </row>
    <row r="2031" spans="1:8" x14ac:dyDescent="0.3">
      <c r="A2031" s="18">
        <v>339</v>
      </c>
      <c r="B2031" s="20">
        <v>45230</v>
      </c>
      <c r="C2031" s="3" t="s">
        <v>14</v>
      </c>
      <c r="D2031" s="7">
        <v>13.474</v>
      </c>
      <c r="E2031" s="19">
        <f>SUM(D2031:D2036)</f>
        <v>84.09899999999999</v>
      </c>
      <c r="F2031" s="17">
        <f>INT(MAX(D2031:D2036))</f>
        <v>33</v>
      </c>
      <c r="G2031" s="14">
        <f>INT((F2031/10)*2)</f>
        <v>6</v>
      </c>
      <c r="H2031" s="14">
        <f>F2031-G2031</f>
        <v>27</v>
      </c>
    </row>
    <row r="2032" spans="1:8" x14ac:dyDescent="0.3">
      <c r="A2032" s="15"/>
      <c r="B2032" s="15"/>
      <c r="C2032" s="8" t="s">
        <v>11</v>
      </c>
      <c r="D2032" s="2">
        <v>10.45</v>
      </c>
      <c r="E2032" s="15"/>
      <c r="F2032" s="15"/>
      <c r="G2032" s="15"/>
      <c r="H2032" s="15"/>
    </row>
    <row r="2033" spans="1:8" x14ac:dyDescent="0.3">
      <c r="A2033" s="15"/>
      <c r="B2033" s="15"/>
      <c r="C2033" s="3" t="s">
        <v>17</v>
      </c>
      <c r="D2033" s="2">
        <v>10.99</v>
      </c>
      <c r="E2033" s="15"/>
      <c r="F2033" s="15"/>
      <c r="G2033" s="15"/>
      <c r="H2033" s="15"/>
    </row>
    <row r="2034" spans="1:8" x14ac:dyDescent="0.3">
      <c r="A2034" s="15"/>
      <c r="B2034" s="15"/>
      <c r="C2034" s="3" t="s">
        <v>16</v>
      </c>
      <c r="D2034" s="2">
        <v>9.8699999999999992</v>
      </c>
      <c r="E2034" s="15"/>
      <c r="F2034" s="15"/>
      <c r="G2034" s="15"/>
      <c r="H2034" s="15"/>
    </row>
    <row r="2035" spans="1:8" x14ac:dyDescent="0.3">
      <c r="A2035" s="15"/>
      <c r="B2035" s="15"/>
      <c r="C2035" s="3" t="s">
        <v>8</v>
      </c>
      <c r="D2035" s="2">
        <v>6.03</v>
      </c>
      <c r="E2035" s="15"/>
      <c r="F2035" s="15"/>
      <c r="G2035" s="15"/>
      <c r="H2035" s="15"/>
    </row>
    <row r="2036" spans="1:8" x14ac:dyDescent="0.3">
      <c r="A2036" s="16"/>
      <c r="B2036" s="16"/>
      <c r="C2036" s="3" t="s">
        <v>14</v>
      </c>
      <c r="D2036" s="7">
        <v>33.284999999999997</v>
      </c>
      <c r="E2036" s="16"/>
      <c r="F2036" s="16"/>
      <c r="G2036" s="16"/>
      <c r="H2036" s="16"/>
    </row>
    <row r="2037" spans="1:8" x14ac:dyDescent="0.3">
      <c r="A2037" s="18">
        <v>340</v>
      </c>
      <c r="B2037" s="20">
        <v>45233</v>
      </c>
      <c r="C2037" s="8" t="s">
        <v>15</v>
      </c>
      <c r="D2037" s="2">
        <v>30.6</v>
      </c>
      <c r="E2037" s="19">
        <f>SUM(D2037:D2042)</f>
        <v>134.214</v>
      </c>
      <c r="F2037" s="17">
        <f>INT(MAX(D2037:D2042))</f>
        <v>47</v>
      </c>
      <c r="G2037" s="14">
        <f>INT((F2037/10)*2)</f>
        <v>9</v>
      </c>
      <c r="H2037" s="14">
        <f>F2037-G2037</f>
        <v>38</v>
      </c>
    </row>
    <row r="2038" spans="1:8" x14ac:dyDescent="0.3">
      <c r="A2038" s="15"/>
      <c r="B2038" s="15"/>
      <c r="C2038" s="3" t="s">
        <v>16</v>
      </c>
      <c r="D2038" s="2">
        <v>18.25</v>
      </c>
      <c r="E2038" s="15"/>
      <c r="F2038" s="15"/>
      <c r="G2038" s="15"/>
      <c r="H2038" s="15"/>
    </row>
    <row r="2039" spans="1:8" x14ac:dyDescent="0.3">
      <c r="A2039" s="15"/>
      <c r="B2039" s="15"/>
      <c r="C2039" s="3" t="s">
        <v>12</v>
      </c>
      <c r="D2039" s="2">
        <v>19.91</v>
      </c>
      <c r="E2039" s="15"/>
      <c r="F2039" s="15"/>
      <c r="G2039" s="15"/>
      <c r="H2039" s="15"/>
    </row>
    <row r="2040" spans="1:8" x14ac:dyDescent="0.3">
      <c r="A2040" s="15"/>
      <c r="B2040" s="15"/>
      <c r="C2040" s="3" t="s">
        <v>14</v>
      </c>
      <c r="D2040" s="2">
        <v>4.58</v>
      </c>
      <c r="E2040" s="15"/>
      <c r="F2040" s="15"/>
      <c r="G2040" s="15"/>
      <c r="H2040" s="15"/>
    </row>
    <row r="2041" spans="1:8" x14ac:dyDescent="0.3">
      <c r="A2041" s="15"/>
      <c r="B2041" s="15"/>
      <c r="C2041" s="3" t="s">
        <v>10</v>
      </c>
      <c r="D2041" s="7">
        <v>47.314</v>
      </c>
      <c r="E2041" s="15"/>
      <c r="F2041" s="15"/>
      <c r="G2041" s="15"/>
      <c r="H2041" s="15"/>
    </row>
    <row r="2042" spans="1:8" x14ac:dyDescent="0.3">
      <c r="A2042" s="16"/>
      <c r="B2042" s="16"/>
      <c r="C2042" s="8" t="s">
        <v>11</v>
      </c>
      <c r="D2042" s="2">
        <v>13.56</v>
      </c>
      <c r="E2042" s="16"/>
      <c r="F2042" s="16"/>
      <c r="G2042" s="16"/>
      <c r="H2042" s="16"/>
    </row>
    <row r="2043" spans="1:8" x14ac:dyDescent="0.3">
      <c r="A2043" s="18">
        <v>341</v>
      </c>
      <c r="B2043" s="20">
        <v>45237</v>
      </c>
      <c r="C2043" s="3" t="s">
        <v>10</v>
      </c>
      <c r="D2043" s="2">
        <v>25.74</v>
      </c>
      <c r="E2043" s="19">
        <f>SUM(D2043:D2048)</f>
        <v>305.74399999999997</v>
      </c>
      <c r="F2043" s="17">
        <f>INT(MAX(D2043:D2048))</f>
        <v>89</v>
      </c>
      <c r="G2043" s="14">
        <f>INT((F2043/10)*2)</f>
        <v>17</v>
      </c>
      <c r="H2043" s="14">
        <f>F2043-G2043</f>
        <v>72</v>
      </c>
    </row>
    <row r="2044" spans="1:8" x14ac:dyDescent="0.3">
      <c r="A2044" s="15"/>
      <c r="B2044" s="15"/>
      <c r="C2044" s="3" t="s">
        <v>15</v>
      </c>
      <c r="D2044" s="7">
        <v>89.524000000000001</v>
      </c>
      <c r="E2044" s="15"/>
      <c r="F2044" s="15"/>
      <c r="G2044" s="15"/>
      <c r="H2044" s="15"/>
    </row>
    <row r="2045" spans="1:8" x14ac:dyDescent="0.3">
      <c r="A2045" s="15"/>
      <c r="B2045" s="15"/>
      <c r="C2045" s="8" t="s">
        <v>15</v>
      </c>
      <c r="D2045" s="2">
        <v>30.9</v>
      </c>
      <c r="E2045" s="15"/>
      <c r="F2045" s="15"/>
      <c r="G2045" s="15"/>
      <c r="H2045" s="15"/>
    </row>
    <row r="2046" spans="1:8" x14ac:dyDescent="0.3">
      <c r="A2046" s="15"/>
      <c r="B2046" s="15"/>
      <c r="C2046" s="3" t="s">
        <v>10</v>
      </c>
      <c r="D2046" s="2">
        <v>54.7</v>
      </c>
      <c r="E2046" s="15"/>
      <c r="F2046" s="15"/>
      <c r="G2046" s="15"/>
      <c r="H2046" s="15"/>
    </row>
    <row r="2047" spans="1:8" x14ac:dyDescent="0.3">
      <c r="A2047" s="15"/>
      <c r="B2047" s="15"/>
      <c r="C2047" s="3" t="s">
        <v>12</v>
      </c>
      <c r="D2047" s="2">
        <v>31.09</v>
      </c>
      <c r="E2047" s="15"/>
      <c r="F2047" s="15"/>
      <c r="G2047" s="15"/>
      <c r="H2047" s="15"/>
    </row>
    <row r="2048" spans="1:8" x14ac:dyDescent="0.3">
      <c r="A2048" s="16"/>
      <c r="B2048" s="16"/>
      <c r="C2048" s="3" t="s">
        <v>18</v>
      </c>
      <c r="D2048" s="2">
        <v>73.790000000000006</v>
      </c>
      <c r="E2048" s="16"/>
      <c r="F2048" s="16"/>
      <c r="G2048" s="16"/>
      <c r="H2048" s="16"/>
    </row>
    <row r="2049" spans="1:8" x14ac:dyDescent="0.3">
      <c r="A2049" s="18">
        <v>342</v>
      </c>
      <c r="B2049" s="20">
        <v>45240</v>
      </c>
      <c r="C2049" s="3" t="s">
        <v>14</v>
      </c>
      <c r="D2049" s="7">
        <v>11.497999999999999</v>
      </c>
      <c r="E2049" s="19">
        <f>SUM(D2049:D2054)</f>
        <v>111.75999999999999</v>
      </c>
      <c r="F2049" s="17">
        <f>INT(MAX(D2049:D2054))</f>
        <v>44</v>
      </c>
      <c r="G2049" s="14">
        <f>INT((F2049/10)*2)</f>
        <v>8</v>
      </c>
      <c r="H2049" s="14">
        <f>F2049-G2049</f>
        <v>36</v>
      </c>
    </row>
    <row r="2050" spans="1:8" x14ac:dyDescent="0.3">
      <c r="A2050" s="15"/>
      <c r="B2050" s="15"/>
      <c r="C2050" s="8" t="s">
        <v>17</v>
      </c>
      <c r="D2050" s="2">
        <v>4.43</v>
      </c>
      <c r="E2050" s="15"/>
      <c r="F2050" s="15"/>
      <c r="G2050" s="15"/>
      <c r="H2050" s="15"/>
    </row>
    <row r="2051" spans="1:8" x14ac:dyDescent="0.3">
      <c r="A2051" s="15"/>
      <c r="B2051" s="15"/>
      <c r="C2051" s="3" t="s">
        <v>18</v>
      </c>
      <c r="D2051" s="2">
        <v>15.15</v>
      </c>
      <c r="E2051" s="15"/>
      <c r="F2051" s="15"/>
      <c r="G2051" s="15"/>
      <c r="H2051" s="15"/>
    </row>
    <row r="2052" spans="1:8" x14ac:dyDescent="0.3">
      <c r="A2052" s="15"/>
      <c r="B2052" s="15"/>
      <c r="C2052" s="3" t="s">
        <v>15</v>
      </c>
      <c r="D2052" s="7">
        <v>44.491999999999997</v>
      </c>
      <c r="E2052" s="15"/>
      <c r="F2052" s="15"/>
      <c r="G2052" s="15"/>
      <c r="H2052" s="15"/>
    </row>
    <row r="2053" spans="1:8" x14ac:dyDescent="0.3">
      <c r="A2053" s="15"/>
      <c r="B2053" s="15"/>
      <c r="C2053" s="8" t="s">
        <v>9</v>
      </c>
      <c r="D2053" s="2">
        <v>26.33</v>
      </c>
      <c r="E2053" s="15"/>
      <c r="F2053" s="15"/>
      <c r="G2053" s="15"/>
      <c r="H2053" s="15"/>
    </row>
    <row r="2054" spans="1:8" x14ac:dyDescent="0.3">
      <c r="A2054" s="16"/>
      <c r="B2054" s="16"/>
      <c r="C2054" s="3" t="s">
        <v>16</v>
      </c>
      <c r="D2054" s="2">
        <v>9.86</v>
      </c>
      <c r="E2054" s="16"/>
      <c r="F2054" s="16"/>
      <c r="G2054" s="16"/>
      <c r="H2054" s="16"/>
    </row>
    <row r="2055" spans="1:8" x14ac:dyDescent="0.3">
      <c r="A2055" s="18">
        <v>343</v>
      </c>
      <c r="B2055" s="20">
        <v>45244</v>
      </c>
      <c r="C2055" s="3" t="s">
        <v>17</v>
      </c>
      <c r="D2055" s="2">
        <v>25.97</v>
      </c>
      <c r="E2055" s="19">
        <f>SUM(D2055:D2060)</f>
        <v>110.846</v>
      </c>
      <c r="F2055" s="17">
        <f>INT(MAX(D2055:D2060))</f>
        <v>25</v>
      </c>
      <c r="G2055" s="14">
        <f>INT((F2055/10)*2)</f>
        <v>5</v>
      </c>
      <c r="H2055" s="14">
        <f>F2055-G2055</f>
        <v>20</v>
      </c>
    </row>
    <row r="2056" spans="1:8" x14ac:dyDescent="0.3">
      <c r="A2056" s="15"/>
      <c r="B2056" s="15"/>
      <c r="C2056" s="3" t="s">
        <v>8</v>
      </c>
      <c r="D2056" s="7">
        <v>10.746</v>
      </c>
      <c r="E2056" s="15"/>
      <c r="F2056" s="15"/>
      <c r="G2056" s="15"/>
      <c r="H2056" s="15"/>
    </row>
    <row r="2057" spans="1:8" x14ac:dyDescent="0.3">
      <c r="A2057" s="15"/>
      <c r="B2057" s="15"/>
      <c r="C2057" s="8" t="s">
        <v>9</v>
      </c>
      <c r="D2057" s="2">
        <v>8.77</v>
      </c>
      <c r="E2057" s="15"/>
      <c r="F2057" s="15"/>
      <c r="G2057" s="15"/>
      <c r="H2057" s="15"/>
    </row>
    <row r="2058" spans="1:8" x14ac:dyDescent="0.3">
      <c r="A2058" s="15"/>
      <c r="B2058" s="15"/>
      <c r="C2058" s="3" t="s">
        <v>16</v>
      </c>
      <c r="D2058" s="2">
        <v>25.39</v>
      </c>
      <c r="E2058" s="15"/>
      <c r="F2058" s="15"/>
      <c r="G2058" s="15"/>
      <c r="H2058" s="15"/>
    </row>
    <row r="2059" spans="1:8" x14ac:dyDescent="0.3">
      <c r="A2059" s="15"/>
      <c r="B2059" s="15"/>
      <c r="C2059" s="3" t="s">
        <v>15</v>
      </c>
      <c r="D2059" s="2">
        <v>20.76</v>
      </c>
      <c r="E2059" s="15"/>
      <c r="F2059" s="15"/>
      <c r="G2059" s="15"/>
      <c r="H2059" s="15"/>
    </row>
    <row r="2060" spans="1:8" x14ac:dyDescent="0.3">
      <c r="A2060" s="16"/>
      <c r="B2060" s="16"/>
      <c r="C2060" s="3" t="s">
        <v>11</v>
      </c>
      <c r="D2060" s="2">
        <v>19.21</v>
      </c>
      <c r="E2060" s="16"/>
      <c r="F2060" s="16"/>
      <c r="G2060" s="16"/>
      <c r="H2060" s="16"/>
    </row>
    <row r="2061" spans="1:8" x14ac:dyDescent="0.3">
      <c r="A2061" s="18">
        <v>344</v>
      </c>
      <c r="B2061" s="20">
        <v>45247</v>
      </c>
      <c r="C2061" s="3" t="s">
        <v>14</v>
      </c>
      <c r="D2061" s="2">
        <v>7.62</v>
      </c>
      <c r="E2061" s="19">
        <f>SUM(D2061:D2066)</f>
        <v>114.315</v>
      </c>
      <c r="F2061" s="17">
        <f>INT(MAX(D2061:D2066))</f>
        <v>38</v>
      </c>
      <c r="G2061" s="14">
        <f>INT((F2061/10)*2)</f>
        <v>7</v>
      </c>
      <c r="H2061" s="14">
        <f>F2061-G2061</f>
        <v>31</v>
      </c>
    </row>
    <row r="2062" spans="1:8" x14ac:dyDescent="0.3">
      <c r="A2062" s="15"/>
      <c r="B2062" s="15"/>
      <c r="C2062" s="3" t="s">
        <v>18</v>
      </c>
      <c r="D2062" s="7">
        <v>38.948</v>
      </c>
      <c r="E2062" s="15"/>
      <c r="F2062" s="15"/>
      <c r="G2062" s="15"/>
      <c r="H2062" s="15"/>
    </row>
    <row r="2063" spans="1:8" x14ac:dyDescent="0.3">
      <c r="A2063" s="15"/>
      <c r="B2063" s="15"/>
      <c r="C2063" s="8" t="s">
        <v>9</v>
      </c>
      <c r="D2063" s="2">
        <v>21.06</v>
      </c>
      <c r="E2063" s="15"/>
      <c r="F2063" s="15"/>
      <c r="G2063" s="15"/>
      <c r="H2063" s="15"/>
    </row>
    <row r="2064" spans="1:8" x14ac:dyDescent="0.3">
      <c r="A2064" s="15"/>
      <c r="B2064" s="15"/>
      <c r="C2064" s="3" t="s">
        <v>14</v>
      </c>
      <c r="D2064" s="2">
        <v>11.77</v>
      </c>
      <c r="E2064" s="15"/>
      <c r="F2064" s="15"/>
      <c r="G2064" s="15"/>
      <c r="H2064" s="15"/>
    </row>
    <row r="2065" spans="1:8" x14ac:dyDescent="0.3">
      <c r="A2065" s="15"/>
      <c r="B2065" s="15"/>
      <c r="C2065" s="3" t="s">
        <v>8</v>
      </c>
      <c r="D2065" s="2">
        <v>19.16</v>
      </c>
      <c r="E2065" s="15"/>
      <c r="F2065" s="15"/>
      <c r="G2065" s="15"/>
      <c r="H2065" s="15"/>
    </row>
    <row r="2066" spans="1:8" x14ac:dyDescent="0.3">
      <c r="A2066" s="16"/>
      <c r="B2066" s="16"/>
      <c r="C2066" s="3" t="s">
        <v>12</v>
      </c>
      <c r="D2066" s="7">
        <v>15.757</v>
      </c>
      <c r="E2066" s="16"/>
      <c r="F2066" s="16"/>
      <c r="G2066" s="16"/>
      <c r="H2066" s="16"/>
    </row>
    <row r="2067" spans="1:8" x14ac:dyDescent="0.3">
      <c r="A2067" s="18">
        <v>345</v>
      </c>
      <c r="B2067" s="20">
        <v>45251</v>
      </c>
      <c r="C2067" s="8" t="s">
        <v>10</v>
      </c>
      <c r="D2067" s="2">
        <v>54.64</v>
      </c>
      <c r="E2067" s="19">
        <f>SUM(D2067:D2072)</f>
        <v>159.697</v>
      </c>
      <c r="F2067" s="17">
        <f>INT(MAX(D2067:D2072))</f>
        <v>54</v>
      </c>
      <c r="G2067" s="14">
        <f>INT((F2067/10)*2)</f>
        <v>10</v>
      </c>
      <c r="H2067" s="14">
        <f>F2067-G2067</f>
        <v>44</v>
      </c>
    </row>
    <row r="2068" spans="1:8" x14ac:dyDescent="0.3">
      <c r="A2068" s="15"/>
      <c r="B2068" s="15"/>
      <c r="C2068" s="3" t="s">
        <v>15</v>
      </c>
      <c r="D2068" s="2">
        <v>23.75</v>
      </c>
      <c r="E2068" s="15"/>
      <c r="F2068" s="15"/>
      <c r="G2068" s="15"/>
      <c r="H2068" s="15"/>
    </row>
    <row r="2069" spans="1:8" x14ac:dyDescent="0.3">
      <c r="A2069" s="15"/>
      <c r="B2069" s="15"/>
      <c r="C2069" s="3" t="s">
        <v>8</v>
      </c>
      <c r="D2069" s="7">
        <v>4.6189999999999998</v>
      </c>
      <c r="E2069" s="15"/>
      <c r="F2069" s="15"/>
      <c r="G2069" s="15"/>
      <c r="H2069" s="15"/>
    </row>
    <row r="2070" spans="1:8" x14ac:dyDescent="0.3">
      <c r="A2070" s="15"/>
      <c r="B2070" s="15"/>
      <c r="C2070" s="8" t="s">
        <v>10</v>
      </c>
      <c r="D2070" s="2">
        <v>19.489999999999998</v>
      </c>
      <c r="E2070" s="15"/>
      <c r="F2070" s="15"/>
      <c r="G2070" s="15"/>
      <c r="H2070" s="15"/>
    </row>
    <row r="2071" spans="1:8" x14ac:dyDescent="0.3">
      <c r="A2071" s="15"/>
      <c r="B2071" s="15"/>
      <c r="C2071" s="3" t="s">
        <v>17</v>
      </c>
      <c r="D2071" s="2">
        <v>19.16</v>
      </c>
      <c r="E2071" s="15"/>
      <c r="F2071" s="15"/>
      <c r="G2071" s="15"/>
      <c r="H2071" s="15"/>
    </row>
    <row r="2072" spans="1:8" x14ac:dyDescent="0.3">
      <c r="A2072" s="16"/>
      <c r="B2072" s="16"/>
      <c r="C2072" s="3" t="s">
        <v>12</v>
      </c>
      <c r="D2072" s="7">
        <v>38.037999999999997</v>
      </c>
      <c r="E2072" s="16"/>
      <c r="F2072" s="16"/>
      <c r="G2072" s="16"/>
      <c r="H2072" s="16"/>
    </row>
    <row r="2073" spans="1:8" x14ac:dyDescent="0.3">
      <c r="A2073" s="18">
        <v>346</v>
      </c>
      <c r="B2073" s="20">
        <v>45254</v>
      </c>
      <c r="C2073" s="8" t="s">
        <v>10</v>
      </c>
      <c r="D2073" s="2">
        <v>136.02000000000001</v>
      </c>
      <c r="E2073" s="19">
        <f>SUM(D2073:D2078)</f>
        <v>349.34200000000004</v>
      </c>
      <c r="F2073" s="17">
        <f>INT(MAX(D2073:D2078))</f>
        <v>136</v>
      </c>
      <c r="G2073" s="14">
        <f>INT((F2073/10)*2)</f>
        <v>27</v>
      </c>
      <c r="H2073" s="14">
        <f>F2073-G2073</f>
        <v>109</v>
      </c>
    </row>
    <row r="2074" spans="1:8" x14ac:dyDescent="0.3">
      <c r="A2074" s="15"/>
      <c r="B2074" s="15"/>
      <c r="C2074" s="3" t="s">
        <v>11</v>
      </c>
      <c r="D2074" s="2">
        <v>11.77</v>
      </c>
      <c r="E2074" s="15"/>
      <c r="F2074" s="15"/>
      <c r="G2074" s="15"/>
      <c r="H2074" s="15"/>
    </row>
    <row r="2075" spans="1:8" x14ac:dyDescent="0.3">
      <c r="A2075" s="15"/>
      <c r="B2075" s="15"/>
      <c r="C2075" s="3" t="s">
        <v>18</v>
      </c>
      <c r="D2075" s="2">
        <v>43.81</v>
      </c>
      <c r="E2075" s="15"/>
      <c r="F2075" s="15"/>
      <c r="G2075" s="15"/>
      <c r="H2075" s="15"/>
    </row>
    <row r="2076" spans="1:8" x14ac:dyDescent="0.3">
      <c r="A2076" s="15"/>
      <c r="B2076" s="15"/>
      <c r="C2076" s="3" t="s">
        <v>14</v>
      </c>
      <c r="D2076" s="2">
        <v>45.78</v>
      </c>
      <c r="E2076" s="15"/>
      <c r="F2076" s="15"/>
      <c r="G2076" s="15"/>
      <c r="H2076" s="15"/>
    </row>
    <row r="2077" spans="1:8" x14ac:dyDescent="0.3">
      <c r="A2077" s="15"/>
      <c r="B2077" s="15"/>
      <c r="C2077" s="3" t="s">
        <v>9</v>
      </c>
      <c r="D2077" s="2">
        <v>89.4</v>
      </c>
      <c r="E2077" s="15"/>
      <c r="F2077" s="15"/>
      <c r="G2077" s="15"/>
      <c r="H2077" s="15"/>
    </row>
    <row r="2078" spans="1:8" x14ac:dyDescent="0.3">
      <c r="A2078" s="16"/>
      <c r="B2078" s="16"/>
      <c r="C2078" s="3" t="s">
        <v>15</v>
      </c>
      <c r="D2078" s="7">
        <v>22.562000000000001</v>
      </c>
      <c r="E2078" s="16"/>
      <c r="F2078" s="16"/>
      <c r="G2078" s="16"/>
      <c r="H2078" s="16"/>
    </row>
    <row r="2079" spans="1:8" x14ac:dyDescent="0.3">
      <c r="A2079" s="18">
        <v>347</v>
      </c>
      <c r="B2079" s="20">
        <v>45258</v>
      </c>
      <c r="C2079" s="8" t="s">
        <v>13</v>
      </c>
      <c r="D2079" s="2">
        <v>14.2</v>
      </c>
      <c r="E2079" s="19">
        <f>SUM(D2079:D2084)</f>
        <v>86.557000000000002</v>
      </c>
      <c r="F2079" s="17">
        <f>INT(MAX(D2079:D2084))</f>
        <v>35</v>
      </c>
      <c r="G2079" s="14">
        <f>INT((F2079/10)*2)</f>
        <v>7</v>
      </c>
      <c r="H2079" s="14">
        <f>F2079-G2079</f>
        <v>28</v>
      </c>
    </row>
    <row r="2080" spans="1:8" x14ac:dyDescent="0.3">
      <c r="A2080" s="15"/>
      <c r="B2080" s="15"/>
      <c r="C2080" s="3" t="s">
        <v>9</v>
      </c>
      <c r="D2080" s="2">
        <v>7.67</v>
      </c>
      <c r="E2080" s="15"/>
      <c r="F2080" s="15"/>
      <c r="G2080" s="15"/>
      <c r="H2080" s="15"/>
    </row>
    <row r="2081" spans="1:8" x14ac:dyDescent="0.3">
      <c r="A2081" s="15"/>
      <c r="B2081" s="15"/>
      <c r="C2081" s="3" t="s">
        <v>18</v>
      </c>
      <c r="D2081" s="2">
        <v>10.47</v>
      </c>
      <c r="E2081" s="15"/>
      <c r="F2081" s="15"/>
      <c r="G2081" s="15"/>
      <c r="H2081" s="15"/>
    </row>
    <row r="2082" spans="1:8" x14ac:dyDescent="0.3">
      <c r="A2082" s="15"/>
      <c r="B2082" s="15"/>
      <c r="C2082" s="3" t="s">
        <v>11</v>
      </c>
      <c r="D2082" s="2">
        <v>6.85</v>
      </c>
      <c r="E2082" s="15"/>
      <c r="F2082" s="15"/>
      <c r="G2082" s="15"/>
      <c r="H2082" s="15"/>
    </row>
    <row r="2083" spans="1:8" x14ac:dyDescent="0.3">
      <c r="A2083" s="15"/>
      <c r="B2083" s="15"/>
      <c r="C2083" s="3" t="s">
        <v>16</v>
      </c>
      <c r="D2083" s="2">
        <v>11.84</v>
      </c>
      <c r="E2083" s="15"/>
      <c r="F2083" s="15"/>
      <c r="G2083" s="15"/>
      <c r="H2083" s="15"/>
    </row>
    <row r="2084" spans="1:8" x14ac:dyDescent="0.3">
      <c r="A2084" s="16"/>
      <c r="B2084" s="16"/>
      <c r="C2084" s="3" t="s">
        <v>12</v>
      </c>
      <c r="D2084" s="7">
        <v>35.527000000000001</v>
      </c>
      <c r="E2084" s="16"/>
      <c r="F2084" s="16"/>
      <c r="G2084" s="16"/>
      <c r="H2084" s="16"/>
    </row>
    <row r="2085" spans="1:8" x14ac:dyDescent="0.3">
      <c r="A2085" s="18">
        <v>348</v>
      </c>
      <c r="B2085" s="20">
        <v>45261</v>
      </c>
      <c r="C2085" s="8" t="s">
        <v>12</v>
      </c>
      <c r="D2085" s="2">
        <v>83.11</v>
      </c>
      <c r="E2085" s="19">
        <f>SUM(D2085:D2090)</f>
        <v>230.02200000000002</v>
      </c>
      <c r="F2085" s="17">
        <f>INT(MAX(D2085:D2090))</f>
        <v>83</v>
      </c>
      <c r="G2085" s="14">
        <f>INT((F2085/10)*2)</f>
        <v>16</v>
      </c>
      <c r="H2085" s="14">
        <f>F2085-G2085</f>
        <v>67</v>
      </c>
    </row>
    <row r="2086" spans="1:8" x14ac:dyDescent="0.3">
      <c r="A2086" s="15"/>
      <c r="B2086" s="15"/>
      <c r="C2086" s="3" t="s">
        <v>11</v>
      </c>
      <c r="D2086" s="2">
        <v>48.34</v>
      </c>
      <c r="E2086" s="15"/>
      <c r="F2086" s="15"/>
      <c r="G2086" s="15"/>
      <c r="H2086" s="15"/>
    </row>
    <row r="2087" spans="1:8" x14ac:dyDescent="0.3">
      <c r="A2087" s="15"/>
      <c r="B2087" s="15"/>
      <c r="C2087" s="3" t="s">
        <v>10</v>
      </c>
      <c r="D2087" s="2">
        <v>40.590000000000003</v>
      </c>
      <c r="E2087" s="15"/>
      <c r="F2087" s="15"/>
      <c r="G2087" s="15"/>
      <c r="H2087" s="15"/>
    </row>
    <row r="2088" spans="1:8" x14ac:dyDescent="0.3">
      <c r="A2088" s="15"/>
      <c r="B2088" s="15"/>
      <c r="C2088" s="3" t="s">
        <v>14</v>
      </c>
      <c r="D2088" s="2">
        <v>44.71</v>
      </c>
      <c r="E2088" s="15"/>
      <c r="F2088" s="15"/>
      <c r="G2088" s="15"/>
      <c r="H2088" s="15"/>
    </row>
    <row r="2089" spans="1:8" x14ac:dyDescent="0.3">
      <c r="A2089" s="15"/>
      <c r="B2089" s="15"/>
      <c r="C2089" s="3" t="s">
        <v>15</v>
      </c>
      <c r="D2089" s="7">
        <v>6.8419999999999996</v>
      </c>
      <c r="E2089" s="15"/>
      <c r="F2089" s="15"/>
      <c r="G2089" s="15"/>
      <c r="H2089" s="15"/>
    </row>
    <row r="2090" spans="1:8" x14ac:dyDescent="0.3">
      <c r="A2090" s="16"/>
      <c r="B2090" s="16"/>
      <c r="C2090" s="8" t="s">
        <v>16</v>
      </c>
      <c r="D2090" s="2">
        <v>6.43</v>
      </c>
      <c r="E2090" s="16"/>
      <c r="F2090" s="16"/>
      <c r="G2090" s="16"/>
      <c r="H2090" s="16"/>
    </row>
    <row r="2091" spans="1:8" x14ac:dyDescent="0.3">
      <c r="A2091" s="18">
        <v>349</v>
      </c>
      <c r="B2091" s="20">
        <v>45265</v>
      </c>
      <c r="C2091" s="3" t="s">
        <v>12</v>
      </c>
      <c r="D2091" s="2">
        <v>5.44</v>
      </c>
      <c r="E2091" s="19">
        <f>SUM(D2091:D2096)</f>
        <v>67.826000000000008</v>
      </c>
      <c r="F2091" s="17">
        <f>INT(MAX(D2091:D2096))</f>
        <v>21</v>
      </c>
      <c r="G2091" s="14">
        <f>INT((F2091/10)*2)</f>
        <v>4</v>
      </c>
      <c r="H2091" s="14">
        <f>F2091-G2091</f>
        <v>17</v>
      </c>
    </row>
    <row r="2092" spans="1:8" x14ac:dyDescent="0.3">
      <c r="A2092" s="15"/>
      <c r="B2092" s="15"/>
      <c r="C2092" s="3" t="s">
        <v>17</v>
      </c>
      <c r="D2092" s="2">
        <v>13.64</v>
      </c>
      <c r="E2092" s="15"/>
      <c r="F2092" s="15"/>
      <c r="G2092" s="15"/>
      <c r="H2092" s="15"/>
    </row>
    <row r="2093" spans="1:8" x14ac:dyDescent="0.3">
      <c r="A2093" s="15"/>
      <c r="B2093" s="15"/>
      <c r="C2093" s="3" t="s">
        <v>14</v>
      </c>
      <c r="D2093" s="2">
        <v>9.57</v>
      </c>
      <c r="E2093" s="15"/>
      <c r="F2093" s="15"/>
      <c r="G2093" s="15"/>
      <c r="H2093" s="15"/>
    </row>
    <row r="2094" spans="1:8" x14ac:dyDescent="0.3">
      <c r="A2094" s="15"/>
      <c r="B2094" s="15"/>
      <c r="C2094" s="3" t="s">
        <v>9</v>
      </c>
      <c r="D2094" s="7">
        <v>21.916</v>
      </c>
      <c r="E2094" s="15"/>
      <c r="F2094" s="15"/>
      <c r="G2094" s="15"/>
      <c r="H2094" s="15"/>
    </row>
    <row r="2095" spans="1:8" x14ac:dyDescent="0.3">
      <c r="A2095" s="15"/>
      <c r="B2095" s="15"/>
      <c r="C2095" s="8" t="s">
        <v>15</v>
      </c>
      <c r="D2095" s="2">
        <v>4.46</v>
      </c>
      <c r="E2095" s="15"/>
      <c r="F2095" s="15"/>
      <c r="G2095" s="15"/>
      <c r="H2095" s="15"/>
    </row>
    <row r="2096" spans="1:8" x14ac:dyDescent="0.3">
      <c r="A2096" s="16"/>
      <c r="B2096" s="16"/>
      <c r="C2096" s="3" t="s">
        <v>10</v>
      </c>
      <c r="D2096" s="2">
        <v>12.8</v>
      </c>
      <c r="E2096" s="16"/>
      <c r="F2096" s="16"/>
      <c r="G2096" s="16"/>
      <c r="H2096" s="16"/>
    </row>
    <row r="2097" spans="1:8" x14ac:dyDescent="0.3">
      <c r="A2097" s="18">
        <v>350</v>
      </c>
      <c r="B2097" s="20">
        <v>45268</v>
      </c>
      <c r="C2097" s="3" t="s">
        <v>17</v>
      </c>
      <c r="D2097" s="2">
        <v>9.89</v>
      </c>
      <c r="E2097" s="19">
        <f>SUM(D2097:D2102)</f>
        <v>122.28900000000002</v>
      </c>
      <c r="F2097" s="17">
        <f>INT(MAX(D2097:D2102))</f>
        <v>42</v>
      </c>
      <c r="G2097" s="14">
        <f>INT((F2097/10)*2)</f>
        <v>8</v>
      </c>
      <c r="H2097" s="14">
        <f>F2097-G2097</f>
        <v>34</v>
      </c>
    </row>
    <row r="2098" spans="1:8" x14ac:dyDescent="0.3">
      <c r="A2098" s="15"/>
      <c r="B2098" s="15"/>
      <c r="C2098" s="3" t="s">
        <v>8</v>
      </c>
      <c r="D2098" s="7">
        <v>18.007000000000001</v>
      </c>
      <c r="E2098" s="15"/>
      <c r="F2098" s="15"/>
      <c r="G2098" s="15"/>
      <c r="H2098" s="15"/>
    </row>
    <row r="2099" spans="1:8" x14ac:dyDescent="0.3">
      <c r="A2099" s="15"/>
      <c r="B2099" s="15"/>
      <c r="C2099" s="8" t="s">
        <v>17</v>
      </c>
      <c r="D2099" s="2">
        <v>24.42</v>
      </c>
      <c r="E2099" s="15"/>
      <c r="F2099" s="15"/>
      <c r="G2099" s="15"/>
      <c r="H2099" s="15"/>
    </row>
    <row r="2100" spans="1:8" x14ac:dyDescent="0.3">
      <c r="A2100" s="15"/>
      <c r="B2100" s="15"/>
      <c r="C2100" s="3" t="s">
        <v>16</v>
      </c>
      <c r="D2100" s="2">
        <v>12.42</v>
      </c>
      <c r="E2100" s="15"/>
      <c r="F2100" s="15"/>
      <c r="G2100" s="15"/>
      <c r="H2100" s="15"/>
    </row>
    <row r="2101" spans="1:8" x14ac:dyDescent="0.3">
      <c r="A2101" s="15"/>
      <c r="B2101" s="15"/>
      <c r="C2101" s="3" t="s">
        <v>18</v>
      </c>
      <c r="D2101" s="2">
        <v>42.95</v>
      </c>
      <c r="E2101" s="15"/>
      <c r="F2101" s="15"/>
      <c r="G2101" s="15"/>
      <c r="H2101" s="15"/>
    </row>
    <row r="2102" spans="1:8" x14ac:dyDescent="0.3">
      <c r="A2102" s="16"/>
      <c r="B2102" s="16"/>
      <c r="C2102" s="3" t="s">
        <v>11</v>
      </c>
      <c r="D2102" s="7">
        <v>14.602</v>
      </c>
      <c r="E2102" s="16"/>
      <c r="F2102" s="16"/>
      <c r="G2102" s="16"/>
      <c r="H2102" s="16"/>
    </row>
    <row r="2103" spans="1:8" x14ac:dyDescent="0.3">
      <c r="A2103" s="18">
        <v>351</v>
      </c>
      <c r="B2103" s="20">
        <v>45272</v>
      </c>
      <c r="C2103" s="8" t="s">
        <v>12</v>
      </c>
      <c r="D2103" s="2">
        <v>6.48</v>
      </c>
      <c r="E2103" s="19">
        <f>SUM(D2103:D2108)</f>
        <v>76.471000000000004</v>
      </c>
      <c r="F2103" s="17">
        <f>INT(MAX(D2103:D2108))</f>
        <v>32</v>
      </c>
      <c r="G2103" s="14">
        <f>INT((F2103/10)*2)</f>
        <v>6</v>
      </c>
      <c r="H2103" s="14">
        <f>F2103-G2103</f>
        <v>26</v>
      </c>
    </row>
    <row r="2104" spans="1:8" x14ac:dyDescent="0.3">
      <c r="A2104" s="15"/>
      <c r="B2104" s="15"/>
      <c r="C2104" s="3" t="s">
        <v>14</v>
      </c>
      <c r="D2104" s="2">
        <v>4.13</v>
      </c>
      <c r="E2104" s="15"/>
      <c r="F2104" s="15"/>
      <c r="G2104" s="15"/>
      <c r="H2104" s="15"/>
    </row>
    <row r="2105" spans="1:8" x14ac:dyDescent="0.3">
      <c r="A2105" s="15"/>
      <c r="B2105" s="15"/>
      <c r="C2105" s="3" t="s">
        <v>10</v>
      </c>
      <c r="D2105" s="2">
        <v>15.39</v>
      </c>
      <c r="E2105" s="15"/>
      <c r="F2105" s="15"/>
      <c r="G2105" s="15"/>
      <c r="H2105" s="15"/>
    </row>
    <row r="2106" spans="1:8" x14ac:dyDescent="0.3">
      <c r="A2106" s="15"/>
      <c r="B2106" s="15"/>
      <c r="C2106" s="3" t="s">
        <v>13</v>
      </c>
      <c r="D2106" s="2">
        <v>10.09</v>
      </c>
      <c r="E2106" s="15"/>
      <c r="F2106" s="15"/>
      <c r="G2106" s="15"/>
      <c r="H2106" s="15"/>
    </row>
    <row r="2107" spans="1:8" x14ac:dyDescent="0.3">
      <c r="A2107" s="15"/>
      <c r="B2107" s="15"/>
      <c r="C2107" s="3" t="s">
        <v>9</v>
      </c>
      <c r="D2107" s="7">
        <v>8.3109999999999999</v>
      </c>
      <c r="E2107" s="15"/>
      <c r="F2107" s="15"/>
      <c r="G2107" s="15"/>
      <c r="H2107" s="15"/>
    </row>
    <row r="2108" spans="1:8" x14ac:dyDescent="0.3">
      <c r="A2108" s="16"/>
      <c r="B2108" s="16"/>
      <c r="C2108" s="8" t="s">
        <v>8</v>
      </c>
      <c r="D2108" s="2">
        <v>32.07</v>
      </c>
      <c r="E2108" s="16"/>
      <c r="F2108" s="16"/>
      <c r="G2108" s="16"/>
      <c r="H2108" s="16"/>
    </row>
    <row r="2109" spans="1:8" x14ac:dyDescent="0.3">
      <c r="A2109" s="18">
        <v>352</v>
      </c>
      <c r="B2109" s="20">
        <v>45275</v>
      </c>
      <c r="C2109" s="3" t="s">
        <v>14</v>
      </c>
      <c r="D2109" s="2">
        <v>35.840000000000003</v>
      </c>
      <c r="E2109" s="19">
        <f>SUM(D2109:D2114)</f>
        <v>117.265</v>
      </c>
      <c r="F2109" s="17">
        <f>INT(MAX(D2109:D2114))</f>
        <v>35</v>
      </c>
      <c r="G2109" s="14">
        <f>INT((F2109/10)*2)</f>
        <v>7</v>
      </c>
      <c r="H2109" s="14">
        <f>F2109-G2109</f>
        <v>28</v>
      </c>
    </row>
    <row r="2110" spans="1:8" x14ac:dyDescent="0.3">
      <c r="A2110" s="15"/>
      <c r="B2110" s="15"/>
      <c r="C2110" s="3" t="s">
        <v>12</v>
      </c>
      <c r="D2110" s="2">
        <v>12.19</v>
      </c>
      <c r="E2110" s="15"/>
      <c r="F2110" s="15"/>
      <c r="G2110" s="15"/>
      <c r="H2110" s="15"/>
    </row>
    <row r="2111" spans="1:8" x14ac:dyDescent="0.3">
      <c r="A2111" s="15"/>
      <c r="B2111" s="15"/>
      <c r="C2111" s="3" t="s">
        <v>18</v>
      </c>
      <c r="D2111" s="2">
        <v>15.88</v>
      </c>
      <c r="E2111" s="15"/>
      <c r="F2111" s="15"/>
      <c r="G2111" s="15"/>
      <c r="H2111" s="15"/>
    </row>
    <row r="2112" spans="1:8" x14ac:dyDescent="0.3">
      <c r="A2112" s="15"/>
      <c r="B2112" s="15"/>
      <c r="C2112" s="3" t="s">
        <v>10</v>
      </c>
      <c r="D2112" s="7">
        <v>25.135000000000002</v>
      </c>
      <c r="E2112" s="15"/>
      <c r="F2112" s="15"/>
      <c r="G2112" s="15"/>
      <c r="H2112" s="15"/>
    </row>
    <row r="2113" spans="1:8" x14ac:dyDescent="0.3">
      <c r="A2113" s="15"/>
      <c r="B2113" s="15"/>
      <c r="C2113" s="8" t="s">
        <v>12</v>
      </c>
      <c r="D2113" s="2">
        <v>19.670000000000002</v>
      </c>
      <c r="E2113" s="15"/>
      <c r="F2113" s="15"/>
      <c r="G2113" s="15"/>
      <c r="H2113" s="15"/>
    </row>
    <row r="2114" spans="1:8" x14ac:dyDescent="0.3">
      <c r="A2114" s="16"/>
      <c r="B2114" s="16"/>
      <c r="C2114" s="3" t="s">
        <v>8</v>
      </c>
      <c r="D2114" s="2">
        <v>8.5500000000000007</v>
      </c>
      <c r="E2114" s="16"/>
      <c r="F2114" s="16"/>
      <c r="G2114" s="16"/>
      <c r="H2114" s="16"/>
    </row>
    <row r="2115" spans="1:8" x14ac:dyDescent="0.3">
      <c r="A2115" s="18">
        <v>353</v>
      </c>
      <c r="B2115" s="20">
        <v>45279</v>
      </c>
      <c r="C2115" s="3" t="s">
        <v>10</v>
      </c>
      <c r="D2115" s="2">
        <v>36.81</v>
      </c>
      <c r="E2115" s="19">
        <f>SUM(D2115:D2120)</f>
        <v>399.05599999999998</v>
      </c>
      <c r="F2115" s="17">
        <f>INT(MAX(D2115:D2120))</f>
        <v>110</v>
      </c>
      <c r="G2115" s="14">
        <f>INT((F2115/10)*2)</f>
        <v>22</v>
      </c>
      <c r="H2115" s="14">
        <f>F2115-G2115</f>
        <v>88</v>
      </c>
    </row>
    <row r="2116" spans="1:8" x14ac:dyDescent="0.3">
      <c r="A2116" s="15"/>
      <c r="B2116" s="15"/>
      <c r="C2116" s="3" t="s">
        <v>11</v>
      </c>
      <c r="D2116" s="7">
        <v>25.856000000000002</v>
      </c>
      <c r="E2116" s="15"/>
      <c r="F2116" s="15"/>
      <c r="G2116" s="15"/>
      <c r="H2116" s="15"/>
    </row>
    <row r="2117" spans="1:8" x14ac:dyDescent="0.3">
      <c r="A2117" s="15"/>
      <c r="B2117" s="15"/>
      <c r="C2117" s="8" t="s">
        <v>18</v>
      </c>
      <c r="D2117" s="2">
        <v>110</v>
      </c>
      <c r="E2117" s="15"/>
      <c r="F2117" s="15"/>
      <c r="G2117" s="15"/>
      <c r="H2117" s="15"/>
    </row>
    <row r="2118" spans="1:8" x14ac:dyDescent="0.3">
      <c r="A2118" s="15"/>
      <c r="B2118" s="15"/>
      <c r="C2118" s="3" t="s">
        <v>15</v>
      </c>
      <c r="D2118" s="2">
        <v>66.03</v>
      </c>
      <c r="E2118" s="15"/>
      <c r="F2118" s="15"/>
      <c r="G2118" s="15"/>
      <c r="H2118" s="15"/>
    </row>
    <row r="2119" spans="1:8" x14ac:dyDescent="0.3">
      <c r="A2119" s="15"/>
      <c r="B2119" s="15"/>
      <c r="C2119" s="3" t="s">
        <v>16</v>
      </c>
      <c r="D2119" s="2">
        <v>61.36</v>
      </c>
      <c r="E2119" s="15"/>
      <c r="F2119" s="15"/>
      <c r="G2119" s="15"/>
      <c r="H2119" s="15"/>
    </row>
    <row r="2120" spans="1:8" x14ac:dyDescent="0.3">
      <c r="A2120" s="16"/>
      <c r="B2120" s="16"/>
      <c r="C2120" s="3" t="s">
        <v>14</v>
      </c>
      <c r="D2120" s="2">
        <v>99</v>
      </c>
      <c r="E2120" s="16"/>
      <c r="F2120" s="16"/>
      <c r="G2120" s="16"/>
      <c r="H2120" s="16"/>
    </row>
    <row r="2121" spans="1:8" x14ac:dyDescent="0.3">
      <c r="A2121" s="18">
        <v>354</v>
      </c>
      <c r="B2121" s="20">
        <v>45282</v>
      </c>
      <c r="C2121" s="3" t="s">
        <v>9</v>
      </c>
      <c r="D2121" s="2">
        <v>40.72</v>
      </c>
      <c r="E2121" s="19">
        <f>SUM(D2121:D2126)</f>
        <v>200.85599999999999</v>
      </c>
      <c r="F2121" s="17">
        <f>INT(MAX(D2121:D2126))</f>
        <v>72</v>
      </c>
      <c r="G2121" s="14">
        <f>INT((F2121/10)*2)</f>
        <v>14</v>
      </c>
      <c r="H2121" s="14">
        <f>F2121-G2121</f>
        <v>58</v>
      </c>
    </row>
    <row r="2122" spans="1:8" x14ac:dyDescent="0.3">
      <c r="A2122" s="15"/>
      <c r="B2122" s="15"/>
      <c r="C2122" s="3" t="s">
        <v>12</v>
      </c>
      <c r="D2122" s="7">
        <v>26.292000000000002</v>
      </c>
      <c r="E2122" s="15"/>
      <c r="F2122" s="15"/>
      <c r="G2122" s="15"/>
      <c r="H2122" s="15"/>
    </row>
    <row r="2123" spans="1:8" x14ac:dyDescent="0.3">
      <c r="A2123" s="15"/>
      <c r="B2123" s="15"/>
      <c r="C2123" s="8" t="s">
        <v>10</v>
      </c>
      <c r="D2123" s="2">
        <v>45.99</v>
      </c>
      <c r="E2123" s="15"/>
      <c r="F2123" s="15"/>
      <c r="G2123" s="15"/>
      <c r="H2123" s="15"/>
    </row>
    <row r="2124" spans="1:8" x14ac:dyDescent="0.3">
      <c r="A2124" s="15"/>
      <c r="B2124" s="15"/>
      <c r="C2124" s="3" t="s">
        <v>15</v>
      </c>
      <c r="D2124" s="2">
        <v>72.13</v>
      </c>
      <c r="E2124" s="15"/>
      <c r="F2124" s="15"/>
      <c r="G2124" s="15"/>
      <c r="H2124" s="15"/>
    </row>
    <row r="2125" spans="1:8" x14ac:dyDescent="0.3">
      <c r="A2125" s="15"/>
      <c r="B2125" s="15"/>
      <c r="C2125" s="3" t="s">
        <v>11</v>
      </c>
      <c r="D2125" s="7">
        <v>5.4139999999999997</v>
      </c>
      <c r="E2125" s="15"/>
      <c r="F2125" s="15"/>
      <c r="G2125" s="15"/>
      <c r="H2125" s="15"/>
    </row>
    <row r="2126" spans="1:8" x14ac:dyDescent="0.3">
      <c r="A2126" s="16"/>
      <c r="B2126" s="16"/>
      <c r="C2126" s="8" t="s">
        <v>8</v>
      </c>
      <c r="D2126" s="2">
        <v>10.31</v>
      </c>
      <c r="E2126" s="16"/>
      <c r="F2126" s="16"/>
      <c r="G2126" s="16"/>
      <c r="H2126" s="16"/>
    </row>
    <row r="2127" spans="1:8" x14ac:dyDescent="0.3">
      <c r="A2127" s="18">
        <v>355</v>
      </c>
      <c r="B2127" s="20">
        <v>45286</v>
      </c>
      <c r="C2127" s="3" t="s">
        <v>10</v>
      </c>
      <c r="D2127" s="2">
        <v>16.670000000000002</v>
      </c>
      <c r="E2127" s="19">
        <f>SUM(D2127:D2132)</f>
        <v>131.03399999999999</v>
      </c>
      <c r="F2127" s="17">
        <f>INT(MAX(D2127:D2132))</f>
        <v>47</v>
      </c>
      <c r="G2127" s="14">
        <f>INT((F2127/10)*2)</f>
        <v>9</v>
      </c>
      <c r="H2127" s="14">
        <f>F2127-G2127</f>
        <v>38</v>
      </c>
    </row>
    <row r="2128" spans="1:8" x14ac:dyDescent="0.3">
      <c r="A2128" s="15"/>
      <c r="B2128" s="15"/>
      <c r="C2128" s="3" t="s">
        <v>16</v>
      </c>
      <c r="D2128" s="2">
        <v>16.22</v>
      </c>
      <c r="E2128" s="15"/>
      <c r="F2128" s="15"/>
      <c r="G2128" s="15"/>
      <c r="H2128" s="15"/>
    </row>
    <row r="2129" spans="1:8" x14ac:dyDescent="0.3">
      <c r="A2129" s="15"/>
      <c r="B2129" s="15"/>
      <c r="C2129" s="3" t="s">
        <v>14</v>
      </c>
      <c r="D2129" s="2">
        <v>15.42</v>
      </c>
      <c r="E2129" s="15"/>
      <c r="F2129" s="15"/>
      <c r="G2129" s="15"/>
      <c r="H2129" s="15"/>
    </row>
    <row r="2130" spans="1:8" x14ac:dyDescent="0.3">
      <c r="A2130" s="15"/>
      <c r="B2130" s="15"/>
      <c r="C2130" s="3" t="s">
        <v>9</v>
      </c>
      <c r="D2130" s="7">
        <v>8.5540000000000003</v>
      </c>
      <c r="E2130" s="15"/>
      <c r="F2130" s="15"/>
      <c r="G2130" s="15"/>
      <c r="H2130" s="15"/>
    </row>
    <row r="2131" spans="1:8" x14ac:dyDescent="0.3">
      <c r="A2131" s="15"/>
      <c r="B2131" s="15"/>
      <c r="C2131" s="8" t="s">
        <v>17</v>
      </c>
      <c r="D2131" s="2">
        <v>26.55</v>
      </c>
      <c r="E2131" s="15"/>
      <c r="F2131" s="15"/>
      <c r="G2131" s="15"/>
      <c r="H2131" s="15"/>
    </row>
    <row r="2132" spans="1:8" x14ac:dyDescent="0.3">
      <c r="A2132" s="16"/>
      <c r="B2132" s="16"/>
      <c r="C2132" s="3" t="s">
        <v>13</v>
      </c>
      <c r="D2132" s="2">
        <v>47.62</v>
      </c>
      <c r="E2132" s="16"/>
      <c r="F2132" s="16"/>
      <c r="G2132" s="16"/>
      <c r="H2132" s="16"/>
    </row>
    <row r="2133" spans="1:8" x14ac:dyDescent="0.3">
      <c r="A2133" s="18">
        <v>356</v>
      </c>
      <c r="B2133" s="20">
        <v>45289</v>
      </c>
      <c r="C2133" s="3" t="s">
        <v>11</v>
      </c>
      <c r="D2133" s="2">
        <v>19.010000000000002</v>
      </c>
      <c r="E2133" s="19">
        <f>SUM(D2133:D2138)</f>
        <v>204.274</v>
      </c>
      <c r="F2133" s="17">
        <f>INT(MAX(D2133:D2138))</f>
        <v>59</v>
      </c>
      <c r="G2133" s="14">
        <f>INT((F2133/10)*2)</f>
        <v>11</v>
      </c>
      <c r="H2133" s="14">
        <f>F2133-G2133</f>
        <v>48</v>
      </c>
    </row>
    <row r="2134" spans="1:8" x14ac:dyDescent="0.3">
      <c r="A2134" s="15"/>
      <c r="B2134" s="15"/>
      <c r="C2134" s="3" t="s">
        <v>9</v>
      </c>
      <c r="D2134" s="7">
        <v>35.134</v>
      </c>
      <c r="E2134" s="15"/>
      <c r="F2134" s="15"/>
      <c r="G2134" s="15"/>
      <c r="H2134" s="15"/>
    </row>
    <row r="2135" spans="1:8" x14ac:dyDescent="0.3">
      <c r="A2135" s="15"/>
      <c r="B2135" s="15"/>
      <c r="C2135" s="8" t="s">
        <v>15</v>
      </c>
      <c r="D2135" s="2">
        <v>36.46</v>
      </c>
      <c r="E2135" s="15"/>
      <c r="F2135" s="15"/>
      <c r="G2135" s="15"/>
      <c r="H2135" s="15"/>
    </row>
    <row r="2136" spans="1:8" x14ac:dyDescent="0.3">
      <c r="A2136" s="15"/>
      <c r="B2136" s="15"/>
      <c r="C2136" s="3" t="s">
        <v>11</v>
      </c>
      <c r="D2136" s="2">
        <v>30.63</v>
      </c>
      <c r="E2136" s="15"/>
      <c r="F2136" s="15"/>
      <c r="G2136" s="15"/>
      <c r="H2136" s="15"/>
    </row>
    <row r="2137" spans="1:8" x14ac:dyDescent="0.3">
      <c r="A2137" s="15"/>
      <c r="B2137" s="15"/>
      <c r="C2137" s="3" t="s">
        <v>8</v>
      </c>
      <c r="D2137" s="2">
        <v>23.22</v>
      </c>
      <c r="E2137" s="15"/>
      <c r="F2137" s="15"/>
      <c r="G2137" s="15"/>
      <c r="H2137" s="15"/>
    </row>
    <row r="2138" spans="1:8" x14ac:dyDescent="0.3">
      <c r="A2138" s="16"/>
      <c r="B2138" s="16"/>
      <c r="C2138" s="3" t="s">
        <v>10</v>
      </c>
      <c r="D2138" s="2">
        <v>59.82</v>
      </c>
      <c r="E2138" s="16"/>
      <c r="F2138" s="16"/>
      <c r="G2138" s="16"/>
      <c r="H2138" s="16"/>
    </row>
    <row r="2139" spans="1:8" x14ac:dyDescent="0.3">
      <c r="A2139" s="18">
        <v>357</v>
      </c>
      <c r="B2139" s="20">
        <v>45293</v>
      </c>
      <c r="C2139" s="3" t="s">
        <v>14</v>
      </c>
      <c r="D2139" s="2">
        <v>16.21</v>
      </c>
      <c r="E2139" s="19">
        <f>SUM(D2139:D2144)</f>
        <v>138.54900000000001</v>
      </c>
      <c r="F2139" s="17">
        <f>INT(MAX(D2139:D2144))</f>
        <v>39</v>
      </c>
      <c r="G2139" s="14">
        <f>INT((F2139/10)*2)</f>
        <v>7</v>
      </c>
      <c r="H2139" s="14">
        <f>F2139-G2139</f>
        <v>32</v>
      </c>
    </row>
    <row r="2140" spans="1:8" x14ac:dyDescent="0.3">
      <c r="A2140" s="15"/>
      <c r="B2140" s="15"/>
      <c r="C2140" s="3" t="s">
        <v>12</v>
      </c>
      <c r="D2140" s="7">
        <v>13.779</v>
      </c>
      <c r="E2140" s="15"/>
      <c r="F2140" s="15"/>
      <c r="G2140" s="15"/>
      <c r="H2140" s="15"/>
    </row>
    <row r="2141" spans="1:8" x14ac:dyDescent="0.3">
      <c r="A2141" s="15"/>
      <c r="B2141" s="15"/>
      <c r="C2141" s="8" t="s">
        <v>10</v>
      </c>
      <c r="D2141" s="2">
        <v>39.6</v>
      </c>
      <c r="E2141" s="15"/>
      <c r="F2141" s="15"/>
      <c r="G2141" s="15"/>
      <c r="H2141" s="15"/>
    </row>
    <row r="2142" spans="1:8" x14ac:dyDescent="0.3">
      <c r="A2142" s="15"/>
      <c r="B2142" s="15"/>
      <c r="C2142" s="3" t="s">
        <v>14</v>
      </c>
      <c r="D2142" s="2">
        <v>25.6</v>
      </c>
      <c r="E2142" s="15"/>
      <c r="F2142" s="15"/>
      <c r="G2142" s="15"/>
      <c r="H2142" s="15"/>
    </row>
    <row r="2143" spans="1:8" x14ac:dyDescent="0.3">
      <c r="A2143" s="15"/>
      <c r="B2143" s="15"/>
      <c r="C2143" s="3" t="s">
        <v>9</v>
      </c>
      <c r="D2143" s="2">
        <v>21.93</v>
      </c>
      <c r="E2143" s="15"/>
      <c r="F2143" s="15"/>
      <c r="G2143" s="15"/>
      <c r="H2143" s="15"/>
    </row>
    <row r="2144" spans="1:8" x14ac:dyDescent="0.3">
      <c r="A2144" s="16"/>
      <c r="B2144" s="16"/>
      <c r="C2144" s="3" t="s">
        <v>18</v>
      </c>
      <c r="D2144" s="2">
        <v>21.43</v>
      </c>
      <c r="E2144" s="16"/>
      <c r="F2144" s="16"/>
      <c r="G2144" s="16"/>
      <c r="H2144" s="16"/>
    </row>
    <row r="2145" spans="1:8" x14ac:dyDescent="0.3">
      <c r="A2145" s="18">
        <v>358</v>
      </c>
      <c r="B2145" s="20">
        <v>45296</v>
      </c>
      <c r="C2145" s="3" t="s">
        <v>12</v>
      </c>
      <c r="D2145" s="2">
        <v>38.78</v>
      </c>
      <c r="E2145" s="19">
        <f>SUM(D2145:D2150)</f>
        <v>261.76299999999998</v>
      </c>
      <c r="F2145" s="17">
        <f>INT(MAX(D2145:D2150))</f>
        <v>65</v>
      </c>
      <c r="G2145" s="14">
        <f>INT((F2145/10)*2)</f>
        <v>13</v>
      </c>
      <c r="H2145" s="14">
        <f>F2145-G2145</f>
        <v>52</v>
      </c>
    </row>
    <row r="2146" spans="1:8" x14ac:dyDescent="0.3">
      <c r="A2146" s="15"/>
      <c r="B2146" s="15"/>
      <c r="C2146" s="3" t="s">
        <v>11</v>
      </c>
      <c r="D2146" s="7">
        <v>65.582999999999998</v>
      </c>
      <c r="E2146" s="15"/>
      <c r="F2146" s="15"/>
      <c r="G2146" s="15"/>
      <c r="H2146" s="15"/>
    </row>
    <row r="2147" spans="1:8" x14ac:dyDescent="0.3">
      <c r="A2147" s="15"/>
      <c r="B2147" s="15"/>
      <c r="C2147" s="8" t="s">
        <v>12</v>
      </c>
      <c r="D2147" s="2">
        <v>24.51</v>
      </c>
      <c r="E2147" s="15"/>
      <c r="F2147" s="15"/>
      <c r="G2147" s="15"/>
      <c r="H2147" s="15"/>
    </row>
    <row r="2148" spans="1:8" x14ac:dyDescent="0.3">
      <c r="A2148" s="15"/>
      <c r="B2148" s="15"/>
      <c r="C2148" s="3" t="s">
        <v>18</v>
      </c>
      <c r="D2148" s="2">
        <v>50</v>
      </c>
      <c r="E2148" s="15"/>
      <c r="F2148" s="15"/>
      <c r="G2148" s="15"/>
      <c r="H2148" s="15"/>
    </row>
    <row r="2149" spans="1:8" x14ac:dyDescent="0.3">
      <c r="A2149" s="15"/>
      <c r="B2149" s="15"/>
      <c r="C2149" s="3" t="s">
        <v>8</v>
      </c>
      <c r="D2149" s="2">
        <v>64.95</v>
      </c>
      <c r="E2149" s="15"/>
      <c r="F2149" s="15"/>
      <c r="G2149" s="15"/>
      <c r="H2149" s="15"/>
    </row>
    <row r="2150" spans="1:8" x14ac:dyDescent="0.3">
      <c r="A2150" s="16"/>
      <c r="B2150" s="16"/>
      <c r="C2150" s="3" t="s">
        <v>14</v>
      </c>
      <c r="D2150" s="2">
        <v>17.940000000000001</v>
      </c>
      <c r="E2150" s="16"/>
      <c r="F2150" s="16"/>
      <c r="G2150" s="16"/>
      <c r="H2150" s="16"/>
    </row>
    <row r="2151" spans="1:8" x14ac:dyDescent="0.3">
      <c r="A2151" s="18">
        <v>359</v>
      </c>
      <c r="B2151" s="20">
        <v>45300</v>
      </c>
      <c r="C2151" s="3" t="s">
        <v>10</v>
      </c>
      <c r="D2151" s="7">
        <v>29.675000000000001</v>
      </c>
      <c r="E2151" s="19">
        <f>SUM(D2151:D2156)</f>
        <v>296.58499999999998</v>
      </c>
      <c r="F2151" s="17">
        <f>INT(MAX(D2151:D2156))</f>
        <v>103</v>
      </c>
      <c r="G2151" s="14">
        <f>INT((F2151/10)*2)</f>
        <v>20</v>
      </c>
      <c r="H2151" s="14">
        <f>F2151-G2151</f>
        <v>83</v>
      </c>
    </row>
    <row r="2152" spans="1:8" x14ac:dyDescent="0.3">
      <c r="A2152" s="15"/>
      <c r="B2152" s="15"/>
      <c r="C2152" s="8" t="s">
        <v>10</v>
      </c>
      <c r="D2152" s="2">
        <v>27.5</v>
      </c>
      <c r="E2152" s="15"/>
      <c r="F2152" s="15"/>
      <c r="G2152" s="15"/>
      <c r="H2152" s="15"/>
    </row>
    <row r="2153" spans="1:8" x14ac:dyDescent="0.3">
      <c r="A2153" s="15"/>
      <c r="B2153" s="15"/>
      <c r="C2153" s="3" t="s">
        <v>18</v>
      </c>
      <c r="D2153" s="2">
        <v>44.3</v>
      </c>
      <c r="E2153" s="15"/>
      <c r="F2153" s="15"/>
      <c r="G2153" s="15"/>
      <c r="H2153" s="15"/>
    </row>
    <row r="2154" spans="1:8" x14ac:dyDescent="0.3">
      <c r="A2154" s="15"/>
      <c r="B2154" s="15"/>
      <c r="C2154" s="3" t="s">
        <v>8</v>
      </c>
      <c r="D2154" s="2">
        <v>48.84</v>
      </c>
      <c r="E2154" s="15"/>
      <c r="F2154" s="15"/>
      <c r="G2154" s="15"/>
      <c r="H2154" s="15"/>
    </row>
    <row r="2155" spans="1:8" x14ac:dyDescent="0.3">
      <c r="A2155" s="15"/>
      <c r="B2155" s="15"/>
      <c r="C2155" s="3" t="s">
        <v>14</v>
      </c>
      <c r="D2155" s="2">
        <v>103.45</v>
      </c>
      <c r="E2155" s="15"/>
      <c r="F2155" s="15"/>
      <c r="G2155" s="15"/>
      <c r="H2155" s="15"/>
    </row>
    <row r="2156" spans="1:8" x14ac:dyDescent="0.3">
      <c r="A2156" s="16"/>
      <c r="B2156" s="16"/>
      <c r="C2156" s="3" t="s">
        <v>11</v>
      </c>
      <c r="D2156" s="2">
        <v>42.82</v>
      </c>
      <c r="E2156" s="16"/>
      <c r="F2156" s="16"/>
      <c r="G2156" s="16"/>
      <c r="H2156" s="16"/>
    </row>
    <row r="2157" spans="1:8" x14ac:dyDescent="0.3">
      <c r="A2157" s="18">
        <v>360</v>
      </c>
      <c r="B2157" s="20">
        <v>45303</v>
      </c>
      <c r="C2157" s="3" t="s">
        <v>9</v>
      </c>
      <c r="D2157" s="7">
        <v>9.2850000000000001</v>
      </c>
      <c r="E2157" s="19">
        <f>SUM(D2157:D2162)</f>
        <v>103.85399999999998</v>
      </c>
      <c r="F2157" s="17">
        <f>INT(MAX(D2157:D2162))</f>
        <v>23</v>
      </c>
      <c r="G2157" s="14">
        <f>INT((F2157/10)*2)</f>
        <v>4</v>
      </c>
      <c r="H2157" s="14">
        <f>F2157-G2157</f>
        <v>19</v>
      </c>
    </row>
    <row r="2158" spans="1:8" x14ac:dyDescent="0.3">
      <c r="A2158" s="15"/>
      <c r="B2158" s="15"/>
      <c r="C2158" s="8" t="s">
        <v>14</v>
      </c>
      <c r="D2158" s="2">
        <v>20.2</v>
      </c>
      <c r="E2158" s="15"/>
      <c r="F2158" s="15"/>
      <c r="G2158" s="15"/>
      <c r="H2158" s="15"/>
    </row>
    <row r="2159" spans="1:8" x14ac:dyDescent="0.3">
      <c r="A2159" s="15"/>
      <c r="B2159" s="15"/>
      <c r="C2159" s="3" t="s">
        <v>16</v>
      </c>
      <c r="D2159" s="2">
        <v>23.91</v>
      </c>
      <c r="E2159" s="15"/>
      <c r="F2159" s="15"/>
      <c r="G2159" s="15"/>
      <c r="H2159" s="15"/>
    </row>
    <row r="2160" spans="1:8" x14ac:dyDescent="0.3">
      <c r="A2160" s="15"/>
      <c r="B2160" s="15"/>
      <c r="C2160" s="3" t="s">
        <v>12</v>
      </c>
      <c r="D2160" s="2">
        <v>11.14</v>
      </c>
      <c r="E2160" s="15"/>
      <c r="F2160" s="15"/>
      <c r="G2160" s="15"/>
      <c r="H2160" s="15"/>
    </row>
    <row r="2161" spans="1:8" x14ac:dyDescent="0.3">
      <c r="A2161" s="15"/>
      <c r="B2161" s="15"/>
      <c r="C2161" s="3" t="s">
        <v>18</v>
      </c>
      <c r="D2161" s="7">
        <v>18.969000000000001</v>
      </c>
      <c r="E2161" s="15"/>
      <c r="F2161" s="15"/>
      <c r="G2161" s="15"/>
      <c r="H2161" s="15"/>
    </row>
    <row r="2162" spans="1:8" x14ac:dyDescent="0.3">
      <c r="A2162" s="16"/>
      <c r="B2162" s="16"/>
      <c r="C2162" s="8" t="s">
        <v>17</v>
      </c>
      <c r="D2162" s="2">
        <v>20.350000000000001</v>
      </c>
      <c r="E2162" s="16"/>
      <c r="F2162" s="16"/>
      <c r="G2162" s="16"/>
      <c r="H2162" s="16"/>
    </row>
    <row r="2163" spans="1:8" x14ac:dyDescent="0.3">
      <c r="A2163" s="18">
        <v>361</v>
      </c>
      <c r="B2163" s="20">
        <v>45307</v>
      </c>
      <c r="C2163" s="3" t="s">
        <v>14</v>
      </c>
      <c r="D2163" s="2">
        <v>58.87</v>
      </c>
      <c r="E2163" s="19">
        <f>SUM(D2163:D2168)</f>
        <v>297.858</v>
      </c>
      <c r="F2163" s="17">
        <f>INT(MAX(D2163:D2168))</f>
        <v>100</v>
      </c>
      <c r="G2163" s="14">
        <f>INT((F2163/10)*2)</f>
        <v>20</v>
      </c>
      <c r="H2163" s="14">
        <f>F2163-G2163</f>
        <v>80</v>
      </c>
    </row>
    <row r="2164" spans="1:8" x14ac:dyDescent="0.3">
      <c r="A2164" s="15"/>
      <c r="B2164" s="15"/>
      <c r="C2164" s="3" t="s">
        <v>9</v>
      </c>
      <c r="D2164" s="2">
        <v>54.41</v>
      </c>
      <c r="E2164" s="15"/>
      <c r="F2164" s="15"/>
      <c r="G2164" s="15"/>
      <c r="H2164" s="15"/>
    </row>
    <row r="2165" spans="1:8" x14ac:dyDescent="0.3">
      <c r="A2165" s="15"/>
      <c r="B2165" s="15"/>
      <c r="C2165" s="3" t="s">
        <v>13</v>
      </c>
      <c r="D2165" s="2">
        <v>13</v>
      </c>
      <c r="E2165" s="15"/>
      <c r="F2165" s="15"/>
      <c r="G2165" s="15"/>
      <c r="H2165" s="15"/>
    </row>
    <row r="2166" spans="1:8" x14ac:dyDescent="0.3">
      <c r="A2166" s="15"/>
      <c r="B2166" s="15"/>
      <c r="C2166" s="3" t="s">
        <v>8</v>
      </c>
      <c r="D2166" s="2">
        <v>100.35</v>
      </c>
      <c r="E2166" s="15"/>
      <c r="F2166" s="15"/>
      <c r="G2166" s="15"/>
      <c r="H2166" s="15"/>
    </row>
    <row r="2167" spans="1:8" x14ac:dyDescent="0.3">
      <c r="A2167" s="15"/>
      <c r="B2167" s="15"/>
      <c r="C2167" s="3" t="s">
        <v>11</v>
      </c>
      <c r="D2167" s="7">
        <v>28.148</v>
      </c>
      <c r="E2167" s="15"/>
      <c r="F2167" s="15"/>
      <c r="G2167" s="15"/>
      <c r="H2167" s="15"/>
    </row>
    <row r="2168" spans="1:8" x14ac:dyDescent="0.3">
      <c r="A2168" s="16"/>
      <c r="B2168" s="16"/>
      <c r="C2168" s="8" t="s">
        <v>8</v>
      </c>
      <c r="D2168" s="2">
        <v>43.08</v>
      </c>
      <c r="E2168" s="16"/>
      <c r="F2168" s="16"/>
      <c r="G2168" s="16"/>
      <c r="H2168" s="16"/>
    </row>
    <row r="2169" spans="1:8" x14ac:dyDescent="0.3">
      <c r="A2169" s="18">
        <v>362</v>
      </c>
      <c r="B2169" s="20">
        <v>45310</v>
      </c>
      <c r="C2169" s="3" t="s">
        <v>9</v>
      </c>
      <c r="D2169" s="2">
        <v>72.459999999999994</v>
      </c>
      <c r="E2169" s="19">
        <f>SUM(D2169:D2174)</f>
        <v>315.57799999999997</v>
      </c>
      <c r="F2169" s="17">
        <f>INT(MAX(D2169:D2174))</f>
        <v>110</v>
      </c>
      <c r="G2169" s="14">
        <f>INT((F2169/10)*2)</f>
        <v>22</v>
      </c>
      <c r="H2169" s="14">
        <f>F2169-G2169</f>
        <v>88</v>
      </c>
    </row>
    <row r="2170" spans="1:8" x14ac:dyDescent="0.3">
      <c r="A2170" s="15"/>
      <c r="B2170" s="15"/>
      <c r="C2170" s="3" t="s">
        <v>14</v>
      </c>
      <c r="D2170" s="2">
        <v>110</v>
      </c>
      <c r="E2170" s="15"/>
      <c r="F2170" s="15"/>
      <c r="G2170" s="15"/>
      <c r="H2170" s="15"/>
    </row>
    <row r="2171" spans="1:8" x14ac:dyDescent="0.3">
      <c r="A2171" s="15"/>
      <c r="B2171" s="15"/>
      <c r="C2171" s="3" t="s">
        <v>15</v>
      </c>
      <c r="D2171" s="2">
        <v>46.53</v>
      </c>
      <c r="E2171" s="15"/>
      <c r="F2171" s="15"/>
      <c r="G2171" s="15"/>
      <c r="H2171" s="15"/>
    </row>
    <row r="2172" spans="1:8" x14ac:dyDescent="0.3">
      <c r="A2172" s="15"/>
      <c r="B2172" s="15"/>
      <c r="C2172" s="3" t="s">
        <v>10</v>
      </c>
      <c r="D2172" s="2">
        <v>58.27</v>
      </c>
      <c r="E2172" s="15"/>
      <c r="F2172" s="15"/>
      <c r="G2172" s="15"/>
      <c r="H2172" s="15"/>
    </row>
    <row r="2173" spans="1:8" x14ac:dyDescent="0.3">
      <c r="A2173" s="15"/>
      <c r="B2173" s="15"/>
      <c r="C2173" s="3" t="s">
        <v>12</v>
      </c>
      <c r="D2173" s="7">
        <v>20.617999999999999</v>
      </c>
      <c r="E2173" s="15"/>
      <c r="F2173" s="15"/>
      <c r="G2173" s="15"/>
      <c r="H2173" s="15"/>
    </row>
    <row r="2174" spans="1:8" x14ac:dyDescent="0.3">
      <c r="A2174" s="16"/>
      <c r="B2174" s="16"/>
      <c r="C2174" s="8" t="s">
        <v>14</v>
      </c>
      <c r="D2174" s="2">
        <v>7.7</v>
      </c>
      <c r="E2174" s="16"/>
      <c r="F2174" s="16"/>
      <c r="G2174" s="16"/>
      <c r="H2174" s="16"/>
    </row>
    <row r="2175" spans="1:8" x14ac:dyDescent="0.3">
      <c r="A2175" s="18">
        <v>363</v>
      </c>
      <c r="B2175" s="20">
        <v>45314</v>
      </c>
      <c r="C2175" s="3" t="s">
        <v>17</v>
      </c>
      <c r="D2175" s="2">
        <v>10.09</v>
      </c>
      <c r="E2175" s="19">
        <f>SUM(D2175:D2180)</f>
        <v>215.44200000000001</v>
      </c>
      <c r="F2175" s="17">
        <f>INT(MAX(D2175:D2180))</f>
        <v>127</v>
      </c>
      <c r="G2175" s="14">
        <f>INT((F2175/10)*2)</f>
        <v>25</v>
      </c>
      <c r="H2175" s="14">
        <f>F2175-G2175</f>
        <v>102</v>
      </c>
    </row>
    <row r="2176" spans="1:8" x14ac:dyDescent="0.3">
      <c r="A2176" s="15"/>
      <c r="B2176" s="15"/>
      <c r="C2176" s="3" t="s">
        <v>9</v>
      </c>
      <c r="D2176" s="2">
        <v>23.25</v>
      </c>
      <c r="E2176" s="15"/>
      <c r="F2176" s="15"/>
      <c r="G2176" s="15"/>
      <c r="H2176" s="15"/>
    </row>
    <row r="2177" spans="1:8" x14ac:dyDescent="0.3">
      <c r="A2177" s="15"/>
      <c r="B2177" s="15"/>
      <c r="C2177" s="3" t="s">
        <v>15</v>
      </c>
      <c r="D2177" s="2">
        <v>8.25</v>
      </c>
      <c r="E2177" s="15"/>
      <c r="F2177" s="15"/>
      <c r="G2177" s="15"/>
      <c r="H2177" s="15"/>
    </row>
    <row r="2178" spans="1:8" x14ac:dyDescent="0.3">
      <c r="A2178" s="15"/>
      <c r="B2178" s="15"/>
      <c r="C2178" s="3" t="s">
        <v>18</v>
      </c>
      <c r="D2178" s="7">
        <v>19.292000000000002</v>
      </c>
      <c r="E2178" s="15"/>
      <c r="F2178" s="15"/>
      <c r="G2178" s="15"/>
      <c r="H2178" s="15"/>
    </row>
    <row r="2179" spans="1:8" x14ac:dyDescent="0.3">
      <c r="A2179" s="15"/>
      <c r="B2179" s="15"/>
      <c r="C2179" s="8" t="s">
        <v>10</v>
      </c>
      <c r="D2179" s="2">
        <v>27.44</v>
      </c>
      <c r="E2179" s="15"/>
      <c r="F2179" s="15"/>
      <c r="G2179" s="15"/>
      <c r="H2179" s="15"/>
    </row>
    <row r="2180" spans="1:8" x14ac:dyDescent="0.3">
      <c r="A2180" s="16"/>
      <c r="B2180" s="16"/>
      <c r="C2180" s="3" t="s">
        <v>13</v>
      </c>
      <c r="D2180" s="2">
        <v>127.12</v>
      </c>
      <c r="E2180" s="16"/>
      <c r="F2180" s="16"/>
      <c r="G2180" s="16"/>
      <c r="H2180" s="16"/>
    </row>
    <row r="2181" spans="1:8" x14ac:dyDescent="0.3">
      <c r="A2181" s="18">
        <v>364</v>
      </c>
      <c r="B2181" s="20">
        <v>45317</v>
      </c>
      <c r="C2181" s="3" t="s">
        <v>11</v>
      </c>
      <c r="D2181" s="2">
        <v>13.83</v>
      </c>
      <c r="E2181" s="19">
        <f>SUM(D2181:D2186)</f>
        <v>130.887</v>
      </c>
      <c r="F2181" s="17">
        <f>INT(MAX(D2181:D2186))</f>
        <v>33</v>
      </c>
      <c r="G2181" s="14">
        <f>INT((F2181/10)*2)</f>
        <v>6</v>
      </c>
      <c r="H2181" s="14">
        <f>F2181-G2181</f>
        <v>27</v>
      </c>
    </row>
    <row r="2182" spans="1:8" x14ac:dyDescent="0.3">
      <c r="A2182" s="15"/>
      <c r="B2182" s="15"/>
      <c r="C2182" s="3" t="s">
        <v>8</v>
      </c>
      <c r="D2182" s="2">
        <v>17.88</v>
      </c>
      <c r="E2182" s="15"/>
      <c r="F2182" s="15"/>
      <c r="G2182" s="15"/>
      <c r="H2182" s="15"/>
    </row>
    <row r="2183" spans="1:8" x14ac:dyDescent="0.3">
      <c r="A2183" s="15"/>
      <c r="B2183" s="15"/>
      <c r="C2183" s="3" t="s">
        <v>14</v>
      </c>
      <c r="D2183" s="7">
        <v>16.797000000000001</v>
      </c>
      <c r="E2183" s="15"/>
      <c r="F2183" s="15"/>
      <c r="G2183" s="15"/>
      <c r="H2183" s="15"/>
    </row>
    <row r="2184" spans="1:8" x14ac:dyDescent="0.3">
      <c r="A2184" s="15"/>
      <c r="B2184" s="15"/>
      <c r="C2184" s="8" t="s">
        <v>17</v>
      </c>
      <c r="D2184" s="2">
        <v>24.32</v>
      </c>
      <c r="E2184" s="15"/>
      <c r="F2184" s="15"/>
      <c r="G2184" s="15"/>
      <c r="H2184" s="15"/>
    </row>
    <row r="2185" spans="1:8" x14ac:dyDescent="0.3">
      <c r="A2185" s="15"/>
      <c r="B2185" s="15"/>
      <c r="C2185" s="3" t="s">
        <v>15</v>
      </c>
      <c r="D2185" s="2">
        <v>33.15</v>
      </c>
      <c r="E2185" s="15"/>
      <c r="F2185" s="15"/>
      <c r="G2185" s="15"/>
      <c r="H2185" s="15"/>
    </row>
    <row r="2186" spans="1:8" x14ac:dyDescent="0.3">
      <c r="A2186" s="16"/>
      <c r="B2186" s="16"/>
      <c r="C2186" s="3" t="s">
        <v>11</v>
      </c>
      <c r="D2186" s="2">
        <v>24.91</v>
      </c>
      <c r="E2186" s="16"/>
      <c r="F2186" s="16"/>
      <c r="G2186" s="16"/>
      <c r="H2186" s="16"/>
    </row>
    <row r="2187" spans="1:8" x14ac:dyDescent="0.3">
      <c r="A2187" s="18">
        <v>365</v>
      </c>
      <c r="B2187" s="20">
        <v>45321</v>
      </c>
      <c r="C2187" s="3" t="s">
        <v>13</v>
      </c>
      <c r="D2187" s="7">
        <v>14.978</v>
      </c>
      <c r="E2187" s="19">
        <f>SUM(D2187:D2192)</f>
        <v>64.067999999999998</v>
      </c>
      <c r="F2187" s="17">
        <f>INT(MAX(D2187:D2192))</f>
        <v>14</v>
      </c>
      <c r="G2187" s="14">
        <f>INT((F2187/10)*2)</f>
        <v>2</v>
      </c>
      <c r="H2187" s="14">
        <f>F2187-G2187</f>
        <v>12</v>
      </c>
    </row>
    <row r="2188" spans="1:8" x14ac:dyDescent="0.3">
      <c r="A2188" s="15"/>
      <c r="B2188" s="15"/>
      <c r="C2188" s="8" t="s">
        <v>17</v>
      </c>
      <c r="D2188" s="2">
        <v>11.4</v>
      </c>
      <c r="E2188" s="15"/>
      <c r="F2188" s="15"/>
      <c r="G2188" s="15"/>
      <c r="H2188" s="15"/>
    </row>
    <row r="2189" spans="1:8" x14ac:dyDescent="0.3">
      <c r="A2189" s="15"/>
      <c r="B2189" s="15"/>
      <c r="C2189" s="3" t="s">
        <v>13</v>
      </c>
      <c r="D2189" s="2">
        <v>14.47</v>
      </c>
      <c r="E2189" s="15"/>
      <c r="F2189" s="15"/>
      <c r="G2189" s="15"/>
      <c r="H2189" s="15"/>
    </row>
    <row r="2190" spans="1:8" x14ac:dyDescent="0.3">
      <c r="A2190" s="15"/>
      <c r="B2190" s="15"/>
      <c r="C2190" s="3" t="s">
        <v>12</v>
      </c>
      <c r="D2190" s="2">
        <v>8.93</v>
      </c>
      <c r="E2190" s="15"/>
      <c r="F2190" s="15"/>
      <c r="G2190" s="15"/>
      <c r="H2190" s="15"/>
    </row>
    <row r="2191" spans="1:8" x14ac:dyDescent="0.3">
      <c r="A2191" s="15"/>
      <c r="B2191" s="15"/>
      <c r="C2191" s="3" t="s">
        <v>15</v>
      </c>
      <c r="D2191" s="2">
        <v>10.35</v>
      </c>
      <c r="E2191" s="15"/>
      <c r="F2191" s="15"/>
      <c r="G2191" s="15"/>
      <c r="H2191" s="15"/>
    </row>
    <row r="2192" spans="1:8" x14ac:dyDescent="0.3">
      <c r="A2192" s="16"/>
      <c r="B2192" s="16"/>
      <c r="C2192" s="3" t="s">
        <v>16</v>
      </c>
      <c r="D2192" s="2">
        <v>3.94</v>
      </c>
      <c r="E2192" s="16"/>
      <c r="F2192" s="16"/>
      <c r="G2192" s="16"/>
      <c r="H2192" s="16"/>
    </row>
    <row r="2193" spans="1:8" x14ac:dyDescent="0.3">
      <c r="A2193" s="18">
        <v>366</v>
      </c>
      <c r="B2193" s="20">
        <v>45324</v>
      </c>
      <c r="C2193" s="3" t="s">
        <v>18</v>
      </c>
      <c r="D2193" s="7">
        <v>34.518000000000001</v>
      </c>
      <c r="E2193" s="19">
        <f>SUM(D2193:D2198)</f>
        <v>152.88999999999999</v>
      </c>
      <c r="F2193" s="17">
        <f>INT(MAX(D2193:D2198))</f>
        <v>49</v>
      </c>
      <c r="G2193" s="14">
        <f>INT((F2193/10)*2)</f>
        <v>9</v>
      </c>
      <c r="H2193" s="14">
        <f>F2193-G2193</f>
        <v>40</v>
      </c>
    </row>
    <row r="2194" spans="1:8" x14ac:dyDescent="0.3">
      <c r="A2194" s="15"/>
      <c r="B2194" s="15"/>
      <c r="C2194" s="8" t="s">
        <v>14</v>
      </c>
      <c r="D2194" s="2">
        <v>30.39</v>
      </c>
      <c r="E2194" s="15"/>
      <c r="F2194" s="15"/>
      <c r="G2194" s="15"/>
      <c r="H2194" s="15"/>
    </row>
    <row r="2195" spans="1:8" x14ac:dyDescent="0.3">
      <c r="A2195" s="15"/>
      <c r="B2195" s="15"/>
      <c r="C2195" s="3" t="s">
        <v>15</v>
      </c>
      <c r="D2195" s="2">
        <v>49</v>
      </c>
      <c r="E2195" s="15"/>
      <c r="F2195" s="15"/>
      <c r="G2195" s="15"/>
      <c r="H2195" s="15"/>
    </row>
    <row r="2196" spans="1:8" x14ac:dyDescent="0.3">
      <c r="A2196" s="15"/>
      <c r="B2196" s="15"/>
      <c r="C2196" s="3" t="s">
        <v>9</v>
      </c>
      <c r="D2196" s="7">
        <v>19.751999999999999</v>
      </c>
      <c r="E2196" s="15"/>
      <c r="F2196" s="15"/>
      <c r="G2196" s="15"/>
      <c r="H2196" s="15"/>
    </row>
    <row r="2197" spans="1:8" x14ac:dyDescent="0.3">
      <c r="A2197" s="15"/>
      <c r="B2197" s="15"/>
      <c r="C2197" s="8" t="s">
        <v>9</v>
      </c>
      <c r="D2197" s="2">
        <v>16.03</v>
      </c>
      <c r="E2197" s="15"/>
      <c r="F2197" s="15"/>
      <c r="G2197" s="15"/>
      <c r="H2197" s="15"/>
    </row>
    <row r="2198" spans="1:8" x14ac:dyDescent="0.3">
      <c r="A2198" s="16"/>
      <c r="B2198" s="16"/>
      <c r="C2198" s="3" t="s">
        <v>14</v>
      </c>
      <c r="D2198" s="2">
        <v>3.2</v>
      </c>
      <c r="E2198" s="16"/>
      <c r="F2198" s="16"/>
      <c r="G2198" s="16"/>
      <c r="H2198" s="16"/>
    </row>
    <row r="2199" spans="1:8" x14ac:dyDescent="0.3">
      <c r="A2199" s="18">
        <v>367</v>
      </c>
      <c r="B2199" s="20">
        <v>45328</v>
      </c>
      <c r="C2199" s="3" t="s">
        <v>18</v>
      </c>
      <c r="D2199" s="7">
        <v>22.178000000000001</v>
      </c>
      <c r="E2199" s="19">
        <f>SUM(D2199:D2204)</f>
        <v>131.36799999999999</v>
      </c>
      <c r="F2199" s="17">
        <f>INT(MAX(D2199:D2204))</f>
        <v>29</v>
      </c>
      <c r="G2199" s="14">
        <f>INT((F2199/10)*2)</f>
        <v>5</v>
      </c>
      <c r="H2199" s="14">
        <f>F2199-G2199</f>
        <v>24</v>
      </c>
    </row>
    <row r="2200" spans="1:8" x14ac:dyDescent="0.3">
      <c r="A2200" s="15"/>
      <c r="B2200" s="15"/>
      <c r="C2200" s="8" t="s">
        <v>8</v>
      </c>
      <c r="D2200" s="2">
        <v>24.9</v>
      </c>
      <c r="E2200" s="15"/>
      <c r="F2200" s="15"/>
      <c r="G2200" s="15"/>
      <c r="H2200" s="15"/>
    </row>
    <row r="2201" spans="1:8" x14ac:dyDescent="0.3">
      <c r="A2201" s="15"/>
      <c r="B2201" s="15"/>
      <c r="C2201" s="3" t="s">
        <v>16</v>
      </c>
      <c r="D2201" s="2">
        <v>29.11</v>
      </c>
      <c r="E2201" s="15"/>
      <c r="F2201" s="15"/>
      <c r="G2201" s="15"/>
      <c r="H2201" s="15"/>
    </row>
    <row r="2202" spans="1:8" x14ac:dyDescent="0.3">
      <c r="A2202" s="15"/>
      <c r="B2202" s="15"/>
      <c r="C2202" s="3" t="s">
        <v>14</v>
      </c>
      <c r="D2202" s="2">
        <v>20.55</v>
      </c>
      <c r="E2202" s="15"/>
      <c r="F2202" s="15"/>
      <c r="G2202" s="15"/>
      <c r="H2202" s="15"/>
    </row>
    <row r="2203" spans="1:8" x14ac:dyDescent="0.3">
      <c r="A2203" s="15"/>
      <c r="B2203" s="15"/>
      <c r="C2203" s="3" t="s">
        <v>12</v>
      </c>
      <c r="D2203" s="2">
        <v>17.899999999999999</v>
      </c>
      <c r="E2203" s="15"/>
      <c r="F2203" s="15"/>
      <c r="G2203" s="15"/>
      <c r="H2203" s="15"/>
    </row>
    <row r="2204" spans="1:8" x14ac:dyDescent="0.3">
      <c r="A2204" s="16"/>
      <c r="B2204" s="16"/>
      <c r="C2204" s="3" t="s">
        <v>15</v>
      </c>
      <c r="D2204" s="2">
        <v>16.73</v>
      </c>
      <c r="E2204" s="16"/>
      <c r="F2204" s="16"/>
      <c r="G2204" s="16"/>
      <c r="H2204" s="16"/>
    </row>
    <row r="2205" spans="1:8" x14ac:dyDescent="0.3">
      <c r="A2205" s="18">
        <v>368</v>
      </c>
      <c r="B2205" s="20">
        <v>45331</v>
      </c>
      <c r="C2205" s="3" t="s">
        <v>17</v>
      </c>
      <c r="D2205" s="7">
        <v>7.9809999999999999</v>
      </c>
      <c r="E2205" s="19">
        <f>SUM(D2205:D2210)</f>
        <v>142.47500000000002</v>
      </c>
      <c r="F2205" s="17">
        <f>INT(MAX(D2205:D2210))</f>
        <v>78</v>
      </c>
      <c r="G2205" s="14">
        <f>INT((F2205/10)*2)</f>
        <v>15</v>
      </c>
      <c r="H2205" s="14">
        <f>F2205-G2205</f>
        <v>63</v>
      </c>
    </row>
    <row r="2206" spans="1:8" x14ac:dyDescent="0.3">
      <c r="A2206" s="15"/>
      <c r="B2206" s="15"/>
      <c r="C2206" s="8" t="s">
        <v>14</v>
      </c>
      <c r="D2206" s="2">
        <v>9.7200000000000006</v>
      </c>
      <c r="E2206" s="15"/>
      <c r="F2206" s="15"/>
      <c r="G2206" s="15"/>
      <c r="H2206" s="15"/>
    </row>
    <row r="2207" spans="1:8" x14ac:dyDescent="0.3">
      <c r="A2207" s="15"/>
      <c r="B2207" s="15"/>
      <c r="C2207" s="3" t="s">
        <v>9</v>
      </c>
      <c r="D2207" s="2">
        <v>16.18</v>
      </c>
      <c r="E2207" s="15"/>
      <c r="F2207" s="15"/>
      <c r="G2207" s="15"/>
      <c r="H2207" s="15"/>
    </row>
    <row r="2208" spans="1:8" x14ac:dyDescent="0.3">
      <c r="A2208" s="15"/>
      <c r="B2208" s="15"/>
      <c r="C2208" s="3" t="s">
        <v>15</v>
      </c>
      <c r="D2208" s="7">
        <v>22.693999999999999</v>
      </c>
      <c r="E2208" s="15"/>
      <c r="F2208" s="15"/>
      <c r="G2208" s="15"/>
      <c r="H2208" s="15"/>
    </row>
    <row r="2209" spans="1:8" x14ac:dyDescent="0.3">
      <c r="A2209" s="15"/>
      <c r="B2209" s="15"/>
      <c r="C2209" s="8" t="s">
        <v>13</v>
      </c>
      <c r="D2209" s="2">
        <v>7.89</v>
      </c>
      <c r="E2209" s="15"/>
      <c r="F2209" s="15"/>
      <c r="G2209" s="15"/>
      <c r="H2209" s="15"/>
    </row>
    <row r="2210" spans="1:8" x14ac:dyDescent="0.3">
      <c r="A2210" s="16"/>
      <c r="B2210" s="16"/>
      <c r="C2210" s="3" t="s">
        <v>8</v>
      </c>
      <c r="D2210" s="2">
        <v>78.010000000000005</v>
      </c>
      <c r="E2210" s="16"/>
      <c r="F2210" s="16"/>
      <c r="G2210" s="16"/>
      <c r="H2210" s="16"/>
    </row>
    <row r="2211" spans="1:8" x14ac:dyDescent="0.3">
      <c r="A2211" s="18">
        <v>369</v>
      </c>
      <c r="B2211" s="20">
        <v>45335</v>
      </c>
      <c r="C2211" s="3" t="s">
        <v>11</v>
      </c>
      <c r="D2211" s="2">
        <v>16.63</v>
      </c>
      <c r="E2211" s="19">
        <f>SUM(D2211:D2216)</f>
        <v>203.65599999999998</v>
      </c>
      <c r="F2211" s="17">
        <f>INT(MAX(D2211:D2216))</f>
        <v>104</v>
      </c>
      <c r="G2211" s="14">
        <f>INT((F2211/10)*2)</f>
        <v>20</v>
      </c>
      <c r="H2211" s="14">
        <f>F2211-G2211</f>
        <v>84</v>
      </c>
    </row>
    <row r="2212" spans="1:8" x14ac:dyDescent="0.3">
      <c r="A2212" s="15"/>
      <c r="B2212" s="15"/>
      <c r="C2212" s="3" t="s">
        <v>17</v>
      </c>
      <c r="D2212" s="2">
        <v>12.29</v>
      </c>
      <c r="E2212" s="15"/>
      <c r="F2212" s="15"/>
      <c r="G2212" s="15"/>
      <c r="H2212" s="15"/>
    </row>
    <row r="2213" spans="1:8" x14ac:dyDescent="0.3">
      <c r="A2213" s="15"/>
      <c r="B2213" s="15"/>
      <c r="C2213" s="3" t="s">
        <v>18</v>
      </c>
      <c r="D2213" s="7">
        <v>11.34</v>
      </c>
      <c r="E2213" s="15"/>
      <c r="F2213" s="15"/>
      <c r="G2213" s="15"/>
      <c r="H2213" s="15"/>
    </row>
    <row r="2214" spans="1:8" x14ac:dyDescent="0.3">
      <c r="A2214" s="15"/>
      <c r="B2214" s="15"/>
      <c r="C2214" s="8" t="s">
        <v>10</v>
      </c>
      <c r="D2214" s="2">
        <v>42</v>
      </c>
      <c r="E2214" s="15"/>
      <c r="F2214" s="15"/>
      <c r="G2214" s="15"/>
      <c r="H2214" s="15"/>
    </row>
    <row r="2215" spans="1:8" x14ac:dyDescent="0.3">
      <c r="A2215" s="15"/>
      <c r="B2215" s="15"/>
      <c r="C2215" s="3" t="s">
        <v>9</v>
      </c>
      <c r="D2215" s="2">
        <v>104.83</v>
      </c>
      <c r="E2215" s="15"/>
      <c r="F2215" s="15"/>
      <c r="G2215" s="15"/>
      <c r="H2215" s="15"/>
    </row>
    <row r="2216" spans="1:8" x14ac:dyDescent="0.3">
      <c r="A2216" s="16"/>
      <c r="B2216" s="16"/>
      <c r="C2216" s="3" t="s">
        <v>11</v>
      </c>
      <c r="D2216" s="7">
        <v>16.565999999999999</v>
      </c>
      <c r="E2216" s="16"/>
      <c r="F2216" s="16"/>
      <c r="G2216" s="16"/>
      <c r="H2216" s="16"/>
    </row>
    <row r="2217" spans="1:8" x14ac:dyDescent="0.3">
      <c r="A2217" s="18">
        <v>370</v>
      </c>
      <c r="B2217" s="20">
        <v>45338</v>
      </c>
      <c r="C2217" s="8" t="s">
        <v>12</v>
      </c>
      <c r="D2217" s="2">
        <v>26.11</v>
      </c>
      <c r="E2217" s="19">
        <f>SUM(D2217:D2222)</f>
        <v>111.99299999999999</v>
      </c>
      <c r="F2217" s="17">
        <f>INT(MAX(D2217:D2222))</f>
        <v>29</v>
      </c>
      <c r="G2217" s="14">
        <f>INT((F2217/10)*2)</f>
        <v>5</v>
      </c>
      <c r="H2217" s="14">
        <f>F2217-G2217</f>
        <v>24</v>
      </c>
    </row>
    <row r="2218" spans="1:8" x14ac:dyDescent="0.3">
      <c r="A2218" s="15"/>
      <c r="B2218" s="15"/>
      <c r="C2218" s="3" t="s">
        <v>13</v>
      </c>
      <c r="D2218" s="2">
        <v>13.47</v>
      </c>
      <c r="E2218" s="15"/>
      <c r="F2218" s="15"/>
      <c r="G2218" s="15"/>
      <c r="H2218" s="15"/>
    </row>
    <row r="2219" spans="1:8" x14ac:dyDescent="0.3">
      <c r="A2219" s="15"/>
      <c r="B2219" s="15"/>
      <c r="C2219" s="3" t="s">
        <v>16</v>
      </c>
      <c r="D2219" s="7">
        <v>20.033000000000001</v>
      </c>
      <c r="E2219" s="15"/>
      <c r="F2219" s="15"/>
      <c r="G2219" s="15"/>
      <c r="H2219" s="15"/>
    </row>
    <row r="2220" spans="1:8" x14ac:dyDescent="0.3">
      <c r="A2220" s="15"/>
      <c r="B2220" s="15"/>
      <c r="C2220" s="8" t="s">
        <v>15</v>
      </c>
      <c r="D2220" s="2">
        <v>29.75</v>
      </c>
      <c r="E2220" s="15"/>
      <c r="F2220" s="15"/>
      <c r="G2220" s="15"/>
      <c r="H2220" s="15"/>
    </row>
    <row r="2221" spans="1:8" x14ac:dyDescent="0.3">
      <c r="A2221" s="15"/>
      <c r="B2221" s="15"/>
      <c r="C2221" s="3" t="s">
        <v>16</v>
      </c>
      <c r="D2221" s="2">
        <v>13.77</v>
      </c>
      <c r="E2221" s="15"/>
      <c r="F2221" s="15"/>
      <c r="G2221" s="15"/>
      <c r="H2221" s="15"/>
    </row>
    <row r="2222" spans="1:8" x14ac:dyDescent="0.3">
      <c r="A2222" s="16"/>
      <c r="B2222" s="16"/>
      <c r="C2222" s="3" t="s">
        <v>10</v>
      </c>
      <c r="D2222" s="2">
        <v>8.86</v>
      </c>
      <c r="E2222" s="16"/>
      <c r="F2222" s="16"/>
      <c r="G2222" s="16"/>
      <c r="H2222" s="16"/>
    </row>
    <row r="2223" spans="1:8" x14ac:dyDescent="0.3">
      <c r="A2223" s="18">
        <v>371</v>
      </c>
      <c r="B2223" s="20">
        <v>45342</v>
      </c>
      <c r="C2223" s="3" t="s">
        <v>8</v>
      </c>
      <c r="D2223" s="7">
        <v>19.437999999999999</v>
      </c>
      <c r="E2223" s="19">
        <f>SUM(D2223:D2228)</f>
        <v>165.52299999999997</v>
      </c>
      <c r="F2223" s="17">
        <f>INT(MAX(D2223:D2228))</f>
        <v>52</v>
      </c>
      <c r="G2223" s="14">
        <f>INT((F2223/10)*2)</f>
        <v>10</v>
      </c>
      <c r="H2223" s="14">
        <f>F2223-G2223</f>
        <v>42</v>
      </c>
    </row>
    <row r="2224" spans="1:8" x14ac:dyDescent="0.3">
      <c r="A2224" s="15"/>
      <c r="B2224" s="15"/>
      <c r="C2224" s="8" t="s">
        <v>16</v>
      </c>
      <c r="D2224" s="2">
        <v>34.32</v>
      </c>
      <c r="E2224" s="15"/>
      <c r="F2224" s="15"/>
      <c r="G2224" s="15"/>
      <c r="H2224" s="15"/>
    </row>
    <row r="2225" spans="1:8" x14ac:dyDescent="0.3">
      <c r="A2225" s="15"/>
      <c r="B2225" s="15"/>
      <c r="C2225" s="3" t="s">
        <v>14</v>
      </c>
      <c r="D2225" s="2">
        <v>52.75</v>
      </c>
      <c r="E2225" s="15"/>
      <c r="F2225" s="15"/>
      <c r="G2225" s="15"/>
      <c r="H2225" s="15"/>
    </row>
    <row r="2226" spans="1:8" x14ac:dyDescent="0.3">
      <c r="A2226" s="15"/>
      <c r="B2226" s="15"/>
      <c r="C2226" s="3" t="s">
        <v>13</v>
      </c>
      <c r="D2226" s="2">
        <v>14.46</v>
      </c>
      <c r="E2226" s="15"/>
      <c r="F2226" s="15"/>
      <c r="G2226" s="15"/>
      <c r="H2226" s="15"/>
    </row>
    <row r="2227" spans="1:8" x14ac:dyDescent="0.3">
      <c r="A2227" s="15"/>
      <c r="B2227" s="15"/>
      <c r="C2227" s="3" t="s">
        <v>18</v>
      </c>
      <c r="D2227" s="7">
        <v>17.045000000000002</v>
      </c>
      <c r="E2227" s="15"/>
      <c r="F2227" s="15"/>
      <c r="G2227" s="15"/>
      <c r="H2227" s="15"/>
    </row>
    <row r="2228" spans="1:8" x14ac:dyDescent="0.3">
      <c r="A2228" s="16"/>
      <c r="B2228" s="16"/>
      <c r="C2228" s="8" t="s">
        <v>17</v>
      </c>
      <c r="D2228" s="2">
        <v>27.51</v>
      </c>
      <c r="E2228" s="16"/>
      <c r="F2228" s="16"/>
      <c r="G2228" s="16"/>
      <c r="H2228" s="16"/>
    </row>
    <row r="2229" spans="1:8" x14ac:dyDescent="0.3">
      <c r="A2229" s="18">
        <v>372</v>
      </c>
      <c r="B2229" s="20">
        <v>45345</v>
      </c>
      <c r="C2229" s="3" t="s">
        <v>10</v>
      </c>
      <c r="D2229" s="2">
        <v>21.61</v>
      </c>
      <c r="E2229" s="19">
        <f>SUM(D2229:D2234)</f>
        <v>116.205</v>
      </c>
      <c r="F2229" s="17">
        <f>INT(MAX(D2229:D2234))</f>
        <v>30</v>
      </c>
      <c r="G2229" s="14">
        <f>INT((F2229/10)*2)</f>
        <v>6</v>
      </c>
      <c r="H2229" s="14">
        <f>F2229-G2229</f>
        <v>24</v>
      </c>
    </row>
    <row r="2230" spans="1:8" x14ac:dyDescent="0.3">
      <c r="A2230" s="15"/>
      <c r="B2230" s="15"/>
      <c r="C2230" s="3" t="s">
        <v>12</v>
      </c>
      <c r="D2230" s="2">
        <v>30.28</v>
      </c>
      <c r="E2230" s="15"/>
      <c r="F2230" s="15"/>
      <c r="G2230" s="15"/>
      <c r="H2230" s="15"/>
    </row>
    <row r="2231" spans="1:8" x14ac:dyDescent="0.3">
      <c r="A2231" s="15"/>
      <c r="B2231" s="15"/>
      <c r="C2231" s="3" t="s">
        <v>8</v>
      </c>
      <c r="D2231" s="7">
        <v>6.665</v>
      </c>
      <c r="E2231" s="15"/>
      <c r="F2231" s="15"/>
      <c r="G2231" s="15"/>
      <c r="H2231" s="15"/>
    </row>
    <row r="2232" spans="1:8" x14ac:dyDescent="0.3">
      <c r="A2232" s="15"/>
      <c r="B2232" s="15"/>
      <c r="C2232" s="8" t="s">
        <v>18</v>
      </c>
      <c r="D2232" s="2">
        <v>17.920000000000002</v>
      </c>
      <c r="E2232" s="15"/>
      <c r="F2232" s="15"/>
      <c r="G2232" s="15"/>
      <c r="H2232" s="15"/>
    </row>
    <row r="2233" spans="1:8" x14ac:dyDescent="0.3">
      <c r="A2233" s="15"/>
      <c r="B2233" s="15"/>
      <c r="C2233" s="3" t="s">
        <v>17</v>
      </c>
      <c r="D2233" s="2">
        <v>21.26</v>
      </c>
      <c r="E2233" s="15"/>
      <c r="F2233" s="15"/>
      <c r="G2233" s="15"/>
      <c r="H2233" s="15"/>
    </row>
    <row r="2234" spans="1:8" x14ac:dyDescent="0.3">
      <c r="A2234" s="16"/>
      <c r="B2234" s="16"/>
      <c r="C2234" s="3" t="s">
        <v>14</v>
      </c>
      <c r="D2234" s="2">
        <v>18.47</v>
      </c>
      <c r="E2234" s="16"/>
      <c r="F2234" s="16"/>
      <c r="G2234" s="16"/>
      <c r="H2234" s="16"/>
    </row>
    <row r="2235" spans="1:8" x14ac:dyDescent="0.3">
      <c r="A2235" s="18">
        <v>373</v>
      </c>
      <c r="B2235" s="20">
        <v>45349</v>
      </c>
      <c r="C2235" s="3" t="s">
        <v>10</v>
      </c>
      <c r="D2235" s="7">
        <v>21.370999999999999</v>
      </c>
      <c r="E2235" s="19">
        <f>SUM(D2235:D2240)</f>
        <v>225.70399999999998</v>
      </c>
      <c r="F2235" s="17">
        <f>INT(MAX(D2235:D2240))</f>
        <v>97</v>
      </c>
      <c r="G2235" s="14">
        <f>INT((F2235/10)*2)</f>
        <v>19</v>
      </c>
      <c r="H2235" s="14">
        <f>F2235-G2235</f>
        <v>78</v>
      </c>
    </row>
    <row r="2236" spans="1:8" x14ac:dyDescent="0.3">
      <c r="A2236" s="15"/>
      <c r="B2236" s="15"/>
      <c r="C2236" s="8" t="s">
        <v>18</v>
      </c>
      <c r="D2236" s="2">
        <v>72.069999999999993</v>
      </c>
      <c r="E2236" s="15"/>
      <c r="F2236" s="15"/>
      <c r="G2236" s="15"/>
      <c r="H2236" s="15"/>
    </row>
    <row r="2237" spans="1:8" x14ac:dyDescent="0.3">
      <c r="A2237" s="15"/>
      <c r="B2237" s="15"/>
      <c r="C2237" s="3" t="s">
        <v>13</v>
      </c>
      <c r="D2237" s="2">
        <v>19.420000000000002</v>
      </c>
      <c r="E2237" s="15"/>
      <c r="F2237" s="15"/>
      <c r="G2237" s="15"/>
      <c r="H2237" s="15"/>
    </row>
    <row r="2238" spans="1:8" x14ac:dyDescent="0.3">
      <c r="A2238" s="15"/>
      <c r="B2238" s="15"/>
      <c r="C2238" s="3" t="s">
        <v>12</v>
      </c>
      <c r="D2238" s="2">
        <v>97.37</v>
      </c>
      <c r="E2238" s="15"/>
      <c r="F2238" s="15"/>
      <c r="G2238" s="15"/>
      <c r="H2238" s="15"/>
    </row>
    <row r="2239" spans="1:8" x14ac:dyDescent="0.3">
      <c r="A2239" s="15"/>
      <c r="B2239" s="15"/>
      <c r="C2239" s="3" t="s">
        <v>9</v>
      </c>
      <c r="D2239" s="7">
        <v>6.5629999999999997</v>
      </c>
      <c r="E2239" s="15"/>
      <c r="F2239" s="15"/>
      <c r="G2239" s="15"/>
      <c r="H2239" s="15"/>
    </row>
    <row r="2240" spans="1:8" x14ac:dyDescent="0.3">
      <c r="A2240" s="16"/>
      <c r="B2240" s="16"/>
      <c r="C2240" s="8" t="s">
        <v>16</v>
      </c>
      <c r="D2240" s="2">
        <v>8.91</v>
      </c>
      <c r="E2240" s="16"/>
      <c r="F2240" s="16"/>
      <c r="G2240" s="16"/>
      <c r="H2240" s="16"/>
    </row>
    <row r="2241" spans="1:8" x14ac:dyDescent="0.3">
      <c r="A2241" s="18">
        <v>374</v>
      </c>
      <c r="B2241" s="20">
        <v>45352</v>
      </c>
      <c r="C2241" s="3" t="s">
        <v>10</v>
      </c>
      <c r="D2241" s="2">
        <v>14.42</v>
      </c>
      <c r="E2241" s="19">
        <f>SUM(D2241:D2246)</f>
        <v>255.58799999999999</v>
      </c>
      <c r="F2241" s="17">
        <f>INT(MAX(D2241:D2246))</f>
        <v>123</v>
      </c>
      <c r="G2241" s="14">
        <f>INT((F2241/10)*2)</f>
        <v>24</v>
      </c>
      <c r="H2241" s="14">
        <f>F2241-G2241</f>
        <v>99</v>
      </c>
    </row>
    <row r="2242" spans="1:8" x14ac:dyDescent="0.3">
      <c r="A2242" s="15"/>
      <c r="B2242" s="15"/>
      <c r="C2242" s="3" t="s">
        <v>11</v>
      </c>
      <c r="D2242" s="2">
        <v>12.85</v>
      </c>
      <c r="E2242" s="15"/>
      <c r="F2242" s="15"/>
      <c r="G2242" s="15"/>
      <c r="H2242" s="15"/>
    </row>
    <row r="2243" spans="1:8" x14ac:dyDescent="0.3">
      <c r="A2243" s="15"/>
      <c r="B2243" s="15"/>
      <c r="C2243" s="3" t="s">
        <v>14</v>
      </c>
      <c r="D2243" s="2">
        <v>3.17</v>
      </c>
      <c r="E2243" s="15"/>
      <c r="F2243" s="15"/>
      <c r="G2243" s="15"/>
      <c r="H2243" s="15"/>
    </row>
    <row r="2244" spans="1:8" x14ac:dyDescent="0.3">
      <c r="A2244" s="15"/>
      <c r="B2244" s="15"/>
      <c r="C2244" s="3" t="s">
        <v>8</v>
      </c>
      <c r="D2244" s="2">
        <v>21.7</v>
      </c>
      <c r="E2244" s="15"/>
      <c r="F2244" s="15"/>
      <c r="G2244" s="15"/>
      <c r="H2244" s="15"/>
    </row>
    <row r="2245" spans="1:8" x14ac:dyDescent="0.3">
      <c r="A2245" s="15"/>
      <c r="B2245" s="15"/>
      <c r="C2245" s="3" t="s">
        <v>9</v>
      </c>
      <c r="D2245" s="7">
        <v>123.44799999999999</v>
      </c>
      <c r="E2245" s="15"/>
      <c r="F2245" s="15"/>
      <c r="G2245" s="15"/>
      <c r="H2245" s="15"/>
    </row>
    <row r="2246" spans="1:8" x14ac:dyDescent="0.3">
      <c r="A2246" s="16"/>
      <c r="B2246" s="16"/>
      <c r="C2246" s="8" t="s">
        <v>11</v>
      </c>
      <c r="D2246" s="2">
        <v>80</v>
      </c>
      <c r="E2246" s="16"/>
      <c r="F2246" s="16"/>
      <c r="G2246" s="16"/>
      <c r="H2246" s="16"/>
    </row>
    <row r="2247" spans="1:8" x14ac:dyDescent="0.3">
      <c r="A2247" s="18">
        <v>375</v>
      </c>
      <c r="B2247" s="20">
        <v>45356</v>
      </c>
      <c r="C2247" s="3" t="s">
        <v>14</v>
      </c>
      <c r="D2247" s="2">
        <v>68.22</v>
      </c>
      <c r="E2247" s="19">
        <f>SUM(D2247:D2252)</f>
        <v>129.678</v>
      </c>
      <c r="F2247" s="17">
        <f>INT(MAX(D2247:D2252))</f>
        <v>68</v>
      </c>
      <c r="G2247" s="14">
        <f>INT((F2247/10)*2)</f>
        <v>13</v>
      </c>
      <c r="H2247" s="14">
        <f>F2247-G2247</f>
        <v>55</v>
      </c>
    </row>
    <row r="2248" spans="1:8" x14ac:dyDescent="0.3">
      <c r="A2248" s="15"/>
      <c r="B2248" s="15"/>
      <c r="C2248" s="3" t="s">
        <v>15</v>
      </c>
      <c r="D2248" s="7">
        <v>8.9179999999999993</v>
      </c>
      <c r="E2248" s="15"/>
      <c r="F2248" s="15"/>
      <c r="G2248" s="15"/>
      <c r="H2248" s="15"/>
    </row>
    <row r="2249" spans="1:8" x14ac:dyDescent="0.3">
      <c r="A2249" s="15"/>
      <c r="B2249" s="15"/>
      <c r="C2249" s="8" t="s">
        <v>10</v>
      </c>
      <c r="D2249" s="2">
        <v>6.43</v>
      </c>
      <c r="E2249" s="15"/>
      <c r="F2249" s="15"/>
      <c r="G2249" s="15"/>
      <c r="H2249" s="15"/>
    </row>
    <row r="2250" spans="1:8" x14ac:dyDescent="0.3">
      <c r="A2250" s="15"/>
      <c r="B2250" s="15"/>
      <c r="C2250" s="3" t="s">
        <v>17</v>
      </c>
      <c r="D2250" s="2">
        <v>7.88</v>
      </c>
      <c r="E2250" s="15"/>
      <c r="F2250" s="15"/>
      <c r="G2250" s="15"/>
      <c r="H2250" s="15"/>
    </row>
    <row r="2251" spans="1:8" x14ac:dyDescent="0.3">
      <c r="A2251" s="15"/>
      <c r="B2251" s="15"/>
      <c r="C2251" s="3" t="s">
        <v>18</v>
      </c>
      <c r="D2251" s="2">
        <v>5.2</v>
      </c>
      <c r="E2251" s="15"/>
      <c r="F2251" s="15"/>
      <c r="G2251" s="15"/>
      <c r="H2251" s="15"/>
    </row>
    <row r="2252" spans="1:8" x14ac:dyDescent="0.3">
      <c r="A2252" s="16"/>
      <c r="B2252" s="16"/>
      <c r="C2252" s="3" t="s">
        <v>14</v>
      </c>
      <c r="D2252" s="2">
        <v>33.03</v>
      </c>
      <c r="E2252" s="16"/>
      <c r="F2252" s="16"/>
      <c r="G2252" s="16"/>
      <c r="H2252" s="16"/>
    </row>
    <row r="2253" spans="1:8" x14ac:dyDescent="0.3">
      <c r="A2253" s="18">
        <v>376</v>
      </c>
      <c r="B2253" s="20">
        <v>45359</v>
      </c>
      <c r="C2253" s="3" t="s">
        <v>13</v>
      </c>
      <c r="D2253" s="2">
        <v>36.229999999999997</v>
      </c>
      <c r="E2253" s="19">
        <f>SUM(D2253:D2258)</f>
        <v>177.18299999999999</v>
      </c>
      <c r="F2253" s="17">
        <f>INT(MAX(D2253:D2258))</f>
        <v>47</v>
      </c>
      <c r="G2253" s="14">
        <f>INT((F2253/10)*2)</f>
        <v>9</v>
      </c>
      <c r="H2253" s="14">
        <f>F2253-G2253</f>
        <v>38</v>
      </c>
    </row>
    <row r="2254" spans="1:8" x14ac:dyDescent="0.3">
      <c r="A2254" s="15"/>
      <c r="B2254" s="15"/>
      <c r="C2254" s="3" t="s">
        <v>11</v>
      </c>
      <c r="D2254" s="7">
        <v>47.210999999999999</v>
      </c>
      <c r="E2254" s="15"/>
      <c r="F2254" s="15"/>
      <c r="G2254" s="15"/>
      <c r="H2254" s="15"/>
    </row>
    <row r="2255" spans="1:8" x14ac:dyDescent="0.3">
      <c r="A2255" s="15"/>
      <c r="B2255" s="15"/>
      <c r="C2255" s="8" t="s">
        <v>15</v>
      </c>
      <c r="D2255" s="2">
        <v>39.299999999999997</v>
      </c>
      <c r="E2255" s="15"/>
      <c r="F2255" s="15"/>
      <c r="G2255" s="15"/>
      <c r="H2255" s="15"/>
    </row>
    <row r="2256" spans="1:8" x14ac:dyDescent="0.3">
      <c r="A2256" s="15"/>
      <c r="B2256" s="15"/>
      <c r="C2256" s="3" t="s">
        <v>16</v>
      </c>
      <c r="D2256" s="2">
        <v>31.93</v>
      </c>
      <c r="E2256" s="15"/>
      <c r="F2256" s="15"/>
      <c r="G2256" s="15"/>
      <c r="H2256" s="15"/>
    </row>
    <row r="2257" spans="1:8" x14ac:dyDescent="0.3">
      <c r="A2257" s="15"/>
      <c r="B2257" s="15"/>
      <c r="C2257" s="3" t="s">
        <v>10</v>
      </c>
      <c r="D2257" s="7">
        <v>14.722</v>
      </c>
      <c r="E2257" s="15"/>
      <c r="F2257" s="15"/>
      <c r="G2257" s="15"/>
      <c r="H2257" s="15"/>
    </row>
    <row r="2258" spans="1:8" x14ac:dyDescent="0.3">
      <c r="A2258" s="16"/>
      <c r="B2258" s="16"/>
      <c r="C2258" s="8" t="s">
        <v>12</v>
      </c>
      <c r="D2258" s="2">
        <v>7.79</v>
      </c>
      <c r="E2258" s="16"/>
      <c r="F2258" s="16"/>
      <c r="G2258" s="16"/>
      <c r="H2258" s="16"/>
    </row>
    <row r="2259" spans="1:8" x14ac:dyDescent="0.3">
      <c r="A2259" s="18">
        <v>377</v>
      </c>
      <c r="B2259" s="20">
        <v>45363</v>
      </c>
      <c r="C2259" s="3" t="s">
        <v>8</v>
      </c>
      <c r="D2259" s="2">
        <v>16.010000000000002</v>
      </c>
      <c r="E2259" s="19">
        <f>SUM(D2259:D2264)</f>
        <v>156.87500000000003</v>
      </c>
      <c r="F2259" s="17">
        <f>INT(MAX(D2259:D2264))</f>
        <v>58</v>
      </c>
      <c r="G2259" s="14">
        <f>INT((F2259/10)*2)</f>
        <v>11</v>
      </c>
      <c r="H2259" s="14">
        <f>F2259-G2259</f>
        <v>47</v>
      </c>
    </row>
    <row r="2260" spans="1:8" x14ac:dyDescent="0.3">
      <c r="A2260" s="15"/>
      <c r="B2260" s="15"/>
      <c r="C2260" s="3" t="s">
        <v>14</v>
      </c>
      <c r="D2260" s="7">
        <v>19.741</v>
      </c>
      <c r="E2260" s="15"/>
      <c r="F2260" s="15"/>
      <c r="G2260" s="15"/>
      <c r="H2260" s="15"/>
    </row>
    <row r="2261" spans="1:8" x14ac:dyDescent="0.3">
      <c r="A2261" s="15"/>
      <c r="B2261" s="15"/>
      <c r="C2261" s="8" t="s">
        <v>14</v>
      </c>
      <c r="D2261" s="2">
        <v>31.21</v>
      </c>
      <c r="E2261" s="15"/>
      <c r="F2261" s="15"/>
      <c r="G2261" s="15"/>
      <c r="H2261" s="15"/>
    </row>
    <row r="2262" spans="1:8" x14ac:dyDescent="0.3">
      <c r="A2262" s="15"/>
      <c r="B2262" s="15"/>
      <c r="C2262" s="3" t="s">
        <v>10</v>
      </c>
      <c r="D2262" s="2">
        <v>58.03</v>
      </c>
      <c r="E2262" s="15"/>
      <c r="F2262" s="15"/>
      <c r="G2262" s="15"/>
      <c r="H2262" s="15"/>
    </row>
    <row r="2263" spans="1:8" x14ac:dyDescent="0.3">
      <c r="A2263" s="15"/>
      <c r="B2263" s="15"/>
      <c r="C2263" s="3" t="s">
        <v>15</v>
      </c>
      <c r="D2263" s="2">
        <v>14.06</v>
      </c>
      <c r="E2263" s="15"/>
      <c r="F2263" s="15"/>
      <c r="G2263" s="15"/>
      <c r="H2263" s="15"/>
    </row>
    <row r="2264" spans="1:8" x14ac:dyDescent="0.3">
      <c r="A2264" s="16"/>
      <c r="B2264" s="16"/>
      <c r="C2264" s="3" t="s">
        <v>8</v>
      </c>
      <c r="D2264" s="7">
        <v>17.824000000000002</v>
      </c>
      <c r="E2264" s="16"/>
      <c r="F2264" s="16"/>
      <c r="G2264" s="16"/>
      <c r="H2264" s="16"/>
    </row>
    <row r="2265" spans="1:8" x14ac:dyDescent="0.3">
      <c r="A2265" s="18">
        <v>378</v>
      </c>
      <c r="B2265" s="20">
        <v>45366</v>
      </c>
      <c r="C2265" s="8" t="s">
        <v>18</v>
      </c>
      <c r="D2265" s="2">
        <v>23.91</v>
      </c>
      <c r="E2265" s="19">
        <f>SUM(D2265:D2270)</f>
        <v>137.55700000000002</v>
      </c>
      <c r="F2265" s="17">
        <f>INT(MAX(D2265:D2270))</f>
        <v>36</v>
      </c>
      <c r="G2265" s="14">
        <f>INT((F2265/10)*2)</f>
        <v>7</v>
      </c>
      <c r="H2265" s="14">
        <f>F2265-G2265</f>
        <v>29</v>
      </c>
    </row>
    <row r="2266" spans="1:8" x14ac:dyDescent="0.3">
      <c r="A2266" s="15"/>
      <c r="B2266" s="15"/>
      <c r="C2266" s="3" t="s">
        <v>10</v>
      </c>
      <c r="D2266" s="2">
        <v>24.39</v>
      </c>
      <c r="E2266" s="15"/>
      <c r="F2266" s="15"/>
      <c r="G2266" s="15"/>
      <c r="H2266" s="15"/>
    </row>
    <row r="2267" spans="1:8" x14ac:dyDescent="0.3">
      <c r="A2267" s="15"/>
      <c r="B2267" s="15"/>
      <c r="C2267" s="3" t="s">
        <v>8</v>
      </c>
      <c r="D2267" s="2">
        <v>28.28</v>
      </c>
      <c r="E2267" s="15"/>
      <c r="F2267" s="15"/>
      <c r="G2267" s="15"/>
      <c r="H2267" s="15"/>
    </row>
    <row r="2268" spans="1:8" x14ac:dyDescent="0.3">
      <c r="A2268" s="15"/>
      <c r="B2268" s="15"/>
      <c r="C2268" s="3" t="s">
        <v>16</v>
      </c>
      <c r="D2268" s="7">
        <v>7.0869999999999997</v>
      </c>
      <c r="E2268" s="15"/>
      <c r="F2268" s="15"/>
      <c r="G2268" s="15"/>
      <c r="H2268" s="15"/>
    </row>
    <row r="2269" spans="1:8" x14ac:dyDescent="0.3">
      <c r="A2269" s="15"/>
      <c r="B2269" s="15"/>
      <c r="C2269" s="8" t="s">
        <v>8</v>
      </c>
      <c r="D2269" s="2">
        <v>17.59</v>
      </c>
      <c r="E2269" s="15"/>
      <c r="F2269" s="15"/>
      <c r="G2269" s="15"/>
      <c r="H2269" s="15"/>
    </row>
    <row r="2270" spans="1:8" x14ac:dyDescent="0.3">
      <c r="A2270" s="16"/>
      <c r="B2270" s="16"/>
      <c r="C2270" s="3" t="s">
        <v>15</v>
      </c>
      <c r="D2270" s="2">
        <v>36.299999999999997</v>
      </c>
      <c r="E2270" s="16"/>
      <c r="F2270" s="16"/>
      <c r="G2270" s="16"/>
      <c r="H2270" s="16"/>
    </row>
    <row r="2271" spans="1:8" x14ac:dyDescent="0.3">
      <c r="A2271" s="18">
        <v>379</v>
      </c>
      <c r="B2271" s="20">
        <v>45370</v>
      </c>
      <c r="C2271" s="3" t="s">
        <v>11</v>
      </c>
      <c r="D2271" s="2">
        <v>6.5</v>
      </c>
      <c r="E2271" s="19">
        <f>SUM(D2271:D2276)</f>
        <v>187.84400000000002</v>
      </c>
      <c r="F2271" s="17">
        <f>INT(MAX(D2271:D2276))</f>
        <v>55</v>
      </c>
      <c r="G2271" s="14">
        <f>INT((F2271/10)*2)</f>
        <v>11</v>
      </c>
      <c r="H2271" s="14">
        <f>F2271-G2271</f>
        <v>44</v>
      </c>
    </row>
    <row r="2272" spans="1:8" x14ac:dyDescent="0.3">
      <c r="A2272" s="15"/>
      <c r="B2272" s="15"/>
      <c r="C2272" s="3" t="s">
        <v>18</v>
      </c>
      <c r="D2272" s="2">
        <v>14</v>
      </c>
      <c r="E2272" s="15"/>
      <c r="F2272" s="15"/>
      <c r="G2272" s="15"/>
      <c r="H2272" s="15"/>
    </row>
    <row r="2273" spans="1:8" x14ac:dyDescent="0.3">
      <c r="A2273" s="15"/>
      <c r="B2273" s="15"/>
      <c r="C2273" s="3" t="s">
        <v>14</v>
      </c>
      <c r="D2273" s="2">
        <v>23.67</v>
      </c>
      <c r="E2273" s="15"/>
      <c r="F2273" s="15"/>
      <c r="G2273" s="15"/>
      <c r="H2273" s="15"/>
    </row>
    <row r="2274" spans="1:8" x14ac:dyDescent="0.3">
      <c r="A2274" s="15"/>
      <c r="B2274" s="15"/>
      <c r="C2274" s="3" t="s">
        <v>9</v>
      </c>
      <c r="D2274" s="7">
        <v>45.704000000000001</v>
      </c>
      <c r="E2274" s="15"/>
      <c r="F2274" s="15"/>
      <c r="G2274" s="15"/>
      <c r="H2274" s="15"/>
    </row>
    <row r="2275" spans="1:8" x14ac:dyDescent="0.3">
      <c r="A2275" s="15"/>
      <c r="B2275" s="15"/>
      <c r="C2275" s="8" t="s">
        <v>12</v>
      </c>
      <c r="D2275" s="2">
        <v>55.2</v>
      </c>
      <c r="E2275" s="15"/>
      <c r="F2275" s="15"/>
      <c r="G2275" s="15"/>
      <c r="H2275" s="15"/>
    </row>
    <row r="2276" spans="1:8" x14ac:dyDescent="0.3">
      <c r="A2276" s="16"/>
      <c r="B2276" s="16"/>
      <c r="C2276" s="3" t="s">
        <v>16</v>
      </c>
      <c r="D2276" s="2">
        <v>42.77</v>
      </c>
      <c r="E2276" s="16"/>
      <c r="F2276" s="16"/>
      <c r="G2276" s="16"/>
      <c r="H2276" s="16"/>
    </row>
    <row r="2277" spans="1:8" x14ac:dyDescent="0.3">
      <c r="A2277" s="18">
        <v>380</v>
      </c>
      <c r="B2277" s="20">
        <v>45373</v>
      </c>
      <c r="C2277" s="3" t="s">
        <v>17</v>
      </c>
      <c r="D2277" s="2">
        <v>32.53</v>
      </c>
      <c r="E2277" s="19">
        <f>SUM(D2277:D2282)</f>
        <v>86.024000000000015</v>
      </c>
      <c r="F2277" s="17">
        <f>INT(MAX(D2277:D2282))</f>
        <v>32</v>
      </c>
      <c r="G2277" s="14">
        <f>INT((F2277/10)*2)</f>
        <v>6</v>
      </c>
      <c r="H2277" s="14">
        <f>F2277-G2277</f>
        <v>26</v>
      </c>
    </row>
    <row r="2278" spans="1:8" x14ac:dyDescent="0.3">
      <c r="A2278" s="15"/>
      <c r="B2278" s="15"/>
      <c r="C2278" s="3" t="s">
        <v>10</v>
      </c>
      <c r="D2278" s="2">
        <v>16.420000000000002</v>
      </c>
      <c r="E2278" s="15"/>
      <c r="F2278" s="15"/>
      <c r="G2278" s="15"/>
      <c r="H2278" s="15"/>
    </row>
    <row r="2279" spans="1:8" x14ac:dyDescent="0.3">
      <c r="A2279" s="15"/>
      <c r="B2279" s="15"/>
      <c r="C2279" s="3" t="s">
        <v>18</v>
      </c>
      <c r="D2279" s="7">
        <v>15.114000000000001</v>
      </c>
      <c r="E2279" s="15"/>
      <c r="F2279" s="15"/>
      <c r="G2279" s="15"/>
      <c r="H2279" s="15"/>
    </row>
    <row r="2280" spans="1:8" x14ac:dyDescent="0.3">
      <c r="A2280" s="15"/>
      <c r="B2280" s="15"/>
      <c r="C2280" s="8" t="s">
        <v>18</v>
      </c>
      <c r="D2280" s="2">
        <v>6.4</v>
      </c>
      <c r="E2280" s="15"/>
      <c r="F2280" s="15"/>
      <c r="G2280" s="15"/>
      <c r="H2280" s="15"/>
    </row>
    <row r="2281" spans="1:8" x14ac:dyDescent="0.3">
      <c r="A2281" s="15"/>
      <c r="B2281" s="15"/>
      <c r="C2281" s="3" t="s">
        <v>12</v>
      </c>
      <c r="D2281" s="2">
        <v>7.01</v>
      </c>
      <c r="E2281" s="15"/>
      <c r="F2281" s="15"/>
      <c r="G2281" s="15"/>
      <c r="H2281" s="15"/>
    </row>
    <row r="2282" spans="1:8" x14ac:dyDescent="0.3">
      <c r="A2282" s="16"/>
      <c r="B2282" s="16"/>
      <c r="C2282" s="3" t="s">
        <v>17</v>
      </c>
      <c r="D2282" s="2">
        <v>8.5500000000000007</v>
      </c>
      <c r="E2282" s="16"/>
      <c r="F2282" s="16"/>
      <c r="G2282" s="16"/>
      <c r="H2282" s="16"/>
    </row>
    <row r="2283" spans="1:8" x14ac:dyDescent="0.3">
      <c r="A2283" s="18">
        <v>381</v>
      </c>
      <c r="B2283" s="20">
        <v>45377</v>
      </c>
      <c r="C2283" s="3" t="s">
        <v>10</v>
      </c>
      <c r="D2283" s="2">
        <v>8.52</v>
      </c>
      <c r="E2283" s="19">
        <f>SUM(D2283:D2288)</f>
        <v>380.65900000000005</v>
      </c>
      <c r="F2283" s="17">
        <f>INT(MAX(D2283:D2288))</f>
        <v>149</v>
      </c>
      <c r="G2283" s="14">
        <f>INT((F2283/10)*2)</f>
        <v>29</v>
      </c>
      <c r="H2283" s="14">
        <f>F2283-G2283</f>
        <v>120</v>
      </c>
    </row>
    <row r="2284" spans="1:8" x14ac:dyDescent="0.3">
      <c r="A2284" s="15"/>
      <c r="B2284" s="15"/>
      <c r="C2284" s="3" t="s">
        <v>9</v>
      </c>
      <c r="D2284" s="7">
        <v>149.209</v>
      </c>
      <c r="E2284" s="15"/>
      <c r="F2284" s="15"/>
      <c r="G2284" s="15"/>
      <c r="H2284" s="15"/>
    </row>
    <row r="2285" spans="1:8" x14ac:dyDescent="0.3">
      <c r="A2285" s="15"/>
      <c r="B2285" s="15"/>
      <c r="C2285" s="8" t="s">
        <v>11</v>
      </c>
      <c r="D2285" s="2">
        <v>94.18</v>
      </c>
      <c r="E2285" s="15"/>
      <c r="F2285" s="15"/>
      <c r="G2285" s="15"/>
      <c r="H2285" s="15"/>
    </row>
    <row r="2286" spans="1:8" x14ac:dyDescent="0.3">
      <c r="A2286" s="15"/>
      <c r="B2286" s="15"/>
      <c r="C2286" s="3" t="s">
        <v>13</v>
      </c>
      <c r="D2286" s="2">
        <v>12.88</v>
      </c>
      <c r="E2286" s="15"/>
      <c r="F2286" s="15"/>
      <c r="G2286" s="15"/>
      <c r="H2286" s="15"/>
    </row>
    <row r="2287" spans="1:8" x14ac:dyDescent="0.3">
      <c r="A2287" s="15"/>
      <c r="B2287" s="15"/>
      <c r="C2287" s="3" t="s">
        <v>12</v>
      </c>
      <c r="D2287" s="2">
        <v>51.99</v>
      </c>
      <c r="E2287" s="15"/>
      <c r="F2287" s="15"/>
      <c r="G2287" s="15"/>
      <c r="H2287" s="15"/>
    </row>
    <row r="2288" spans="1:8" x14ac:dyDescent="0.3">
      <c r="A2288" s="16"/>
      <c r="B2288" s="16"/>
      <c r="C2288" s="3" t="s">
        <v>14</v>
      </c>
      <c r="D2288" s="2">
        <v>63.88</v>
      </c>
      <c r="E2288" s="16"/>
      <c r="F2288" s="16"/>
      <c r="G2288" s="16"/>
      <c r="H2288" s="16"/>
    </row>
    <row r="2289" spans="1:8" x14ac:dyDescent="0.3">
      <c r="A2289" s="18">
        <v>382</v>
      </c>
      <c r="B2289" s="20">
        <v>45380</v>
      </c>
      <c r="C2289" s="3" t="s">
        <v>15</v>
      </c>
      <c r="D2289" s="7">
        <v>18.786999999999999</v>
      </c>
      <c r="E2289" s="19">
        <f>SUM(D2289:D2294)</f>
        <v>99.644000000000005</v>
      </c>
      <c r="F2289" s="17">
        <f>INT(MAX(D2289:D2294))</f>
        <v>37</v>
      </c>
      <c r="G2289" s="14">
        <f>INT((F2289/10)*2)</f>
        <v>7</v>
      </c>
      <c r="H2289" s="14">
        <f>F2289-G2289</f>
        <v>30</v>
      </c>
    </row>
    <row r="2290" spans="1:8" x14ac:dyDescent="0.3">
      <c r="A2290" s="15"/>
      <c r="B2290" s="15"/>
      <c r="C2290" s="8" t="s">
        <v>14</v>
      </c>
      <c r="D2290" s="2">
        <v>14.61</v>
      </c>
      <c r="E2290" s="15"/>
      <c r="F2290" s="15"/>
      <c r="G2290" s="15"/>
      <c r="H2290" s="15"/>
    </row>
    <row r="2291" spans="1:8" x14ac:dyDescent="0.3">
      <c r="A2291" s="15"/>
      <c r="B2291" s="15"/>
      <c r="C2291" s="3" t="s">
        <v>15</v>
      </c>
      <c r="D2291" s="2">
        <v>13.46</v>
      </c>
      <c r="E2291" s="15"/>
      <c r="F2291" s="15"/>
      <c r="G2291" s="15"/>
      <c r="H2291" s="15"/>
    </row>
    <row r="2292" spans="1:8" x14ac:dyDescent="0.3">
      <c r="A2292" s="15"/>
      <c r="B2292" s="15"/>
      <c r="C2292" s="3" t="s">
        <v>13</v>
      </c>
      <c r="D2292" s="2">
        <v>5.25</v>
      </c>
      <c r="E2292" s="15"/>
      <c r="F2292" s="15"/>
      <c r="G2292" s="15"/>
      <c r="H2292" s="15"/>
    </row>
    <row r="2293" spans="1:8" x14ac:dyDescent="0.3">
      <c r="A2293" s="15"/>
      <c r="B2293" s="15"/>
      <c r="C2293" s="3" t="s">
        <v>18</v>
      </c>
      <c r="D2293" s="7">
        <v>9.9969999999999999</v>
      </c>
      <c r="E2293" s="15"/>
      <c r="F2293" s="15"/>
      <c r="G2293" s="15"/>
      <c r="H2293" s="15"/>
    </row>
    <row r="2294" spans="1:8" x14ac:dyDescent="0.3">
      <c r="A2294" s="16"/>
      <c r="B2294" s="16"/>
      <c r="C2294" s="8" t="s">
        <v>10</v>
      </c>
      <c r="D2294" s="2">
        <v>37.54</v>
      </c>
      <c r="E2294" s="16"/>
      <c r="F2294" s="16"/>
      <c r="G2294" s="16"/>
      <c r="H2294" s="16"/>
    </row>
    <row r="2295" spans="1:8" x14ac:dyDescent="0.3">
      <c r="A2295" s="18">
        <v>383</v>
      </c>
      <c r="B2295" s="20">
        <v>45384</v>
      </c>
      <c r="C2295" s="3" t="s">
        <v>14</v>
      </c>
      <c r="D2295" s="2">
        <v>44.37</v>
      </c>
      <c r="E2295" s="19">
        <f>SUM(D2295:D2300)</f>
        <v>344.23399999999998</v>
      </c>
      <c r="F2295" s="17">
        <f>INT(MAX(D2295:D2300))</f>
        <v>165</v>
      </c>
      <c r="G2295" s="14">
        <f>INT((F2295/10)*2)</f>
        <v>33</v>
      </c>
      <c r="H2295" s="14">
        <f>F2295-G2295</f>
        <v>132</v>
      </c>
    </row>
    <row r="2296" spans="1:8" x14ac:dyDescent="0.3">
      <c r="A2296" s="15"/>
      <c r="B2296" s="15"/>
      <c r="C2296" s="3" t="s">
        <v>15</v>
      </c>
      <c r="D2296" s="2">
        <v>27.54</v>
      </c>
      <c r="E2296" s="15"/>
      <c r="F2296" s="15"/>
      <c r="G2296" s="15"/>
      <c r="H2296" s="15"/>
    </row>
    <row r="2297" spans="1:8" x14ac:dyDescent="0.3">
      <c r="A2297" s="15"/>
      <c r="B2297" s="15"/>
      <c r="C2297" s="3" t="s">
        <v>16</v>
      </c>
      <c r="D2297" s="2">
        <v>20.86</v>
      </c>
      <c r="E2297" s="15"/>
      <c r="F2297" s="15"/>
      <c r="G2297" s="15"/>
      <c r="H2297" s="15"/>
    </row>
    <row r="2298" spans="1:8" x14ac:dyDescent="0.3">
      <c r="A2298" s="15"/>
      <c r="B2298" s="15"/>
      <c r="C2298" s="3" t="s">
        <v>8</v>
      </c>
      <c r="D2298" s="7">
        <v>165.374</v>
      </c>
      <c r="E2298" s="15"/>
      <c r="F2298" s="15"/>
      <c r="G2298" s="15"/>
      <c r="H2298" s="15"/>
    </row>
    <row r="2299" spans="1:8" x14ac:dyDescent="0.3">
      <c r="A2299" s="15"/>
      <c r="B2299" s="15"/>
      <c r="C2299" s="8" t="s">
        <v>11</v>
      </c>
      <c r="D2299" s="2">
        <v>16.09</v>
      </c>
      <c r="E2299" s="15"/>
      <c r="F2299" s="15"/>
      <c r="G2299" s="15"/>
      <c r="H2299" s="15"/>
    </row>
    <row r="2300" spans="1:8" x14ac:dyDescent="0.3">
      <c r="A2300" s="16"/>
      <c r="B2300" s="16"/>
      <c r="C2300" s="3" t="s">
        <v>8</v>
      </c>
      <c r="D2300" s="2">
        <v>70</v>
      </c>
      <c r="E2300" s="16"/>
      <c r="F2300" s="16"/>
      <c r="G2300" s="16"/>
      <c r="H2300" s="16"/>
    </row>
    <row r="2301" spans="1:8" x14ac:dyDescent="0.3">
      <c r="A2301" s="18">
        <v>384</v>
      </c>
      <c r="B2301" s="20">
        <v>45387</v>
      </c>
      <c r="C2301" s="3" t="s">
        <v>12</v>
      </c>
      <c r="D2301" s="7">
        <v>19.225999999999999</v>
      </c>
      <c r="E2301" s="19">
        <f>SUM(D2301:D2306)</f>
        <v>238.27499999999998</v>
      </c>
      <c r="F2301" s="17">
        <f>INT(MAX(D2301:D2306))</f>
        <v>64</v>
      </c>
      <c r="G2301" s="14">
        <f>INT((F2301/10)*2)</f>
        <v>12</v>
      </c>
      <c r="H2301" s="14">
        <f>F2301-G2301</f>
        <v>52</v>
      </c>
    </row>
    <row r="2302" spans="1:8" x14ac:dyDescent="0.3">
      <c r="A2302" s="15"/>
      <c r="B2302" s="15"/>
      <c r="C2302" s="8" t="s">
        <v>16</v>
      </c>
      <c r="D2302" s="2">
        <v>60.33</v>
      </c>
      <c r="E2302" s="15"/>
      <c r="F2302" s="15"/>
      <c r="G2302" s="15"/>
      <c r="H2302" s="15"/>
    </row>
    <row r="2303" spans="1:8" x14ac:dyDescent="0.3">
      <c r="A2303" s="15"/>
      <c r="B2303" s="15"/>
      <c r="C2303" s="3" t="s">
        <v>12</v>
      </c>
      <c r="D2303" s="2">
        <v>26</v>
      </c>
      <c r="E2303" s="15"/>
      <c r="F2303" s="15"/>
      <c r="G2303" s="15"/>
      <c r="H2303" s="15"/>
    </row>
    <row r="2304" spans="1:8" x14ac:dyDescent="0.3">
      <c r="A2304" s="15"/>
      <c r="B2304" s="15"/>
      <c r="C2304" s="3" t="s">
        <v>8</v>
      </c>
      <c r="D2304" s="7">
        <v>64.728999999999999</v>
      </c>
      <c r="E2304" s="15"/>
      <c r="F2304" s="15"/>
      <c r="G2304" s="15"/>
      <c r="H2304" s="15"/>
    </row>
    <row r="2305" spans="1:8" x14ac:dyDescent="0.3">
      <c r="A2305" s="15"/>
      <c r="B2305" s="15"/>
      <c r="C2305" s="8" t="s">
        <v>15</v>
      </c>
      <c r="D2305" s="2">
        <v>7.91</v>
      </c>
      <c r="E2305" s="15"/>
      <c r="F2305" s="15"/>
      <c r="G2305" s="15"/>
      <c r="H2305" s="15"/>
    </row>
    <row r="2306" spans="1:8" x14ac:dyDescent="0.3">
      <c r="A2306" s="16"/>
      <c r="B2306" s="16"/>
      <c r="C2306" s="3" t="s">
        <v>8</v>
      </c>
      <c r="D2306" s="2">
        <v>60.08</v>
      </c>
      <c r="E2306" s="16"/>
      <c r="F2306" s="16"/>
      <c r="G2306" s="16"/>
      <c r="H2306" s="16"/>
    </row>
    <row r="2307" spans="1:8" x14ac:dyDescent="0.3">
      <c r="A2307" s="18">
        <v>385</v>
      </c>
      <c r="B2307" s="20">
        <v>45391</v>
      </c>
      <c r="C2307" s="3" t="s">
        <v>13</v>
      </c>
      <c r="D2307" s="2">
        <v>19.53</v>
      </c>
      <c r="E2307" s="19">
        <f>SUM(D2307:D2312)</f>
        <v>157.917</v>
      </c>
      <c r="F2307" s="17">
        <f>INT(MAX(D2307:D2312))</f>
        <v>58</v>
      </c>
      <c r="G2307" s="14">
        <f>INT((F2307/10)*2)</f>
        <v>11</v>
      </c>
      <c r="H2307" s="14">
        <f>F2307-G2307</f>
        <v>47</v>
      </c>
    </row>
    <row r="2308" spans="1:8" x14ac:dyDescent="0.3">
      <c r="A2308" s="15"/>
      <c r="B2308" s="15"/>
      <c r="C2308" s="3" t="s">
        <v>17</v>
      </c>
      <c r="D2308" s="7">
        <v>4.7949999999999999</v>
      </c>
      <c r="E2308" s="15"/>
      <c r="F2308" s="15"/>
      <c r="G2308" s="15"/>
      <c r="H2308" s="15"/>
    </row>
    <row r="2309" spans="1:8" x14ac:dyDescent="0.3">
      <c r="A2309" s="15"/>
      <c r="B2309" s="15"/>
      <c r="C2309" s="8" t="s">
        <v>10</v>
      </c>
      <c r="D2309" s="2">
        <v>58.61</v>
      </c>
      <c r="E2309" s="15"/>
      <c r="F2309" s="15"/>
      <c r="G2309" s="15"/>
      <c r="H2309" s="15"/>
    </row>
    <row r="2310" spans="1:8" x14ac:dyDescent="0.3">
      <c r="A2310" s="15"/>
      <c r="B2310" s="15"/>
      <c r="C2310" s="3" t="s">
        <v>11</v>
      </c>
      <c r="D2310" s="2">
        <v>34.590000000000003</v>
      </c>
      <c r="E2310" s="15"/>
      <c r="F2310" s="15"/>
      <c r="G2310" s="15"/>
      <c r="H2310" s="15"/>
    </row>
    <row r="2311" spans="1:8" x14ac:dyDescent="0.3">
      <c r="A2311" s="15"/>
      <c r="B2311" s="15"/>
      <c r="C2311" s="3" t="s">
        <v>13</v>
      </c>
      <c r="D2311" s="2">
        <v>14.12</v>
      </c>
      <c r="E2311" s="15"/>
      <c r="F2311" s="15"/>
      <c r="G2311" s="15"/>
      <c r="H2311" s="15"/>
    </row>
    <row r="2312" spans="1:8" x14ac:dyDescent="0.3">
      <c r="A2312" s="16"/>
      <c r="B2312" s="16"/>
      <c r="C2312" s="3" t="s">
        <v>16</v>
      </c>
      <c r="D2312" s="7">
        <v>26.271999999999998</v>
      </c>
      <c r="E2312" s="16"/>
      <c r="F2312" s="16"/>
      <c r="G2312" s="16"/>
      <c r="H2312" s="16"/>
    </row>
    <row r="2313" spans="1:8" x14ac:dyDescent="0.3">
      <c r="A2313" s="18">
        <v>386</v>
      </c>
      <c r="B2313" s="20">
        <v>45394</v>
      </c>
      <c r="C2313" s="8" t="s">
        <v>15</v>
      </c>
      <c r="D2313" s="2">
        <v>10.8</v>
      </c>
      <c r="E2313" s="19">
        <f>SUM(D2313:D2318)</f>
        <v>138.15899999999999</v>
      </c>
      <c r="F2313" s="17">
        <f>INT(MAX(D2313:D2318))</f>
        <v>37</v>
      </c>
      <c r="G2313" s="14">
        <f>INT((F2313/10)*2)</f>
        <v>7</v>
      </c>
      <c r="H2313" s="14">
        <f>F2313-G2313</f>
        <v>30</v>
      </c>
    </row>
    <row r="2314" spans="1:8" x14ac:dyDescent="0.3">
      <c r="A2314" s="15"/>
      <c r="B2314" s="15"/>
      <c r="C2314" s="3" t="s">
        <v>17</v>
      </c>
      <c r="D2314" s="2">
        <v>36.14</v>
      </c>
      <c r="E2314" s="15"/>
      <c r="F2314" s="15"/>
      <c r="G2314" s="15"/>
      <c r="H2314" s="15"/>
    </row>
    <row r="2315" spans="1:8" x14ac:dyDescent="0.3">
      <c r="A2315" s="15"/>
      <c r="B2315" s="15"/>
      <c r="C2315" s="3" t="s">
        <v>9</v>
      </c>
      <c r="D2315" s="2">
        <v>6.58</v>
      </c>
      <c r="E2315" s="15"/>
      <c r="F2315" s="15"/>
      <c r="G2315" s="15"/>
      <c r="H2315" s="15"/>
    </row>
    <row r="2316" spans="1:8" x14ac:dyDescent="0.3">
      <c r="A2316" s="15"/>
      <c r="B2316" s="15"/>
      <c r="C2316" s="3" t="s">
        <v>10</v>
      </c>
      <c r="D2316" s="2">
        <v>12.09</v>
      </c>
      <c r="E2316" s="15"/>
      <c r="F2316" s="15"/>
      <c r="G2316" s="15"/>
      <c r="H2316" s="15"/>
    </row>
    <row r="2317" spans="1:8" x14ac:dyDescent="0.3">
      <c r="A2317" s="15"/>
      <c r="B2317" s="15"/>
      <c r="C2317" s="3" t="s">
        <v>18</v>
      </c>
      <c r="D2317" s="7">
        <v>37.128999999999998</v>
      </c>
      <c r="E2317" s="15"/>
      <c r="F2317" s="15"/>
      <c r="G2317" s="15"/>
      <c r="H2317" s="15"/>
    </row>
    <row r="2318" spans="1:8" x14ac:dyDescent="0.3">
      <c r="A2318" s="16"/>
      <c r="B2318" s="16"/>
      <c r="C2318" s="8" t="s">
        <v>15</v>
      </c>
      <c r="D2318" s="2">
        <v>35.42</v>
      </c>
      <c r="E2318" s="16"/>
      <c r="F2318" s="16"/>
      <c r="G2318" s="16"/>
      <c r="H2318" s="16"/>
    </row>
    <row r="2319" spans="1:8" x14ac:dyDescent="0.3">
      <c r="A2319" s="18">
        <v>387</v>
      </c>
      <c r="B2319" s="20">
        <v>45398</v>
      </c>
      <c r="C2319" s="3" t="s">
        <v>9</v>
      </c>
      <c r="D2319" s="2">
        <v>21.65</v>
      </c>
      <c r="E2319" s="19">
        <f>SUM(D2319:D2324)</f>
        <v>214.82</v>
      </c>
      <c r="F2319" s="17">
        <f>INT(MAX(D2319:D2324))</f>
        <v>94</v>
      </c>
      <c r="G2319" s="14">
        <f>INT((F2319/10)*2)</f>
        <v>18</v>
      </c>
      <c r="H2319" s="14">
        <f>F2319-G2319</f>
        <v>76</v>
      </c>
    </row>
    <row r="2320" spans="1:8" x14ac:dyDescent="0.3">
      <c r="A2320" s="15"/>
      <c r="B2320" s="15"/>
      <c r="C2320" s="3" t="s">
        <v>8</v>
      </c>
      <c r="D2320" s="2">
        <v>9.5299999999999994</v>
      </c>
      <c r="E2320" s="15"/>
      <c r="F2320" s="15"/>
      <c r="G2320" s="15"/>
      <c r="H2320" s="15"/>
    </row>
    <row r="2321" spans="1:8" x14ac:dyDescent="0.3">
      <c r="A2321" s="15"/>
      <c r="B2321" s="15"/>
      <c r="C2321" s="3" t="s">
        <v>18</v>
      </c>
      <c r="D2321" s="2">
        <v>29.56</v>
      </c>
      <c r="E2321" s="15"/>
      <c r="F2321" s="15"/>
      <c r="G2321" s="15"/>
      <c r="H2321" s="15"/>
    </row>
    <row r="2322" spans="1:8" x14ac:dyDescent="0.3">
      <c r="A2322" s="15"/>
      <c r="B2322" s="15"/>
      <c r="C2322" s="3" t="s">
        <v>12</v>
      </c>
      <c r="D2322" s="2">
        <v>94.62</v>
      </c>
      <c r="E2322" s="15"/>
      <c r="F2322" s="15"/>
      <c r="G2322" s="15"/>
      <c r="H2322" s="15"/>
    </row>
    <row r="2323" spans="1:8" x14ac:dyDescent="0.3">
      <c r="A2323" s="15"/>
      <c r="B2323" s="15"/>
      <c r="C2323" s="3" t="s">
        <v>11</v>
      </c>
      <c r="D2323" s="7">
        <v>27.57</v>
      </c>
      <c r="E2323" s="15"/>
      <c r="F2323" s="15"/>
      <c r="G2323" s="15"/>
      <c r="H2323" s="15"/>
    </row>
    <row r="2324" spans="1:8" x14ac:dyDescent="0.3">
      <c r="A2324" s="16"/>
      <c r="B2324" s="16"/>
      <c r="C2324" s="8" t="s">
        <v>9</v>
      </c>
      <c r="D2324" s="2">
        <v>31.89</v>
      </c>
      <c r="E2324" s="16"/>
      <c r="F2324" s="16"/>
      <c r="G2324" s="16"/>
      <c r="H2324" s="16"/>
    </row>
    <row r="2325" spans="1:8" x14ac:dyDescent="0.3">
      <c r="A2325" s="18">
        <v>388</v>
      </c>
      <c r="B2325" s="20">
        <v>45401</v>
      </c>
      <c r="C2325" s="3" t="s">
        <v>17</v>
      </c>
      <c r="D2325" s="2">
        <v>27.21</v>
      </c>
      <c r="E2325" s="19">
        <f>SUM(D2325:D2330)</f>
        <v>147.66400000000002</v>
      </c>
      <c r="F2325" s="17">
        <f>INT(MAX(D2325:D2330))</f>
        <v>50</v>
      </c>
      <c r="G2325" s="14">
        <f>INT((F2325/10)*2)</f>
        <v>10</v>
      </c>
      <c r="H2325" s="14">
        <f>F2325-G2325</f>
        <v>40</v>
      </c>
    </row>
    <row r="2326" spans="1:8" x14ac:dyDescent="0.3">
      <c r="A2326" s="15"/>
      <c r="B2326" s="15"/>
      <c r="C2326" s="3" t="s">
        <v>16</v>
      </c>
      <c r="D2326" s="2">
        <v>40.51</v>
      </c>
      <c r="E2326" s="15"/>
      <c r="F2326" s="15"/>
      <c r="G2326" s="15"/>
      <c r="H2326" s="15"/>
    </row>
    <row r="2327" spans="1:8" x14ac:dyDescent="0.3">
      <c r="A2327" s="15"/>
      <c r="B2327" s="15"/>
      <c r="C2327" s="3" t="s">
        <v>15</v>
      </c>
      <c r="D2327" s="2">
        <v>50.45</v>
      </c>
      <c r="E2327" s="15"/>
      <c r="F2327" s="15"/>
      <c r="G2327" s="15"/>
      <c r="H2327" s="15"/>
    </row>
    <row r="2328" spans="1:8" x14ac:dyDescent="0.3">
      <c r="A2328" s="15"/>
      <c r="B2328" s="15"/>
      <c r="C2328" s="3" t="s">
        <v>13</v>
      </c>
      <c r="D2328" s="7">
        <v>9.0540000000000003</v>
      </c>
      <c r="E2328" s="15"/>
      <c r="F2328" s="15"/>
      <c r="G2328" s="15"/>
      <c r="H2328" s="15"/>
    </row>
    <row r="2329" spans="1:8" x14ac:dyDescent="0.3">
      <c r="A2329" s="15"/>
      <c r="B2329" s="15"/>
      <c r="C2329" s="8" t="s">
        <v>10</v>
      </c>
      <c r="D2329" s="2">
        <v>15.83</v>
      </c>
      <c r="E2329" s="15"/>
      <c r="F2329" s="15"/>
      <c r="G2329" s="15"/>
      <c r="H2329" s="15"/>
    </row>
    <row r="2330" spans="1:8" x14ac:dyDescent="0.3">
      <c r="A2330" s="16"/>
      <c r="B2330" s="16"/>
      <c r="C2330" s="3" t="s">
        <v>11</v>
      </c>
      <c r="D2330" s="2">
        <v>4.6100000000000003</v>
      </c>
      <c r="E2330" s="16"/>
      <c r="F2330" s="16"/>
      <c r="G2330" s="16"/>
      <c r="H2330" s="16"/>
    </row>
    <row r="2331" spans="1:8" x14ac:dyDescent="0.3">
      <c r="A2331" s="18">
        <v>389</v>
      </c>
      <c r="B2331" s="20">
        <v>45405</v>
      </c>
      <c r="C2331" s="3" t="s">
        <v>12</v>
      </c>
      <c r="D2331" s="2">
        <v>13</v>
      </c>
      <c r="E2331" s="19">
        <f>SUM(D2331:D2336)</f>
        <v>206.529</v>
      </c>
      <c r="F2331" s="17">
        <f>INT(MAX(D2331:D2336))</f>
        <v>81</v>
      </c>
      <c r="G2331" s="14">
        <f>INT((F2331/10)*2)</f>
        <v>16</v>
      </c>
      <c r="H2331" s="14">
        <f>F2331-G2331</f>
        <v>65</v>
      </c>
    </row>
    <row r="2332" spans="1:8" x14ac:dyDescent="0.3">
      <c r="A2332" s="15"/>
      <c r="B2332" s="15"/>
      <c r="C2332" s="3" t="s">
        <v>17</v>
      </c>
      <c r="D2332" s="2">
        <v>8</v>
      </c>
      <c r="E2332" s="15"/>
      <c r="F2332" s="15"/>
      <c r="G2332" s="15"/>
      <c r="H2332" s="15"/>
    </row>
    <row r="2333" spans="1:8" x14ac:dyDescent="0.3">
      <c r="A2333" s="15"/>
      <c r="B2333" s="15"/>
      <c r="C2333" s="3" t="s">
        <v>14</v>
      </c>
      <c r="D2333" s="7">
        <v>19.539000000000001</v>
      </c>
      <c r="E2333" s="15"/>
      <c r="F2333" s="15"/>
      <c r="G2333" s="15"/>
      <c r="H2333" s="15"/>
    </row>
    <row r="2334" spans="1:8" x14ac:dyDescent="0.3">
      <c r="A2334" s="15"/>
      <c r="B2334" s="15"/>
      <c r="C2334" s="8" t="s">
        <v>12</v>
      </c>
      <c r="D2334" s="2">
        <v>39.56</v>
      </c>
      <c r="E2334" s="15"/>
      <c r="F2334" s="15"/>
      <c r="G2334" s="15"/>
      <c r="H2334" s="15"/>
    </row>
    <row r="2335" spans="1:8" x14ac:dyDescent="0.3">
      <c r="A2335" s="15"/>
      <c r="B2335" s="15"/>
      <c r="C2335" s="3" t="s">
        <v>15</v>
      </c>
      <c r="D2335" s="2">
        <v>81.680000000000007</v>
      </c>
      <c r="E2335" s="15"/>
      <c r="F2335" s="15"/>
      <c r="G2335" s="15"/>
      <c r="H2335" s="15"/>
    </row>
    <row r="2336" spans="1:8" x14ac:dyDescent="0.3">
      <c r="A2336" s="16"/>
      <c r="B2336" s="16"/>
      <c r="C2336" s="3" t="s">
        <v>13</v>
      </c>
      <c r="D2336" s="7">
        <v>44.75</v>
      </c>
      <c r="E2336" s="16"/>
      <c r="F2336" s="16"/>
      <c r="G2336" s="16"/>
      <c r="H2336" s="16"/>
    </row>
    <row r="2337" spans="1:8" x14ac:dyDescent="0.3">
      <c r="A2337" s="18">
        <v>390</v>
      </c>
      <c r="B2337" s="20">
        <v>45408</v>
      </c>
      <c r="C2337" s="8" t="s">
        <v>11</v>
      </c>
      <c r="D2337" s="2">
        <v>21.25</v>
      </c>
      <c r="E2337" s="19">
        <f>SUM(D2337:D2342)</f>
        <v>174.99699999999999</v>
      </c>
      <c r="F2337" s="17">
        <f>INT(MAX(D2337:D2342))</f>
        <v>76</v>
      </c>
      <c r="G2337" s="14">
        <f>INT((F2337/10)*2)</f>
        <v>15</v>
      </c>
      <c r="H2337" s="14">
        <f>F2337-G2337</f>
        <v>61</v>
      </c>
    </row>
    <row r="2338" spans="1:8" x14ac:dyDescent="0.3">
      <c r="A2338" s="15"/>
      <c r="B2338" s="15"/>
      <c r="C2338" s="3" t="s">
        <v>13</v>
      </c>
      <c r="D2338" s="2">
        <v>4.3099999999999996</v>
      </c>
      <c r="E2338" s="15"/>
      <c r="F2338" s="15"/>
      <c r="G2338" s="15"/>
      <c r="H2338" s="15"/>
    </row>
    <row r="2339" spans="1:8" x14ac:dyDescent="0.3">
      <c r="A2339" s="15"/>
      <c r="B2339" s="15"/>
      <c r="C2339" s="3" t="s">
        <v>16</v>
      </c>
      <c r="D2339" s="2">
        <v>11.68</v>
      </c>
      <c r="E2339" s="15"/>
      <c r="F2339" s="15"/>
      <c r="G2339" s="15"/>
      <c r="H2339" s="15"/>
    </row>
    <row r="2340" spans="1:8" x14ac:dyDescent="0.3">
      <c r="A2340" s="15"/>
      <c r="B2340" s="15"/>
      <c r="C2340" s="3" t="s">
        <v>15</v>
      </c>
      <c r="D2340" s="2">
        <v>15.76</v>
      </c>
      <c r="E2340" s="15"/>
      <c r="F2340" s="15"/>
      <c r="G2340" s="15"/>
      <c r="H2340" s="15"/>
    </row>
    <row r="2341" spans="1:8" x14ac:dyDescent="0.3">
      <c r="A2341" s="15"/>
      <c r="B2341" s="15"/>
      <c r="C2341" s="3" t="s">
        <v>9</v>
      </c>
      <c r="D2341" s="7">
        <v>76.456999999999994</v>
      </c>
      <c r="E2341" s="15"/>
      <c r="F2341" s="15"/>
      <c r="G2341" s="15"/>
      <c r="H2341" s="15"/>
    </row>
    <row r="2342" spans="1:8" x14ac:dyDescent="0.3">
      <c r="A2342" s="16"/>
      <c r="B2342" s="16"/>
      <c r="C2342" s="8" t="s">
        <v>9</v>
      </c>
      <c r="D2342" s="2">
        <v>45.54</v>
      </c>
      <c r="E2342" s="16"/>
      <c r="F2342" s="16"/>
      <c r="G2342" s="16"/>
      <c r="H2342" s="16"/>
    </row>
    <row r="2343" spans="1:8" x14ac:dyDescent="0.3">
      <c r="A2343" s="18">
        <v>391</v>
      </c>
      <c r="B2343" s="20">
        <v>45412</v>
      </c>
      <c r="C2343" s="3" t="s">
        <v>10</v>
      </c>
      <c r="D2343" s="2">
        <v>12.66</v>
      </c>
      <c r="E2343" s="19">
        <f>SUM(D2343:D2348)</f>
        <v>280.10599999999999</v>
      </c>
      <c r="F2343" s="17">
        <f>INT(MAX(D2343:D2348))</f>
        <v>159</v>
      </c>
      <c r="G2343" s="14">
        <f>INT((F2343/10)*2)</f>
        <v>31</v>
      </c>
      <c r="H2343" s="14">
        <f>F2343-G2343</f>
        <v>128</v>
      </c>
    </row>
    <row r="2344" spans="1:8" x14ac:dyDescent="0.3">
      <c r="A2344" s="15"/>
      <c r="B2344" s="15"/>
      <c r="C2344" s="3" t="s">
        <v>18</v>
      </c>
      <c r="D2344" s="2">
        <v>159.94</v>
      </c>
      <c r="E2344" s="15"/>
      <c r="F2344" s="15"/>
      <c r="G2344" s="15"/>
      <c r="H2344" s="15"/>
    </row>
    <row r="2345" spans="1:8" x14ac:dyDescent="0.3">
      <c r="A2345" s="15"/>
      <c r="B2345" s="15"/>
      <c r="C2345" s="3" t="s">
        <v>11</v>
      </c>
      <c r="D2345" s="2">
        <v>62.2</v>
      </c>
      <c r="E2345" s="15"/>
      <c r="F2345" s="15"/>
      <c r="G2345" s="15"/>
      <c r="H2345" s="15"/>
    </row>
    <row r="2346" spans="1:8" x14ac:dyDescent="0.3">
      <c r="A2346" s="15"/>
      <c r="B2346" s="15"/>
      <c r="C2346" s="3" t="s">
        <v>16</v>
      </c>
      <c r="D2346" s="7">
        <v>16.385999999999999</v>
      </c>
      <c r="E2346" s="15"/>
      <c r="F2346" s="15"/>
      <c r="G2346" s="15"/>
      <c r="H2346" s="15"/>
    </row>
    <row r="2347" spans="1:8" x14ac:dyDescent="0.3">
      <c r="A2347" s="15"/>
      <c r="B2347" s="15"/>
      <c r="C2347" s="8" t="s">
        <v>13</v>
      </c>
      <c r="D2347" s="2">
        <v>14.65</v>
      </c>
      <c r="E2347" s="15"/>
      <c r="F2347" s="15"/>
      <c r="G2347" s="15"/>
      <c r="H2347" s="15"/>
    </row>
    <row r="2348" spans="1:8" x14ac:dyDescent="0.3">
      <c r="A2348" s="16"/>
      <c r="B2348" s="16"/>
      <c r="C2348" s="3" t="s">
        <v>12</v>
      </c>
      <c r="D2348" s="2">
        <v>14.27</v>
      </c>
      <c r="E2348" s="16"/>
      <c r="F2348" s="16"/>
      <c r="G2348" s="16"/>
      <c r="H2348" s="16"/>
    </row>
    <row r="2349" spans="1:8" x14ac:dyDescent="0.3">
      <c r="A2349" s="18">
        <v>392</v>
      </c>
      <c r="B2349" s="20">
        <v>45415</v>
      </c>
      <c r="C2349" s="3" t="s">
        <v>14</v>
      </c>
      <c r="D2349" s="7">
        <v>56.222000000000001</v>
      </c>
      <c r="E2349" s="19">
        <f>SUM(D2349:D2354)</f>
        <v>379.87</v>
      </c>
      <c r="F2349" s="17">
        <f>INT(MAX(D2349:D2354))</f>
        <v>120</v>
      </c>
      <c r="G2349" s="14">
        <f>INT((F2349/10)*2)</f>
        <v>24</v>
      </c>
      <c r="H2349" s="14">
        <f>F2349-G2349</f>
        <v>96</v>
      </c>
    </row>
    <row r="2350" spans="1:8" x14ac:dyDescent="0.3">
      <c r="A2350" s="15"/>
      <c r="B2350" s="15"/>
      <c r="C2350" s="8" t="s">
        <v>13</v>
      </c>
      <c r="D2350" s="2">
        <v>94.68</v>
      </c>
      <c r="E2350" s="15"/>
      <c r="F2350" s="15"/>
      <c r="G2350" s="15"/>
      <c r="H2350" s="15"/>
    </row>
    <row r="2351" spans="1:8" x14ac:dyDescent="0.3">
      <c r="A2351" s="15"/>
      <c r="B2351" s="15"/>
      <c r="C2351" s="3" t="s">
        <v>11</v>
      </c>
      <c r="D2351" s="2">
        <v>29.36</v>
      </c>
      <c r="E2351" s="15"/>
      <c r="F2351" s="15"/>
      <c r="G2351" s="15"/>
      <c r="H2351" s="15"/>
    </row>
    <row r="2352" spans="1:8" x14ac:dyDescent="0.3">
      <c r="A2352" s="15"/>
      <c r="B2352" s="15"/>
      <c r="C2352" s="3" t="s">
        <v>17</v>
      </c>
      <c r="D2352" s="7">
        <v>23.187999999999999</v>
      </c>
      <c r="E2352" s="15"/>
      <c r="F2352" s="15"/>
      <c r="G2352" s="15"/>
      <c r="H2352" s="15"/>
    </row>
    <row r="2353" spans="1:8" x14ac:dyDescent="0.3">
      <c r="A2353" s="15"/>
      <c r="B2353" s="15"/>
      <c r="C2353" s="8" t="s">
        <v>8</v>
      </c>
      <c r="D2353" s="2">
        <v>120.4</v>
      </c>
      <c r="E2353" s="15"/>
      <c r="F2353" s="15"/>
      <c r="G2353" s="15"/>
      <c r="H2353" s="15"/>
    </row>
    <row r="2354" spans="1:8" x14ac:dyDescent="0.3">
      <c r="A2354" s="16"/>
      <c r="B2354" s="16"/>
      <c r="C2354" s="3" t="s">
        <v>13</v>
      </c>
      <c r="D2354" s="2">
        <v>56.02</v>
      </c>
      <c r="E2354" s="16"/>
      <c r="F2354" s="16"/>
      <c r="G2354" s="16"/>
      <c r="H2354" s="16"/>
    </row>
    <row r="2355" spans="1:8" x14ac:dyDescent="0.3">
      <c r="A2355" s="18">
        <v>393</v>
      </c>
      <c r="B2355" s="20">
        <v>45419</v>
      </c>
      <c r="C2355" s="3" t="s">
        <v>14</v>
      </c>
      <c r="D2355" s="7">
        <v>39.353000000000002</v>
      </c>
      <c r="E2355" s="19">
        <f>SUM(D2355:D2360)</f>
        <v>193.816</v>
      </c>
      <c r="F2355" s="17">
        <f>INT(MAX(D2355:D2360))</f>
        <v>57</v>
      </c>
      <c r="G2355" s="14">
        <f>INT((F2355/10)*2)</f>
        <v>11</v>
      </c>
      <c r="H2355" s="14">
        <f>F2355-G2355</f>
        <v>46</v>
      </c>
    </row>
    <row r="2356" spans="1:8" x14ac:dyDescent="0.3">
      <c r="A2356" s="15"/>
      <c r="B2356" s="15"/>
      <c r="C2356" s="8" t="s">
        <v>9</v>
      </c>
      <c r="D2356" s="2">
        <v>25.12</v>
      </c>
      <c r="E2356" s="15"/>
      <c r="F2356" s="15"/>
      <c r="G2356" s="15"/>
      <c r="H2356" s="15"/>
    </row>
    <row r="2357" spans="1:8" x14ac:dyDescent="0.3">
      <c r="A2357" s="15"/>
      <c r="B2357" s="15"/>
      <c r="C2357" s="3" t="s">
        <v>16</v>
      </c>
      <c r="D2357" s="2">
        <v>10.38</v>
      </c>
      <c r="E2357" s="15"/>
      <c r="F2357" s="15"/>
      <c r="G2357" s="15"/>
      <c r="H2357" s="15"/>
    </row>
    <row r="2358" spans="1:8" x14ac:dyDescent="0.3">
      <c r="A2358" s="15"/>
      <c r="B2358" s="15"/>
      <c r="C2358" s="3" t="s">
        <v>18</v>
      </c>
      <c r="D2358" s="7">
        <v>46.683</v>
      </c>
      <c r="E2358" s="15"/>
      <c r="F2358" s="15"/>
      <c r="G2358" s="15"/>
      <c r="H2358" s="15"/>
    </row>
    <row r="2359" spans="1:8" x14ac:dyDescent="0.3">
      <c r="A2359" s="15"/>
      <c r="B2359" s="15"/>
      <c r="C2359" s="8" t="s">
        <v>11</v>
      </c>
      <c r="D2359" s="2">
        <v>14.43</v>
      </c>
      <c r="E2359" s="15"/>
      <c r="F2359" s="15"/>
      <c r="G2359" s="15"/>
      <c r="H2359" s="15"/>
    </row>
    <row r="2360" spans="1:8" x14ac:dyDescent="0.3">
      <c r="A2360" s="16"/>
      <c r="B2360" s="16"/>
      <c r="C2360" s="3" t="s">
        <v>10</v>
      </c>
      <c r="D2360" s="2">
        <v>57.85</v>
      </c>
      <c r="E2360" s="16"/>
      <c r="F2360" s="16"/>
      <c r="G2360" s="16"/>
      <c r="H2360" s="16"/>
    </row>
    <row r="2361" spans="1:8" x14ac:dyDescent="0.3">
      <c r="A2361" s="18">
        <v>394</v>
      </c>
      <c r="B2361" s="20">
        <v>45422</v>
      </c>
      <c r="C2361" s="3" t="s">
        <v>13</v>
      </c>
      <c r="D2361" s="2">
        <v>25.85</v>
      </c>
      <c r="E2361" s="19">
        <f>SUM(D2361:D2366)</f>
        <v>258.24699999999996</v>
      </c>
      <c r="F2361" s="17">
        <f>INT(MAX(D2361:D2366))</f>
        <v>80</v>
      </c>
      <c r="G2361" s="14">
        <f>INT((F2361/10)*2)</f>
        <v>16</v>
      </c>
      <c r="H2361" s="14">
        <f>F2361-G2361</f>
        <v>64</v>
      </c>
    </row>
    <row r="2362" spans="1:8" x14ac:dyDescent="0.3">
      <c r="A2362" s="15"/>
      <c r="B2362" s="15"/>
      <c r="C2362" s="3" t="s">
        <v>8</v>
      </c>
      <c r="D2362" s="2">
        <v>20.46</v>
      </c>
      <c r="E2362" s="15"/>
      <c r="F2362" s="15"/>
      <c r="G2362" s="15"/>
      <c r="H2362" s="15"/>
    </row>
    <row r="2363" spans="1:8" x14ac:dyDescent="0.3">
      <c r="A2363" s="15"/>
      <c r="B2363" s="15"/>
      <c r="C2363" s="3" t="s">
        <v>15</v>
      </c>
      <c r="D2363" s="2">
        <v>34.42</v>
      </c>
      <c r="E2363" s="15"/>
      <c r="F2363" s="15"/>
      <c r="G2363" s="15"/>
      <c r="H2363" s="15"/>
    </row>
    <row r="2364" spans="1:8" x14ac:dyDescent="0.3">
      <c r="A2364" s="15"/>
      <c r="B2364" s="15"/>
      <c r="C2364" s="3" t="s">
        <v>12</v>
      </c>
      <c r="D2364" s="7">
        <v>57.226999999999997</v>
      </c>
      <c r="E2364" s="15"/>
      <c r="F2364" s="15"/>
      <c r="G2364" s="15"/>
      <c r="H2364" s="15"/>
    </row>
    <row r="2365" spans="1:8" x14ac:dyDescent="0.3">
      <c r="A2365" s="15"/>
      <c r="B2365" s="15"/>
      <c r="C2365" s="8" t="s">
        <v>12</v>
      </c>
      <c r="D2365" s="2">
        <v>40.29</v>
      </c>
      <c r="E2365" s="15"/>
      <c r="F2365" s="15"/>
      <c r="G2365" s="15"/>
      <c r="H2365" s="15"/>
    </row>
    <row r="2366" spans="1:8" x14ac:dyDescent="0.3">
      <c r="A2366" s="16"/>
      <c r="B2366" s="16"/>
      <c r="C2366" s="3" t="s">
        <v>10</v>
      </c>
      <c r="D2366" s="2">
        <v>80</v>
      </c>
      <c r="E2366" s="16"/>
      <c r="F2366" s="16"/>
      <c r="G2366" s="16"/>
      <c r="H2366" s="16"/>
    </row>
    <row r="2367" spans="1:8" x14ac:dyDescent="0.3">
      <c r="A2367" s="18">
        <v>395</v>
      </c>
      <c r="B2367" s="20">
        <v>45426</v>
      </c>
      <c r="C2367" s="3" t="s">
        <v>14</v>
      </c>
      <c r="D2367" s="2">
        <v>140</v>
      </c>
      <c r="E2367" s="19">
        <f>SUM(D2367:D2372)</f>
        <v>369.44</v>
      </c>
      <c r="F2367" s="17">
        <f>INT(MAX(D2367:D2372))</f>
        <v>140</v>
      </c>
      <c r="G2367" s="14">
        <f>INT((F2367/10)*2)</f>
        <v>28</v>
      </c>
      <c r="H2367" s="14">
        <f>F2367-G2367</f>
        <v>112</v>
      </c>
    </row>
    <row r="2368" spans="1:8" x14ac:dyDescent="0.3">
      <c r="A2368" s="15"/>
      <c r="B2368" s="15"/>
      <c r="C2368" s="3" t="s">
        <v>13</v>
      </c>
      <c r="D2368" s="7">
        <v>100.81</v>
      </c>
      <c r="E2368" s="15"/>
      <c r="F2368" s="15"/>
      <c r="G2368" s="15"/>
      <c r="H2368" s="15"/>
    </row>
    <row r="2369" spans="1:8" x14ac:dyDescent="0.3">
      <c r="A2369" s="15"/>
      <c r="B2369" s="15"/>
      <c r="C2369" s="8" t="s">
        <v>13</v>
      </c>
      <c r="D2369" s="2">
        <v>44.56</v>
      </c>
      <c r="E2369" s="15"/>
      <c r="F2369" s="15"/>
      <c r="G2369" s="15"/>
      <c r="H2369" s="15"/>
    </row>
    <row r="2370" spans="1:8" x14ac:dyDescent="0.3">
      <c r="A2370" s="15"/>
      <c r="B2370" s="15"/>
      <c r="C2370" s="3" t="s">
        <v>14</v>
      </c>
      <c r="D2370" s="2">
        <v>20.27</v>
      </c>
      <c r="E2370" s="15"/>
      <c r="F2370" s="15"/>
      <c r="G2370" s="15"/>
      <c r="H2370" s="15"/>
    </row>
    <row r="2371" spans="1:8" x14ac:dyDescent="0.3">
      <c r="A2371" s="15"/>
      <c r="B2371" s="15"/>
      <c r="C2371" s="3" t="s">
        <v>9</v>
      </c>
      <c r="D2371" s="2">
        <v>27.48</v>
      </c>
      <c r="E2371" s="15"/>
      <c r="F2371" s="15"/>
      <c r="G2371" s="15"/>
      <c r="H2371" s="15"/>
    </row>
    <row r="2372" spans="1:8" x14ac:dyDescent="0.3">
      <c r="A2372" s="16"/>
      <c r="B2372" s="16"/>
      <c r="C2372" s="3" t="s">
        <v>16</v>
      </c>
      <c r="D2372" s="2">
        <v>36.32</v>
      </c>
      <c r="E2372" s="16"/>
      <c r="F2372" s="16"/>
      <c r="G2372" s="16"/>
      <c r="H2372" s="16"/>
    </row>
    <row r="2373" spans="1:8" x14ac:dyDescent="0.3">
      <c r="A2373" s="18">
        <v>396</v>
      </c>
      <c r="B2373" s="20">
        <v>45429</v>
      </c>
      <c r="C2373" s="3" t="s">
        <v>8</v>
      </c>
      <c r="D2373" s="7">
        <v>29.19</v>
      </c>
      <c r="E2373" s="19">
        <f>SUM(D2373:D2378)</f>
        <v>227.22499999999999</v>
      </c>
      <c r="F2373" s="17">
        <f>INT(MAX(D2373:D2378))</f>
        <v>88</v>
      </c>
      <c r="G2373" s="14">
        <f>INT((F2373/10)*2)</f>
        <v>17</v>
      </c>
      <c r="H2373" s="14">
        <f>F2373-G2373</f>
        <v>71</v>
      </c>
    </row>
    <row r="2374" spans="1:8" x14ac:dyDescent="0.3">
      <c r="A2374" s="15"/>
      <c r="B2374" s="15"/>
      <c r="C2374" s="8" t="s">
        <v>10</v>
      </c>
      <c r="D2374" s="2">
        <v>25.37</v>
      </c>
      <c r="E2374" s="15"/>
      <c r="F2374" s="15"/>
      <c r="G2374" s="15"/>
      <c r="H2374" s="15"/>
    </row>
    <row r="2375" spans="1:8" x14ac:dyDescent="0.3">
      <c r="A2375" s="15"/>
      <c r="B2375" s="15"/>
      <c r="C2375" s="3" t="s">
        <v>16</v>
      </c>
      <c r="D2375" s="2">
        <v>29.24</v>
      </c>
      <c r="E2375" s="15"/>
      <c r="F2375" s="15"/>
      <c r="G2375" s="15"/>
      <c r="H2375" s="15"/>
    </row>
    <row r="2376" spans="1:8" x14ac:dyDescent="0.3">
      <c r="A2376" s="15"/>
      <c r="B2376" s="15"/>
      <c r="C2376" s="3" t="s">
        <v>9</v>
      </c>
      <c r="D2376" s="2">
        <v>88.96</v>
      </c>
      <c r="E2376" s="15"/>
      <c r="F2376" s="15"/>
      <c r="G2376" s="15"/>
      <c r="H2376" s="15"/>
    </row>
    <row r="2377" spans="1:8" x14ac:dyDescent="0.3">
      <c r="A2377" s="15"/>
      <c r="B2377" s="15"/>
      <c r="C2377" s="3" t="s">
        <v>11</v>
      </c>
      <c r="D2377" s="7">
        <v>9.9649999999999999</v>
      </c>
      <c r="E2377" s="15"/>
      <c r="F2377" s="15"/>
      <c r="G2377" s="15"/>
      <c r="H2377" s="15"/>
    </row>
    <row r="2378" spans="1:8" x14ac:dyDescent="0.3">
      <c r="A2378" s="16"/>
      <c r="B2378" s="16"/>
      <c r="C2378" s="8" t="s">
        <v>17</v>
      </c>
      <c r="D2378" s="2">
        <v>44.5</v>
      </c>
      <c r="E2378" s="16"/>
      <c r="F2378" s="16"/>
      <c r="G2378" s="16"/>
      <c r="H2378" s="16"/>
    </row>
    <row r="2379" spans="1:8" x14ac:dyDescent="0.3">
      <c r="A2379" s="18">
        <v>397</v>
      </c>
      <c r="B2379" s="20">
        <v>45433</v>
      </c>
      <c r="C2379" s="3" t="s">
        <v>11</v>
      </c>
      <c r="D2379" s="2">
        <v>5.59</v>
      </c>
      <c r="E2379" s="19">
        <f>SUM(D2379:D2384)</f>
        <v>81.511999999999986</v>
      </c>
      <c r="F2379" s="17">
        <f>INT(MAX(D2379:D2384))</f>
        <v>31</v>
      </c>
      <c r="G2379" s="14">
        <f>INT((F2379/10)*2)</f>
        <v>6</v>
      </c>
      <c r="H2379" s="14">
        <f>F2379-G2379</f>
        <v>25</v>
      </c>
    </row>
    <row r="2380" spans="1:8" x14ac:dyDescent="0.3">
      <c r="A2380" s="15"/>
      <c r="B2380" s="15"/>
      <c r="C2380" s="3" t="s">
        <v>10</v>
      </c>
      <c r="D2380" s="2">
        <v>19.100000000000001</v>
      </c>
      <c r="E2380" s="15"/>
      <c r="F2380" s="15"/>
      <c r="G2380" s="15"/>
      <c r="H2380" s="15"/>
    </row>
    <row r="2381" spans="1:8" x14ac:dyDescent="0.3">
      <c r="A2381" s="15"/>
      <c r="B2381" s="15"/>
      <c r="C2381" s="3" t="s">
        <v>9</v>
      </c>
      <c r="D2381" s="7">
        <v>9.3219999999999992</v>
      </c>
      <c r="E2381" s="15"/>
      <c r="F2381" s="15"/>
      <c r="G2381" s="15"/>
      <c r="H2381" s="15"/>
    </row>
    <row r="2382" spans="1:8" x14ac:dyDescent="0.3">
      <c r="A2382" s="15"/>
      <c r="B2382" s="15"/>
      <c r="C2382" s="8" t="s">
        <v>18</v>
      </c>
      <c r="D2382" s="2">
        <v>31.32</v>
      </c>
      <c r="E2382" s="15"/>
      <c r="F2382" s="15"/>
      <c r="G2382" s="15"/>
      <c r="H2382" s="15"/>
    </row>
    <row r="2383" spans="1:8" x14ac:dyDescent="0.3">
      <c r="A2383" s="15"/>
      <c r="B2383" s="15"/>
      <c r="C2383" s="3" t="s">
        <v>11</v>
      </c>
      <c r="D2383" s="2">
        <v>9.69</v>
      </c>
      <c r="E2383" s="15"/>
      <c r="F2383" s="15"/>
      <c r="G2383" s="15"/>
      <c r="H2383" s="15"/>
    </row>
    <row r="2384" spans="1:8" x14ac:dyDescent="0.3">
      <c r="A2384" s="16"/>
      <c r="B2384" s="16"/>
      <c r="C2384" s="3" t="s">
        <v>8</v>
      </c>
      <c r="D2384" s="2">
        <v>6.49</v>
      </c>
      <c r="E2384" s="16"/>
      <c r="F2384" s="16"/>
      <c r="G2384" s="16"/>
      <c r="H2384" s="16"/>
    </row>
    <row r="2385" spans="1:8" x14ac:dyDescent="0.3">
      <c r="A2385" s="18">
        <v>398</v>
      </c>
      <c r="B2385" s="20">
        <v>45436</v>
      </c>
      <c r="C2385" s="3" t="s">
        <v>12</v>
      </c>
      <c r="D2385" s="2">
        <v>30.99</v>
      </c>
      <c r="E2385" s="19">
        <f>SUM(D2385:D2390)</f>
        <v>264.04599999999999</v>
      </c>
      <c r="F2385" s="17">
        <f>INT(MAX(D2385:D2390))</f>
        <v>110</v>
      </c>
      <c r="G2385" s="14">
        <f>INT((F2385/10)*2)</f>
        <v>22</v>
      </c>
      <c r="H2385" s="14">
        <f>F2385-G2385</f>
        <v>88</v>
      </c>
    </row>
    <row r="2386" spans="1:8" x14ac:dyDescent="0.3">
      <c r="A2386" s="15"/>
      <c r="B2386" s="15"/>
      <c r="C2386" s="3" t="s">
        <v>13</v>
      </c>
      <c r="D2386" s="2">
        <v>7.18</v>
      </c>
      <c r="E2386" s="15"/>
      <c r="F2386" s="15"/>
      <c r="G2386" s="15"/>
      <c r="H2386" s="15"/>
    </row>
    <row r="2387" spans="1:8" x14ac:dyDescent="0.3">
      <c r="A2387" s="15"/>
      <c r="B2387" s="15"/>
      <c r="C2387" s="3" t="s">
        <v>14</v>
      </c>
      <c r="D2387" s="7">
        <v>110.71599999999999</v>
      </c>
      <c r="E2387" s="15"/>
      <c r="F2387" s="15"/>
      <c r="G2387" s="15"/>
      <c r="H2387" s="15"/>
    </row>
    <row r="2388" spans="1:8" x14ac:dyDescent="0.3">
      <c r="A2388" s="15"/>
      <c r="B2388" s="15"/>
      <c r="C2388" s="8" t="s">
        <v>13</v>
      </c>
      <c r="D2388" s="2">
        <v>54.21</v>
      </c>
      <c r="E2388" s="15"/>
      <c r="F2388" s="15"/>
      <c r="G2388" s="15"/>
      <c r="H2388" s="15"/>
    </row>
    <row r="2389" spans="1:8" x14ac:dyDescent="0.3">
      <c r="A2389" s="15"/>
      <c r="B2389" s="15"/>
      <c r="C2389" s="3" t="s">
        <v>17</v>
      </c>
      <c r="D2389" s="2">
        <v>29.25</v>
      </c>
      <c r="E2389" s="15"/>
      <c r="F2389" s="15"/>
      <c r="G2389" s="15"/>
      <c r="H2389" s="15"/>
    </row>
    <row r="2390" spans="1:8" x14ac:dyDescent="0.3">
      <c r="A2390" s="16"/>
      <c r="B2390" s="16"/>
      <c r="C2390" s="3" t="s">
        <v>12</v>
      </c>
      <c r="D2390" s="2">
        <v>31.7</v>
      </c>
      <c r="E2390" s="16"/>
      <c r="F2390" s="16"/>
      <c r="G2390" s="16"/>
      <c r="H2390" s="16"/>
    </row>
    <row r="2391" spans="1:8" x14ac:dyDescent="0.3">
      <c r="A2391" s="18">
        <v>399</v>
      </c>
      <c r="B2391" s="20">
        <v>45440</v>
      </c>
      <c r="C2391" s="3" t="s">
        <v>18</v>
      </c>
      <c r="D2391" s="2">
        <v>20.68</v>
      </c>
      <c r="E2391" s="19">
        <f>SUM(D2391:D2396)</f>
        <v>150.86799999999999</v>
      </c>
      <c r="F2391" s="17">
        <f>INT(MAX(D2391:D2396))</f>
        <v>36</v>
      </c>
      <c r="G2391" s="14">
        <f>INT((F2391/10)*2)</f>
        <v>7</v>
      </c>
      <c r="H2391" s="14">
        <f>F2391-G2391</f>
        <v>29</v>
      </c>
    </row>
    <row r="2392" spans="1:8" x14ac:dyDescent="0.3">
      <c r="A2392" s="15"/>
      <c r="B2392" s="15"/>
      <c r="C2392" s="3" t="s">
        <v>16</v>
      </c>
      <c r="D2392" s="2">
        <v>16.52</v>
      </c>
      <c r="E2392" s="15"/>
      <c r="F2392" s="15"/>
      <c r="G2392" s="15"/>
      <c r="H2392" s="15"/>
    </row>
    <row r="2393" spans="1:8" x14ac:dyDescent="0.3">
      <c r="A2393" s="15"/>
      <c r="B2393" s="15"/>
      <c r="C2393" s="3" t="s">
        <v>8</v>
      </c>
      <c r="D2393" s="7">
        <v>26.007999999999999</v>
      </c>
      <c r="E2393" s="15"/>
      <c r="F2393" s="15"/>
      <c r="G2393" s="15"/>
      <c r="H2393" s="15"/>
    </row>
    <row r="2394" spans="1:8" x14ac:dyDescent="0.3">
      <c r="A2394" s="15"/>
      <c r="B2394" s="15"/>
      <c r="C2394" s="8" t="s">
        <v>10</v>
      </c>
      <c r="D2394" s="2">
        <v>28.12</v>
      </c>
      <c r="E2394" s="15"/>
      <c r="F2394" s="15"/>
      <c r="G2394" s="15"/>
      <c r="H2394" s="15"/>
    </row>
    <row r="2395" spans="1:8" x14ac:dyDescent="0.3">
      <c r="A2395" s="15"/>
      <c r="B2395" s="15"/>
      <c r="C2395" s="3" t="s">
        <v>8</v>
      </c>
      <c r="D2395" s="2">
        <v>36.56</v>
      </c>
      <c r="E2395" s="15"/>
      <c r="F2395" s="15"/>
      <c r="G2395" s="15"/>
      <c r="H2395" s="15"/>
    </row>
    <row r="2396" spans="1:8" x14ac:dyDescent="0.3">
      <c r="A2396" s="16"/>
      <c r="B2396" s="16"/>
      <c r="C2396" s="3" t="s">
        <v>9</v>
      </c>
      <c r="D2396" s="2">
        <v>22.98</v>
      </c>
      <c r="E2396" s="16"/>
      <c r="F2396" s="16"/>
      <c r="G2396" s="16"/>
      <c r="H2396" s="16"/>
    </row>
    <row r="2397" spans="1:8" x14ac:dyDescent="0.3">
      <c r="A2397" s="18">
        <v>400</v>
      </c>
      <c r="B2397" s="20">
        <v>45443</v>
      </c>
      <c r="C2397" s="3" t="s">
        <v>18</v>
      </c>
      <c r="D2397" s="7">
        <v>17.52</v>
      </c>
      <c r="E2397" s="19">
        <f>SUM(D2397:D2402)</f>
        <v>180.48000000000002</v>
      </c>
      <c r="F2397" s="17">
        <f>INT(MAX(D2397:D2402))</f>
        <v>64</v>
      </c>
      <c r="G2397" s="14">
        <f>INT((F2397/10)*2)</f>
        <v>12</v>
      </c>
      <c r="H2397" s="14">
        <f>F2397-G2397</f>
        <v>52</v>
      </c>
    </row>
    <row r="2398" spans="1:8" x14ac:dyDescent="0.3">
      <c r="A2398" s="15"/>
      <c r="B2398" s="15"/>
      <c r="C2398" s="8" t="s">
        <v>17</v>
      </c>
      <c r="D2398" s="2">
        <v>18.739999999999998</v>
      </c>
      <c r="E2398" s="15"/>
      <c r="F2398" s="15"/>
      <c r="G2398" s="15"/>
      <c r="H2398" s="15"/>
    </row>
    <row r="2399" spans="1:8" x14ac:dyDescent="0.3">
      <c r="A2399" s="15"/>
      <c r="B2399" s="15"/>
      <c r="C2399" s="3" t="s">
        <v>12</v>
      </c>
      <c r="D2399" s="2">
        <v>56.74</v>
      </c>
      <c r="E2399" s="15"/>
      <c r="F2399" s="15"/>
      <c r="G2399" s="15"/>
      <c r="H2399" s="15"/>
    </row>
    <row r="2400" spans="1:8" x14ac:dyDescent="0.3">
      <c r="A2400" s="15"/>
      <c r="B2400" s="15"/>
      <c r="C2400" s="3" t="s">
        <v>11</v>
      </c>
      <c r="D2400" s="2">
        <v>14.19</v>
      </c>
      <c r="E2400" s="15"/>
      <c r="F2400" s="15"/>
      <c r="G2400" s="15"/>
      <c r="H2400" s="15"/>
    </row>
    <row r="2401" spans="1:8" x14ac:dyDescent="0.3">
      <c r="A2401" s="15"/>
      <c r="B2401" s="15"/>
      <c r="C2401" s="3" t="s">
        <v>16</v>
      </c>
      <c r="D2401" s="2">
        <v>64.930000000000007</v>
      </c>
      <c r="E2401" s="15"/>
      <c r="F2401" s="15"/>
      <c r="G2401" s="15"/>
      <c r="H2401" s="15"/>
    </row>
    <row r="2402" spans="1:8" x14ac:dyDescent="0.3">
      <c r="A2402" s="16"/>
      <c r="B2402" s="16"/>
      <c r="C2402" s="3" t="s">
        <v>9</v>
      </c>
      <c r="D2402" s="2">
        <v>8.36</v>
      </c>
      <c r="E2402" s="16"/>
      <c r="F2402" s="16"/>
      <c r="G2402" s="16"/>
      <c r="H2402" s="16"/>
    </row>
    <row r="2403" spans="1:8" x14ac:dyDescent="0.3">
      <c r="A2403" s="18">
        <v>401</v>
      </c>
      <c r="B2403" s="20">
        <v>45447</v>
      </c>
      <c r="C2403" s="3" t="s">
        <v>18</v>
      </c>
      <c r="D2403" s="7">
        <v>61.61</v>
      </c>
      <c r="E2403" s="19">
        <f>SUM(D2403:D2408)</f>
        <v>263.33799999999997</v>
      </c>
      <c r="F2403" s="17">
        <f>INT(MAX(D2403:D2408))</f>
        <v>61</v>
      </c>
      <c r="G2403" s="14">
        <f>INT((F2403/10)*2)</f>
        <v>12</v>
      </c>
      <c r="H2403" s="14">
        <f>F2403-G2403</f>
        <v>49</v>
      </c>
    </row>
    <row r="2404" spans="1:8" x14ac:dyDescent="0.3">
      <c r="A2404" s="15"/>
      <c r="B2404" s="15"/>
      <c r="C2404" s="8" t="s">
        <v>14</v>
      </c>
      <c r="D2404" s="2">
        <v>27.33</v>
      </c>
      <c r="E2404" s="15"/>
      <c r="F2404" s="15"/>
      <c r="G2404" s="15"/>
      <c r="H2404" s="15"/>
    </row>
    <row r="2405" spans="1:8" x14ac:dyDescent="0.3">
      <c r="A2405" s="15"/>
      <c r="B2405" s="15"/>
      <c r="C2405" s="3" t="s">
        <v>9</v>
      </c>
      <c r="D2405" s="2">
        <v>38.549999999999997</v>
      </c>
      <c r="E2405" s="15"/>
      <c r="F2405" s="15"/>
      <c r="G2405" s="15"/>
      <c r="H2405" s="15"/>
    </row>
    <row r="2406" spans="1:8" x14ac:dyDescent="0.3">
      <c r="A2406" s="15"/>
      <c r="B2406" s="15"/>
      <c r="C2406" s="3" t="s">
        <v>8</v>
      </c>
      <c r="D2406" s="2">
        <v>52.11</v>
      </c>
      <c r="E2406" s="15"/>
      <c r="F2406" s="15"/>
      <c r="G2406" s="15"/>
      <c r="H2406" s="15"/>
    </row>
    <row r="2407" spans="1:8" x14ac:dyDescent="0.3">
      <c r="A2407" s="15"/>
      <c r="B2407" s="15"/>
      <c r="C2407" s="3" t="s">
        <v>15</v>
      </c>
      <c r="D2407" s="7">
        <v>31.077999999999999</v>
      </c>
      <c r="E2407" s="15"/>
      <c r="F2407" s="15"/>
      <c r="G2407" s="15"/>
      <c r="H2407" s="15"/>
    </row>
    <row r="2408" spans="1:8" x14ac:dyDescent="0.3">
      <c r="A2408" s="16"/>
      <c r="B2408" s="16"/>
      <c r="C2408" s="8" t="s">
        <v>10</v>
      </c>
      <c r="D2408" s="2">
        <v>52.66</v>
      </c>
      <c r="E2408" s="16"/>
      <c r="F2408" s="16"/>
      <c r="G2408" s="16"/>
      <c r="H2408" s="16"/>
    </row>
    <row r="2409" spans="1:8" x14ac:dyDescent="0.3">
      <c r="A2409" s="18">
        <v>402</v>
      </c>
      <c r="B2409" s="20">
        <v>45450</v>
      </c>
      <c r="C2409" s="3" t="s">
        <v>17</v>
      </c>
      <c r="D2409" s="2">
        <v>72.069999999999993</v>
      </c>
      <c r="E2409" s="19">
        <f>SUM(D2409:D2414)</f>
        <v>238.09899999999999</v>
      </c>
      <c r="F2409" s="17">
        <f>INT(MAX(D2409:D2414))</f>
        <v>72</v>
      </c>
      <c r="G2409" s="14">
        <f>INT((F2409/10)*2)</f>
        <v>14</v>
      </c>
      <c r="H2409" s="14">
        <f>F2409-G2409</f>
        <v>58</v>
      </c>
    </row>
    <row r="2410" spans="1:8" x14ac:dyDescent="0.3">
      <c r="A2410" s="15"/>
      <c r="B2410" s="15"/>
      <c r="C2410" s="3" t="s">
        <v>9</v>
      </c>
      <c r="D2410" s="2">
        <v>63.54</v>
      </c>
      <c r="E2410" s="15"/>
      <c r="F2410" s="15"/>
      <c r="G2410" s="15"/>
      <c r="H2410" s="15"/>
    </row>
    <row r="2411" spans="1:8" x14ac:dyDescent="0.3">
      <c r="A2411" s="15"/>
      <c r="B2411" s="15"/>
      <c r="C2411" s="3" t="s">
        <v>16</v>
      </c>
      <c r="D2411" s="2">
        <v>33.19</v>
      </c>
      <c r="E2411" s="15"/>
      <c r="F2411" s="15"/>
      <c r="G2411" s="15"/>
      <c r="H2411" s="15"/>
    </row>
    <row r="2412" spans="1:8" x14ac:dyDescent="0.3">
      <c r="A2412" s="15"/>
      <c r="B2412" s="15"/>
      <c r="C2412" s="3" t="s">
        <v>18</v>
      </c>
      <c r="D2412" s="7">
        <v>19.609000000000002</v>
      </c>
      <c r="E2412" s="15"/>
      <c r="F2412" s="15"/>
      <c r="G2412" s="15"/>
      <c r="H2412" s="15"/>
    </row>
    <row r="2413" spans="1:8" x14ac:dyDescent="0.3">
      <c r="A2413" s="15"/>
      <c r="B2413" s="15"/>
      <c r="C2413" s="8" t="s">
        <v>16</v>
      </c>
      <c r="D2413" s="2">
        <v>11.23</v>
      </c>
      <c r="E2413" s="15"/>
      <c r="F2413" s="15"/>
      <c r="G2413" s="15"/>
      <c r="H2413" s="15"/>
    </row>
    <row r="2414" spans="1:8" x14ac:dyDescent="0.3">
      <c r="A2414" s="16"/>
      <c r="B2414" s="16"/>
      <c r="C2414" s="3" t="s">
        <v>10</v>
      </c>
      <c r="D2414" s="2">
        <v>38.46</v>
      </c>
      <c r="E2414" s="16"/>
      <c r="F2414" s="16"/>
      <c r="G2414" s="16"/>
      <c r="H2414" s="16"/>
    </row>
    <row r="2415" spans="1:8" x14ac:dyDescent="0.3">
      <c r="A2415" s="18">
        <v>403</v>
      </c>
      <c r="B2415" s="20">
        <v>45454</v>
      </c>
      <c r="C2415" s="3" t="s">
        <v>15</v>
      </c>
      <c r="D2415" s="7">
        <v>70.278000000000006</v>
      </c>
      <c r="E2415" s="19">
        <f>SUM(D2415:D2420)</f>
        <v>152.35400000000001</v>
      </c>
      <c r="F2415" s="17">
        <f>INT(MAX(D2415:D2420))</f>
        <v>70</v>
      </c>
      <c r="G2415" s="14">
        <f>INT((F2415/10)*2)</f>
        <v>14</v>
      </c>
      <c r="H2415" s="14">
        <f>F2415-G2415</f>
        <v>56</v>
      </c>
    </row>
    <row r="2416" spans="1:8" x14ac:dyDescent="0.3">
      <c r="A2416" s="15"/>
      <c r="B2416" s="15"/>
      <c r="C2416" s="8" t="s">
        <v>13</v>
      </c>
      <c r="D2416" s="2">
        <v>27.14</v>
      </c>
      <c r="E2416" s="15"/>
      <c r="F2416" s="15"/>
      <c r="G2416" s="15"/>
      <c r="H2416" s="15"/>
    </row>
    <row r="2417" spans="1:8" x14ac:dyDescent="0.3">
      <c r="A2417" s="15"/>
      <c r="B2417" s="15"/>
      <c r="C2417" s="3" t="s">
        <v>10</v>
      </c>
      <c r="D2417" s="2">
        <v>6.36</v>
      </c>
      <c r="E2417" s="15"/>
      <c r="F2417" s="15"/>
      <c r="G2417" s="15"/>
      <c r="H2417" s="15"/>
    </row>
    <row r="2418" spans="1:8" x14ac:dyDescent="0.3">
      <c r="A2418" s="15"/>
      <c r="B2418" s="15"/>
      <c r="C2418" s="3" t="s">
        <v>8</v>
      </c>
      <c r="D2418" s="2">
        <v>18.18</v>
      </c>
      <c r="E2418" s="15"/>
      <c r="F2418" s="15"/>
      <c r="G2418" s="15"/>
      <c r="H2418" s="15"/>
    </row>
    <row r="2419" spans="1:8" x14ac:dyDescent="0.3">
      <c r="A2419" s="15"/>
      <c r="B2419" s="15"/>
      <c r="C2419" s="3" t="s">
        <v>17</v>
      </c>
      <c r="D2419" s="7">
        <v>12.125999999999999</v>
      </c>
      <c r="E2419" s="15"/>
      <c r="F2419" s="15"/>
      <c r="G2419" s="15"/>
      <c r="H2419" s="15"/>
    </row>
    <row r="2420" spans="1:8" x14ac:dyDescent="0.3">
      <c r="A2420" s="16"/>
      <c r="B2420" s="16"/>
      <c r="C2420" s="8" t="s">
        <v>8</v>
      </c>
      <c r="D2420" s="2">
        <v>18.27</v>
      </c>
      <c r="E2420" s="16"/>
      <c r="F2420" s="16"/>
      <c r="G2420" s="16"/>
      <c r="H2420" s="16"/>
    </row>
    <row r="2421" spans="1:8" x14ac:dyDescent="0.3">
      <c r="A2421" s="18">
        <v>404</v>
      </c>
      <c r="B2421" s="20">
        <v>45457</v>
      </c>
      <c r="C2421" s="3" t="s">
        <v>14</v>
      </c>
      <c r="D2421" s="2">
        <v>12.51</v>
      </c>
      <c r="E2421" s="19">
        <f>SUM(D2421:D2426)</f>
        <v>94.281000000000006</v>
      </c>
      <c r="F2421" s="17">
        <f>INT(MAX(D2421:D2426))</f>
        <v>26</v>
      </c>
      <c r="G2421" s="14">
        <f>INT((F2421/10)*2)</f>
        <v>5</v>
      </c>
      <c r="H2421" s="14">
        <f>F2421-G2421</f>
        <v>21</v>
      </c>
    </row>
    <row r="2422" spans="1:8" x14ac:dyDescent="0.3">
      <c r="A2422" s="15"/>
      <c r="B2422" s="15"/>
      <c r="C2422" s="3" t="s">
        <v>17</v>
      </c>
      <c r="D2422" s="2">
        <v>7.86</v>
      </c>
      <c r="E2422" s="15"/>
      <c r="F2422" s="15"/>
      <c r="G2422" s="15"/>
      <c r="H2422" s="15"/>
    </row>
    <row r="2423" spans="1:8" x14ac:dyDescent="0.3">
      <c r="A2423" s="15"/>
      <c r="B2423" s="15"/>
      <c r="C2423" s="3" t="s">
        <v>16</v>
      </c>
      <c r="D2423" s="7">
        <v>26.898</v>
      </c>
      <c r="E2423" s="15"/>
      <c r="F2423" s="15"/>
      <c r="G2423" s="15"/>
      <c r="H2423" s="15"/>
    </row>
    <row r="2424" spans="1:8" x14ac:dyDescent="0.3">
      <c r="A2424" s="15"/>
      <c r="B2424" s="15"/>
      <c r="C2424" s="8" t="s">
        <v>11</v>
      </c>
      <c r="D2424" s="2">
        <v>7.14</v>
      </c>
      <c r="E2424" s="15"/>
      <c r="F2424" s="15"/>
      <c r="G2424" s="15"/>
      <c r="H2424" s="15"/>
    </row>
    <row r="2425" spans="1:8" x14ac:dyDescent="0.3">
      <c r="A2425" s="15"/>
      <c r="B2425" s="15"/>
      <c r="C2425" s="3" t="s">
        <v>10</v>
      </c>
      <c r="D2425" s="2">
        <v>17.920000000000002</v>
      </c>
      <c r="E2425" s="15"/>
      <c r="F2425" s="15"/>
      <c r="G2425" s="15"/>
      <c r="H2425" s="15"/>
    </row>
    <row r="2426" spans="1:8" x14ac:dyDescent="0.3">
      <c r="A2426" s="16"/>
      <c r="B2426" s="16"/>
      <c r="C2426" s="3" t="s">
        <v>9</v>
      </c>
      <c r="D2426" s="7">
        <v>21.952999999999999</v>
      </c>
      <c r="E2426" s="16"/>
      <c r="F2426" s="16"/>
      <c r="G2426" s="16"/>
      <c r="H2426" s="16"/>
    </row>
    <row r="2427" spans="1:8" x14ac:dyDescent="0.3">
      <c r="A2427" s="18">
        <v>405</v>
      </c>
      <c r="B2427" s="20">
        <v>45461</v>
      </c>
      <c r="C2427" s="8" t="s">
        <v>15</v>
      </c>
      <c r="D2427" s="2">
        <v>7.71</v>
      </c>
      <c r="E2427" s="19">
        <f>SUM(D2427:D2432)</f>
        <v>50.173999999999992</v>
      </c>
      <c r="F2427" s="17">
        <f>INT(MAX(D2427:D2432))</f>
        <v>17</v>
      </c>
      <c r="G2427" s="14">
        <f>INT((F2427/10)*2)</f>
        <v>3</v>
      </c>
      <c r="H2427" s="14">
        <f>F2427-G2427</f>
        <v>14</v>
      </c>
    </row>
    <row r="2428" spans="1:8" x14ac:dyDescent="0.3">
      <c r="A2428" s="15"/>
      <c r="B2428" s="15"/>
      <c r="C2428" s="3" t="s">
        <v>9</v>
      </c>
      <c r="D2428" s="2">
        <v>6.64</v>
      </c>
      <c r="E2428" s="15"/>
      <c r="F2428" s="15"/>
      <c r="G2428" s="15"/>
      <c r="H2428" s="15"/>
    </row>
    <row r="2429" spans="1:8" x14ac:dyDescent="0.3">
      <c r="A2429" s="15"/>
      <c r="B2429" s="15"/>
      <c r="C2429" s="3" t="s">
        <v>10</v>
      </c>
      <c r="D2429" s="7">
        <v>4.274</v>
      </c>
      <c r="E2429" s="15"/>
      <c r="F2429" s="15"/>
      <c r="G2429" s="15"/>
      <c r="H2429" s="15"/>
    </row>
    <row r="2430" spans="1:8" x14ac:dyDescent="0.3">
      <c r="A2430" s="15"/>
      <c r="B2430" s="15"/>
      <c r="C2430" s="8" t="s">
        <v>17</v>
      </c>
      <c r="D2430" s="2">
        <v>5.74</v>
      </c>
      <c r="E2430" s="15"/>
      <c r="F2430" s="15"/>
      <c r="G2430" s="15"/>
      <c r="H2430" s="15"/>
    </row>
    <row r="2431" spans="1:8" x14ac:dyDescent="0.3">
      <c r="A2431" s="15"/>
      <c r="B2431" s="15"/>
      <c r="C2431" s="3" t="s">
        <v>8</v>
      </c>
      <c r="D2431" s="2">
        <v>17.97</v>
      </c>
      <c r="E2431" s="15"/>
      <c r="F2431" s="15"/>
      <c r="G2431" s="15"/>
      <c r="H2431" s="15"/>
    </row>
    <row r="2432" spans="1:8" x14ac:dyDescent="0.3">
      <c r="A2432" s="16"/>
      <c r="B2432" s="16"/>
      <c r="C2432" s="3" t="s">
        <v>9</v>
      </c>
      <c r="D2432" s="2">
        <v>7.84</v>
      </c>
      <c r="E2432" s="16"/>
      <c r="F2432" s="16"/>
      <c r="G2432" s="16"/>
      <c r="H2432" s="16"/>
    </row>
    <row r="2433" spans="1:8" x14ac:dyDescent="0.3">
      <c r="A2433" s="18">
        <v>406</v>
      </c>
      <c r="B2433" s="20">
        <v>45464</v>
      </c>
      <c r="C2433" s="3" t="s">
        <v>18</v>
      </c>
      <c r="D2433" s="2">
        <v>14.1</v>
      </c>
      <c r="E2433" s="19">
        <f>SUM(D2433:D2438)</f>
        <v>286.20999999999998</v>
      </c>
      <c r="F2433" s="17">
        <f>INT(MAX(D2433:D2438))</f>
        <v>78</v>
      </c>
      <c r="G2433" s="14">
        <f>INT((F2433/10)*2)</f>
        <v>15</v>
      </c>
      <c r="H2433" s="14">
        <f>F2433-G2433</f>
        <v>63</v>
      </c>
    </row>
    <row r="2434" spans="1:8" x14ac:dyDescent="0.3">
      <c r="A2434" s="15"/>
      <c r="B2434" s="15"/>
      <c r="C2434" s="3" t="s">
        <v>13</v>
      </c>
      <c r="D2434" s="2">
        <v>39.33</v>
      </c>
      <c r="E2434" s="15"/>
      <c r="F2434" s="15"/>
      <c r="G2434" s="15"/>
      <c r="H2434" s="15"/>
    </row>
    <row r="2435" spans="1:8" x14ac:dyDescent="0.3">
      <c r="A2435" s="15"/>
      <c r="B2435" s="15"/>
      <c r="C2435" s="3" t="s">
        <v>11</v>
      </c>
      <c r="D2435" s="7">
        <v>46.96</v>
      </c>
      <c r="E2435" s="15"/>
      <c r="F2435" s="15"/>
      <c r="G2435" s="15"/>
      <c r="H2435" s="15"/>
    </row>
    <row r="2436" spans="1:8" x14ac:dyDescent="0.3">
      <c r="A2436" s="15"/>
      <c r="B2436" s="15"/>
      <c r="C2436" s="8" t="s">
        <v>15</v>
      </c>
      <c r="D2436" s="2">
        <v>58.86</v>
      </c>
      <c r="E2436" s="15"/>
      <c r="F2436" s="15"/>
      <c r="G2436" s="15"/>
      <c r="H2436" s="15"/>
    </row>
    <row r="2437" spans="1:8" x14ac:dyDescent="0.3">
      <c r="A2437" s="15"/>
      <c r="B2437" s="15"/>
      <c r="C2437" s="3" t="s">
        <v>16</v>
      </c>
      <c r="D2437" s="2">
        <v>78.7</v>
      </c>
      <c r="E2437" s="15"/>
      <c r="F2437" s="15"/>
      <c r="G2437" s="15"/>
      <c r="H2437" s="15"/>
    </row>
    <row r="2438" spans="1:8" x14ac:dyDescent="0.3">
      <c r="A2438" s="16"/>
      <c r="B2438" s="16"/>
      <c r="C2438" s="3" t="s">
        <v>11</v>
      </c>
      <c r="D2438" s="2">
        <v>48.26</v>
      </c>
      <c r="E2438" s="16"/>
      <c r="F2438" s="16"/>
      <c r="G2438" s="16"/>
      <c r="H2438" s="16"/>
    </row>
    <row r="2439" spans="1:8" x14ac:dyDescent="0.3">
      <c r="A2439" s="18">
        <v>407</v>
      </c>
      <c r="B2439" s="20">
        <v>45468</v>
      </c>
      <c r="C2439" s="3" t="s">
        <v>17</v>
      </c>
      <c r="D2439" s="2">
        <v>14.11</v>
      </c>
      <c r="E2439" s="19">
        <f>SUM(D2439:D2444)</f>
        <v>105.374</v>
      </c>
      <c r="F2439" s="17">
        <f>INT(MAX(D2439:D2444))</f>
        <v>40</v>
      </c>
      <c r="G2439" s="14">
        <f>INT((F2439/10)*2)</f>
        <v>8</v>
      </c>
      <c r="H2439" s="14">
        <f>F2439-G2439</f>
        <v>32</v>
      </c>
    </row>
    <row r="2440" spans="1:8" x14ac:dyDescent="0.3">
      <c r="A2440" s="15"/>
      <c r="B2440" s="15"/>
      <c r="C2440" s="3" t="s">
        <v>8</v>
      </c>
      <c r="D2440" s="2">
        <v>30.27</v>
      </c>
      <c r="E2440" s="15"/>
      <c r="F2440" s="15"/>
      <c r="G2440" s="15"/>
      <c r="H2440" s="15"/>
    </row>
    <row r="2441" spans="1:8" x14ac:dyDescent="0.3">
      <c r="A2441" s="15"/>
      <c r="B2441" s="15"/>
      <c r="C2441" s="3" t="s">
        <v>12</v>
      </c>
      <c r="D2441" s="7">
        <v>11.634</v>
      </c>
      <c r="E2441" s="15"/>
      <c r="F2441" s="15"/>
      <c r="G2441" s="15"/>
      <c r="H2441" s="15"/>
    </row>
    <row r="2442" spans="1:8" x14ac:dyDescent="0.3">
      <c r="A2442" s="15"/>
      <c r="B2442" s="15"/>
      <c r="C2442" s="8" t="s">
        <v>12</v>
      </c>
      <c r="D2442" s="2">
        <v>40.770000000000003</v>
      </c>
      <c r="E2442" s="15"/>
      <c r="F2442" s="15"/>
      <c r="G2442" s="15"/>
      <c r="H2442" s="15"/>
    </row>
    <row r="2443" spans="1:8" x14ac:dyDescent="0.3">
      <c r="A2443" s="15"/>
      <c r="B2443" s="15"/>
      <c r="C2443" s="3" t="s">
        <v>11</v>
      </c>
      <c r="D2443" s="2">
        <v>3.01</v>
      </c>
      <c r="E2443" s="15"/>
      <c r="F2443" s="15"/>
      <c r="G2443" s="15"/>
      <c r="H2443" s="15"/>
    </row>
    <row r="2444" spans="1:8" x14ac:dyDescent="0.3">
      <c r="A2444" s="16"/>
      <c r="B2444" s="16"/>
      <c r="C2444" s="3" t="s">
        <v>8</v>
      </c>
      <c r="D2444" s="2">
        <v>5.58</v>
      </c>
      <c r="E2444" s="16"/>
      <c r="F2444" s="16"/>
      <c r="G2444" s="16"/>
      <c r="H2444" s="16"/>
    </row>
    <row r="2445" spans="1:8" x14ac:dyDescent="0.3">
      <c r="A2445" s="18">
        <v>408</v>
      </c>
      <c r="B2445" s="20">
        <v>45471</v>
      </c>
      <c r="C2445" s="3" t="s">
        <v>10</v>
      </c>
      <c r="D2445" s="7">
        <v>10.047000000000001</v>
      </c>
      <c r="E2445" s="19">
        <f>SUM(D2445:D2450)</f>
        <v>103.137</v>
      </c>
      <c r="F2445" s="17">
        <f>INT(MAX(D2445:D2450))</f>
        <v>56</v>
      </c>
      <c r="G2445" s="14">
        <f>INT((F2445/10)*2)</f>
        <v>11</v>
      </c>
      <c r="H2445" s="14">
        <f>F2445-G2445</f>
        <v>45</v>
      </c>
    </row>
    <row r="2446" spans="1:8" x14ac:dyDescent="0.3">
      <c r="A2446" s="15"/>
      <c r="B2446" s="15"/>
      <c r="C2446" s="8" t="s">
        <v>17</v>
      </c>
      <c r="D2446" s="2">
        <v>10.6</v>
      </c>
      <c r="E2446" s="15"/>
      <c r="F2446" s="15"/>
      <c r="G2446" s="15"/>
      <c r="H2446" s="15"/>
    </row>
    <row r="2447" spans="1:8" x14ac:dyDescent="0.3">
      <c r="A2447" s="15"/>
      <c r="B2447" s="15"/>
      <c r="C2447" s="3" t="s">
        <v>15</v>
      </c>
      <c r="D2447" s="2">
        <v>56.86</v>
      </c>
      <c r="E2447" s="15"/>
      <c r="F2447" s="15"/>
      <c r="G2447" s="15"/>
      <c r="H2447" s="15"/>
    </row>
    <row r="2448" spans="1:8" x14ac:dyDescent="0.3">
      <c r="A2448" s="15"/>
      <c r="B2448" s="15"/>
      <c r="C2448" s="3" t="s">
        <v>11</v>
      </c>
      <c r="D2448" s="2">
        <v>7.34</v>
      </c>
      <c r="E2448" s="15"/>
      <c r="F2448" s="15"/>
      <c r="G2448" s="15"/>
      <c r="H2448" s="15"/>
    </row>
    <row r="2449" spans="1:8" x14ac:dyDescent="0.3">
      <c r="A2449" s="15"/>
      <c r="B2449" s="15"/>
      <c r="C2449" s="3" t="s">
        <v>9</v>
      </c>
      <c r="D2449" s="7">
        <v>13.41</v>
      </c>
      <c r="E2449" s="15"/>
      <c r="F2449" s="15"/>
      <c r="G2449" s="15"/>
      <c r="H2449" s="15"/>
    </row>
    <row r="2450" spans="1:8" x14ac:dyDescent="0.3">
      <c r="A2450" s="16"/>
      <c r="B2450" s="16"/>
      <c r="C2450" s="8" t="s">
        <v>17</v>
      </c>
      <c r="D2450" s="2">
        <v>4.88</v>
      </c>
      <c r="E2450" s="16"/>
      <c r="F2450" s="16"/>
      <c r="G2450" s="16"/>
      <c r="H2450" s="16"/>
    </row>
    <row r="2451" spans="1:8" x14ac:dyDescent="0.3">
      <c r="A2451" s="18">
        <v>409</v>
      </c>
      <c r="B2451" s="20">
        <v>45475</v>
      </c>
      <c r="C2451" s="3" t="s">
        <v>8</v>
      </c>
      <c r="D2451" s="2">
        <v>6.92</v>
      </c>
      <c r="E2451" s="19">
        <f>SUM(D2451:D2456)</f>
        <v>86.991000000000014</v>
      </c>
      <c r="F2451" s="17">
        <f>INT(MAX(D2451:D2456))</f>
        <v>23</v>
      </c>
      <c r="G2451" s="14">
        <f>INT((F2451/10)*2)</f>
        <v>4</v>
      </c>
      <c r="H2451" s="14">
        <f>F2451-G2451</f>
        <v>19</v>
      </c>
    </row>
    <row r="2452" spans="1:8" x14ac:dyDescent="0.3">
      <c r="A2452" s="15"/>
      <c r="B2452" s="15"/>
      <c r="C2452" s="3" t="s">
        <v>18</v>
      </c>
      <c r="D2452" s="7">
        <v>8.9909999999999997</v>
      </c>
      <c r="E2452" s="15"/>
      <c r="F2452" s="15"/>
      <c r="G2452" s="15"/>
      <c r="H2452" s="15"/>
    </row>
    <row r="2453" spans="1:8" x14ac:dyDescent="0.3">
      <c r="A2453" s="15"/>
      <c r="B2453" s="15"/>
      <c r="C2453" s="8" t="s">
        <v>17</v>
      </c>
      <c r="D2453" s="2">
        <v>19.899999999999999</v>
      </c>
      <c r="E2453" s="15"/>
      <c r="F2453" s="15"/>
      <c r="G2453" s="15"/>
      <c r="H2453" s="15"/>
    </row>
    <row r="2454" spans="1:8" x14ac:dyDescent="0.3">
      <c r="A2454" s="15"/>
      <c r="B2454" s="15"/>
      <c r="C2454" s="3" t="s">
        <v>15</v>
      </c>
      <c r="D2454" s="2">
        <v>23.94</v>
      </c>
      <c r="E2454" s="15"/>
      <c r="F2454" s="15"/>
      <c r="G2454" s="15"/>
      <c r="H2454" s="15"/>
    </row>
    <row r="2455" spans="1:8" x14ac:dyDescent="0.3">
      <c r="A2455" s="15"/>
      <c r="B2455" s="15"/>
      <c r="C2455" s="3" t="s">
        <v>13</v>
      </c>
      <c r="D2455" s="2">
        <v>21.51</v>
      </c>
      <c r="E2455" s="15"/>
      <c r="F2455" s="15"/>
      <c r="G2455" s="15"/>
      <c r="H2455" s="15"/>
    </row>
    <row r="2456" spans="1:8" x14ac:dyDescent="0.3">
      <c r="A2456" s="16"/>
      <c r="B2456" s="16"/>
      <c r="C2456" s="3" t="s">
        <v>9</v>
      </c>
      <c r="D2456" s="2">
        <v>5.73</v>
      </c>
      <c r="E2456" s="16"/>
      <c r="F2456" s="16"/>
      <c r="G2456" s="16"/>
      <c r="H2456" s="16"/>
    </row>
    <row r="2457" spans="1:8" x14ac:dyDescent="0.3">
      <c r="A2457" s="18">
        <v>410</v>
      </c>
      <c r="B2457" s="20">
        <v>45478</v>
      </c>
      <c r="C2457" s="3" t="s">
        <v>14</v>
      </c>
      <c r="D2457" s="2">
        <v>15.93</v>
      </c>
      <c r="E2457" s="19">
        <f>SUM(D2457:D2462)</f>
        <v>151.98100000000002</v>
      </c>
      <c r="F2457" s="17">
        <f>INT(MAX(D2457:D2462))</f>
        <v>72</v>
      </c>
      <c r="G2457" s="14">
        <f>INT((F2457/10)*2)</f>
        <v>14</v>
      </c>
      <c r="H2457" s="14">
        <f>F2457-G2457</f>
        <v>58</v>
      </c>
    </row>
    <row r="2458" spans="1:8" x14ac:dyDescent="0.3">
      <c r="A2458" s="15"/>
      <c r="B2458" s="15"/>
      <c r="C2458" s="3" t="s">
        <v>11</v>
      </c>
      <c r="D2458" s="7">
        <v>13.178000000000001</v>
      </c>
      <c r="E2458" s="15"/>
      <c r="F2458" s="15"/>
      <c r="G2458" s="15"/>
      <c r="H2458" s="15"/>
    </row>
    <row r="2459" spans="1:8" x14ac:dyDescent="0.3">
      <c r="A2459" s="15"/>
      <c r="B2459" s="15"/>
      <c r="C2459" s="8" t="s">
        <v>8</v>
      </c>
      <c r="D2459" s="2">
        <v>72.62</v>
      </c>
      <c r="E2459" s="15"/>
      <c r="F2459" s="15"/>
      <c r="G2459" s="15"/>
      <c r="H2459" s="15"/>
    </row>
    <row r="2460" spans="1:8" x14ac:dyDescent="0.3">
      <c r="A2460" s="15"/>
      <c r="B2460" s="15"/>
      <c r="C2460" s="3" t="s">
        <v>13</v>
      </c>
      <c r="D2460" s="2">
        <v>12.62</v>
      </c>
      <c r="E2460" s="15"/>
      <c r="F2460" s="15"/>
      <c r="G2460" s="15"/>
      <c r="H2460" s="15"/>
    </row>
    <row r="2461" spans="1:8" x14ac:dyDescent="0.3">
      <c r="A2461" s="15"/>
      <c r="B2461" s="15"/>
      <c r="C2461" s="3" t="s">
        <v>14</v>
      </c>
      <c r="D2461" s="2">
        <v>21.18</v>
      </c>
      <c r="E2461" s="15"/>
      <c r="F2461" s="15"/>
      <c r="G2461" s="15"/>
      <c r="H2461" s="15"/>
    </row>
    <row r="2462" spans="1:8" x14ac:dyDescent="0.3">
      <c r="A2462" s="16"/>
      <c r="B2462" s="16"/>
      <c r="C2462" s="3" t="s">
        <v>12</v>
      </c>
      <c r="D2462" s="7">
        <v>16.452999999999999</v>
      </c>
      <c r="E2462" s="16"/>
      <c r="F2462" s="16"/>
      <c r="G2462" s="16"/>
      <c r="H2462" s="16"/>
    </row>
    <row r="2463" spans="1:8" x14ac:dyDescent="0.3">
      <c r="A2463" s="18">
        <v>411</v>
      </c>
      <c r="B2463" s="20">
        <v>45482</v>
      </c>
      <c r="C2463" s="8" t="s">
        <v>11</v>
      </c>
      <c r="D2463" s="2">
        <v>9.99</v>
      </c>
      <c r="E2463" s="19">
        <f>SUM(D2463:D2468)</f>
        <v>115.00299999999999</v>
      </c>
      <c r="F2463" s="17">
        <f>INT(MAX(D2463:D2468))</f>
        <v>40</v>
      </c>
      <c r="G2463" s="14">
        <f>INT((F2463/10)*2)</f>
        <v>8</v>
      </c>
      <c r="H2463" s="14">
        <f>F2463-G2463</f>
        <v>32</v>
      </c>
    </row>
    <row r="2464" spans="1:8" x14ac:dyDescent="0.3">
      <c r="A2464" s="15"/>
      <c r="B2464" s="15"/>
      <c r="C2464" s="3" t="s">
        <v>8</v>
      </c>
      <c r="D2464" s="2">
        <v>6.1</v>
      </c>
      <c r="E2464" s="15"/>
      <c r="F2464" s="15"/>
      <c r="G2464" s="15"/>
      <c r="H2464" s="15"/>
    </row>
    <row r="2465" spans="1:8" x14ac:dyDescent="0.3">
      <c r="A2465" s="15"/>
      <c r="B2465" s="15"/>
      <c r="C2465" s="3" t="s">
        <v>10</v>
      </c>
      <c r="D2465" s="2">
        <v>5.72</v>
      </c>
      <c r="E2465" s="15"/>
      <c r="F2465" s="15"/>
      <c r="G2465" s="15"/>
      <c r="H2465" s="15"/>
    </row>
    <row r="2466" spans="1:8" x14ac:dyDescent="0.3">
      <c r="A2466" s="15"/>
      <c r="B2466" s="15"/>
      <c r="C2466" s="3" t="s">
        <v>9</v>
      </c>
      <c r="D2466" s="2">
        <v>16.53</v>
      </c>
      <c r="E2466" s="15"/>
      <c r="F2466" s="15"/>
      <c r="G2466" s="15"/>
      <c r="H2466" s="15"/>
    </row>
    <row r="2467" spans="1:8" x14ac:dyDescent="0.3">
      <c r="A2467" s="15"/>
      <c r="B2467" s="15"/>
      <c r="C2467" s="3" t="s">
        <v>14</v>
      </c>
      <c r="D2467" s="7">
        <v>35.902999999999999</v>
      </c>
      <c r="E2467" s="15"/>
      <c r="F2467" s="15"/>
      <c r="G2467" s="15"/>
      <c r="H2467" s="15"/>
    </row>
    <row r="2468" spans="1:8" x14ac:dyDescent="0.3">
      <c r="A2468" s="16"/>
      <c r="B2468" s="16"/>
      <c r="C2468" s="8" t="s">
        <v>12</v>
      </c>
      <c r="D2468" s="2">
        <v>40.76</v>
      </c>
      <c r="E2468" s="16"/>
      <c r="F2468" s="16"/>
      <c r="G2468" s="16"/>
      <c r="H2468" s="16"/>
    </row>
    <row r="2469" spans="1:8" x14ac:dyDescent="0.3">
      <c r="A2469" s="18">
        <v>412</v>
      </c>
      <c r="B2469" s="20">
        <v>45485</v>
      </c>
      <c r="C2469" s="3" t="s">
        <v>15</v>
      </c>
      <c r="D2469" s="2">
        <v>46.56</v>
      </c>
      <c r="E2469" s="19">
        <f>SUM(D2469:D2474)</f>
        <v>386.59699999999998</v>
      </c>
      <c r="F2469" s="17">
        <f>INT(MAX(D2469:D2474))</f>
        <v>124</v>
      </c>
      <c r="G2469" s="14">
        <f>INT((F2469/10)*2)</f>
        <v>24</v>
      </c>
      <c r="H2469" s="14">
        <f>F2469-G2469</f>
        <v>100</v>
      </c>
    </row>
    <row r="2470" spans="1:8" x14ac:dyDescent="0.3">
      <c r="A2470" s="15"/>
      <c r="B2470" s="15"/>
      <c r="C2470" s="3" t="s">
        <v>17</v>
      </c>
      <c r="D2470" s="2">
        <v>20.98</v>
      </c>
      <c r="E2470" s="15"/>
      <c r="F2470" s="15"/>
      <c r="G2470" s="15"/>
      <c r="H2470" s="15"/>
    </row>
    <row r="2471" spans="1:8" x14ac:dyDescent="0.3">
      <c r="A2471" s="15"/>
      <c r="B2471" s="15"/>
      <c r="C2471" s="3" t="s">
        <v>8</v>
      </c>
      <c r="D2471" s="2">
        <v>124.33</v>
      </c>
      <c r="E2471" s="15"/>
      <c r="F2471" s="15"/>
      <c r="G2471" s="15"/>
      <c r="H2471" s="15"/>
    </row>
    <row r="2472" spans="1:8" x14ac:dyDescent="0.3">
      <c r="A2472" s="15"/>
      <c r="B2472" s="15"/>
      <c r="C2472" s="3" t="s">
        <v>11</v>
      </c>
      <c r="D2472" s="2">
        <v>61.97</v>
      </c>
      <c r="E2472" s="15"/>
      <c r="F2472" s="15"/>
      <c r="G2472" s="15"/>
      <c r="H2472" s="15"/>
    </row>
    <row r="2473" spans="1:8" x14ac:dyDescent="0.3">
      <c r="A2473" s="15"/>
      <c r="B2473" s="15"/>
      <c r="C2473" s="3" t="s">
        <v>9</v>
      </c>
      <c r="D2473" s="7">
        <v>82.757000000000005</v>
      </c>
      <c r="E2473" s="15"/>
      <c r="F2473" s="15"/>
      <c r="G2473" s="15"/>
      <c r="H2473" s="15"/>
    </row>
    <row r="2474" spans="1:8" x14ac:dyDescent="0.3">
      <c r="A2474" s="16"/>
      <c r="B2474" s="16"/>
      <c r="C2474" s="8" t="s">
        <v>9</v>
      </c>
      <c r="D2474" s="2">
        <v>50</v>
      </c>
      <c r="E2474" s="16"/>
      <c r="F2474" s="16"/>
      <c r="G2474" s="16"/>
      <c r="H2474" s="16"/>
    </row>
    <row r="2475" spans="1:8" x14ac:dyDescent="0.3">
      <c r="A2475" s="18">
        <v>413</v>
      </c>
      <c r="B2475" s="20">
        <v>45489</v>
      </c>
      <c r="C2475" s="3" t="s">
        <v>8</v>
      </c>
      <c r="D2475" s="2">
        <v>35.22</v>
      </c>
      <c r="E2475" s="19">
        <f>SUM(D2475:D2480)</f>
        <v>100.899</v>
      </c>
      <c r="F2475" s="17">
        <f>INT(MAX(D2475:D2480))</f>
        <v>35</v>
      </c>
      <c r="G2475" s="14">
        <f>INT((F2475/10)*2)</f>
        <v>7</v>
      </c>
      <c r="H2475" s="14">
        <f>F2475-G2475</f>
        <v>28</v>
      </c>
    </row>
    <row r="2476" spans="1:8" x14ac:dyDescent="0.3">
      <c r="A2476" s="15"/>
      <c r="B2476" s="15"/>
      <c r="C2476" s="3" t="s">
        <v>10</v>
      </c>
      <c r="D2476" s="7">
        <v>11.839</v>
      </c>
      <c r="E2476" s="15"/>
      <c r="F2476" s="15"/>
      <c r="G2476" s="15"/>
      <c r="H2476" s="15"/>
    </row>
    <row r="2477" spans="1:8" x14ac:dyDescent="0.3">
      <c r="A2477" s="15"/>
      <c r="B2477" s="15"/>
      <c r="C2477" s="8" t="s">
        <v>10</v>
      </c>
      <c r="D2477" s="2">
        <v>11.76</v>
      </c>
      <c r="E2477" s="15"/>
      <c r="F2477" s="15"/>
      <c r="G2477" s="15"/>
      <c r="H2477" s="15"/>
    </row>
    <row r="2478" spans="1:8" x14ac:dyDescent="0.3">
      <c r="A2478" s="15"/>
      <c r="B2478" s="15"/>
      <c r="C2478" s="3" t="s">
        <v>16</v>
      </c>
      <c r="D2478" s="2">
        <v>12.41</v>
      </c>
      <c r="E2478" s="15"/>
      <c r="F2478" s="15"/>
      <c r="G2478" s="15"/>
      <c r="H2478" s="15"/>
    </row>
    <row r="2479" spans="1:8" x14ac:dyDescent="0.3">
      <c r="A2479" s="15"/>
      <c r="B2479" s="15"/>
      <c r="C2479" s="3" t="s">
        <v>12</v>
      </c>
      <c r="D2479" s="2">
        <v>18.91</v>
      </c>
      <c r="E2479" s="15"/>
      <c r="F2479" s="15"/>
      <c r="G2479" s="15"/>
      <c r="H2479" s="15"/>
    </row>
    <row r="2480" spans="1:8" x14ac:dyDescent="0.3">
      <c r="A2480" s="16"/>
      <c r="B2480" s="16"/>
      <c r="C2480" s="3" t="s">
        <v>14</v>
      </c>
      <c r="D2480" s="2">
        <v>10.76</v>
      </c>
      <c r="E2480" s="16"/>
      <c r="F2480" s="16"/>
      <c r="G2480" s="16"/>
      <c r="H2480" s="16"/>
    </row>
    <row r="2481" spans="1:8" x14ac:dyDescent="0.3">
      <c r="A2481" s="18">
        <v>414</v>
      </c>
      <c r="B2481" s="20">
        <v>45492</v>
      </c>
      <c r="C2481" s="3" t="s">
        <v>17</v>
      </c>
      <c r="D2481" s="7">
        <v>9.7170000000000005</v>
      </c>
      <c r="E2481" s="19">
        <f>SUM(D2481:D2486)</f>
        <v>51.217000000000006</v>
      </c>
      <c r="F2481" s="17">
        <f>INT(MAX(D2481:D2486))</f>
        <v>12</v>
      </c>
      <c r="G2481" s="14">
        <f>INT((F2481/10)*2)</f>
        <v>2</v>
      </c>
      <c r="H2481" s="14">
        <f>F2481-G2481</f>
        <v>10</v>
      </c>
    </row>
    <row r="2482" spans="1:8" x14ac:dyDescent="0.3">
      <c r="A2482" s="15"/>
      <c r="B2482" s="15"/>
      <c r="C2482" s="8" t="s">
        <v>17</v>
      </c>
      <c r="D2482" s="2">
        <v>9.84</v>
      </c>
      <c r="E2482" s="15"/>
      <c r="F2482" s="15"/>
      <c r="G2482" s="15"/>
      <c r="H2482" s="15"/>
    </row>
    <row r="2483" spans="1:8" x14ac:dyDescent="0.3">
      <c r="A2483" s="15"/>
      <c r="B2483" s="15"/>
      <c r="C2483" s="3" t="s">
        <v>18</v>
      </c>
      <c r="D2483" s="2">
        <v>10.06</v>
      </c>
      <c r="E2483" s="15"/>
      <c r="F2483" s="15"/>
      <c r="G2483" s="15"/>
      <c r="H2483" s="15"/>
    </row>
    <row r="2484" spans="1:8" x14ac:dyDescent="0.3">
      <c r="A2484" s="15"/>
      <c r="B2484" s="15"/>
      <c r="C2484" s="3" t="s">
        <v>11</v>
      </c>
      <c r="D2484" s="2">
        <v>5.48</v>
      </c>
      <c r="E2484" s="15"/>
      <c r="F2484" s="15"/>
      <c r="G2484" s="15"/>
      <c r="H2484" s="15"/>
    </row>
    <row r="2485" spans="1:8" x14ac:dyDescent="0.3">
      <c r="A2485" s="15"/>
      <c r="B2485" s="15"/>
      <c r="C2485" s="3" t="s">
        <v>9</v>
      </c>
      <c r="D2485" s="2">
        <v>12.44</v>
      </c>
      <c r="E2485" s="15"/>
      <c r="F2485" s="15"/>
      <c r="G2485" s="15"/>
      <c r="H2485" s="15"/>
    </row>
    <row r="2486" spans="1:8" x14ac:dyDescent="0.3">
      <c r="A2486" s="16"/>
      <c r="B2486" s="16"/>
      <c r="C2486" s="3" t="s">
        <v>12</v>
      </c>
      <c r="D2486" s="2">
        <v>3.68</v>
      </c>
      <c r="E2486" s="16"/>
      <c r="F2486" s="16"/>
      <c r="G2486" s="16"/>
      <c r="H2486" s="16"/>
    </row>
    <row r="2487" spans="1:8" x14ac:dyDescent="0.3">
      <c r="A2487" s="18">
        <v>415</v>
      </c>
      <c r="B2487" s="20">
        <v>45496</v>
      </c>
      <c r="C2487" s="3" t="s">
        <v>10</v>
      </c>
      <c r="D2487" s="7">
        <v>41.982999999999997</v>
      </c>
      <c r="E2487" s="19">
        <f>SUM(D2487:D2492)</f>
        <v>213.703</v>
      </c>
      <c r="F2487" s="17">
        <f>INT(MAX(D2487:D2492))</f>
        <v>75</v>
      </c>
      <c r="G2487" s="14">
        <f>INT((F2487/10)*2)</f>
        <v>15</v>
      </c>
      <c r="H2487" s="14">
        <f>F2487-G2487</f>
        <v>60</v>
      </c>
    </row>
    <row r="2488" spans="1:8" x14ac:dyDescent="0.3">
      <c r="A2488" s="15"/>
      <c r="B2488" s="15"/>
      <c r="C2488" s="8" t="s">
        <v>9</v>
      </c>
      <c r="D2488" s="2">
        <v>25.73</v>
      </c>
      <c r="E2488" s="15"/>
      <c r="F2488" s="15"/>
      <c r="G2488" s="15"/>
      <c r="H2488" s="15"/>
    </row>
    <row r="2489" spans="1:8" x14ac:dyDescent="0.3">
      <c r="A2489" s="15"/>
      <c r="B2489" s="15"/>
      <c r="C2489" s="3" t="s">
        <v>17</v>
      </c>
      <c r="D2489" s="2">
        <v>30.62</v>
      </c>
      <c r="E2489" s="15"/>
      <c r="F2489" s="15"/>
      <c r="G2489" s="15"/>
      <c r="H2489" s="15"/>
    </row>
    <row r="2490" spans="1:8" x14ac:dyDescent="0.3">
      <c r="A2490" s="15"/>
      <c r="B2490" s="15"/>
      <c r="C2490" s="3" t="s">
        <v>13</v>
      </c>
      <c r="D2490" s="2">
        <v>25.3</v>
      </c>
      <c r="E2490" s="15"/>
      <c r="F2490" s="15"/>
      <c r="G2490" s="15"/>
      <c r="H2490" s="15"/>
    </row>
    <row r="2491" spans="1:8" x14ac:dyDescent="0.3">
      <c r="A2491" s="15"/>
      <c r="B2491" s="15"/>
      <c r="C2491" s="3" t="s">
        <v>16</v>
      </c>
      <c r="D2491" s="2">
        <v>75.2</v>
      </c>
      <c r="E2491" s="15"/>
      <c r="F2491" s="15"/>
      <c r="G2491" s="15"/>
      <c r="H2491" s="15"/>
    </row>
    <row r="2492" spans="1:8" x14ac:dyDescent="0.3">
      <c r="A2492" s="16"/>
      <c r="B2492" s="16"/>
      <c r="C2492" s="3" t="s">
        <v>11</v>
      </c>
      <c r="D2492" s="2">
        <v>14.87</v>
      </c>
      <c r="E2492" s="16"/>
      <c r="F2492" s="16"/>
      <c r="G2492" s="16"/>
      <c r="H2492" s="16"/>
    </row>
    <row r="2493" spans="1:8" x14ac:dyDescent="0.3">
      <c r="A2493" s="18">
        <v>416</v>
      </c>
      <c r="B2493" s="20">
        <v>45499</v>
      </c>
      <c r="C2493" s="3" t="s">
        <v>12</v>
      </c>
      <c r="D2493" s="7">
        <v>54.622</v>
      </c>
      <c r="E2493" s="19">
        <f>SUM(D2493:D2498)</f>
        <v>433.59399999999999</v>
      </c>
      <c r="F2493" s="17">
        <f>INT(MAX(D2493:D2498))</f>
        <v>131</v>
      </c>
      <c r="G2493" s="14">
        <f>INT((F2493/10)*2)</f>
        <v>26</v>
      </c>
      <c r="H2493" s="14">
        <f>F2493-G2493</f>
        <v>105</v>
      </c>
    </row>
    <row r="2494" spans="1:8" x14ac:dyDescent="0.3">
      <c r="A2494" s="15"/>
      <c r="B2494" s="15"/>
      <c r="C2494" s="8" t="s">
        <v>15</v>
      </c>
      <c r="D2494" s="2">
        <v>79.599999999999994</v>
      </c>
      <c r="E2494" s="15"/>
      <c r="F2494" s="15"/>
      <c r="G2494" s="15"/>
      <c r="H2494" s="15"/>
    </row>
    <row r="2495" spans="1:8" x14ac:dyDescent="0.3">
      <c r="A2495" s="15"/>
      <c r="B2495" s="15"/>
      <c r="C2495" s="3" t="s">
        <v>13</v>
      </c>
      <c r="D2495" s="2">
        <v>131.03</v>
      </c>
      <c r="E2495" s="15"/>
      <c r="F2495" s="15"/>
      <c r="G2495" s="15"/>
      <c r="H2495" s="15"/>
    </row>
    <row r="2496" spans="1:8" x14ac:dyDescent="0.3">
      <c r="A2496" s="15"/>
      <c r="B2496" s="15"/>
      <c r="C2496" s="3" t="s">
        <v>11</v>
      </c>
      <c r="D2496" s="2">
        <v>67.849999999999994</v>
      </c>
      <c r="E2496" s="15"/>
      <c r="F2496" s="15"/>
      <c r="G2496" s="15"/>
      <c r="H2496" s="15"/>
    </row>
    <row r="2497" spans="1:8" x14ac:dyDescent="0.3">
      <c r="A2497" s="15"/>
      <c r="B2497" s="15"/>
      <c r="C2497" s="3" t="s">
        <v>16</v>
      </c>
      <c r="D2497" s="2">
        <v>86.56</v>
      </c>
      <c r="E2497" s="15"/>
      <c r="F2497" s="15"/>
      <c r="G2497" s="15"/>
      <c r="H2497" s="15"/>
    </row>
    <row r="2498" spans="1:8" x14ac:dyDescent="0.3">
      <c r="A2498" s="16"/>
      <c r="B2498" s="16"/>
      <c r="C2498" s="3" t="s">
        <v>9</v>
      </c>
      <c r="D2498" s="7">
        <v>13.932</v>
      </c>
      <c r="E2498" s="16"/>
      <c r="F2498" s="16"/>
      <c r="G2498" s="16"/>
      <c r="H2498" s="16"/>
    </row>
    <row r="2499" spans="1:8" x14ac:dyDescent="0.3">
      <c r="A2499" s="18">
        <v>417</v>
      </c>
      <c r="B2499" s="20">
        <v>45503</v>
      </c>
      <c r="C2499" s="8" t="s">
        <v>9</v>
      </c>
      <c r="D2499" s="2">
        <v>4.22</v>
      </c>
      <c r="E2499" s="19">
        <f>SUM(D2499:D2504)</f>
        <v>128.11699999999999</v>
      </c>
      <c r="F2499" s="17">
        <f>INT(MAX(D2499:D2504))</f>
        <v>53</v>
      </c>
      <c r="G2499" s="14">
        <f>INT((F2499/10)*2)</f>
        <v>10</v>
      </c>
      <c r="H2499" s="14">
        <f>F2499-G2499</f>
        <v>43</v>
      </c>
    </row>
    <row r="2500" spans="1:8" x14ac:dyDescent="0.3">
      <c r="A2500" s="15"/>
      <c r="B2500" s="15"/>
      <c r="C2500" s="3" t="s">
        <v>18</v>
      </c>
      <c r="D2500" s="2">
        <v>4.8600000000000003</v>
      </c>
      <c r="E2500" s="15"/>
      <c r="F2500" s="15"/>
      <c r="G2500" s="15"/>
      <c r="H2500" s="15"/>
    </row>
    <row r="2501" spans="1:8" x14ac:dyDescent="0.3">
      <c r="A2501" s="15"/>
      <c r="B2501" s="15"/>
      <c r="C2501" s="3" t="s">
        <v>8</v>
      </c>
      <c r="D2501" s="2">
        <v>25.82</v>
      </c>
      <c r="E2501" s="15"/>
      <c r="F2501" s="15"/>
      <c r="G2501" s="15"/>
      <c r="H2501" s="15"/>
    </row>
    <row r="2502" spans="1:8" x14ac:dyDescent="0.3">
      <c r="A2502" s="15"/>
      <c r="B2502" s="15"/>
      <c r="C2502" s="3" t="s">
        <v>13</v>
      </c>
      <c r="D2502" s="2">
        <v>18.82</v>
      </c>
      <c r="E2502" s="15"/>
      <c r="F2502" s="15"/>
      <c r="G2502" s="15"/>
      <c r="H2502" s="15"/>
    </row>
    <row r="2503" spans="1:8" x14ac:dyDescent="0.3">
      <c r="A2503" s="15"/>
      <c r="B2503" s="15"/>
      <c r="C2503" s="3" t="s">
        <v>16</v>
      </c>
      <c r="D2503" s="7">
        <v>20.486999999999998</v>
      </c>
      <c r="E2503" s="15"/>
      <c r="F2503" s="15"/>
      <c r="G2503" s="15"/>
      <c r="H2503" s="15"/>
    </row>
    <row r="2504" spans="1:8" x14ac:dyDescent="0.3">
      <c r="A2504" s="16"/>
      <c r="B2504" s="16"/>
      <c r="C2504" s="8" t="s">
        <v>12</v>
      </c>
      <c r="D2504" s="2">
        <v>53.91</v>
      </c>
      <c r="E2504" s="16"/>
      <c r="F2504" s="16"/>
      <c r="G2504" s="16"/>
      <c r="H2504" s="16"/>
    </row>
    <row r="2505" spans="1:8" x14ac:dyDescent="0.3">
      <c r="A2505" s="18">
        <v>418</v>
      </c>
      <c r="B2505" s="20">
        <v>45506</v>
      </c>
      <c r="C2505" s="3" t="s">
        <v>13</v>
      </c>
      <c r="D2505" s="2">
        <v>16.100000000000001</v>
      </c>
      <c r="E2505" s="19">
        <f>SUM(D2505:D2510)</f>
        <v>81.924000000000007</v>
      </c>
      <c r="F2505" s="17">
        <f>INT(MAX(D2505:D2510))</f>
        <v>19</v>
      </c>
      <c r="G2505" s="14">
        <f>INT((F2505/10)*2)</f>
        <v>3</v>
      </c>
      <c r="H2505" s="14">
        <f>F2505-G2505</f>
        <v>16</v>
      </c>
    </row>
    <row r="2506" spans="1:8" x14ac:dyDescent="0.3">
      <c r="A2506" s="15"/>
      <c r="B2506" s="15"/>
      <c r="C2506" s="3" t="s">
        <v>10</v>
      </c>
      <c r="D2506" s="2">
        <v>10.56</v>
      </c>
      <c r="E2506" s="15"/>
      <c r="F2506" s="15"/>
      <c r="G2506" s="15"/>
      <c r="H2506" s="15"/>
    </row>
    <row r="2507" spans="1:8" x14ac:dyDescent="0.3">
      <c r="A2507" s="15"/>
      <c r="B2507" s="15"/>
      <c r="C2507" s="3" t="s">
        <v>14</v>
      </c>
      <c r="D2507" s="2">
        <v>13.66</v>
      </c>
      <c r="E2507" s="15"/>
      <c r="F2507" s="15"/>
      <c r="G2507" s="15"/>
      <c r="H2507" s="15"/>
    </row>
    <row r="2508" spans="1:8" x14ac:dyDescent="0.3">
      <c r="A2508" s="15"/>
      <c r="B2508" s="15"/>
      <c r="C2508" s="3" t="s">
        <v>18</v>
      </c>
      <c r="D2508" s="2">
        <v>16.96</v>
      </c>
      <c r="E2508" s="15"/>
      <c r="F2508" s="15"/>
      <c r="G2508" s="15"/>
      <c r="H2508" s="15"/>
    </row>
    <row r="2509" spans="1:8" x14ac:dyDescent="0.3">
      <c r="A2509" s="15"/>
      <c r="B2509" s="15"/>
      <c r="C2509" s="3" t="s">
        <v>16</v>
      </c>
      <c r="D2509" s="7">
        <v>4.8940000000000001</v>
      </c>
      <c r="E2509" s="15"/>
      <c r="F2509" s="15"/>
      <c r="G2509" s="15"/>
      <c r="H2509" s="15"/>
    </row>
    <row r="2510" spans="1:8" x14ac:dyDescent="0.3">
      <c r="A2510" s="16"/>
      <c r="B2510" s="16"/>
      <c r="C2510" s="8" t="s">
        <v>12</v>
      </c>
      <c r="D2510" s="2">
        <v>19.75</v>
      </c>
      <c r="E2510" s="16"/>
      <c r="F2510" s="16"/>
      <c r="G2510" s="16"/>
      <c r="H2510" s="16"/>
    </row>
    <row r="2511" spans="1:8" x14ac:dyDescent="0.3">
      <c r="A2511" s="18">
        <v>419</v>
      </c>
      <c r="B2511" s="20">
        <v>45510</v>
      </c>
      <c r="C2511" s="3" t="s">
        <v>14</v>
      </c>
      <c r="D2511" s="2">
        <v>25.66</v>
      </c>
      <c r="E2511" s="19">
        <f>SUM(D2511:D2516)</f>
        <v>78.396999999999991</v>
      </c>
      <c r="F2511" s="17">
        <f>INT(MAX(D2511:D2516))</f>
        <v>25</v>
      </c>
      <c r="G2511" s="14">
        <f>INT((F2511/10)*2)</f>
        <v>5</v>
      </c>
      <c r="H2511" s="14">
        <f>F2511-G2511</f>
        <v>20</v>
      </c>
    </row>
    <row r="2512" spans="1:8" x14ac:dyDescent="0.3">
      <c r="A2512" s="15"/>
      <c r="B2512" s="15"/>
      <c r="C2512" s="3" t="s">
        <v>13</v>
      </c>
      <c r="D2512" s="2">
        <v>15.37</v>
      </c>
      <c r="E2512" s="15"/>
      <c r="F2512" s="15"/>
      <c r="G2512" s="15"/>
      <c r="H2512" s="15"/>
    </row>
    <row r="2513" spans="1:8" x14ac:dyDescent="0.3">
      <c r="A2513" s="15"/>
      <c r="B2513" s="15"/>
      <c r="C2513" s="3" t="s">
        <v>16</v>
      </c>
      <c r="D2513" s="7">
        <v>8.5570000000000004</v>
      </c>
      <c r="E2513" s="15"/>
      <c r="F2513" s="15"/>
      <c r="G2513" s="15"/>
      <c r="H2513" s="15"/>
    </row>
    <row r="2514" spans="1:8" x14ac:dyDescent="0.3">
      <c r="A2514" s="15"/>
      <c r="B2514" s="15"/>
      <c r="C2514" s="8" t="s">
        <v>10</v>
      </c>
      <c r="D2514" s="2">
        <v>9.5500000000000007</v>
      </c>
      <c r="E2514" s="15"/>
      <c r="F2514" s="15"/>
      <c r="G2514" s="15"/>
      <c r="H2514" s="15"/>
    </row>
    <row r="2515" spans="1:8" x14ac:dyDescent="0.3">
      <c r="A2515" s="15"/>
      <c r="B2515" s="15"/>
      <c r="C2515" s="3" t="s">
        <v>8</v>
      </c>
      <c r="D2515" s="2">
        <v>13.79</v>
      </c>
      <c r="E2515" s="15"/>
      <c r="F2515" s="15"/>
      <c r="G2515" s="15"/>
      <c r="H2515" s="15"/>
    </row>
    <row r="2516" spans="1:8" x14ac:dyDescent="0.3">
      <c r="A2516" s="16"/>
      <c r="B2516" s="16"/>
      <c r="C2516" s="3" t="s">
        <v>15</v>
      </c>
      <c r="D2516" s="2">
        <v>5.47</v>
      </c>
      <c r="E2516" s="16"/>
      <c r="F2516" s="16"/>
      <c r="G2516" s="16"/>
      <c r="H2516" s="16"/>
    </row>
    <row r="2517" spans="1:8" x14ac:dyDescent="0.3">
      <c r="A2517" s="18">
        <v>420</v>
      </c>
      <c r="B2517" s="20">
        <v>45513</v>
      </c>
      <c r="C2517" s="3" t="s">
        <v>14</v>
      </c>
      <c r="D2517" s="7">
        <v>23.79</v>
      </c>
      <c r="E2517" s="19">
        <f>SUM(D2517:D2522)</f>
        <v>140.41499999999999</v>
      </c>
      <c r="F2517" s="17">
        <f>INT(MAX(D2517:D2522))</f>
        <v>31</v>
      </c>
      <c r="G2517" s="14">
        <f>INT((F2517/10)*2)</f>
        <v>6</v>
      </c>
      <c r="H2517" s="14">
        <f>F2517-G2517</f>
        <v>25</v>
      </c>
    </row>
    <row r="2518" spans="1:8" x14ac:dyDescent="0.3">
      <c r="A2518" s="15"/>
      <c r="B2518" s="15"/>
      <c r="C2518" s="8" t="s">
        <v>16</v>
      </c>
      <c r="D2518" s="2">
        <v>31.82</v>
      </c>
      <c r="E2518" s="15"/>
      <c r="F2518" s="15"/>
      <c r="G2518" s="15"/>
      <c r="H2518" s="15"/>
    </row>
    <row r="2519" spans="1:8" x14ac:dyDescent="0.3">
      <c r="A2519" s="15"/>
      <c r="B2519" s="15"/>
      <c r="C2519" s="3" t="s">
        <v>12</v>
      </c>
      <c r="D2519" s="2">
        <v>21.93</v>
      </c>
      <c r="E2519" s="15"/>
      <c r="F2519" s="15"/>
      <c r="G2519" s="15"/>
      <c r="H2519" s="15"/>
    </row>
    <row r="2520" spans="1:8" x14ac:dyDescent="0.3">
      <c r="A2520" s="15"/>
      <c r="B2520" s="15"/>
      <c r="C2520" s="3" t="s">
        <v>18</v>
      </c>
      <c r="D2520" s="2">
        <v>30.74</v>
      </c>
      <c r="E2520" s="15"/>
      <c r="F2520" s="15"/>
      <c r="G2520" s="15"/>
      <c r="H2520" s="15"/>
    </row>
    <row r="2521" spans="1:8" x14ac:dyDescent="0.3">
      <c r="A2521" s="15"/>
      <c r="B2521" s="15"/>
      <c r="C2521" s="3" t="s">
        <v>14</v>
      </c>
      <c r="D2521" s="7">
        <v>29.445</v>
      </c>
      <c r="E2521" s="15"/>
      <c r="F2521" s="15"/>
      <c r="G2521" s="15"/>
      <c r="H2521" s="15"/>
    </row>
    <row r="2522" spans="1:8" x14ac:dyDescent="0.3">
      <c r="A2522" s="16"/>
      <c r="B2522" s="16"/>
      <c r="C2522" s="8" t="s">
        <v>13</v>
      </c>
      <c r="D2522" s="2">
        <v>2.69</v>
      </c>
      <c r="E2522" s="16"/>
      <c r="F2522" s="16"/>
      <c r="G2522" s="16"/>
      <c r="H2522" s="16"/>
    </row>
    <row r="2523" spans="1:8" x14ac:dyDescent="0.3">
      <c r="A2523" s="18">
        <v>421</v>
      </c>
      <c r="B2523" s="20">
        <v>45517</v>
      </c>
      <c r="C2523" s="3" t="s">
        <v>18</v>
      </c>
      <c r="D2523" s="2">
        <v>7.33</v>
      </c>
      <c r="E2523" s="19">
        <f>SUM(D2523:D2528)</f>
        <v>237.255</v>
      </c>
      <c r="F2523" s="17">
        <f>INT(MAX(D2523:D2528))</f>
        <v>70</v>
      </c>
      <c r="G2523" s="14">
        <f>INT((F2523/10)*2)</f>
        <v>14</v>
      </c>
      <c r="H2523" s="14">
        <f>F2523-G2523</f>
        <v>56</v>
      </c>
    </row>
    <row r="2524" spans="1:8" x14ac:dyDescent="0.3">
      <c r="A2524" s="15"/>
      <c r="B2524" s="15"/>
      <c r="C2524" s="3" t="s">
        <v>10</v>
      </c>
      <c r="D2524" s="7">
        <v>22.664999999999999</v>
      </c>
      <c r="E2524" s="15"/>
      <c r="F2524" s="15"/>
      <c r="G2524" s="15"/>
      <c r="H2524" s="15"/>
    </row>
    <row r="2525" spans="1:8" x14ac:dyDescent="0.3">
      <c r="A2525" s="15"/>
      <c r="B2525" s="15"/>
      <c r="C2525" s="8" t="s">
        <v>18</v>
      </c>
      <c r="D2525" s="2">
        <v>47.12</v>
      </c>
      <c r="E2525" s="15"/>
      <c r="F2525" s="15"/>
      <c r="G2525" s="15"/>
      <c r="H2525" s="15"/>
    </row>
    <row r="2526" spans="1:8" x14ac:dyDescent="0.3">
      <c r="A2526" s="15"/>
      <c r="B2526" s="15"/>
      <c r="C2526" s="3" t="s">
        <v>17</v>
      </c>
      <c r="D2526" s="2">
        <v>50</v>
      </c>
      <c r="E2526" s="15"/>
      <c r="F2526" s="15"/>
      <c r="G2526" s="15"/>
      <c r="H2526" s="15"/>
    </row>
    <row r="2527" spans="1:8" x14ac:dyDescent="0.3">
      <c r="A2527" s="15"/>
      <c r="B2527" s="15"/>
      <c r="C2527" s="3" t="s">
        <v>10</v>
      </c>
      <c r="D2527" s="2">
        <v>40.14</v>
      </c>
      <c r="E2527" s="15"/>
      <c r="F2527" s="15"/>
      <c r="G2527" s="15"/>
      <c r="H2527" s="15"/>
    </row>
    <row r="2528" spans="1:8" x14ac:dyDescent="0.3">
      <c r="A2528" s="16"/>
      <c r="B2528" s="16"/>
      <c r="C2528" s="3" t="s">
        <v>14</v>
      </c>
      <c r="D2528" s="2">
        <v>70</v>
      </c>
      <c r="E2528" s="16"/>
      <c r="F2528" s="16"/>
      <c r="G2528" s="16"/>
      <c r="H2528" s="16"/>
    </row>
    <row r="2529" spans="1:8" x14ac:dyDescent="0.3">
      <c r="A2529" s="18">
        <v>422</v>
      </c>
      <c r="B2529" s="20">
        <v>45520</v>
      </c>
      <c r="C2529" s="3" t="s">
        <v>16</v>
      </c>
      <c r="D2529" s="7">
        <v>24.241</v>
      </c>
      <c r="E2529" s="19">
        <f>SUM(D2529:D2534)</f>
        <v>295.07299999999998</v>
      </c>
      <c r="F2529" s="17">
        <f>INT(MAX(D2529:D2534))</f>
        <v>101</v>
      </c>
      <c r="G2529" s="14">
        <f>INT((F2529/10)*2)</f>
        <v>20</v>
      </c>
      <c r="H2529" s="14">
        <f>F2529-G2529</f>
        <v>81</v>
      </c>
    </row>
    <row r="2530" spans="1:8" x14ac:dyDescent="0.3">
      <c r="A2530" s="15"/>
      <c r="B2530" s="15"/>
      <c r="C2530" s="8" t="s">
        <v>18</v>
      </c>
      <c r="D2530" s="2">
        <v>40.81</v>
      </c>
      <c r="E2530" s="15"/>
      <c r="F2530" s="15"/>
      <c r="G2530" s="15"/>
      <c r="H2530" s="15"/>
    </row>
    <row r="2531" spans="1:8" x14ac:dyDescent="0.3">
      <c r="A2531" s="15"/>
      <c r="B2531" s="15"/>
      <c r="C2531" s="3" t="s">
        <v>9</v>
      </c>
      <c r="D2531" s="2">
        <v>101.18</v>
      </c>
      <c r="E2531" s="15"/>
      <c r="F2531" s="15"/>
      <c r="G2531" s="15"/>
      <c r="H2531" s="15"/>
    </row>
    <row r="2532" spans="1:8" x14ac:dyDescent="0.3">
      <c r="A2532" s="15"/>
      <c r="B2532" s="15"/>
      <c r="C2532" s="3" t="s">
        <v>13</v>
      </c>
      <c r="D2532" s="2">
        <v>16.88</v>
      </c>
      <c r="E2532" s="15"/>
      <c r="F2532" s="15"/>
      <c r="G2532" s="15"/>
      <c r="H2532" s="15"/>
    </row>
    <row r="2533" spans="1:8" x14ac:dyDescent="0.3">
      <c r="A2533" s="15"/>
      <c r="B2533" s="15"/>
      <c r="C2533" s="3" t="s">
        <v>17</v>
      </c>
      <c r="D2533" s="7">
        <v>60.752000000000002</v>
      </c>
      <c r="E2533" s="15"/>
      <c r="F2533" s="15"/>
      <c r="G2533" s="15"/>
      <c r="H2533" s="15"/>
    </row>
    <row r="2534" spans="1:8" x14ac:dyDescent="0.3">
      <c r="A2534" s="16"/>
      <c r="B2534" s="16"/>
      <c r="C2534" s="8" t="s">
        <v>14</v>
      </c>
      <c r="D2534" s="2">
        <v>51.21</v>
      </c>
      <c r="E2534" s="16"/>
      <c r="F2534" s="16"/>
      <c r="G2534" s="16"/>
      <c r="H2534" s="16"/>
    </row>
    <row r="2535" spans="1:8" x14ac:dyDescent="0.3">
      <c r="A2535" s="18">
        <v>423</v>
      </c>
      <c r="B2535" s="20">
        <v>45524</v>
      </c>
      <c r="C2535" s="3" t="s">
        <v>16</v>
      </c>
      <c r="D2535" s="2">
        <v>10.47</v>
      </c>
      <c r="E2535" s="19">
        <f>SUM(D2535:D2540)</f>
        <v>111.488</v>
      </c>
      <c r="F2535" s="17">
        <f>INT(MAX(D2535:D2540))</f>
        <v>29</v>
      </c>
      <c r="G2535" s="14">
        <f>INT((F2535/10)*2)</f>
        <v>5</v>
      </c>
      <c r="H2535" s="14">
        <f>F2535-G2535</f>
        <v>24</v>
      </c>
    </row>
    <row r="2536" spans="1:8" x14ac:dyDescent="0.3">
      <c r="A2536" s="15"/>
      <c r="B2536" s="15"/>
      <c r="C2536" s="3" t="s">
        <v>18</v>
      </c>
      <c r="D2536" s="7">
        <v>29.867000000000001</v>
      </c>
      <c r="E2536" s="15"/>
      <c r="F2536" s="15"/>
      <c r="G2536" s="15"/>
      <c r="H2536" s="15"/>
    </row>
    <row r="2537" spans="1:8" x14ac:dyDescent="0.3">
      <c r="A2537" s="15"/>
      <c r="B2537" s="15"/>
      <c r="C2537" s="8" t="s">
        <v>8</v>
      </c>
      <c r="D2537" s="2">
        <v>26.67</v>
      </c>
      <c r="E2537" s="15"/>
      <c r="F2537" s="15"/>
      <c r="G2537" s="15"/>
      <c r="H2537" s="15"/>
    </row>
    <row r="2538" spans="1:8" x14ac:dyDescent="0.3">
      <c r="A2538" s="15"/>
      <c r="B2538" s="15"/>
      <c r="C2538" s="3" t="s">
        <v>10</v>
      </c>
      <c r="D2538" s="2">
        <v>24.44</v>
      </c>
      <c r="E2538" s="15"/>
      <c r="F2538" s="15"/>
      <c r="G2538" s="15"/>
      <c r="H2538" s="15"/>
    </row>
    <row r="2539" spans="1:8" x14ac:dyDescent="0.3">
      <c r="A2539" s="15"/>
      <c r="B2539" s="15"/>
      <c r="C2539" s="3" t="s">
        <v>14</v>
      </c>
      <c r="D2539" s="7">
        <v>14.161</v>
      </c>
      <c r="E2539" s="15"/>
      <c r="F2539" s="15"/>
      <c r="G2539" s="15"/>
      <c r="H2539" s="15"/>
    </row>
    <row r="2540" spans="1:8" x14ac:dyDescent="0.3">
      <c r="A2540" s="16"/>
      <c r="B2540" s="16"/>
      <c r="C2540" s="8" t="s">
        <v>9</v>
      </c>
      <c r="D2540" s="2">
        <v>5.88</v>
      </c>
      <c r="E2540" s="16"/>
      <c r="F2540" s="16"/>
      <c r="G2540" s="16"/>
      <c r="H2540" s="16"/>
    </row>
    <row r="2541" spans="1:8" x14ac:dyDescent="0.3">
      <c r="A2541" s="18">
        <v>424</v>
      </c>
      <c r="B2541" s="20">
        <v>45527</v>
      </c>
      <c r="C2541" s="3" t="s">
        <v>10</v>
      </c>
      <c r="D2541" s="2">
        <v>9.6300000000000008</v>
      </c>
      <c r="E2541" s="19">
        <f>SUM(D2541:D2546)</f>
        <v>86.13</v>
      </c>
      <c r="F2541" s="17">
        <f>INT(MAX(D2541:D2546))</f>
        <v>31</v>
      </c>
      <c r="G2541" s="14">
        <f>INT((F2541/10)*2)</f>
        <v>6</v>
      </c>
      <c r="H2541" s="14">
        <f>F2541-G2541</f>
        <v>25</v>
      </c>
    </row>
    <row r="2542" spans="1:8" x14ac:dyDescent="0.3">
      <c r="A2542" s="15"/>
      <c r="B2542" s="15"/>
      <c r="C2542" s="3" t="s">
        <v>16</v>
      </c>
      <c r="D2542" s="2">
        <v>7.28</v>
      </c>
      <c r="E2542" s="15"/>
      <c r="F2542" s="15"/>
      <c r="G2542" s="15"/>
      <c r="H2542" s="15"/>
    </row>
    <row r="2543" spans="1:8" x14ac:dyDescent="0.3">
      <c r="A2543" s="15"/>
      <c r="B2543" s="15"/>
      <c r="C2543" s="3" t="s">
        <v>18</v>
      </c>
      <c r="D2543" s="2">
        <v>4.24</v>
      </c>
      <c r="E2543" s="15"/>
      <c r="F2543" s="15"/>
      <c r="G2543" s="15"/>
      <c r="H2543" s="15"/>
    </row>
    <row r="2544" spans="1:8" x14ac:dyDescent="0.3">
      <c r="A2544" s="15"/>
      <c r="B2544" s="15"/>
      <c r="C2544" s="3" t="s">
        <v>8</v>
      </c>
      <c r="D2544" s="7">
        <v>21.05</v>
      </c>
      <c r="E2544" s="15"/>
      <c r="F2544" s="15"/>
      <c r="G2544" s="15"/>
      <c r="H2544" s="15"/>
    </row>
    <row r="2545" spans="1:8" x14ac:dyDescent="0.3">
      <c r="A2545" s="15"/>
      <c r="B2545" s="15"/>
      <c r="C2545" s="8" t="s">
        <v>10</v>
      </c>
      <c r="D2545" s="2">
        <v>31.22</v>
      </c>
      <c r="E2545" s="15"/>
      <c r="F2545" s="15"/>
      <c r="G2545" s="15"/>
      <c r="H2545" s="15"/>
    </row>
    <row r="2546" spans="1:8" x14ac:dyDescent="0.3">
      <c r="A2546" s="16"/>
      <c r="B2546" s="16"/>
      <c r="C2546" s="3" t="s">
        <v>9</v>
      </c>
      <c r="D2546" s="2">
        <v>12.71</v>
      </c>
      <c r="E2546" s="16"/>
      <c r="F2546" s="16"/>
      <c r="G2546" s="16"/>
      <c r="H2546" s="16"/>
    </row>
    <row r="2547" spans="1:8" x14ac:dyDescent="0.3">
      <c r="A2547" s="18">
        <v>425</v>
      </c>
      <c r="B2547" s="20">
        <v>45531</v>
      </c>
      <c r="C2547" s="3" t="s">
        <v>18</v>
      </c>
      <c r="D2547" s="7">
        <v>76.37</v>
      </c>
      <c r="E2547" s="19">
        <f>SUM(D2547:D2552)</f>
        <v>223.39500000000001</v>
      </c>
      <c r="F2547" s="17">
        <f>INT(MAX(D2547:D2552))</f>
        <v>76</v>
      </c>
      <c r="G2547" s="14">
        <f>INT((F2547/10)*2)</f>
        <v>15</v>
      </c>
      <c r="H2547" s="14">
        <f>F2547-G2547</f>
        <v>61</v>
      </c>
    </row>
    <row r="2548" spans="1:8" x14ac:dyDescent="0.3">
      <c r="A2548" s="15"/>
      <c r="B2548" s="15"/>
      <c r="C2548" s="8" t="s">
        <v>11</v>
      </c>
      <c r="D2548" s="2">
        <v>8.98</v>
      </c>
      <c r="E2548" s="15"/>
      <c r="F2548" s="15"/>
      <c r="G2548" s="15"/>
      <c r="H2548" s="15"/>
    </row>
    <row r="2549" spans="1:8" x14ac:dyDescent="0.3">
      <c r="A2549" s="15"/>
      <c r="B2549" s="15"/>
      <c r="C2549" s="3" t="s">
        <v>8</v>
      </c>
      <c r="D2549" s="2">
        <v>29.41</v>
      </c>
      <c r="E2549" s="15"/>
      <c r="F2549" s="15"/>
      <c r="G2549" s="15"/>
      <c r="H2549" s="15"/>
    </row>
    <row r="2550" spans="1:8" x14ac:dyDescent="0.3">
      <c r="A2550" s="15"/>
      <c r="B2550" s="15"/>
      <c r="C2550" s="3" t="s">
        <v>14</v>
      </c>
      <c r="D2550" s="2">
        <v>25.3</v>
      </c>
      <c r="E2550" s="15"/>
      <c r="F2550" s="15"/>
      <c r="G2550" s="15"/>
      <c r="H2550" s="15"/>
    </row>
    <row r="2551" spans="1:8" x14ac:dyDescent="0.3">
      <c r="A2551" s="15"/>
      <c r="B2551" s="15"/>
      <c r="C2551" s="3" t="s">
        <v>9</v>
      </c>
      <c r="D2551" s="2">
        <v>18.03</v>
      </c>
      <c r="E2551" s="15"/>
      <c r="F2551" s="15"/>
      <c r="G2551" s="15"/>
      <c r="H2551" s="15"/>
    </row>
    <row r="2552" spans="1:8" x14ac:dyDescent="0.3">
      <c r="A2552" s="16"/>
      <c r="B2552" s="16"/>
      <c r="C2552" s="3" t="s">
        <v>13</v>
      </c>
      <c r="D2552" s="7">
        <v>65.305000000000007</v>
      </c>
      <c r="E2552" s="16"/>
      <c r="F2552" s="16"/>
      <c r="G2552" s="16"/>
      <c r="H2552" s="16"/>
    </row>
    <row r="2553" spans="1:8" x14ac:dyDescent="0.3">
      <c r="A2553" s="18">
        <v>426</v>
      </c>
      <c r="B2553" s="20">
        <v>45534</v>
      </c>
      <c r="C2553" s="8" t="s">
        <v>13</v>
      </c>
      <c r="D2553" s="2">
        <v>36.46</v>
      </c>
      <c r="E2553" s="19">
        <f>SUM(D2553:D2558)</f>
        <v>206.67400000000001</v>
      </c>
      <c r="F2553" s="17">
        <f>INT(MAX(D2553:D2558))</f>
        <v>76</v>
      </c>
      <c r="G2553" s="14">
        <f>INT((F2553/10)*2)</f>
        <v>15</v>
      </c>
      <c r="H2553" s="14">
        <f>F2553-G2553</f>
        <v>61</v>
      </c>
    </row>
    <row r="2554" spans="1:8" x14ac:dyDescent="0.3">
      <c r="A2554" s="15"/>
      <c r="B2554" s="15"/>
      <c r="C2554" s="3" t="s">
        <v>11</v>
      </c>
      <c r="D2554" s="2">
        <v>26.07</v>
      </c>
      <c r="E2554" s="15"/>
      <c r="F2554" s="15"/>
      <c r="G2554" s="15"/>
      <c r="H2554" s="15"/>
    </row>
    <row r="2555" spans="1:8" x14ac:dyDescent="0.3">
      <c r="A2555" s="15"/>
      <c r="B2555" s="15"/>
      <c r="C2555" s="3" t="s">
        <v>17</v>
      </c>
      <c r="D2555" s="7">
        <v>76.373999999999995</v>
      </c>
      <c r="E2555" s="15"/>
      <c r="F2555" s="15"/>
      <c r="G2555" s="15"/>
      <c r="H2555" s="15"/>
    </row>
    <row r="2556" spans="1:8" x14ac:dyDescent="0.3">
      <c r="A2556" s="15"/>
      <c r="B2556" s="15"/>
      <c r="C2556" s="8" t="s">
        <v>11</v>
      </c>
      <c r="D2556" s="2">
        <v>19.260000000000002</v>
      </c>
      <c r="E2556" s="15"/>
      <c r="F2556" s="15"/>
      <c r="G2556" s="15"/>
      <c r="H2556" s="15"/>
    </row>
    <row r="2557" spans="1:8" x14ac:dyDescent="0.3">
      <c r="A2557" s="15"/>
      <c r="B2557" s="15"/>
      <c r="C2557" s="3" t="s">
        <v>8</v>
      </c>
      <c r="D2557" s="2">
        <v>26.11</v>
      </c>
      <c r="E2557" s="15"/>
      <c r="F2557" s="15"/>
      <c r="G2557" s="15"/>
      <c r="H2557" s="15"/>
    </row>
    <row r="2558" spans="1:8" x14ac:dyDescent="0.3">
      <c r="A2558" s="16"/>
      <c r="B2558" s="16"/>
      <c r="C2558" s="3" t="s">
        <v>16</v>
      </c>
      <c r="D2558" s="2">
        <v>22.4</v>
      </c>
      <c r="E2558" s="16"/>
      <c r="F2558" s="16"/>
      <c r="G2558" s="16"/>
      <c r="H2558" s="16"/>
    </row>
    <row r="2559" spans="1:8" x14ac:dyDescent="0.3">
      <c r="A2559" s="18">
        <v>427</v>
      </c>
      <c r="B2559" s="20">
        <v>45538</v>
      </c>
      <c r="C2559" s="3" t="s">
        <v>12</v>
      </c>
      <c r="D2559" s="2">
        <v>48.95</v>
      </c>
      <c r="E2559" s="19">
        <f>SUM(D2559:D2564)</f>
        <v>140.71199999999999</v>
      </c>
      <c r="F2559" s="17">
        <f>INT(MAX(D2559:D2564))</f>
        <v>48</v>
      </c>
      <c r="G2559" s="14">
        <f>INT((F2559/10)*2)</f>
        <v>9</v>
      </c>
      <c r="H2559" s="14">
        <f>F2559-G2559</f>
        <v>39</v>
      </c>
    </row>
    <row r="2560" spans="1:8" x14ac:dyDescent="0.3">
      <c r="A2560" s="15"/>
      <c r="B2560" s="15"/>
      <c r="C2560" s="3" t="s">
        <v>9</v>
      </c>
      <c r="D2560" s="2">
        <v>45.23</v>
      </c>
      <c r="E2560" s="15"/>
      <c r="F2560" s="15"/>
      <c r="G2560" s="15"/>
      <c r="H2560" s="15"/>
    </row>
    <row r="2561" spans="1:8" x14ac:dyDescent="0.3">
      <c r="A2561" s="15"/>
      <c r="B2561" s="15"/>
      <c r="C2561" s="3" t="s">
        <v>15</v>
      </c>
      <c r="D2561" s="7">
        <v>10.246</v>
      </c>
      <c r="E2561" s="15"/>
      <c r="F2561" s="15"/>
      <c r="G2561" s="15"/>
      <c r="H2561" s="15"/>
    </row>
    <row r="2562" spans="1:8" x14ac:dyDescent="0.3">
      <c r="A2562" s="15"/>
      <c r="B2562" s="15"/>
      <c r="C2562" s="8" t="s">
        <v>17</v>
      </c>
      <c r="D2562" s="2">
        <v>5.92</v>
      </c>
      <c r="E2562" s="15"/>
      <c r="F2562" s="15"/>
      <c r="G2562" s="15"/>
      <c r="H2562" s="15"/>
    </row>
    <row r="2563" spans="1:8" x14ac:dyDescent="0.3">
      <c r="A2563" s="15"/>
      <c r="B2563" s="15"/>
      <c r="C2563" s="3" t="s">
        <v>18</v>
      </c>
      <c r="D2563" s="2">
        <v>21.19</v>
      </c>
      <c r="E2563" s="15"/>
      <c r="F2563" s="15"/>
      <c r="G2563" s="15"/>
      <c r="H2563" s="15"/>
    </row>
    <row r="2564" spans="1:8" x14ac:dyDescent="0.3">
      <c r="A2564" s="16"/>
      <c r="B2564" s="16"/>
      <c r="C2564" s="3" t="s">
        <v>15</v>
      </c>
      <c r="D2564" s="7">
        <v>9.1760000000000002</v>
      </c>
      <c r="E2564" s="16"/>
      <c r="F2564" s="16"/>
      <c r="G2564" s="16"/>
      <c r="H2564" s="16"/>
    </row>
    <row r="2565" spans="1:8" x14ac:dyDescent="0.3">
      <c r="A2565" s="18">
        <v>428</v>
      </c>
      <c r="B2565" s="20">
        <v>45541</v>
      </c>
      <c r="C2565" s="8" t="s">
        <v>17</v>
      </c>
      <c r="D2565" s="2">
        <v>25.68</v>
      </c>
      <c r="E2565" s="19">
        <f>SUM(D2565:D2570)</f>
        <v>80.119000000000014</v>
      </c>
      <c r="F2565" s="17">
        <f>INT(MAX(D2565:D2570))</f>
        <v>25</v>
      </c>
      <c r="G2565" s="14">
        <f>INT((F2565/10)*2)</f>
        <v>5</v>
      </c>
      <c r="H2565" s="14">
        <f>F2565-G2565</f>
        <v>20</v>
      </c>
    </row>
    <row r="2566" spans="1:8" x14ac:dyDescent="0.3">
      <c r="A2566" s="15"/>
      <c r="B2566" s="15"/>
      <c r="C2566" s="3" t="s">
        <v>11</v>
      </c>
      <c r="D2566" s="2">
        <v>15.49</v>
      </c>
      <c r="E2566" s="15"/>
      <c r="F2566" s="15"/>
      <c r="G2566" s="15"/>
      <c r="H2566" s="15"/>
    </row>
    <row r="2567" spans="1:8" x14ac:dyDescent="0.3">
      <c r="A2567" s="15"/>
      <c r="B2567" s="15"/>
      <c r="C2567" s="3" t="s">
        <v>14</v>
      </c>
      <c r="D2567" s="2">
        <v>12.98</v>
      </c>
      <c r="E2567" s="15"/>
      <c r="F2567" s="15"/>
      <c r="G2567" s="15"/>
      <c r="H2567" s="15"/>
    </row>
    <row r="2568" spans="1:8" x14ac:dyDescent="0.3">
      <c r="A2568" s="15"/>
      <c r="B2568" s="15"/>
      <c r="C2568" s="3" t="s">
        <v>12</v>
      </c>
      <c r="D2568" s="7">
        <v>10.119</v>
      </c>
      <c r="E2568" s="15"/>
      <c r="F2568" s="15"/>
      <c r="G2568" s="15"/>
      <c r="H2568" s="15"/>
    </row>
    <row r="2569" spans="1:8" x14ac:dyDescent="0.3">
      <c r="A2569" s="15"/>
      <c r="B2569" s="15"/>
      <c r="C2569" s="8" t="s">
        <v>12</v>
      </c>
      <c r="D2569" s="2">
        <v>9.76</v>
      </c>
      <c r="E2569" s="15"/>
      <c r="F2569" s="15"/>
      <c r="G2569" s="15"/>
      <c r="H2569" s="15"/>
    </row>
    <row r="2570" spans="1:8" x14ac:dyDescent="0.3">
      <c r="A2570" s="16"/>
      <c r="B2570" s="16"/>
      <c r="C2570" s="3" t="s">
        <v>15</v>
      </c>
      <c r="D2570" s="2">
        <v>6.09</v>
      </c>
      <c r="E2570" s="16"/>
      <c r="F2570" s="16"/>
      <c r="G2570" s="16"/>
      <c r="H2570" s="16"/>
    </row>
    <row r="2571" spans="1:8" x14ac:dyDescent="0.3">
      <c r="A2571" s="18">
        <v>429</v>
      </c>
      <c r="B2571" s="20">
        <v>45545</v>
      </c>
      <c r="C2571" s="3" t="s">
        <v>18</v>
      </c>
      <c r="D2571" s="7">
        <v>80.903000000000006</v>
      </c>
      <c r="E2571" s="19">
        <f>SUM(D2571:D2576)</f>
        <v>323.30400000000003</v>
      </c>
      <c r="F2571" s="17">
        <f>INT(MAX(D2571:D2576))</f>
        <v>80</v>
      </c>
      <c r="G2571" s="14">
        <f>INT((F2571/10)*2)</f>
        <v>16</v>
      </c>
      <c r="H2571" s="14">
        <f>F2571-G2571</f>
        <v>64</v>
      </c>
    </row>
    <row r="2572" spans="1:8" x14ac:dyDescent="0.3">
      <c r="A2572" s="15"/>
      <c r="B2572" s="15"/>
      <c r="C2572" s="8" t="s">
        <v>11</v>
      </c>
      <c r="D2572" s="2">
        <v>40.57</v>
      </c>
      <c r="E2572" s="15"/>
      <c r="F2572" s="15"/>
      <c r="G2572" s="15"/>
      <c r="H2572" s="15"/>
    </row>
    <row r="2573" spans="1:8" x14ac:dyDescent="0.3">
      <c r="A2573" s="15"/>
      <c r="B2573" s="15"/>
      <c r="C2573" s="3" t="s">
        <v>8</v>
      </c>
      <c r="D2573" s="2">
        <v>79.55</v>
      </c>
      <c r="E2573" s="15"/>
      <c r="F2573" s="15"/>
      <c r="G2573" s="15"/>
      <c r="H2573" s="15"/>
    </row>
    <row r="2574" spans="1:8" x14ac:dyDescent="0.3">
      <c r="A2574" s="15"/>
      <c r="B2574" s="15"/>
      <c r="C2574" s="3" t="s">
        <v>9</v>
      </c>
      <c r="D2574" s="2">
        <v>53.27</v>
      </c>
      <c r="E2574" s="15"/>
      <c r="F2574" s="15"/>
      <c r="G2574" s="15"/>
      <c r="H2574" s="15"/>
    </row>
    <row r="2575" spans="1:8" x14ac:dyDescent="0.3">
      <c r="A2575" s="15"/>
      <c r="B2575" s="15"/>
      <c r="C2575" s="3" t="s">
        <v>15</v>
      </c>
      <c r="D2575" s="2">
        <v>56.02</v>
      </c>
      <c r="E2575" s="15"/>
      <c r="F2575" s="15"/>
      <c r="G2575" s="15"/>
      <c r="H2575" s="15"/>
    </row>
    <row r="2576" spans="1:8" x14ac:dyDescent="0.3">
      <c r="A2576" s="16"/>
      <c r="B2576" s="16"/>
      <c r="C2576" s="3" t="s">
        <v>14</v>
      </c>
      <c r="D2576" s="7">
        <v>12.991</v>
      </c>
      <c r="E2576" s="16"/>
      <c r="F2576" s="16"/>
      <c r="G2576" s="16"/>
      <c r="H2576" s="16"/>
    </row>
    <row r="2577" spans="1:8" x14ac:dyDescent="0.3">
      <c r="A2577" s="18">
        <v>430</v>
      </c>
      <c r="B2577" s="20">
        <v>45548</v>
      </c>
      <c r="C2577" s="8" t="s">
        <v>14</v>
      </c>
      <c r="D2577" s="2">
        <v>7.98</v>
      </c>
      <c r="E2577" s="19">
        <f>SUM(D2577:D2582)</f>
        <v>74.561000000000007</v>
      </c>
      <c r="F2577" s="17">
        <f>INT(MAX(D2577:D2582))</f>
        <v>23</v>
      </c>
      <c r="G2577" s="14">
        <f>INT((F2577/10)*2)</f>
        <v>4</v>
      </c>
      <c r="H2577" s="14">
        <f>F2577-G2577</f>
        <v>19</v>
      </c>
    </row>
    <row r="2578" spans="1:8" x14ac:dyDescent="0.3">
      <c r="A2578" s="15"/>
      <c r="B2578" s="15"/>
      <c r="C2578" s="3" t="s">
        <v>8</v>
      </c>
      <c r="D2578" s="2">
        <v>14.71</v>
      </c>
      <c r="E2578" s="15"/>
      <c r="F2578" s="15"/>
      <c r="G2578" s="15"/>
      <c r="H2578" s="15"/>
    </row>
    <row r="2579" spans="1:8" x14ac:dyDescent="0.3">
      <c r="A2579" s="15"/>
      <c r="B2579" s="15"/>
      <c r="C2579" s="3" t="s">
        <v>17</v>
      </c>
      <c r="D2579" s="2">
        <v>12.68</v>
      </c>
      <c r="E2579" s="15"/>
      <c r="F2579" s="15"/>
      <c r="G2579" s="15"/>
      <c r="H2579" s="15"/>
    </row>
    <row r="2580" spans="1:8" x14ac:dyDescent="0.3">
      <c r="A2580" s="15"/>
      <c r="B2580" s="15"/>
      <c r="C2580" s="3" t="s">
        <v>9</v>
      </c>
      <c r="D2580" s="2">
        <v>8.6</v>
      </c>
      <c r="E2580" s="15"/>
      <c r="F2580" s="15"/>
      <c r="G2580" s="15"/>
      <c r="H2580" s="15"/>
    </row>
    <row r="2581" spans="1:8" x14ac:dyDescent="0.3">
      <c r="A2581" s="15"/>
      <c r="B2581" s="15"/>
      <c r="C2581" s="3" t="s">
        <v>12</v>
      </c>
      <c r="D2581" s="2">
        <v>23.78</v>
      </c>
      <c r="E2581" s="15"/>
      <c r="F2581" s="15"/>
      <c r="G2581" s="15"/>
      <c r="H2581" s="15"/>
    </row>
    <row r="2582" spans="1:8" x14ac:dyDescent="0.3">
      <c r="A2582" s="16"/>
      <c r="B2582" s="16"/>
      <c r="C2582" s="3" t="s">
        <v>15</v>
      </c>
      <c r="D2582" s="7">
        <v>6.8109999999999999</v>
      </c>
      <c r="E2582" s="16"/>
      <c r="F2582" s="16"/>
      <c r="G2582" s="16"/>
      <c r="H2582" s="16"/>
    </row>
    <row r="2583" spans="1:8" x14ac:dyDescent="0.3">
      <c r="A2583" s="18">
        <v>431</v>
      </c>
      <c r="B2583" s="20">
        <v>45552</v>
      </c>
      <c r="C2583" s="8" t="s">
        <v>10</v>
      </c>
      <c r="D2583" s="2">
        <v>9.1999999999999993</v>
      </c>
      <c r="E2583" s="19">
        <f>SUM(D2583:D2588)</f>
        <v>88.546000000000006</v>
      </c>
      <c r="F2583" s="17">
        <f>INT(MAX(D2583:D2588))</f>
        <v>24</v>
      </c>
      <c r="G2583" s="14">
        <f>INT((F2583/10)*2)</f>
        <v>4</v>
      </c>
      <c r="H2583" s="14">
        <f>F2583-G2583</f>
        <v>20</v>
      </c>
    </row>
    <row r="2584" spans="1:8" x14ac:dyDescent="0.3">
      <c r="A2584" s="15"/>
      <c r="B2584" s="15"/>
      <c r="C2584" s="3" t="s">
        <v>8</v>
      </c>
      <c r="D2584" s="2">
        <v>13.98</v>
      </c>
      <c r="E2584" s="15"/>
      <c r="F2584" s="15"/>
      <c r="G2584" s="15"/>
      <c r="H2584" s="15"/>
    </row>
    <row r="2585" spans="1:8" x14ac:dyDescent="0.3">
      <c r="A2585" s="15"/>
      <c r="B2585" s="15"/>
      <c r="C2585" s="3" t="s">
        <v>12</v>
      </c>
      <c r="D2585" s="2">
        <v>19.239999999999998</v>
      </c>
      <c r="E2585" s="15"/>
      <c r="F2585" s="15"/>
      <c r="G2585" s="15"/>
      <c r="H2585" s="15"/>
    </row>
    <row r="2586" spans="1:8" x14ac:dyDescent="0.3">
      <c r="A2586" s="15"/>
      <c r="B2586" s="15"/>
      <c r="C2586" s="3" t="s">
        <v>9</v>
      </c>
      <c r="D2586" s="2">
        <v>24.23</v>
      </c>
      <c r="E2586" s="15"/>
      <c r="F2586" s="15"/>
      <c r="G2586" s="15"/>
      <c r="H2586" s="15"/>
    </row>
    <row r="2587" spans="1:8" x14ac:dyDescent="0.3">
      <c r="A2587" s="15"/>
      <c r="B2587" s="15"/>
      <c r="C2587" s="3" t="s">
        <v>15</v>
      </c>
      <c r="D2587" s="2">
        <v>3.36</v>
      </c>
      <c r="E2587" s="15"/>
      <c r="F2587" s="15"/>
      <c r="G2587" s="15"/>
      <c r="H2587" s="15"/>
    </row>
    <row r="2588" spans="1:8" x14ac:dyDescent="0.3">
      <c r="A2588" s="16"/>
      <c r="B2588" s="16"/>
      <c r="C2588" s="3" t="s">
        <v>18</v>
      </c>
      <c r="D2588" s="7">
        <v>18.536000000000001</v>
      </c>
      <c r="E2588" s="16"/>
      <c r="F2588" s="16"/>
      <c r="G2588" s="16"/>
      <c r="H2588" s="16"/>
    </row>
    <row r="2589" spans="1:8" x14ac:dyDescent="0.3">
      <c r="A2589" s="18">
        <v>432</v>
      </c>
      <c r="B2589" s="20">
        <v>45555</v>
      </c>
      <c r="C2589" s="8" t="s">
        <v>10</v>
      </c>
      <c r="D2589" s="2">
        <v>19.21</v>
      </c>
      <c r="E2589" s="19">
        <f>SUM(D2589:D2594)</f>
        <v>373.05200000000002</v>
      </c>
      <c r="F2589" s="17">
        <f>INT(MAX(D2589:D2594))</f>
        <v>140</v>
      </c>
      <c r="G2589" s="14">
        <f>INT((F2589/10)*2)</f>
        <v>28</v>
      </c>
      <c r="H2589" s="14">
        <f>F2589-G2589</f>
        <v>112</v>
      </c>
    </row>
    <row r="2590" spans="1:8" x14ac:dyDescent="0.3">
      <c r="A2590" s="15"/>
      <c r="B2590" s="15"/>
      <c r="C2590" s="3" t="s">
        <v>17</v>
      </c>
      <c r="D2590" s="2">
        <v>68.2</v>
      </c>
      <c r="E2590" s="15"/>
      <c r="F2590" s="15"/>
      <c r="G2590" s="15"/>
      <c r="H2590" s="15"/>
    </row>
    <row r="2591" spans="1:8" x14ac:dyDescent="0.3">
      <c r="A2591" s="15"/>
      <c r="B2591" s="15"/>
      <c r="C2591" s="3" t="s">
        <v>11</v>
      </c>
      <c r="D2591" s="7">
        <v>16.501999999999999</v>
      </c>
      <c r="E2591" s="15"/>
      <c r="F2591" s="15"/>
      <c r="G2591" s="15"/>
      <c r="H2591" s="15"/>
    </row>
    <row r="2592" spans="1:8" x14ac:dyDescent="0.3">
      <c r="A2592" s="15"/>
      <c r="B2592" s="15"/>
      <c r="C2592" s="8" t="s">
        <v>10</v>
      </c>
      <c r="D2592" s="2">
        <v>69.14</v>
      </c>
      <c r="E2592" s="15"/>
      <c r="F2592" s="15"/>
      <c r="G2592" s="15"/>
      <c r="H2592" s="15"/>
    </row>
    <row r="2593" spans="1:8" x14ac:dyDescent="0.3">
      <c r="A2593" s="15"/>
      <c r="B2593" s="15"/>
      <c r="C2593" s="3" t="s">
        <v>12</v>
      </c>
      <c r="D2593" s="2">
        <v>60</v>
      </c>
      <c r="E2593" s="15"/>
      <c r="F2593" s="15"/>
      <c r="G2593" s="15"/>
      <c r="H2593" s="15"/>
    </row>
    <row r="2594" spans="1:8" x14ac:dyDescent="0.3">
      <c r="A2594" s="16"/>
      <c r="B2594" s="16"/>
      <c r="C2594" s="3" t="s">
        <v>17</v>
      </c>
      <c r="D2594" s="2">
        <v>140</v>
      </c>
      <c r="E2594" s="16"/>
      <c r="F2594" s="16"/>
      <c r="G2594" s="16"/>
      <c r="H2594" s="16"/>
    </row>
    <row r="2595" spans="1:8" x14ac:dyDescent="0.3">
      <c r="A2595" s="18">
        <v>433</v>
      </c>
      <c r="B2595" s="20">
        <v>45559</v>
      </c>
      <c r="C2595" s="3" t="s">
        <v>13</v>
      </c>
      <c r="D2595" s="2">
        <v>33.450000000000003</v>
      </c>
      <c r="E2595" s="19">
        <f>SUM(D2595:D2600)</f>
        <v>285.01</v>
      </c>
      <c r="F2595" s="17">
        <f>INT(MAX(D2595:D2600))</f>
        <v>123</v>
      </c>
      <c r="G2595" s="14">
        <f>INT((F2595/10)*2)</f>
        <v>24</v>
      </c>
      <c r="H2595" s="14">
        <f>F2595-G2595</f>
        <v>99</v>
      </c>
    </row>
    <row r="2596" spans="1:8" x14ac:dyDescent="0.3">
      <c r="A2596" s="15"/>
      <c r="B2596" s="15"/>
      <c r="C2596" s="3" t="s">
        <v>18</v>
      </c>
      <c r="D2596" s="2">
        <v>34.520000000000003</v>
      </c>
      <c r="E2596" s="15"/>
      <c r="F2596" s="15"/>
      <c r="G2596" s="15"/>
      <c r="H2596" s="15"/>
    </row>
    <row r="2597" spans="1:8" x14ac:dyDescent="0.3">
      <c r="A2597" s="15"/>
      <c r="B2597" s="15"/>
      <c r="C2597" s="3" t="s">
        <v>15</v>
      </c>
      <c r="D2597" s="7">
        <v>123.88</v>
      </c>
      <c r="E2597" s="15"/>
      <c r="F2597" s="15"/>
      <c r="G2597" s="15"/>
      <c r="H2597" s="15"/>
    </row>
    <row r="2598" spans="1:8" x14ac:dyDescent="0.3">
      <c r="A2598" s="15"/>
      <c r="B2598" s="15"/>
      <c r="C2598" s="8" t="s">
        <v>11</v>
      </c>
      <c r="D2598" s="2">
        <v>23.7</v>
      </c>
      <c r="E2598" s="15"/>
      <c r="F2598" s="15"/>
      <c r="G2598" s="15"/>
      <c r="H2598" s="15"/>
    </row>
    <row r="2599" spans="1:8" x14ac:dyDescent="0.3">
      <c r="A2599" s="15"/>
      <c r="B2599" s="15"/>
      <c r="C2599" s="3" t="s">
        <v>10</v>
      </c>
      <c r="D2599" s="2">
        <v>23.04</v>
      </c>
      <c r="E2599" s="15"/>
      <c r="F2599" s="15"/>
      <c r="G2599" s="15"/>
      <c r="H2599" s="15"/>
    </row>
    <row r="2600" spans="1:8" x14ac:dyDescent="0.3">
      <c r="A2600" s="16"/>
      <c r="B2600" s="16"/>
      <c r="C2600" s="3" t="s">
        <v>12</v>
      </c>
      <c r="D2600" s="2">
        <v>46.42</v>
      </c>
      <c r="E2600" s="16"/>
      <c r="F2600" s="16"/>
      <c r="G2600" s="16"/>
      <c r="H2600" s="16"/>
    </row>
    <row r="2601" spans="1:8" x14ac:dyDescent="0.3">
      <c r="A2601" s="18">
        <v>434</v>
      </c>
      <c r="B2601" s="20">
        <v>45562</v>
      </c>
      <c r="C2601" s="3" t="s">
        <v>17</v>
      </c>
      <c r="D2601" s="2">
        <v>18.690000000000001</v>
      </c>
      <c r="E2601" s="19">
        <f>SUM(D2601:D2606)</f>
        <v>89.855999999999995</v>
      </c>
      <c r="F2601" s="17">
        <f>INT(MAX(D2601:D2606))</f>
        <v>28</v>
      </c>
      <c r="G2601" s="14">
        <f>INT((F2601/10)*2)</f>
        <v>5</v>
      </c>
      <c r="H2601" s="14">
        <f>F2601-G2601</f>
        <v>23</v>
      </c>
    </row>
    <row r="2602" spans="1:8" x14ac:dyDescent="0.3">
      <c r="A2602" s="15"/>
      <c r="B2602" s="15"/>
      <c r="C2602" s="3" t="s">
        <v>8</v>
      </c>
      <c r="D2602" s="2">
        <v>28.76</v>
      </c>
      <c r="E2602" s="15"/>
      <c r="F2602" s="15"/>
      <c r="G2602" s="15"/>
      <c r="H2602" s="15"/>
    </row>
    <row r="2603" spans="1:8" x14ac:dyDescent="0.3">
      <c r="A2603" s="15"/>
      <c r="B2603" s="15"/>
      <c r="C2603" s="3" t="s">
        <v>18</v>
      </c>
      <c r="D2603" s="7">
        <v>5.5460000000000003</v>
      </c>
      <c r="E2603" s="15"/>
      <c r="F2603" s="15"/>
      <c r="G2603" s="15"/>
      <c r="H2603" s="15"/>
    </row>
    <row r="2604" spans="1:8" x14ac:dyDescent="0.3">
      <c r="A2604" s="15"/>
      <c r="B2604" s="15"/>
      <c r="C2604" s="8" t="s">
        <v>8</v>
      </c>
      <c r="D2604" s="2">
        <v>9.4600000000000009</v>
      </c>
      <c r="E2604" s="15"/>
      <c r="F2604" s="15"/>
      <c r="G2604" s="15"/>
      <c r="H2604" s="15"/>
    </row>
    <row r="2605" spans="1:8" x14ac:dyDescent="0.3">
      <c r="A2605" s="15"/>
      <c r="B2605" s="15"/>
      <c r="C2605" s="3" t="s">
        <v>12</v>
      </c>
      <c r="D2605" s="2">
        <v>10.050000000000001</v>
      </c>
      <c r="E2605" s="15"/>
      <c r="F2605" s="15"/>
      <c r="G2605" s="15"/>
      <c r="H2605" s="15"/>
    </row>
    <row r="2606" spans="1:8" x14ac:dyDescent="0.3">
      <c r="A2606" s="16"/>
      <c r="B2606" s="16"/>
      <c r="C2606" s="3" t="s">
        <v>15</v>
      </c>
      <c r="D2606" s="2">
        <v>17.350000000000001</v>
      </c>
      <c r="E2606" s="16"/>
      <c r="F2606" s="16"/>
      <c r="G2606" s="16"/>
      <c r="H2606" s="16"/>
    </row>
    <row r="2607" spans="1:8" x14ac:dyDescent="0.3">
      <c r="A2607" s="18">
        <v>435</v>
      </c>
      <c r="B2607" s="20">
        <v>45566</v>
      </c>
      <c r="C2607" s="3" t="s">
        <v>13</v>
      </c>
      <c r="D2607" s="2">
        <v>10.54</v>
      </c>
      <c r="E2607" s="19">
        <f>SUM(D2607:D2612)</f>
        <v>91.210999999999999</v>
      </c>
      <c r="F2607" s="17">
        <f>INT(MAX(D2607:D2612))</f>
        <v>27</v>
      </c>
      <c r="G2607" s="14">
        <f>INT((F2607/10)*2)</f>
        <v>5</v>
      </c>
      <c r="H2607" s="14">
        <f>F2607-G2607</f>
        <v>22</v>
      </c>
    </row>
    <row r="2608" spans="1:8" x14ac:dyDescent="0.3">
      <c r="A2608" s="15"/>
      <c r="B2608" s="15"/>
      <c r="C2608" s="3" t="s">
        <v>14</v>
      </c>
      <c r="D2608" s="2">
        <v>11.41</v>
      </c>
      <c r="E2608" s="15"/>
      <c r="F2608" s="15"/>
      <c r="G2608" s="15"/>
      <c r="H2608" s="15"/>
    </row>
    <row r="2609" spans="1:8" x14ac:dyDescent="0.3">
      <c r="A2609" s="15"/>
      <c r="B2609" s="15"/>
      <c r="C2609" s="3" t="s">
        <v>16</v>
      </c>
      <c r="D2609" s="7">
        <v>10.021000000000001</v>
      </c>
      <c r="E2609" s="15"/>
      <c r="F2609" s="15"/>
      <c r="G2609" s="15"/>
      <c r="H2609" s="15"/>
    </row>
    <row r="2610" spans="1:8" x14ac:dyDescent="0.3">
      <c r="A2610" s="15"/>
      <c r="B2610" s="15"/>
      <c r="C2610" s="8" t="s">
        <v>13</v>
      </c>
      <c r="D2610" s="2">
        <v>27.27</v>
      </c>
      <c r="E2610" s="15"/>
      <c r="F2610" s="15"/>
      <c r="G2610" s="15"/>
      <c r="H2610" s="15"/>
    </row>
    <row r="2611" spans="1:8" x14ac:dyDescent="0.3">
      <c r="A2611" s="15"/>
      <c r="B2611" s="15"/>
      <c r="C2611" s="3" t="s">
        <v>11</v>
      </c>
      <c r="D2611" s="2">
        <v>11.97</v>
      </c>
      <c r="E2611" s="15"/>
      <c r="F2611" s="15"/>
      <c r="G2611" s="15"/>
      <c r="H2611" s="15"/>
    </row>
    <row r="2612" spans="1:8" x14ac:dyDescent="0.3">
      <c r="A2612" s="16"/>
      <c r="B2612" s="16"/>
      <c r="C2612" s="3" t="s">
        <v>12</v>
      </c>
      <c r="D2612" s="2">
        <v>20</v>
      </c>
      <c r="E2612" s="16"/>
      <c r="F2612" s="16"/>
      <c r="G2612" s="16"/>
      <c r="H2612" s="16"/>
    </row>
    <row r="2613" spans="1:8" x14ac:dyDescent="0.3">
      <c r="A2613" s="18">
        <v>436</v>
      </c>
      <c r="B2613" s="20">
        <v>45569</v>
      </c>
      <c r="C2613" s="3" t="s">
        <v>15</v>
      </c>
      <c r="D2613" s="2">
        <v>9.6199999999999992</v>
      </c>
      <c r="E2613" s="19">
        <f>SUM(D2613:D2618)</f>
        <v>99.420999999999992</v>
      </c>
      <c r="F2613" s="17">
        <f>INT(MAX(D2613:D2618))</f>
        <v>31</v>
      </c>
      <c r="G2613" s="14">
        <f>INT((F2613/10)*2)</f>
        <v>6</v>
      </c>
      <c r="H2613" s="14">
        <f>F2613-G2613</f>
        <v>25</v>
      </c>
    </row>
    <row r="2614" spans="1:8" x14ac:dyDescent="0.3">
      <c r="A2614" s="15"/>
      <c r="B2614" s="15"/>
      <c r="C2614" s="3" t="s">
        <v>8</v>
      </c>
      <c r="D2614" s="7">
        <v>16.472000000000001</v>
      </c>
      <c r="E2614" s="15"/>
      <c r="F2614" s="15"/>
      <c r="G2614" s="15"/>
      <c r="H2614" s="15"/>
    </row>
    <row r="2615" spans="1:8" x14ac:dyDescent="0.3">
      <c r="A2615" s="15"/>
      <c r="B2615" s="15"/>
      <c r="C2615" s="8" t="s">
        <v>16</v>
      </c>
      <c r="D2615" s="2">
        <v>31.55</v>
      </c>
      <c r="E2615" s="15"/>
      <c r="F2615" s="15"/>
      <c r="G2615" s="15"/>
      <c r="H2615" s="15"/>
    </row>
    <row r="2616" spans="1:8" x14ac:dyDescent="0.3">
      <c r="A2616" s="15"/>
      <c r="B2616" s="15"/>
      <c r="C2616" s="3" t="s">
        <v>11</v>
      </c>
      <c r="D2616" s="2">
        <v>9.69</v>
      </c>
      <c r="E2616" s="15"/>
      <c r="F2616" s="15"/>
      <c r="G2616" s="15"/>
      <c r="H2616" s="15"/>
    </row>
    <row r="2617" spans="1:8" x14ac:dyDescent="0.3">
      <c r="A2617" s="15"/>
      <c r="B2617" s="15"/>
      <c r="C2617" s="3" t="s">
        <v>18</v>
      </c>
      <c r="D2617" s="2">
        <v>21.14</v>
      </c>
      <c r="E2617" s="15"/>
      <c r="F2617" s="15"/>
      <c r="G2617" s="15"/>
      <c r="H2617" s="15"/>
    </row>
    <row r="2618" spans="1:8" x14ac:dyDescent="0.3">
      <c r="A2618" s="16"/>
      <c r="B2618" s="16"/>
      <c r="C2618" s="3" t="s">
        <v>8</v>
      </c>
      <c r="D2618" s="7">
        <v>10.949</v>
      </c>
      <c r="E2618" s="16"/>
      <c r="F2618" s="16"/>
      <c r="G2618" s="16"/>
      <c r="H2618" s="16"/>
    </row>
    <row r="2619" spans="1:8" x14ac:dyDescent="0.3">
      <c r="A2619" s="18">
        <v>437</v>
      </c>
      <c r="B2619" s="20">
        <v>45573</v>
      </c>
      <c r="C2619" s="8" t="s">
        <v>16</v>
      </c>
      <c r="D2619" s="2">
        <v>64.680000000000007</v>
      </c>
      <c r="E2619" s="19">
        <f>SUM(D2619:D2624)</f>
        <v>211.827</v>
      </c>
      <c r="F2619" s="17">
        <f>INT(MAX(D2619:D2624))</f>
        <v>64</v>
      </c>
      <c r="G2619" s="14">
        <f>INT((F2619/10)*2)</f>
        <v>12</v>
      </c>
      <c r="H2619" s="14">
        <f>F2619-G2619</f>
        <v>52</v>
      </c>
    </row>
    <row r="2620" spans="1:8" x14ac:dyDescent="0.3">
      <c r="A2620" s="15"/>
      <c r="B2620" s="15"/>
      <c r="C2620" s="3" t="s">
        <v>11</v>
      </c>
      <c r="D2620" s="2">
        <v>24.48</v>
      </c>
      <c r="E2620" s="15"/>
      <c r="F2620" s="15"/>
      <c r="G2620" s="15"/>
      <c r="H2620" s="15"/>
    </row>
    <row r="2621" spans="1:8" x14ac:dyDescent="0.3">
      <c r="A2621" s="15"/>
      <c r="B2621" s="15"/>
      <c r="C2621" s="3" t="s">
        <v>13</v>
      </c>
      <c r="D2621" s="2">
        <v>45.36</v>
      </c>
      <c r="E2621" s="15"/>
      <c r="F2621" s="15"/>
      <c r="G2621" s="15"/>
      <c r="H2621" s="15"/>
    </row>
    <row r="2622" spans="1:8" x14ac:dyDescent="0.3">
      <c r="A2622" s="15"/>
      <c r="B2622" s="15"/>
      <c r="C2622" s="3" t="s">
        <v>15</v>
      </c>
      <c r="D2622" s="7">
        <v>6.867</v>
      </c>
      <c r="E2622" s="15"/>
      <c r="F2622" s="15"/>
      <c r="G2622" s="15"/>
      <c r="H2622" s="15"/>
    </row>
    <row r="2623" spans="1:8" x14ac:dyDescent="0.3">
      <c r="A2623" s="15"/>
      <c r="B2623" s="15"/>
      <c r="C2623" s="8" t="s">
        <v>8</v>
      </c>
      <c r="D2623" s="2">
        <v>24.7</v>
      </c>
      <c r="E2623" s="15"/>
      <c r="F2623" s="15"/>
      <c r="G2623" s="15"/>
      <c r="H2623" s="15"/>
    </row>
    <row r="2624" spans="1:8" x14ac:dyDescent="0.3">
      <c r="A2624" s="16"/>
      <c r="B2624" s="16"/>
      <c r="C2624" s="3" t="s">
        <v>15</v>
      </c>
      <c r="D2624" s="2">
        <v>45.74</v>
      </c>
      <c r="E2624" s="16"/>
      <c r="F2624" s="16"/>
      <c r="G2624" s="16"/>
      <c r="H2624" s="16"/>
    </row>
    <row r="2625" spans="1:8" x14ac:dyDescent="0.3">
      <c r="A2625" s="18">
        <v>438</v>
      </c>
      <c r="B2625" s="20">
        <v>45576</v>
      </c>
      <c r="C2625" s="3" t="s">
        <v>11</v>
      </c>
      <c r="D2625" s="2">
        <v>13.39</v>
      </c>
      <c r="E2625" s="19">
        <f>SUM(D2625:D2630)</f>
        <v>143.482</v>
      </c>
      <c r="F2625" s="17">
        <f>INT(MAX(D2625:D2630))</f>
        <v>44</v>
      </c>
      <c r="G2625" s="14">
        <f>INT((F2625/10)*2)</f>
        <v>8</v>
      </c>
      <c r="H2625" s="14">
        <f>F2625-G2625</f>
        <v>36</v>
      </c>
    </row>
    <row r="2626" spans="1:8" x14ac:dyDescent="0.3">
      <c r="A2626" s="15"/>
      <c r="B2626" s="15"/>
      <c r="C2626" s="3" t="s">
        <v>16</v>
      </c>
      <c r="D2626" s="7">
        <v>37.241999999999997</v>
      </c>
      <c r="E2626" s="15"/>
      <c r="F2626" s="15"/>
      <c r="G2626" s="15"/>
      <c r="H2626" s="15"/>
    </row>
    <row r="2627" spans="1:8" x14ac:dyDescent="0.3">
      <c r="A2627" s="15"/>
      <c r="B2627" s="15"/>
      <c r="C2627" s="8" t="s">
        <v>16</v>
      </c>
      <c r="D2627" s="2">
        <v>14.27</v>
      </c>
      <c r="E2627" s="15"/>
      <c r="F2627" s="15"/>
      <c r="G2627" s="15"/>
      <c r="H2627" s="15"/>
    </row>
    <row r="2628" spans="1:8" x14ac:dyDescent="0.3">
      <c r="A2628" s="15"/>
      <c r="B2628" s="15"/>
      <c r="C2628" s="3" t="s">
        <v>10</v>
      </c>
      <c r="D2628" s="2">
        <v>26.02</v>
      </c>
      <c r="E2628" s="15"/>
      <c r="F2628" s="15"/>
      <c r="G2628" s="15"/>
      <c r="H2628" s="15"/>
    </row>
    <row r="2629" spans="1:8" x14ac:dyDescent="0.3">
      <c r="A2629" s="15"/>
      <c r="B2629" s="15"/>
      <c r="C2629" s="3" t="s">
        <v>17</v>
      </c>
      <c r="D2629" s="2">
        <v>7.67</v>
      </c>
      <c r="E2629" s="15"/>
      <c r="F2629" s="15"/>
      <c r="G2629" s="15"/>
      <c r="H2629" s="15"/>
    </row>
    <row r="2630" spans="1:8" x14ac:dyDescent="0.3">
      <c r="A2630" s="16"/>
      <c r="B2630" s="16"/>
      <c r="C2630" s="3" t="s">
        <v>18</v>
      </c>
      <c r="D2630" s="2">
        <v>44.89</v>
      </c>
      <c r="E2630" s="16"/>
      <c r="F2630" s="16"/>
      <c r="G2630" s="16"/>
      <c r="H2630" s="16"/>
    </row>
    <row r="2631" spans="1:8" x14ac:dyDescent="0.3">
      <c r="A2631" s="18">
        <v>439</v>
      </c>
      <c r="B2631" s="20">
        <v>45580</v>
      </c>
      <c r="C2631" s="3" t="s">
        <v>9</v>
      </c>
      <c r="D2631" s="2">
        <v>117.71</v>
      </c>
      <c r="E2631" s="19">
        <f>SUM(D2631:D2636)</f>
        <v>370.721</v>
      </c>
      <c r="F2631" s="17">
        <f>INT(MAX(D2631:D2636))</f>
        <v>117</v>
      </c>
      <c r="G2631" s="14">
        <f>INT((F2631/10)*2)</f>
        <v>23</v>
      </c>
      <c r="H2631" s="14">
        <f>F2631-G2631</f>
        <v>94</v>
      </c>
    </row>
    <row r="2632" spans="1:8" x14ac:dyDescent="0.3">
      <c r="A2632" s="15"/>
      <c r="B2632" s="15"/>
      <c r="C2632" s="3" t="s">
        <v>11</v>
      </c>
      <c r="D2632" s="7">
        <v>23.501000000000001</v>
      </c>
      <c r="E2632" s="15"/>
      <c r="F2632" s="15"/>
      <c r="G2632" s="15"/>
      <c r="H2632" s="15"/>
    </row>
    <row r="2633" spans="1:8" x14ac:dyDescent="0.3">
      <c r="A2633" s="15"/>
      <c r="B2633" s="15"/>
      <c r="C2633" s="8" t="s">
        <v>18</v>
      </c>
      <c r="D2633" s="2">
        <v>99.92</v>
      </c>
      <c r="E2633" s="15"/>
      <c r="F2633" s="15"/>
      <c r="G2633" s="15"/>
      <c r="H2633" s="15"/>
    </row>
    <row r="2634" spans="1:8" x14ac:dyDescent="0.3">
      <c r="A2634" s="15"/>
      <c r="B2634" s="15"/>
      <c r="C2634" s="3" t="s">
        <v>13</v>
      </c>
      <c r="D2634" s="2">
        <v>43.17</v>
      </c>
      <c r="E2634" s="15"/>
      <c r="F2634" s="15"/>
      <c r="G2634" s="15"/>
      <c r="H2634" s="15"/>
    </row>
    <row r="2635" spans="1:8" x14ac:dyDescent="0.3">
      <c r="A2635" s="15"/>
      <c r="B2635" s="15"/>
      <c r="C2635" s="3" t="s">
        <v>8</v>
      </c>
      <c r="D2635" s="2">
        <v>60</v>
      </c>
      <c r="E2635" s="15"/>
      <c r="F2635" s="15"/>
      <c r="G2635" s="15"/>
      <c r="H2635" s="15"/>
    </row>
    <row r="2636" spans="1:8" x14ac:dyDescent="0.3">
      <c r="A2636" s="16"/>
      <c r="B2636" s="16"/>
      <c r="C2636" s="3" t="s">
        <v>17</v>
      </c>
      <c r="D2636" s="2">
        <v>26.42</v>
      </c>
      <c r="E2636" s="16"/>
      <c r="F2636" s="16"/>
      <c r="G2636" s="16"/>
      <c r="H2636" s="16"/>
    </row>
    <row r="2637" spans="1:8" x14ac:dyDescent="0.3">
      <c r="A2637" s="18">
        <v>440</v>
      </c>
      <c r="B2637" s="20">
        <v>45583</v>
      </c>
      <c r="C2637" s="3" t="s">
        <v>12</v>
      </c>
      <c r="D2637" s="7">
        <v>23.704000000000001</v>
      </c>
      <c r="E2637" s="19">
        <f>SUM(D2637:D2642)</f>
        <v>151.51199999999997</v>
      </c>
      <c r="F2637" s="17">
        <f>INT(MAX(D2637:D2642))</f>
        <v>40</v>
      </c>
      <c r="G2637" s="14">
        <f>INT((F2637/10)*2)</f>
        <v>8</v>
      </c>
      <c r="H2637" s="14">
        <f>F2637-G2637</f>
        <v>32</v>
      </c>
    </row>
    <row r="2638" spans="1:8" x14ac:dyDescent="0.3">
      <c r="A2638" s="15"/>
      <c r="B2638" s="15"/>
      <c r="C2638" s="8" t="s">
        <v>18</v>
      </c>
      <c r="D2638" s="2">
        <v>33.090000000000003</v>
      </c>
      <c r="E2638" s="15"/>
      <c r="F2638" s="15"/>
      <c r="G2638" s="15"/>
      <c r="H2638" s="15"/>
    </row>
    <row r="2639" spans="1:8" x14ac:dyDescent="0.3">
      <c r="A2639" s="15"/>
      <c r="B2639" s="15"/>
      <c r="C2639" s="3" t="s">
        <v>17</v>
      </c>
      <c r="D2639" s="2">
        <v>8.1199999999999992</v>
      </c>
      <c r="E2639" s="15"/>
      <c r="F2639" s="15"/>
      <c r="G2639" s="15"/>
      <c r="H2639" s="15"/>
    </row>
    <row r="2640" spans="1:8" x14ac:dyDescent="0.3">
      <c r="A2640" s="15"/>
      <c r="B2640" s="15"/>
      <c r="C2640" s="3" t="s">
        <v>10</v>
      </c>
      <c r="D2640" s="2">
        <v>40.68</v>
      </c>
      <c r="E2640" s="15"/>
      <c r="F2640" s="15"/>
      <c r="G2640" s="15"/>
      <c r="H2640" s="15"/>
    </row>
    <row r="2641" spans="1:8" x14ac:dyDescent="0.3">
      <c r="A2641" s="15"/>
      <c r="B2641" s="15"/>
      <c r="C2641" s="3" t="s">
        <v>15</v>
      </c>
      <c r="D2641" s="2">
        <v>38.700000000000003</v>
      </c>
      <c r="E2641" s="15"/>
      <c r="F2641" s="15"/>
      <c r="G2641" s="15"/>
      <c r="H2641" s="15"/>
    </row>
    <row r="2642" spans="1:8" x14ac:dyDescent="0.3">
      <c r="A2642" s="16"/>
      <c r="B2642" s="16"/>
      <c r="C2642" s="3" t="s">
        <v>14</v>
      </c>
      <c r="D2642" s="7">
        <v>7.218</v>
      </c>
      <c r="E2642" s="16"/>
      <c r="F2642" s="16"/>
      <c r="G2642" s="16"/>
      <c r="H2642" s="16"/>
    </row>
    <row r="2643" spans="1:8" x14ac:dyDescent="0.3">
      <c r="A2643" s="18">
        <v>441</v>
      </c>
      <c r="B2643" s="20">
        <v>45587</v>
      </c>
      <c r="C2643" s="8" t="s">
        <v>8</v>
      </c>
      <c r="D2643" s="2">
        <v>22.63</v>
      </c>
      <c r="E2643" s="19">
        <f>SUM(D2643:D2648)</f>
        <v>149.45400000000001</v>
      </c>
      <c r="F2643" s="17">
        <f>INT(MAX(D2643:D2648))</f>
        <v>47</v>
      </c>
      <c r="G2643" s="14">
        <f>INT((F2643/10)*2)</f>
        <v>9</v>
      </c>
      <c r="H2643" s="14">
        <f>F2643-G2643</f>
        <v>38</v>
      </c>
    </row>
    <row r="2644" spans="1:8" x14ac:dyDescent="0.3">
      <c r="A2644" s="15"/>
      <c r="B2644" s="15"/>
      <c r="C2644" s="3" t="s">
        <v>10</v>
      </c>
      <c r="D2644" s="2">
        <v>47.79</v>
      </c>
      <c r="E2644" s="15"/>
      <c r="F2644" s="15"/>
      <c r="G2644" s="15"/>
      <c r="H2644" s="15"/>
    </row>
    <row r="2645" spans="1:8" x14ac:dyDescent="0.3">
      <c r="A2645" s="15"/>
      <c r="B2645" s="15"/>
      <c r="C2645" s="3" t="s">
        <v>13</v>
      </c>
      <c r="D2645" s="2">
        <v>24.03</v>
      </c>
      <c r="E2645" s="15"/>
      <c r="F2645" s="15"/>
      <c r="G2645" s="15"/>
      <c r="H2645" s="15"/>
    </row>
    <row r="2646" spans="1:8" x14ac:dyDescent="0.3">
      <c r="A2646" s="15"/>
      <c r="B2646" s="15"/>
      <c r="C2646" s="3" t="s">
        <v>12</v>
      </c>
      <c r="D2646" s="2">
        <v>26.48</v>
      </c>
      <c r="E2646" s="15"/>
      <c r="F2646" s="15"/>
      <c r="G2646" s="15"/>
      <c r="H2646" s="15"/>
    </row>
    <row r="2647" spans="1:8" x14ac:dyDescent="0.3">
      <c r="A2647" s="15"/>
      <c r="B2647" s="15"/>
      <c r="C2647" s="3" t="s">
        <v>14</v>
      </c>
      <c r="D2647" s="7">
        <v>9.6839999999999993</v>
      </c>
      <c r="E2647" s="15"/>
      <c r="F2647" s="15"/>
      <c r="G2647" s="15"/>
      <c r="H2647" s="15"/>
    </row>
    <row r="2648" spans="1:8" x14ac:dyDescent="0.3">
      <c r="A2648" s="16"/>
      <c r="B2648" s="16"/>
      <c r="C2648" s="8" t="s">
        <v>12</v>
      </c>
      <c r="D2648" s="2">
        <v>18.84</v>
      </c>
      <c r="E2648" s="16"/>
      <c r="F2648" s="16"/>
      <c r="G2648" s="16"/>
      <c r="H2648" s="16"/>
    </row>
    <row r="2649" spans="1:8" x14ac:dyDescent="0.3">
      <c r="A2649" s="18">
        <v>442</v>
      </c>
      <c r="B2649" s="20">
        <v>45590</v>
      </c>
      <c r="C2649" s="3" t="s">
        <v>14</v>
      </c>
      <c r="D2649" s="2">
        <v>39.979999999999997</v>
      </c>
      <c r="E2649" s="19">
        <f>SUM(D2649:D2654)</f>
        <v>327.51300000000003</v>
      </c>
      <c r="F2649" s="17">
        <f>INT(MAX(D2649:D2654))</f>
        <v>113</v>
      </c>
      <c r="G2649" s="14">
        <f>INT((F2649/10)*2)</f>
        <v>22</v>
      </c>
      <c r="H2649" s="14">
        <f>F2649-G2649</f>
        <v>91</v>
      </c>
    </row>
    <row r="2650" spans="1:8" x14ac:dyDescent="0.3">
      <c r="A2650" s="15"/>
      <c r="B2650" s="15"/>
      <c r="C2650" s="3" t="s">
        <v>11</v>
      </c>
      <c r="D2650" s="2">
        <v>28.17</v>
      </c>
      <c r="E2650" s="15"/>
      <c r="F2650" s="15"/>
      <c r="G2650" s="15"/>
      <c r="H2650" s="15"/>
    </row>
    <row r="2651" spans="1:8" x14ac:dyDescent="0.3">
      <c r="A2651" s="15"/>
      <c r="B2651" s="15"/>
      <c r="C2651" s="3" t="s">
        <v>13</v>
      </c>
      <c r="D2651" s="2">
        <v>11.61</v>
      </c>
      <c r="E2651" s="15"/>
      <c r="F2651" s="15"/>
      <c r="G2651" s="15"/>
      <c r="H2651" s="15"/>
    </row>
    <row r="2652" spans="1:8" x14ac:dyDescent="0.3">
      <c r="A2652" s="15"/>
      <c r="B2652" s="15"/>
      <c r="C2652" s="3" t="s">
        <v>16</v>
      </c>
      <c r="D2652" s="7">
        <v>113.223</v>
      </c>
      <c r="E2652" s="15"/>
      <c r="F2652" s="15"/>
      <c r="G2652" s="15"/>
      <c r="H2652" s="15"/>
    </row>
    <row r="2653" spans="1:8" x14ac:dyDescent="0.3">
      <c r="A2653" s="15"/>
      <c r="B2653" s="15"/>
      <c r="C2653" s="8" t="s">
        <v>13</v>
      </c>
      <c r="D2653" s="2">
        <v>46.59</v>
      </c>
      <c r="E2653" s="15"/>
      <c r="F2653" s="15"/>
      <c r="G2653" s="15"/>
      <c r="H2653" s="15"/>
    </row>
    <row r="2654" spans="1:8" x14ac:dyDescent="0.3">
      <c r="A2654" s="16"/>
      <c r="B2654" s="16"/>
      <c r="C2654" s="3" t="s">
        <v>8</v>
      </c>
      <c r="D2654" s="2">
        <v>87.94</v>
      </c>
      <c r="E2654" s="16"/>
      <c r="F2654" s="16"/>
      <c r="G2654" s="16"/>
      <c r="H2654" s="16"/>
    </row>
    <row r="2655" spans="1:8" x14ac:dyDescent="0.3">
      <c r="A2655" s="18">
        <v>443</v>
      </c>
      <c r="B2655" s="20">
        <v>45594</v>
      </c>
      <c r="C2655" s="3" t="s">
        <v>15</v>
      </c>
      <c r="D2655" s="2">
        <v>34.64</v>
      </c>
      <c r="E2655" s="19">
        <f>SUM(D2655:D2660)</f>
        <v>89.498999999999995</v>
      </c>
      <c r="F2655" s="17">
        <f>INT(MAX(D2655:D2660))</f>
        <v>34</v>
      </c>
      <c r="G2655" s="14">
        <f>INT((F2655/10)*2)</f>
        <v>6</v>
      </c>
      <c r="H2655" s="14">
        <f>F2655-G2655</f>
        <v>28</v>
      </c>
    </row>
    <row r="2656" spans="1:8" x14ac:dyDescent="0.3">
      <c r="A2656" s="15"/>
      <c r="B2656" s="15"/>
      <c r="C2656" s="3" t="s">
        <v>12</v>
      </c>
      <c r="D2656" s="7">
        <v>18.065999999999999</v>
      </c>
      <c r="E2656" s="15"/>
      <c r="F2656" s="15"/>
      <c r="G2656" s="15"/>
      <c r="H2656" s="15"/>
    </row>
    <row r="2657" spans="1:8" x14ac:dyDescent="0.3">
      <c r="A2657" s="15"/>
      <c r="B2657" s="15"/>
      <c r="C2657" s="8" t="s">
        <v>15</v>
      </c>
      <c r="D2657" s="2">
        <v>10.42</v>
      </c>
      <c r="E2657" s="15"/>
      <c r="F2657" s="15"/>
      <c r="G2657" s="15"/>
      <c r="H2657" s="15"/>
    </row>
    <row r="2658" spans="1:8" x14ac:dyDescent="0.3">
      <c r="A2658" s="15"/>
      <c r="B2658" s="15"/>
      <c r="C2658" s="3" t="s">
        <v>12</v>
      </c>
      <c r="D2658" s="2">
        <v>9.56</v>
      </c>
      <c r="E2658" s="15"/>
      <c r="F2658" s="15"/>
      <c r="G2658" s="15"/>
      <c r="H2658" s="15"/>
    </row>
    <row r="2659" spans="1:8" x14ac:dyDescent="0.3">
      <c r="A2659" s="15"/>
      <c r="B2659" s="15"/>
      <c r="C2659" s="3" t="s">
        <v>8</v>
      </c>
      <c r="D2659" s="7">
        <v>5.2130000000000001</v>
      </c>
      <c r="E2659" s="15"/>
      <c r="F2659" s="15"/>
      <c r="G2659" s="15"/>
      <c r="H2659" s="15"/>
    </row>
    <row r="2660" spans="1:8" x14ac:dyDescent="0.3">
      <c r="A2660" s="16"/>
      <c r="B2660" s="16"/>
      <c r="C2660" s="8" t="s">
        <v>14</v>
      </c>
      <c r="D2660" s="2">
        <v>11.6</v>
      </c>
      <c r="E2660" s="16"/>
      <c r="F2660" s="16"/>
      <c r="G2660" s="16"/>
      <c r="H2660" s="16"/>
    </row>
    <row r="2661" spans="1:8" x14ac:dyDescent="0.3">
      <c r="A2661" s="18">
        <v>444</v>
      </c>
      <c r="B2661" s="20">
        <v>45597</v>
      </c>
      <c r="C2661" s="3" t="s">
        <v>8</v>
      </c>
      <c r="D2661" s="2">
        <v>39.56</v>
      </c>
      <c r="E2661" s="19">
        <f>SUM(D2661:D2666)</f>
        <v>183.91400000000002</v>
      </c>
      <c r="F2661" s="17">
        <f>INT(MAX(D2661:D2666))</f>
        <v>75</v>
      </c>
      <c r="G2661" s="14">
        <f>INT((F2661/10)*2)</f>
        <v>15</v>
      </c>
      <c r="H2661" s="14">
        <f>F2661-G2661</f>
        <v>60</v>
      </c>
    </row>
    <row r="2662" spans="1:8" x14ac:dyDescent="0.3">
      <c r="A2662" s="15"/>
      <c r="B2662" s="15"/>
      <c r="C2662" s="3" t="s">
        <v>11</v>
      </c>
      <c r="D2662" s="7">
        <v>13.933</v>
      </c>
      <c r="E2662" s="15"/>
      <c r="F2662" s="15"/>
      <c r="G2662" s="15"/>
      <c r="H2662" s="15"/>
    </row>
    <row r="2663" spans="1:8" x14ac:dyDescent="0.3">
      <c r="A2663" s="15"/>
      <c r="B2663" s="15"/>
      <c r="C2663" s="8" t="s">
        <v>8</v>
      </c>
      <c r="D2663" s="2">
        <v>15.42</v>
      </c>
      <c r="E2663" s="15"/>
      <c r="F2663" s="15"/>
      <c r="G2663" s="15"/>
      <c r="H2663" s="15"/>
    </row>
    <row r="2664" spans="1:8" x14ac:dyDescent="0.3">
      <c r="A2664" s="15"/>
      <c r="B2664" s="15"/>
      <c r="C2664" s="3" t="s">
        <v>14</v>
      </c>
      <c r="D2664" s="2">
        <v>31.1</v>
      </c>
      <c r="E2664" s="15"/>
      <c r="F2664" s="15"/>
      <c r="G2664" s="15"/>
      <c r="H2664" s="15"/>
    </row>
    <row r="2665" spans="1:8" x14ac:dyDescent="0.3">
      <c r="A2665" s="15"/>
      <c r="B2665" s="15"/>
      <c r="C2665" s="3" t="s">
        <v>9</v>
      </c>
      <c r="D2665" s="2">
        <v>8.73</v>
      </c>
      <c r="E2665" s="15"/>
      <c r="F2665" s="15"/>
      <c r="G2665" s="15"/>
      <c r="H2665" s="15"/>
    </row>
    <row r="2666" spans="1:8" x14ac:dyDescent="0.3">
      <c r="A2666" s="16"/>
      <c r="B2666" s="16"/>
      <c r="C2666" s="3" t="s">
        <v>17</v>
      </c>
      <c r="D2666" s="7">
        <v>75.171000000000006</v>
      </c>
      <c r="E2666" s="16"/>
      <c r="F2666" s="16"/>
      <c r="G2666" s="16"/>
      <c r="H2666" s="16"/>
    </row>
    <row r="2667" spans="1:8" x14ac:dyDescent="0.3">
      <c r="A2667" s="18">
        <v>445</v>
      </c>
      <c r="B2667" s="20">
        <v>45601</v>
      </c>
      <c r="C2667" s="8" t="s">
        <v>15</v>
      </c>
      <c r="D2667" s="2">
        <v>12</v>
      </c>
      <c r="E2667" s="19">
        <f>SUM(D2667:D2672)</f>
        <v>149.89100000000002</v>
      </c>
      <c r="F2667" s="17">
        <f>INT(MAX(D2667:D2672))</f>
        <v>36</v>
      </c>
      <c r="G2667" s="14">
        <f>INT((F2667/10)*2)</f>
        <v>7</v>
      </c>
      <c r="H2667" s="14">
        <f>F2667-G2667</f>
        <v>29</v>
      </c>
    </row>
    <row r="2668" spans="1:8" x14ac:dyDescent="0.3">
      <c r="A2668" s="15"/>
      <c r="B2668" s="15"/>
      <c r="C2668" s="3" t="s">
        <v>18</v>
      </c>
      <c r="D2668" s="2">
        <v>24.76</v>
      </c>
      <c r="E2668" s="15"/>
      <c r="F2668" s="15"/>
      <c r="G2668" s="15"/>
      <c r="H2668" s="15"/>
    </row>
    <row r="2669" spans="1:8" x14ac:dyDescent="0.3">
      <c r="A2669" s="15"/>
      <c r="B2669" s="15"/>
      <c r="C2669" s="3" t="s">
        <v>17</v>
      </c>
      <c r="D2669" s="2">
        <v>24.85</v>
      </c>
      <c r="E2669" s="15"/>
      <c r="F2669" s="15"/>
      <c r="G2669" s="15"/>
      <c r="H2669" s="15"/>
    </row>
    <row r="2670" spans="1:8" x14ac:dyDescent="0.3">
      <c r="A2670" s="15"/>
      <c r="B2670" s="15"/>
      <c r="C2670" s="3" t="s">
        <v>10</v>
      </c>
      <c r="D2670" s="7">
        <v>36.420999999999999</v>
      </c>
      <c r="E2670" s="15"/>
      <c r="F2670" s="15"/>
      <c r="G2670" s="15"/>
      <c r="H2670" s="15"/>
    </row>
    <row r="2671" spans="1:8" x14ac:dyDescent="0.3">
      <c r="A2671" s="15"/>
      <c r="B2671" s="15"/>
      <c r="C2671" s="8" t="s">
        <v>9</v>
      </c>
      <c r="D2671" s="2">
        <v>31.22</v>
      </c>
      <c r="E2671" s="15"/>
      <c r="F2671" s="15"/>
      <c r="G2671" s="15"/>
      <c r="H2671" s="15"/>
    </row>
    <row r="2672" spans="1:8" x14ac:dyDescent="0.3">
      <c r="A2672" s="16"/>
      <c r="B2672" s="16"/>
      <c r="C2672" s="3" t="s">
        <v>13</v>
      </c>
      <c r="D2672" s="2">
        <v>20.64</v>
      </c>
      <c r="E2672" s="16"/>
      <c r="F2672" s="16"/>
      <c r="G2672" s="16"/>
      <c r="H2672" s="16"/>
    </row>
    <row r="2673" spans="1:8" x14ac:dyDescent="0.3">
      <c r="A2673" s="18">
        <v>446</v>
      </c>
      <c r="B2673" s="20">
        <v>45604</v>
      </c>
      <c r="C2673" s="3" t="s">
        <v>12</v>
      </c>
      <c r="D2673" s="2">
        <v>29.76</v>
      </c>
      <c r="E2673" s="19">
        <f>SUM(D2673:D2678)</f>
        <v>283.71000000000004</v>
      </c>
      <c r="F2673" s="17">
        <f>INT(MAX(D2673:D2678))</f>
        <v>117</v>
      </c>
      <c r="G2673" s="14">
        <f>INT((F2673/10)*2)</f>
        <v>23</v>
      </c>
      <c r="H2673" s="14">
        <f>F2673-G2673</f>
        <v>94</v>
      </c>
    </row>
    <row r="2674" spans="1:8" x14ac:dyDescent="0.3">
      <c r="A2674" s="15"/>
      <c r="B2674" s="15"/>
      <c r="C2674" s="3" t="s">
        <v>15</v>
      </c>
      <c r="D2674" s="2">
        <v>21.92</v>
      </c>
      <c r="E2674" s="15"/>
      <c r="F2674" s="15"/>
      <c r="G2674" s="15"/>
      <c r="H2674" s="15"/>
    </row>
    <row r="2675" spans="1:8" x14ac:dyDescent="0.3">
      <c r="A2675" s="15"/>
      <c r="B2675" s="15"/>
      <c r="C2675" s="3" t="s">
        <v>8</v>
      </c>
      <c r="D2675" s="7">
        <v>17.86</v>
      </c>
      <c r="E2675" s="15"/>
      <c r="F2675" s="15"/>
      <c r="G2675" s="15"/>
      <c r="H2675" s="15"/>
    </row>
    <row r="2676" spans="1:8" x14ac:dyDescent="0.3">
      <c r="A2676" s="15"/>
      <c r="B2676" s="15"/>
      <c r="C2676" s="8" t="s">
        <v>18</v>
      </c>
      <c r="D2676" s="2">
        <v>17.350000000000001</v>
      </c>
      <c r="E2676" s="15"/>
      <c r="F2676" s="15"/>
      <c r="G2676" s="15"/>
      <c r="H2676" s="15"/>
    </row>
    <row r="2677" spans="1:8" x14ac:dyDescent="0.3">
      <c r="A2677" s="15"/>
      <c r="B2677" s="15"/>
      <c r="C2677" s="3" t="s">
        <v>17</v>
      </c>
      <c r="D2677" s="2">
        <v>79.42</v>
      </c>
      <c r="E2677" s="15"/>
      <c r="F2677" s="15"/>
      <c r="G2677" s="15"/>
      <c r="H2677" s="15"/>
    </row>
    <row r="2678" spans="1:8" x14ac:dyDescent="0.3">
      <c r="A2678" s="16"/>
      <c r="B2678" s="16"/>
      <c r="C2678" s="3" t="s">
        <v>14</v>
      </c>
      <c r="D2678" s="2">
        <v>117.4</v>
      </c>
      <c r="E2678" s="16"/>
      <c r="F2678" s="16"/>
      <c r="G2678" s="16"/>
      <c r="H2678" s="16"/>
    </row>
    <row r="2679" spans="1:8" x14ac:dyDescent="0.3">
      <c r="A2679" s="18">
        <v>447</v>
      </c>
      <c r="B2679" s="20">
        <v>45608</v>
      </c>
      <c r="C2679" s="3" t="s">
        <v>11</v>
      </c>
      <c r="D2679" s="2">
        <v>39</v>
      </c>
      <c r="E2679" s="19">
        <f>SUM(D2679:D2684)</f>
        <v>236.58</v>
      </c>
      <c r="F2679" s="17">
        <f>INT(MAX(D2679:D2684))</f>
        <v>100</v>
      </c>
      <c r="G2679" s="14">
        <f>INT((F2679/10)*2)</f>
        <v>20</v>
      </c>
      <c r="H2679" s="14">
        <f>F2679-G2679</f>
        <v>80</v>
      </c>
    </row>
    <row r="2680" spans="1:8" x14ac:dyDescent="0.3">
      <c r="A2680" s="15"/>
      <c r="B2680" s="15"/>
      <c r="C2680" s="3" t="s">
        <v>10</v>
      </c>
      <c r="D2680" s="2">
        <v>100</v>
      </c>
      <c r="E2680" s="15"/>
      <c r="F2680" s="15"/>
      <c r="G2680" s="15"/>
      <c r="H2680" s="15"/>
    </row>
    <row r="2681" spans="1:8" x14ac:dyDescent="0.3">
      <c r="A2681" s="15"/>
      <c r="B2681" s="15"/>
      <c r="C2681" s="3" t="s">
        <v>9</v>
      </c>
      <c r="D2681" s="7">
        <v>31.353000000000002</v>
      </c>
      <c r="E2681" s="15"/>
      <c r="F2681" s="15"/>
      <c r="G2681" s="15"/>
      <c r="H2681" s="15"/>
    </row>
    <row r="2682" spans="1:8" x14ac:dyDescent="0.3">
      <c r="A2682" s="15"/>
      <c r="B2682" s="15"/>
      <c r="C2682" s="8" t="s">
        <v>8</v>
      </c>
      <c r="D2682" s="2">
        <v>25.15</v>
      </c>
      <c r="E2682" s="15"/>
      <c r="F2682" s="15"/>
      <c r="G2682" s="15"/>
      <c r="H2682" s="15"/>
    </row>
    <row r="2683" spans="1:8" x14ac:dyDescent="0.3">
      <c r="A2683" s="15"/>
      <c r="B2683" s="15"/>
      <c r="C2683" s="3" t="s">
        <v>18</v>
      </c>
      <c r="D2683" s="2">
        <v>25.56</v>
      </c>
      <c r="E2683" s="15"/>
      <c r="F2683" s="15"/>
      <c r="G2683" s="15"/>
      <c r="H2683" s="15"/>
    </row>
    <row r="2684" spans="1:8" x14ac:dyDescent="0.3">
      <c r="A2684" s="16"/>
      <c r="B2684" s="16"/>
      <c r="C2684" s="3" t="s">
        <v>12</v>
      </c>
      <c r="D2684" s="7">
        <v>15.516999999999999</v>
      </c>
      <c r="E2684" s="16"/>
      <c r="F2684" s="16"/>
      <c r="G2684" s="16"/>
      <c r="H2684" s="16"/>
    </row>
    <row r="2685" spans="1:8" x14ac:dyDescent="0.3">
      <c r="A2685" s="18">
        <v>448</v>
      </c>
      <c r="B2685" s="20">
        <v>45611</v>
      </c>
      <c r="C2685" s="8" t="s">
        <v>8</v>
      </c>
      <c r="D2685" s="2">
        <v>20.74</v>
      </c>
      <c r="E2685" s="19">
        <f>SUM(D2685:D2690)</f>
        <v>154.88400000000001</v>
      </c>
      <c r="F2685" s="17">
        <f>INT(MAX(D2685:D2690))</f>
        <v>55</v>
      </c>
      <c r="G2685" s="14">
        <f>INT((F2685/10)*2)</f>
        <v>11</v>
      </c>
      <c r="H2685" s="14">
        <f>F2685-G2685</f>
        <v>44</v>
      </c>
    </row>
    <row r="2686" spans="1:8" x14ac:dyDescent="0.3">
      <c r="A2686" s="15"/>
      <c r="B2686" s="15"/>
      <c r="C2686" s="3" t="s">
        <v>14</v>
      </c>
      <c r="D2686" s="2">
        <v>8.98</v>
      </c>
      <c r="E2686" s="15"/>
      <c r="F2686" s="15"/>
      <c r="G2686" s="15"/>
      <c r="H2686" s="15"/>
    </row>
    <row r="2687" spans="1:8" x14ac:dyDescent="0.3">
      <c r="A2687" s="15"/>
      <c r="B2687" s="15"/>
      <c r="C2687" s="3" t="s">
        <v>10</v>
      </c>
      <c r="D2687" s="2">
        <v>32.15</v>
      </c>
      <c r="E2687" s="15"/>
      <c r="F2687" s="15"/>
      <c r="G2687" s="15"/>
      <c r="H2687" s="15"/>
    </row>
    <row r="2688" spans="1:8" x14ac:dyDescent="0.3">
      <c r="A2688" s="15"/>
      <c r="B2688" s="15"/>
      <c r="C2688" s="3" t="s">
        <v>15</v>
      </c>
      <c r="D2688" s="2">
        <v>55.95</v>
      </c>
      <c r="E2688" s="15"/>
      <c r="F2688" s="15"/>
      <c r="G2688" s="15"/>
      <c r="H2688" s="15"/>
    </row>
    <row r="2689" spans="1:8" x14ac:dyDescent="0.3">
      <c r="A2689" s="15"/>
      <c r="B2689" s="15"/>
      <c r="C2689" s="3" t="s">
        <v>11</v>
      </c>
      <c r="D2689" s="7">
        <v>23.484000000000002</v>
      </c>
      <c r="E2689" s="15"/>
      <c r="F2689" s="15"/>
      <c r="G2689" s="15"/>
      <c r="H2689" s="15"/>
    </row>
    <row r="2690" spans="1:8" x14ac:dyDescent="0.3">
      <c r="A2690" s="16"/>
      <c r="B2690" s="16"/>
      <c r="C2690" s="8" t="s">
        <v>8</v>
      </c>
      <c r="D2690" s="2">
        <v>13.58</v>
      </c>
      <c r="E2690" s="16"/>
      <c r="F2690" s="16"/>
      <c r="G2690" s="16"/>
      <c r="H2690" s="16"/>
    </row>
    <row r="2691" spans="1:8" x14ac:dyDescent="0.3">
      <c r="A2691" s="18">
        <v>449</v>
      </c>
      <c r="B2691" s="20">
        <v>45615</v>
      </c>
      <c r="C2691" s="3" t="s">
        <v>18</v>
      </c>
      <c r="D2691" s="2">
        <v>11.6</v>
      </c>
      <c r="E2691" s="19">
        <f>SUM(D2691:D2696)</f>
        <v>164.55799999999999</v>
      </c>
      <c r="F2691" s="17">
        <f>INT(MAX(D2691:D2696))</f>
        <v>67</v>
      </c>
      <c r="G2691" s="14">
        <f>INT((F2691/10)*2)</f>
        <v>13</v>
      </c>
      <c r="H2691" s="14">
        <f>F2691-G2691</f>
        <v>54</v>
      </c>
    </row>
    <row r="2692" spans="1:8" x14ac:dyDescent="0.3">
      <c r="A2692" s="15"/>
      <c r="B2692" s="15"/>
      <c r="C2692" s="3" t="s">
        <v>12</v>
      </c>
      <c r="D2692" s="2">
        <v>28.95</v>
      </c>
      <c r="E2692" s="15"/>
      <c r="F2692" s="15"/>
      <c r="G2692" s="15"/>
      <c r="H2692" s="15"/>
    </row>
    <row r="2693" spans="1:8" x14ac:dyDescent="0.3">
      <c r="A2693" s="15"/>
      <c r="B2693" s="15"/>
      <c r="C2693" s="3" t="s">
        <v>11</v>
      </c>
      <c r="D2693" s="7">
        <v>21.67</v>
      </c>
      <c r="E2693" s="15"/>
      <c r="F2693" s="15"/>
      <c r="G2693" s="15"/>
      <c r="H2693" s="15"/>
    </row>
    <row r="2694" spans="1:8" x14ac:dyDescent="0.3">
      <c r="A2694" s="15"/>
      <c r="B2694" s="15"/>
      <c r="C2694" s="8" t="s">
        <v>15</v>
      </c>
      <c r="D2694" s="2">
        <v>26.19</v>
      </c>
      <c r="E2694" s="15"/>
      <c r="F2694" s="15"/>
      <c r="G2694" s="15"/>
      <c r="H2694" s="15"/>
    </row>
    <row r="2695" spans="1:8" x14ac:dyDescent="0.3">
      <c r="A2695" s="15"/>
      <c r="B2695" s="15"/>
      <c r="C2695" s="3" t="s">
        <v>10</v>
      </c>
      <c r="D2695" s="2">
        <v>67.37</v>
      </c>
      <c r="E2695" s="15"/>
      <c r="F2695" s="15"/>
      <c r="G2695" s="15"/>
      <c r="H2695" s="15"/>
    </row>
    <row r="2696" spans="1:8" x14ac:dyDescent="0.3">
      <c r="A2696" s="16"/>
      <c r="B2696" s="16"/>
      <c r="C2696" s="3" t="s">
        <v>11</v>
      </c>
      <c r="D2696" s="7">
        <v>8.7780000000000005</v>
      </c>
      <c r="E2696" s="16"/>
      <c r="F2696" s="16"/>
      <c r="G2696" s="16"/>
      <c r="H2696" s="16"/>
    </row>
    <row r="2697" spans="1:8" x14ac:dyDescent="0.3">
      <c r="A2697" s="18">
        <v>450</v>
      </c>
      <c r="B2697" s="20">
        <v>45618</v>
      </c>
      <c r="C2697" s="8" t="s">
        <v>14</v>
      </c>
      <c r="D2697" s="2">
        <v>11.42</v>
      </c>
      <c r="E2697" s="19">
        <f>SUM(D2697:D2702)</f>
        <v>254.75299999999996</v>
      </c>
      <c r="F2697" s="17">
        <f>INT(MAX(D2697:D2702))</f>
        <v>98</v>
      </c>
      <c r="G2697" s="14">
        <f>INT((F2697/10)*2)</f>
        <v>19</v>
      </c>
      <c r="H2697" s="14">
        <f>F2697-G2697</f>
        <v>79</v>
      </c>
    </row>
    <row r="2698" spans="1:8" x14ac:dyDescent="0.3">
      <c r="A2698" s="15"/>
      <c r="B2698" s="15"/>
      <c r="C2698" s="3" t="s">
        <v>13</v>
      </c>
      <c r="D2698" s="2">
        <v>19.38</v>
      </c>
      <c r="E2698" s="15"/>
      <c r="F2698" s="15"/>
      <c r="G2698" s="15"/>
      <c r="H2698" s="15"/>
    </row>
    <row r="2699" spans="1:8" x14ac:dyDescent="0.3">
      <c r="A2699" s="15"/>
      <c r="B2699" s="15"/>
      <c r="C2699" s="3" t="s">
        <v>15</v>
      </c>
      <c r="D2699" s="7">
        <v>96.039000000000001</v>
      </c>
      <c r="E2699" s="15"/>
      <c r="F2699" s="15"/>
      <c r="G2699" s="15"/>
      <c r="H2699" s="15"/>
    </row>
    <row r="2700" spans="1:8" x14ac:dyDescent="0.3">
      <c r="A2700" s="15"/>
      <c r="B2700" s="15"/>
      <c r="C2700" s="8" t="s">
        <v>9</v>
      </c>
      <c r="D2700" s="2">
        <v>98.52</v>
      </c>
      <c r="E2700" s="15"/>
      <c r="F2700" s="15"/>
      <c r="G2700" s="15"/>
      <c r="H2700" s="15"/>
    </row>
    <row r="2701" spans="1:8" x14ac:dyDescent="0.3">
      <c r="A2701" s="15"/>
      <c r="B2701" s="15"/>
      <c r="C2701" s="3" t="s">
        <v>15</v>
      </c>
      <c r="D2701" s="2">
        <v>15.2</v>
      </c>
      <c r="E2701" s="15"/>
      <c r="F2701" s="15"/>
      <c r="G2701" s="15"/>
      <c r="H2701" s="15"/>
    </row>
    <row r="2702" spans="1:8" x14ac:dyDescent="0.3">
      <c r="A2702" s="16"/>
      <c r="B2702" s="16"/>
      <c r="C2702" s="3" t="s">
        <v>8</v>
      </c>
      <c r="D2702" s="7">
        <v>14.194000000000001</v>
      </c>
      <c r="E2702" s="16"/>
      <c r="F2702" s="16"/>
      <c r="G2702" s="16"/>
      <c r="H2702" s="16"/>
    </row>
    <row r="2703" spans="1:8" x14ac:dyDescent="0.3">
      <c r="A2703" s="18">
        <v>451</v>
      </c>
      <c r="B2703" s="20">
        <v>45622</v>
      </c>
      <c r="C2703" s="8" t="s">
        <v>8</v>
      </c>
      <c r="D2703" s="2">
        <v>18.75</v>
      </c>
      <c r="E2703" s="19">
        <f>SUM(D2703:D2708)</f>
        <v>129.34</v>
      </c>
      <c r="F2703" s="17">
        <f>INT(MAX(D2703:D2708))</f>
        <v>50</v>
      </c>
      <c r="G2703" s="14">
        <f>INT((F2703/10)*2)</f>
        <v>10</v>
      </c>
      <c r="H2703" s="14">
        <f>F2703-G2703</f>
        <v>40</v>
      </c>
    </row>
    <row r="2704" spans="1:8" x14ac:dyDescent="0.3">
      <c r="A2704" s="15"/>
      <c r="B2704" s="15"/>
      <c r="C2704" s="3" t="s">
        <v>15</v>
      </c>
      <c r="D2704" s="2">
        <v>50.99</v>
      </c>
      <c r="E2704" s="15"/>
      <c r="F2704" s="15"/>
      <c r="G2704" s="15"/>
      <c r="H2704" s="15"/>
    </row>
    <row r="2705" spans="1:8" x14ac:dyDescent="0.3">
      <c r="A2705" s="15"/>
      <c r="B2705" s="15"/>
      <c r="C2705" s="3" t="s">
        <v>11</v>
      </c>
      <c r="D2705" s="2">
        <v>8.59</v>
      </c>
      <c r="E2705" s="15"/>
      <c r="F2705" s="15"/>
      <c r="G2705" s="15"/>
      <c r="H2705" s="15"/>
    </row>
    <row r="2706" spans="1:8" x14ac:dyDescent="0.3">
      <c r="A2706" s="15"/>
      <c r="B2706" s="15"/>
      <c r="C2706" s="3" t="s">
        <v>14</v>
      </c>
      <c r="D2706" s="7">
        <v>19.809999999999999</v>
      </c>
      <c r="E2706" s="15"/>
      <c r="F2706" s="15"/>
      <c r="G2706" s="15"/>
      <c r="H2706" s="15"/>
    </row>
    <row r="2707" spans="1:8" x14ac:dyDescent="0.3">
      <c r="A2707" s="15"/>
      <c r="B2707" s="15"/>
      <c r="C2707" s="8" t="s">
        <v>17</v>
      </c>
      <c r="D2707" s="2">
        <v>20.36</v>
      </c>
      <c r="E2707" s="15"/>
      <c r="F2707" s="15"/>
      <c r="G2707" s="15"/>
      <c r="H2707" s="15"/>
    </row>
    <row r="2708" spans="1:8" x14ac:dyDescent="0.3">
      <c r="A2708" s="16"/>
      <c r="B2708" s="16"/>
      <c r="C2708" s="3" t="s">
        <v>16</v>
      </c>
      <c r="D2708" s="2">
        <v>10.84</v>
      </c>
      <c r="E2708" s="16"/>
      <c r="F2708" s="16"/>
      <c r="G2708" s="16"/>
      <c r="H2708" s="16"/>
    </row>
    <row r="2709" spans="1:8" x14ac:dyDescent="0.3">
      <c r="A2709" s="18">
        <v>452</v>
      </c>
      <c r="B2709" s="20">
        <v>45625</v>
      </c>
      <c r="C2709" s="3" t="s">
        <v>12</v>
      </c>
      <c r="D2709" s="2">
        <v>8.31</v>
      </c>
      <c r="E2709" s="19">
        <f>SUM(D2709:D2714)</f>
        <v>270.26</v>
      </c>
      <c r="F2709" s="17">
        <f>INT(MAX(D2709:D2714))</f>
        <v>87</v>
      </c>
      <c r="G2709" s="14">
        <f>INT((F2709/10)*2)</f>
        <v>17</v>
      </c>
      <c r="H2709" s="14">
        <f>F2709-G2709</f>
        <v>70</v>
      </c>
    </row>
    <row r="2710" spans="1:8" x14ac:dyDescent="0.3">
      <c r="A2710" s="15"/>
      <c r="B2710" s="15"/>
      <c r="C2710" s="3" t="s">
        <v>14</v>
      </c>
      <c r="D2710" s="2">
        <v>21.38</v>
      </c>
      <c r="E2710" s="15"/>
      <c r="F2710" s="15"/>
      <c r="G2710" s="15"/>
      <c r="H2710" s="15"/>
    </row>
    <row r="2711" spans="1:8" x14ac:dyDescent="0.3">
      <c r="A2711" s="15"/>
      <c r="B2711" s="15"/>
      <c r="C2711" s="3" t="s">
        <v>15</v>
      </c>
      <c r="D2711" s="7">
        <v>55.95</v>
      </c>
      <c r="E2711" s="15"/>
      <c r="F2711" s="15"/>
      <c r="G2711" s="15"/>
      <c r="H2711" s="15"/>
    </row>
    <row r="2712" spans="1:8" x14ac:dyDescent="0.3">
      <c r="A2712" s="15"/>
      <c r="B2712" s="15"/>
      <c r="C2712" s="8" t="s">
        <v>13</v>
      </c>
      <c r="D2712" s="2">
        <v>83.6</v>
      </c>
      <c r="E2712" s="15"/>
      <c r="F2712" s="15"/>
      <c r="G2712" s="15"/>
      <c r="H2712" s="15"/>
    </row>
    <row r="2713" spans="1:8" x14ac:dyDescent="0.3">
      <c r="A2713" s="15"/>
      <c r="B2713" s="15"/>
      <c r="C2713" s="3" t="s">
        <v>9</v>
      </c>
      <c r="D2713" s="2">
        <v>13.62</v>
      </c>
      <c r="E2713" s="15"/>
      <c r="F2713" s="15"/>
      <c r="G2713" s="15"/>
      <c r="H2713" s="15"/>
    </row>
    <row r="2714" spans="1:8" x14ac:dyDescent="0.3">
      <c r="A2714" s="16"/>
      <c r="B2714" s="16"/>
      <c r="C2714" s="3" t="s">
        <v>18</v>
      </c>
      <c r="D2714" s="2">
        <v>87.4</v>
      </c>
      <c r="E2714" s="16"/>
      <c r="F2714" s="16"/>
      <c r="G2714" s="16"/>
      <c r="H2714" s="16"/>
    </row>
    <row r="2715" spans="1:8" x14ac:dyDescent="0.3">
      <c r="A2715" s="18">
        <v>453</v>
      </c>
      <c r="B2715" s="20">
        <v>45629</v>
      </c>
      <c r="C2715" s="3" t="s">
        <v>11</v>
      </c>
      <c r="D2715" s="2">
        <v>49.92</v>
      </c>
      <c r="E2715" s="19">
        <f>SUM(D2715:D2720)</f>
        <v>199.56299999999999</v>
      </c>
      <c r="F2715" s="17">
        <f>INT(MAX(D2715:D2720))</f>
        <v>49</v>
      </c>
      <c r="G2715" s="14">
        <f>INT((F2715/10)*2)</f>
        <v>9</v>
      </c>
      <c r="H2715" s="14">
        <f>F2715-G2715</f>
        <v>40</v>
      </c>
    </row>
    <row r="2716" spans="1:8" x14ac:dyDescent="0.3">
      <c r="A2716" s="15"/>
      <c r="B2716" s="15"/>
      <c r="C2716" s="3" t="s">
        <v>14</v>
      </c>
      <c r="D2716" s="7">
        <v>35.283000000000001</v>
      </c>
      <c r="E2716" s="15"/>
      <c r="F2716" s="15"/>
      <c r="G2716" s="15"/>
      <c r="H2716" s="15"/>
    </row>
    <row r="2717" spans="1:8" x14ac:dyDescent="0.3">
      <c r="A2717" s="15"/>
      <c r="B2717" s="15"/>
      <c r="C2717" s="8" t="s">
        <v>15</v>
      </c>
      <c r="D2717" s="2">
        <v>22.27</v>
      </c>
      <c r="E2717" s="15"/>
      <c r="F2717" s="15"/>
      <c r="G2717" s="15"/>
      <c r="H2717" s="15"/>
    </row>
    <row r="2718" spans="1:8" x14ac:dyDescent="0.3">
      <c r="A2718" s="15"/>
      <c r="B2718" s="15"/>
      <c r="C2718" s="3" t="s">
        <v>14</v>
      </c>
      <c r="D2718" s="2">
        <v>43.92</v>
      </c>
      <c r="E2718" s="15"/>
      <c r="F2718" s="15"/>
      <c r="G2718" s="15"/>
      <c r="H2718" s="15"/>
    </row>
    <row r="2719" spans="1:8" x14ac:dyDescent="0.3">
      <c r="A2719" s="15"/>
      <c r="B2719" s="15"/>
      <c r="C2719" s="3" t="s">
        <v>11</v>
      </c>
      <c r="D2719" s="2">
        <v>23.07</v>
      </c>
      <c r="E2719" s="15"/>
      <c r="F2719" s="15"/>
      <c r="G2719" s="15"/>
      <c r="H2719" s="15"/>
    </row>
    <row r="2720" spans="1:8" x14ac:dyDescent="0.3">
      <c r="A2720" s="16"/>
      <c r="B2720" s="16"/>
      <c r="C2720" s="3" t="s">
        <v>18</v>
      </c>
      <c r="D2720" s="2">
        <v>25.1</v>
      </c>
      <c r="E2720" s="16"/>
      <c r="F2720" s="16"/>
      <c r="G2720" s="16"/>
      <c r="H2720" s="16"/>
    </row>
    <row r="2721" spans="1:8" x14ac:dyDescent="0.3">
      <c r="A2721" s="18">
        <v>454</v>
      </c>
      <c r="B2721" s="20">
        <v>45632</v>
      </c>
      <c r="C2721" s="3" t="s">
        <v>16</v>
      </c>
      <c r="D2721" s="2">
        <v>47.32</v>
      </c>
      <c r="E2721" s="19">
        <f>SUM(D2721:D2726)</f>
        <v>151.453</v>
      </c>
      <c r="F2721" s="17">
        <f>INT(MAX(D2721:D2726))</f>
        <v>47</v>
      </c>
      <c r="G2721" s="14">
        <f>INT((F2721/10)*2)</f>
        <v>9</v>
      </c>
      <c r="H2721" s="14">
        <f>F2721-G2721</f>
        <v>38</v>
      </c>
    </row>
    <row r="2722" spans="1:8" x14ac:dyDescent="0.3">
      <c r="A2722" s="15"/>
      <c r="B2722" s="15"/>
      <c r="C2722" s="3" t="s">
        <v>9</v>
      </c>
      <c r="D2722" s="7">
        <v>5.6369999999999996</v>
      </c>
      <c r="E2722" s="15"/>
      <c r="F2722" s="15"/>
      <c r="G2722" s="15"/>
      <c r="H2722" s="15"/>
    </row>
    <row r="2723" spans="1:8" x14ac:dyDescent="0.3">
      <c r="A2723" s="15"/>
      <c r="B2723" s="15"/>
      <c r="C2723" s="8" t="s">
        <v>17</v>
      </c>
      <c r="D2723" s="2">
        <v>16.66</v>
      </c>
      <c r="E2723" s="15"/>
      <c r="F2723" s="15"/>
      <c r="G2723" s="15"/>
      <c r="H2723" s="15"/>
    </row>
    <row r="2724" spans="1:8" x14ac:dyDescent="0.3">
      <c r="A2724" s="15"/>
      <c r="B2724" s="15"/>
      <c r="C2724" s="3" t="s">
        <v>13</v>
      </c>
      <c r="D2724" s="2">
        <v>13.45</v>
      </c>
      <c r="E2724" s="15"/>
      <c r="F2724" s="15"/>
      <c r="G2724" s="15"/>
      <c r="H2724" s="15"/>
    </row>
    <row r="2725" spans="1:8" x14ac:dyDescent="0.3">
      <c r="A2725" s="15"/>
      <c r="B2725" s="15"/>
      <c r="C2725" s="3" t="s">
        <v>16</v>
      </c>
      <c r="D2725" s="7">
        <v>39.975999999999999</v>
      </c>
      <c r="E2725" s="15"/>
      <c r="F2725" s="15"/>
      <c r="G2725" s="15"/>
      <c r="H2725" s="15"/>
    </row>
    <row r="2726" spans="1:8" x14ac:dyDescent="0.3">
      <c r="A2726" s="16"/>
      <c r="B2726" s="16"/>
      <c r="C2726" s="8" t="s">
        <v>16</v>
      </c>
      <c r="D2726" s="2">
        <v>28.41</v>
      </c>
      <c r="E2726" s="16"/>
      <c r="F2726" s="16"/>
      <c r="G2726" s="16"/>
      <c r="H2726" s="16"/>
    </row>
    <row r="2727" spans="1:8" x14ac:dyDescent="0.3">
      <c r="A2727" s="18">
        <v>455</v>
      </c>
      <c r="B2727" s="20">
        <v>45636</v>
      </c>
      <c r="C2727" s="3" t="s">
        <v>18</v>
      </c>
      <c r="D2727" s="2">
        <v>42.97</v>
      </c>
      <c r="E2727" s="19">
        <f>SUM(D2727:D2732)</f>
        <v>153.71299999999999</v>
      </c>
      <c r="F2727" s="17">
        <f>INT(MAX(D2727:D2732))</f>
        <v>57</v>
      </c>
      <c r="G2727" s="14">
        <f>INT((F2727/10)*2)</f>
        <v>11</v>
      </c>
      <c r="H2727" s="14">
        <f>F2727-G2727</f>
        <v>46</v>
      </c>
    </row>
    <row r="2728" spans="1:8" x14ac:dyDescent="0.3">
      <c r="A2728" s="15"/>
      <c r="B2728" s="15"/>
      <c r="C2728" s="3" t="s">
        <v>17</v>
      </c>
      <c r="D2728" s="2">
        <v>26.86</v>
      </c>
      <c r="E2728" s="15"/>
      <c r="F2728" s="15"/>
      <c r="G2728" s="15"/>
      <c r="H2728" s="15"/>
    </row>
    <row r="2729" spans="1:8" x14ac:dyDescent="0.3">
      <c r="A2729" s="15"/>
      <c r="B2729" s="15"/>
      <c r="C2729" s="3" t="s">
        <v>10</v>
      </c>
      <c r="D2729" s="2">
        <v>8.61</v>
      </c>
      <c r="E2729" s="15"/>
      <c r="F2729" s="15"/>
      <c r="G2729" s="15"/>
      <c r="H2729" s="15"/>
    </row>
    <row r="2730" spans="1:8" x14ac:dyDescent="0.3">
      <c r="A2730" s="15"/>
      <c r="B2730" s="15"/>
      <c r="C2730" s="3" t="s">
        <v>8</v>
      </c>
      <c r="D2730" s="2">
        <v>57.4</v>
      </c>
      <c r="E2730" s="15"/>
      <c r="F2730" s="15"/>
      <c r="G2730" s="15"/>
      <c r="H2730" s="15"/>
    </row>
    <row r="2731" spans="1:8" x14ac:dyDescent="0.3">
      <c r="A2731" s="15"/>
      <c r="B2731" s="15"/>
      <c r="C2731" s="3" t="s">
        <v>12</v>
      </c>
      <c r="D2731" s="7">
        <v>5.3330000000000002</v>
      </c>
      <c r="E2731" s="15"/>
      <c r="F2731" s="15"/>
      <c r="G2731" s="15"/>
      <c r="H2731" s="15"/>
    </row>
    <row r="2732" spans="1:8" x14ac:dyDescent="0.3">
      <c r="A2732" s="16"/>
      <c r="B2732" s="16"/>
      <c r="C2732" s="8" t="s">
        <v>17</v>
      </c>
      <c r="D2732" s="2">
        <v>12.54</v>
      </c>
      <c r="E2732" s="16"/>
      <c r="F2732" s="16"/>
      <c r="G2732" s="16"/>
      <c r="H2732" s="16"/>
    </row>
    <row r="2733" spans="1:8" x14ac:dyDescent="0.3">
      <c r="A2733" s="18">
        <v>456</v>
      </c>
      <c r="B2733" s="20">
        <v>45639</v>
      </c>
      <c r="C2733" s="3" t="s">
        <v>12</v>
      </c>
      <c r="D2733" s="2">
        <v>19.38</v>
      </c>
      <c r="E2733" s="19">
        <f>SUM(D2733:D2738)</f>
        <v>249.13800000000001</v>
      </c>
      <c r="F2733" s="17">
        <f>INT(MAX(D2733:D2738))</f>
        <v>94</v>
      </c>
      <c r="G2733" s="14">
        <f>INT((F2733/10)*2)</f>
        <v>18</v>
      </c>
      <c r="H2733" s="14">
        <f>F2733-G2733</f>
        <v>76</v>
      </c>
    </row>
    <row r="2734" spans="1:8" x14ac:dyDescent="0.3">
      <c r="A2734" s="15"/>
      <c r="B2734" s="15"/>
      <c r="C2734" s="3" t="s">
        <v>14</v>
      </c>
      <c r="D2734" s="2">
        <v>5.22</v>
      </c>
      <c r="E2734" s="15"/>
      <c r="F2734" s="15"/>
      <c r="G2734" s="15"/>
      <c r="H2734" s="15"/>
    </row>
    <row r="2735" spans="1:8" x14ac:dyDescent="0.3">
      <c r="A2735" s="15"/>
      <c r="B2735" s="15"/>
      <c r="C2735" s="3" t="s">
        <v>16</v>
      </c>
      <c r="D2735" s="2">
        <v>23.37</v>
      </c>
      <c r="E2735" s="15"/>
      <c r="F2735" s="15"/>
      <c r="G2735" s="15"/>
      <c r="H2735" s="15"/>
    </row>
    <row r="2736" spans="1:8" x14ac:dyDescent="0.3">
      <c r="A2736" s="15"/>
      <c r="B2736" s="15"/>
      <c r="C2736" s="3" t="s">
        <v>13</v>
      </c>
      <c r="D2736" s="7">
        <v>26.448</v>
      </c>
      <c r="E2736" s="15"/>
      <c r="F2736" s="15"/>
      <c r="G2736" s="15"/>
      <c r="H2736" s="15"/>
    </row>
    <row r="2737" spans="1:8" x14ac:dyDescent="0.3">
      <c r="A2737" s="15"/>
      <c r="B2737" s="15"/>
      <c r="C2737" s="8" t="s">
        <v>12</v>
      </c>
      <c r="D2737" s="2">
        <v>80</v>
      </c>
      <c r="E2737" s="15"/>
      <c r="F2737" s="15"/>
      <c r="G2737" s="15"/>
      <c r="H2737" s="15"/>
    </row>
    <row r="2738" spans="1:8" x14ac:dyDescent="0.3">
      <c r="A2738" s="16"/>
      <c r="B2738" s="16"/>
      <c r="C2738" s="3" t="s">
        <v>14</v>
      </c>
      <c r="D2738" s="2">
        <v>94.72</v>
      </c>
      <c r="E2738" s="16"/>
      <c r="F2738" s="16"/>
      <c r="G2738" s="16"/>
      <c r="H2738" s="16"/>
    </row>
    <row r="2739" spans="1:8" x14ac:dyDescent="0.3">
      <c r="A2739" s="18">
        <v>457</v>
      </c>
      <c r="B2739" s="20">
        <v>45643</v>
      </c>
      <c r="C2739" s="3" t="s">
        <v>9</v>
      </c>
      <c r="D2739" s="2">
        <v>114.17</v>
      </c>
      <c r="E2739" s="19">
        <f>SUM(D2739:D2744)</f>
        <v>277.01800000000003</v>
      </c>
      <c r="F2739" s="17">
        <f>INT(MAX(D2739:D2744))</f>
        <v>114</v>
      </c>
      <c r="G2739" s="14">
        <f>INT((F2739/10)*2)</f>
        <v>22</v>
      </c>
      <c r="H2739" s="14">
        <f>F2739-G2739</f>
        <v>92</v>
      </c>
    </row>
    <row r="2740" spans="1:8" x14ac:dyDescent="0.3">
      <c r="A2740" s="15"/>
      <c r="B2740" s="15"/>
      <c r="C2740" s="3" t="s">
        <v>11</v>
      </c>
      <c r="D2740" s="2">
        <v>33.29</v>
      </c>
      <c r="E2740" s="15"/>
      <c r="F2740" s="15"/>
      <c r="G2740" s="15"/>
      <c r="H2740" s="15"/>
    </row>
    <row r="2741" spans="1:8" x14ac:dyDescent="0.3">
      <c r="A2741" s="15"/>
      <c r="B2741" s="15"/>
      <c r="C2741" s="3" t="s">
        <v>8</v>
      </c>
      <c r="D2741" s="2">
        <v>65.88</v>
      </c>
      <c r="E2741" s="15"/>
      <c r="F2741" s="15"/>
      <c r="G2741" s="15"/>
      <c r="H2741" s="15"/>
    </row>
    <row r="2742" spans="1:8" x14ac:dyDescent="0.3">
      <c r="A2742" s="15"/>
      <c r="B2742" s="15"/>
      <c r="C2742" s="3" t="s">
        <v>13</v>
      </c>
      <c r="D2742" s="7">
        <v>10.568</v>
      </c>
      <c r="E2742" s="15"/>
      <c r="F2742" s="15"/>
      <c r="G2742" s="15"/>
      <c r="H2742" s="15"/>
    </row>
    <row r="2743" spans="1:8" x14ac:dyDescent="0.3">
      <c r="A2743" s="15"/>
      <c r="B2743" s="15"/>
      <c r="C2743" s="8" t="s">
        <v>12</v>
      </c>
      <c r="D2743" s="2">
        <v>19.39</v>
      </c>
      <c r="E2743" s="15"/>
      <c r="F2743" s="15"/>
      <c r="G2743" s="15"/>
      <c r="H2743" s="15"/>
    </row>
    <row r="2744" spans="1:8" x14ac:dyDescent="0.3">
      <c r="A2744" s="16"/>
      <c r="B2744" s="16"/>
      <c r="C2744" s="3" t="s">
        <v>9</v>
      </c>
      <c r="D2744" s="2">
        <v>33.72</v>
      </c>
      <c r="E2744" s="16"/>
      <c r="F2744" s="16"/>
      <c r="G2744" s="16"/>
      <c r="H2744" s="16"/>
    </row>
    <row r="2745" spans="1:8" x14ac:dyDescent="0.3">
      <c r="A2745" s="18">
        <v>458</v>
      </c>
      <c r="B2745" s="20">
        <v>45646</v>
      </c>
      <c r="C2745" s="3" t="s">
        <v>11</v>
      </c>
      <c r="D2745" s="2">
        <v>22.23</v>
      </c>
      <c r="E2745" s="19">
        <f>SUM(D2745:D2750)</f>
        <v>145.82899999999998</v>
      </c>
      <c r="F2745" s="17">
        <f>INT(MAX(D2745:D2750))</f>
        <v>71</v>
      </c>
      <c r="G2745" s="14">
        <f>INT((F2745/10)*2)</f>
        <v>14</v>
      </c>
      <c r="H2745" s="14">
        <f>F2745-G2745</f>
        <v>57</v>
      </c>
    </row>
    <row r="2746" spans="1:8" x14ac:dyDescent="0.3">
      <c r="A2746" s="15"/>
      <c r="B2746" s="15"/>
      <c r="C2746" s="3" t="s">
        <v>13</v>
      </c>
      <c r="D2746" s="2">
        <v>8.76</v>
      </c>
      <c r="E2746" s="15"/>
      <c r="F2746" s="15"/>
      <c r="G2746" s="15"/>
      <c r="H2746" s="15"/>
    </row>
    <row r="2747" spans="1:8" x14ac:dyDescent="0.3">
      <c r="A2747" s="15"/>
      <c r="B2747" s="15"/>
      <c r="C2747" s="3" t="s">
        <v>15</v>
      </c>
      <c r="D2747" s="2">
        <v>6.55</v>
      </c>
      <c r="E2747" s="15"/>
      <c r="F2747" s="15"/>
      <c r="G2747" s="15"/>
      <c r="H2747" s="15"/>
    </row>
    <row r="2748" spans="1:8" x14ac:dyDescent="0.3">
      <c r="A2748" s="15"/>
      <c r="B2748" s="15"/>
      <c r="C2748" s="3" t="s">
        <v>18</v>
      </c>
      <c r="D2748" s="7">
        <v>29.989000000000001</v>
      </c>
      <c r="E2748" s="15"/>
      <c r="F2748" s="15"/>
      <c r="G2748" s="15"/>
      <c r="H2748" s="15"/>
    </row>
    <row r="2749" spans="1:8" x14ac:dyDescent="0.3">
      <c r="A2749" s="15"/>
      <c r="B2749" s="15"/>
      <c r="C2749" s="8" t="s">
        <v>14</v>
      </c>
      <c r="D2749" s="2">
        <v>71.27</v>
      </c>
      <c r="E2749" s="15"/>
      <c r="F2749" s="15"/>
      <c r="G2749" s="15"/>
      <c r="H2749" s="15"/>
    </row>
    <row r="2750" spans="1:8" x14ac:dyDescent="0.3">
      <c r="A2750" s="16"/>
      <c r="B2750" s="16"/>
      <c r="C2750" s="3" t="s">
        <v>13</v>
      </c>
      <c r="D2750" s="2">
        <v>7.03</v>
      </c>
      <c r="E2750" s="16"/>
      <c r="F2750" s="16"/>
      <c r="G2750" s="16"/>
      <c r="H2750" s="16"/>
    </row>
    <row r="2751" spans="1:8" x14ac:dyDescent="0.3">
      <c r="A2751" s="18">
        <v>459</v>
      </c>
      <c r="B2751" s="20">
        <v>45650</v>
      </c>
      <c r="C2751" s="3" t="s">
        <v>8</v>
      </c>
      <c r="D2751" s="2">
        <v>13.43</v>
      </c>
      <c r="E2751" s="19">
        <f>SUM(D2751:D2756)</f>
        <v>151.90100000000001</v>
      </c>
      <c r="F2751" s="17">
        <f>INT(MAX(D2751:D2756))</f>
        <v>88</v>
      </c>
      <c r="G2751" s="14">
        <f>INT((F2751/10)*2)</f>
        <v>17</v>
      </c>
      <c r="H2751" s="14">
        <f>F2751-G2751</f>
        <v>71</v>
      </c>
    </row>
    <row r="2752" spans="1:8" x14ac:dyDescent="0.3">
      <c r="A2752" s="15"/>
      <c r="B2752" s="15"/>
      <c r="C2752" s="3" t="s">
        <v>16</v>
      </c>
      <c r="D2752" s="2">
        <v>25.37</v>
      </c>
      <c r="E2752" s="15"/>
      <c r="F2752" s="15"/>
      <c r="G2752" s="15"/>
      <c r="H2752" s="15"/>
    </row>
    <row r="2753" spans="1:8" x14ac:dyDescent="0.3">
      <c r="A2753" s="15"/>
      <c r="B2753" s="15"/>
      <c r="C2753" s="3" t="s">
        <v>10</v>
      </c>
      <c r="D2753" s="2">
        <v>88.06</v>
      </c>
      <c r="E2753" s="15"/>
      <c r="F2753" s="15"/>
      <c r="G2753" s="15"/>
      <c r="H2753" s="15"/>
    </row>
    <row r="2754" spans="1:8" x14ac:dyDescent="0.3">
      <c r="A2754" s="15"/>
      <c r="B2754" s="15"/>
      <c r="C2754" s="3" t="s">
        <v>11</v>
      </c>
      <c r="D2754" s="7">
        <v>14.340999999999999</v>
      </c>
      <c r="E2754" s="15"/>
      <c r="F2754" s="15"/>
      <c r="G2754" s="15"/>
      <c r="H2754" s="15"/>
    </row>
    <row r="2755" spans="1:8" x14ac:dyDescent="0.3">
      <c r="A2755" s="15"/>
      <c r="B2755" s="15"/>
      <c r="C2755" s="8" t="s">
        <v>17</v>
      </c>
      <c r="D2755" s="2">
        <v>2.87</v>
      </c>
      <c r="E2755" s="15"/>
      <c r="F2755" s="15"/>
      <c r="G2755" s="15"/>
      <c r="H2755" s="15"/>
    </row>
    <row r="2756" spans="1:8" x14ac:dyDescent="0.3">
      <c r="A2756" s="16"/>
      <c r="B2756" s="16"/>
      <c r="C2756" s="3" t="s">
        <v>8</v>
      </c>
      <c r="D2756" s="2">
        <v>7.83</v>
      </c>
      <c r="E2756" s="16"/>
      <c r="F2756" s="16"/>
      <c r="G2756" s="16"/>
      <c r="H2756" s="16"/>
    </row>
    <row r="2757" spans="1:8" x14ac:dyDescent="0.3">
      <c r="A2757" s="18">
        <v>460</v>
      </c>
      <c r="B2757" s="20">
        <v>45653</v>
      </c>
      <c r="C2757" s="3" t="s">
        <v>9</v>
      </c>
      <c r="D2757" s="2">
        <v>20.58</v>
      </c>
      <c r="E2757" s="19">
        <f>SUM(D2757:D2762)</f>
        <v>362.25499999999994</v>
      </c>
      <c r="F2757" s="17">
        <f>INT(MAX(D2757:D2762))</f>
        <v>200</v>
      </c>
      <c r="G2757" s="14">
        <f>INT((F2757/10)*2)</f>
        <v>40</v>
      </c>
      <c r="H2757" s="14">
        <f>F2757-G2757</f>
        <v>160</v>
      </c>
    </row>
    <row r="2758" spans="1:8" x14ac:dyDescent="0.3">
      <c r="A2758" s="15"/>
      <c r="B2758" s="15"/>
      <c r="C2758" s="3" t="s">
        <v>15</v>
      </c>
      <c r="D2758" s="7">
        <v>83.873999999999995</v>
      </c>
      <c r="E2758" s="15"/>
      <c r="F2758" s="15"/>
      <c r="G2758" s="15"/>
      <c r="H2758" s="15"/>
    </row>
    <row r="2759" spans="1:8" x14ac:dyDescent="0.3">
      <c r="A2759" s="15"/>
      <c r="B2759" s="15"/>
      <c r="C2759" s="8" t="s">
        <v>17</v>
      </c>
      <c r="D2759" s="2">
        <v>31.72</v>
      </c>
      <c r="E2759" s="15"/>
      <c r="F2759" s="15"/>
      <c r="G2759" s="15"/>
      <c r="H2759" s="15"/>
    </row>
    <row r="2760" spans="1:8" x14ac:dyDescent="0.3">
      <c r="A2760" s="15"/>
      <c r="B2760" s="15"/>
      <c r="C2760" s="3" t="s">
        <v>9</v>
      </c>
      <c r="D2760" s="2">
        <v>200</v>
      </c>
      <c r="E2760" s="15"/>
      <c r="F2760" s="15"/>
      <c r="G2760" s="15"/>
      <c r="H2760" s="15"/>
    </row>
    <row r="2761" spans="1:8" x14ac:dyDescent="0.3">
      <c r="A2761" s="15"/>
      <c r="B2761" s="15"/>
      <c r="C2761" s="3" t="s">
        <v>11</v>
      </c>
      <c r="D2761" s="7">
        <v>17.311</v>
      </c>
      <c r="E2761" s="15"/>
      <c r="F2761" s="15"/>
      <c r="G2761" s="15"/>
      <c r="H2761" s="15"/>
    </row>
    <row r="2762" spans="1:8" x14ac:dyDescent="0.3">
      <c r="A2762" s="16"/>
      <c r="B2762" s="16"/>
      <c r="C2762" s="8" t="s">
        <v>14</v>
      </c>
      <c r="D2762" s="2">
        <v>8.77</v>
      </c>
      <c r="E2762" s="16"/>
      <c r="F2762" s="16"/>
      <c r="G2762" s="16"/>
      <c r="H2762" s="16"/>
    </row>
    <row r="2763" spans="1:8" x14ac:dyDescent="0.3">
      <c r="A2763" s="18">
        <v>461</v>
      </c>
      <c r="B2763" s="20">
        <v>45657</v>
      </c>
      <c r="C2763" s="3" t="s">
        <v>18</v>
      </c>
      <c r="D2763" s="2">
        <v>12.56</v>
      </c>
      <c r="E2763" s="19">
        <f>SUM(D2763:D2768)</f>
        <v>209.738</v>
      </c>
      <c r="F2763" s="17">
        <f>INT(MAX(D2763:D2768))</f>
        <v>70</v>
      </c>
      <c r="G2763" s="14">
        <f>INT((F2763/10)*2)</f>
        <v>14</v>
      </c>
      <c r="H2763" s="14">
        <f>F2763-G2763</f>
        <v>56</v>
      </c>
    </row>
    <row r="2764" spans="1:8" x14ac:dyDescent="0.3">
      <c r="A2764" s="15"/>
      <c r="B2764" s="15"/>
      <c r="C2764" s="3" t="s">
        <v>11</v>
      </c>
      <c r="D2764" s="7">
        <v>29.350999999999999</v>
      </c>
      <c r="E2764" s="15"/>
      <c r="F2764" s="15"/>
      <c r="G2764" s="15"/>
      <c r="H2764" s="15"/>
    </row>
    <row r="2765" spans="1:8" x14ac:dyDescent="0.3">
      <c r="A2765" s="15"/>
      <c r="B2765" s="15"/>
      <c r="C2765" s="8" t="s">
        <v>15</v>
      </c>
      <c r="D2765" s="2">
        <v>70.48</v>
      </c>
      <c r="E2765" s="15"/>
      <c r="F2765" s="15"/>
      <c r="G2765" s="15"/>
      <c r="H2765" s="15"/>
    </row>
    <row r="2766" spans="1:8" x14ac:dyDescent="0.3">
      <c r="A2766" s="15"/>
      <c r="B2766" s="15"/>
      <c r="C2766" s="3" t="s">
        <v>11</v>
      </c>
      <c r="D2766" s="2">
        <v>52.62</v>
      </c>
      <c r="E2766" s="15"/>
      <c r="F2766" s="15"/>
      <c r="G2766" s="15"/>
      <c r="H2766" s="15"/>
    </row>
    <row r="2767" spans="1:8" x14ac:dyDescent="0.3">
      <c r="A2767" s="15"/>
      <c r="B2767" s="15"/>
      <c r="C2767" s="3" t="s">
        <v>14</v>
      </c>
      <c r="D2767" s="2">
        <v>36.35</v>
      </c>
      <c r="E2767" s="15"/>
      <c r="F2767" s="15"/>
      <c r="G2767" s="15"/>
      <c r="H2767" s="15"/>
    </row>
    <row r="2768" spans="1:8" x14ac:dyDescent="0.3">
      <c r="A2768" s="16"/>
      <c r="B2768" s="16"/>
      <c r="C2768" s="3" t="s">
        <v>17</v>
      </c>
      <c r="D2768" s="7">
        <v>8.3770000000000007</v>
      </c>
      <c r="E2768" s="16"/>
      <c r="F2768" s="16"/>
      <c r="G2768" s="16"/>
      <c r="H2768" s="16"/>
    </row>
    <row r="2769" spans="1:8" x14ac:dyDescent="0.3">
      <c r="A2769" s="18">
        <v>462</v>
      </c>
      <c r="B2769" s="20">
        <v>45660</v>
      </c>
      <c r="C2769" s="8" t="s">
        <v>16</v>
      </c>
      <c r="D2769" s="2">
        <v>12.01</v>
      </c>
      <c r="E2769" s="19">
        <f>SUM(D2769:D2774)</f>
        <v>123.51300000000001</v>
      </c>
      <c r="F2769" s="17">
        <f>INT(MAX(D2769:D2774))</f>
        <v>56</v>
      </c>
      <c r="G2769" s="14">
        <f>INT((F2769/10)*2)</f>
        <v>11</v>
      </c>
      <c r="H2769" s="14">
        <f>F2769-G2769</f>
        <v>45</v>
      </c>
    </row>
    <row r="2770" spans="1:8" x14ac:dyDescent="0.3">
      <c r="A2770" s="15"/>
      <c r="B2770" s="15"/>
      <c r="C2770" s="3" t="s">
        <v>12</v>
      </c>
      <c r="D2770" s="2">
        <v>11.71</v>
      </c>
      <c r="E2770" s="15"/>
      <c r="F2770" s="15"/>
      <c r="G2770" s="15"/>
      <c r="H2770" s="15"/>
    </row>
    <row r="2771" spans="1:8" x14ac:dyDescent="0.3">
      <c r="A2771" s="15"/>
      <c r="B2771" s="15"/>
      <c r="C2771" s="3" t="s">
        <v>9</v>
      </c>
      <c r="D2771" s="2">
        <v>13.02</v>
      </c>
      <c r="E2771" s="15"/>
      <c r="F2771" s="15"/>
      <c r="G2771" s="15"/>
      <c r="H2771" s="15"/>
    </row>
    <row r="2772" spans="1:8" x14ac:dyDescent="0.3">
      <c r="A2772" s="15"/>
      <c r="B2772" s="15"/>
      <c r="C2772" s="3" t="s">
        <v>13</v>
      </c>
      <c r="D2772" s="7">
        <v>56.423000000000002</v>
      </c>
      <c r="E2772" s="15"/>
      <c r="F2772" s="15"/>
      <c r="G2772" s="15"/>
      <c r="H2772" s="15"/>
    </row>
    <row r="2773" spans="1:8" x14ac:dyDescent="0.3">
      <c r="A2773" s="15"/>
      <c r="B2773" s="15"/>
      <c r="C2773" s="8" t="s">
        <v>11</v>
      </c>
      <c r="D2773" s="2">
        <v>13.89</v>
      </c>
      <c r="E2773" s="15"/>
      <c r="F2773" s="15"/>
      <c r="G2773" s="15"/>
      <c r="H2773" s="15"/>
    </row>
    <row r="2774" spans="1:8" x14ac:dyDescent="0.3">
      <c r="A2774" s="16"/>
      <c r="B2774" s="16"/>
      <c r="C2774" s="3" t="s">
        <v>16</v>
      </c>
      <c r="D2774" s="2">
        <v>16.46</v>
      </c>
      <c r="E2774" s="16"/>
      <c r="F2774" s="16"/>
      <c r="G2774" s="16"/>
      <c r="H2774" s="16"/>
    </row>
    <row r="2775" spans="1:8" x14ac:dyDescent="0.3">
      <c r="A2775" s="18">
        <v>463</v>
      </c>
      <c r="B2775" s="20">
        <v>45664</v>
      </c>
      <c r="C2775" s="3" t="s">
        <v>10</v>
      </c>
      <c r="D2775" s="2">
        <v>8.14</v>
      </c>
      <c r="E2775" s="19">
        <f>SUM(D2775:D2780)</f>
        <v>226.12900000000002</v>
      </c>
      <c r="F2775" s="17">
        <f>INT(MAX(D2775:D2780))</f>
        <v>92</v>
      </c>
      <c r="G2775" s="14">
        <f>INT((F2775/10)*2)</f>
        <v>18</v>
      </c>
      <c r="H2775" s="14">
        <f>F2775-G2775</f>
        <v>74</v>
      </c>
    </row>
    <row r="2776" spans="1:8" x14ac:dyDescent="0.3">
      <c r="A2776" s="15"/>
      <c r="B2776" s="15"/>
      <c r="C2776" s="3" t="s">
        <v>9</v>
      </c>
      <c r="D2776" s="7">
        <v>65.299000000000007</v>
      </c>
      <c r="E2776" s="15"/>
      <c r="F2776" s="15"/>
      <c r="G2776" s="15"/>
      <c r="H2776" s="15"/>
    </row>
    <row r="2777" spans="1:8" x14ac:dyDescent="0.3">
      <c r="A2777" s="15"/>
      <c r="B2777" s="15"/>
      <c r="C2777" s="8" t="s">
        <v>15</v>
      </c>
      <c r="D2777" s="2">
        <v>14.4</v>
      </c>
      <c r="E2777" s="15"/>
      <c r="F2777" s="15"/>
      <c r="G2777" s="15"/>
      <c r="H2777" s="15"/>
    </row>
    <row r="2778" spans="1:8" x14ac:dyDescent="0.3">
      <c r="A2778" s="15"/>
      <c r="B2778" s="15"/>
      <c r="C2778" s="3" t="s">
        <v>9</v>
      </c>
      <c r="D2778" s="2">
        <v>92.83</v>
      </c>
      <c r="E2778" s="15"/>
      <c r="F2778" s="15"/>
      <c r="G2778" s="15"/>
      <c r="H2778" s="15"/>
    </row>
    <row r="2779" spans="1:8" x14ac:dyDescent="0.3">
      <c r="A2779" s="15"/>
      <c r="B2779" s="15"/>
      <c r="C2779" s="3" t="s">
        <v>13</v>
      </c>
      <c r="D2779" s="2">
        <v>21.84</v>
      </c>
      <c r="E2779" s="15"/>
      <c r="F2779" s="15"/>
      <c r="G2779" s="15"/>
      <c r="H2779" s="15"/>
    </row>
    <row r="2780" spans="1:8" x14ac:dyDescent="0.3">
      <c r="A2780" s="16"/>
      <c r="B2780" s="16"/>
      <c r="C2780" s="3" t="s">
        <v>18</v>
      </c>
      <c r="D2780" s="2">
        <v>23.62</v>
      </c>
      <c r="E2780" s="16"/>
      <c r="F2780" s="16"/>
      <c r="G2780" s="16"/>
      <c r="H2780" s="16"/>
    </row>
    <row r="2781" spans="1:8" x14ac:dyDescent="0.3">
      <c r="A2781" s="18">
        <v>464</v>
      </c>
      <c r="B2781" s="20">
        <v>45667</v>
      </c>
      <c r="C2781" s="3" t="s">
        <v>10</v>
      </c>
      <c r="D2781" s="2">
        <v>19.940000000000001</v>
      </c>
      <c r="E2781" s="19">
        <f>SUM(D2781:D2786)</f>
        <v>409.23</v>
      </c>
      <c r="F2781" s="17">
        <f>INT(MAX(D2781:D2786))</f>
        <v>119</v>
      </c>
      <c r="G2781" s="14">
        <f>INT((F2781/10)*2)</f>
        <v>23</v>
      </c>
      <c r="H2781" s="14">
        <f>F2781-G2781</f>
        <v>96</v>
      </c>
    </row>
    <row r="2782" spans="1:8" x14ac:dyDescent="0.3">
      <c r="A2782" s="15"/>
      <c r="B2782" s="15"/>
      <c r="C2782" s="3" t="s">
        <v>17</v>
      </c>
      <c r="D2782" s="7">
        <v>48.786999999999999</v>
      </c>
      <c r="E2782" s="15"/>
      <c r="F2782" s="15"/>
      <c r="G2782" s="15"/>
      <c r="H2782" s="15"/>
    </row>
    <row r="2783" spans="1:8" x14ac:dyDescent="0.3">
      <c r="A2783" s="15"/>
      <c r="B2783" s="15"/>
      <c r="C2783" s="8" t="s">
        <v>17</v>
      </c>
      <c r="D2783" s="2">
        <v>111.22</v>
      </c>
      <c r="E2783" s="15"/>
      <c r="F2783" s="15"/>
      <c r="G2783" s="15"/>
      <c r="H2783" s="15"/>
    </row>
    <row r="2784" spans="1:8" x14ac:dyDescent="0.3">
      <c r="A2784" s="15"/>
      <c r="B2784" s="15"/>
      <c r="C2784" s="3" t="s">
        <v>11</v>
      </c>
      <c r="D2784" s="2">
        <v>80</v>
      </c>
      <c r="E2784" s="15"/>
      <c r="F2784" s="15"/>
      <c r="G2784" s="15"/>
      <c r="H2784" s="15"/>
    </row>
    <row r="2785" spans="1:8" x14ac:dyDescent="0.3">
      <c r="A2785" s="15"/>
      <c r="B2785" s="15"/>
      <c r="C2785" s="3" t="s">
        <v>14</v>
      </c>
      <c r="D2785" s="2">
        <v>29.73</v>
      </c>
      <c r="E2785" s="15"/>
      <c r="F2785" s="15"/>
      <c r="G2785" s="15"/>
      <c r="H2785" s="15"/>
    </row>
    <row r="2786" spans="1:8" x14ac:dyDescent="0.3">
      <c r="A2786" s="16"/>
      <c r="B2786" s="16"/>
      <c r="C2786" s="3" t="s">
        <v>18</v>
      </c>
      <c r="D2786" s="7">
        <v>119.553</v>
      </c>
      <c r="E2786" s="16"/>
      <c r="F2786" s="16"/>
      <c r="G2786" s="16"/>
      <c r="H2786" s="16"/>
    </row>
    <row r="2787" spans="1:8" x14ac:dyDescent="0.3">
      <c r="A2787" s="18">
        <v>465</v>
      </c>
      <c r="B2787" s="20">
        <v>45671</v>
      </c>
      <c r="C2787" s="8" t="s">
        <v>13</v>
      </c>
      <c r="D2787" s="2">
        <v>12.22</v>
      </c>
      <c r="E2787" s="19">
        <f>SUM(D2787:D2792)</f>
        <v>253.70699999999999</v>
      </c>
      <c r="F2787" s="17">
        <f>INT(MAX(D2787:D2792))</f>
        <v>93</v>
      </c>
      <c r="G2787" s="14">
        <f>INT((F2787/10)*2)</f>
        <v>18</v>
      </c>
      <c r="H2787" s="14">
        <f>F2787-G2787</f>
        <v>75</v>
      </c>
    </row>
    <row r="2788" spans="1:8" x14ac:dyDescent="0.3">
      <c r="A2788" s="15"/>
      <c r="B2788" s="15"/>
      <c r="C2788" s="3" t="s">
        <v>8</v>
      </c>
      <c r="D2788" s="2">
        <v>93.24</v>
      </c>
      <c r="E2788" s="15"/>
      <c r="F2788" s="15"/>
      <c r="G2788" s="15"/>
      <c r="H2788" s="15"/>
    </row>
    <row r="2789" spans="1:8" x14ac:dyDescent="0.3">
      <c r="A2789" s="15"/>
      <c r="B2789" s="15"/>
      <c r="C2789" s="3" t="s">
        <v>11</v>
      </c>
      <c r="D2789" s="2">
        <v>26.81</v>
      </c>
      <c r="E2789" s="15"/>
      <c r="F2789" s="15"/>
      <c r="G2789" s="15"/>
      <c r="H2789" s="15"/>
    </row>
    <row r="2790" spans="1:8" x14ac:dyDescent="0.3">
      <c r="A2790" s="15"/>
      <c r="B2790" s="15"/>
      <c r="C2790" s="3" t="s">
        <v>12</v>
      </c>
      <c r="D2790" s="2">
        <v>74.900000000000006</v>
      </c>
      <c r="E2790" s="15"/>
      <c r="F2790" s="15"/>
      <c r="G2790" s="15"/>
      <c r="H2790" s="15"/>
    </row>
    <row r="2791" spans="1:8" x14ac:dyDescent="0.3">
      <c r="A2791" s="15"/>
      <c r="B2791" s="15"/>
      <c r="C2791" s="3" t="s">
        <v>9</v>
      </c>
      <c r="D2791" s="2">
        <v>30.89</v>
      </c>
      <c r="E2791" s="15"/>
      <c r="F2791" s="15"/>
      <c r="G2791" s="15"/>
      <c r="H2791" s="15"/>
    </row>
    <row r="2792" spans="1:8" x14ac:dyDescent="0.3">
      <c r="A2792" s="16"/>
      <c r="B2792" s="16"/>
      <c r="C2792" s="3" t="s">
        <v>14</v>
      </c>
      <c r="D2792" s="7">
        <v>15.647</v>
      </c>
      <c r="E2792" s="16"/>
      <c r="F2792" s="16"/>
      <c r="G2792" s="16"/>
      <c r="H2792" s="16"/>
    </row>
    <row r="2793" spans="1:8" x14ac:dyDescent="0.3">
      <c r="A2793" s="18">
        <v>466</v>
      </c>
      <c r="B2793" s="20">
        <v>45674</v>
      </c>
      <c r="C2793" s="8" t="s">
        <v>12</v>
      </c>
      <c r="D2793" s="2">
        <v>2.9</v>
      </c>
      <c r="E2793" s="19">
        <f>SUM(D2793:D2798)</f>
        <v>97.653999999999996</v>
      </c>
      <c r="F2793" s="17">
        <f>INT(MAX(D2793:D2798))</f>
        <v>41</v>
      </c>
      <c r="G2793" s="14">
        <f>INT((F2793/10)*2)</f>
        <v>8</v>
      </c>
      <c r="H2793" s="14">
        <f>F2793-G2793</f>
        <v>33</v>
      </c>
    </row>
    <row r="2794" spans="1:8" x14ac:dyDescent="0.3">
      <c r="A2794" s="15"/>
      <c r="B2794" s="15"/>
      <c r="C2794" s="3" t="s">
        <v>18</v>
      </c>
      <c r="D2794" s="2">
        <v>7.25</v>
      </c>
      <c r="E2794" s="15"/>
      <c r="F2794" s="15"/>
      <c r="G2794" s="15"/>
      <c r="H2794" s="15"/>
    </row>
    <row r="2795" spans="1:8" x14ac:dyDescent="0.3">
      <c r="A2795" s="15"/>
      <c r="B2795" s="15"/>
      <c r="C2795" s="3" t="s">
        <v>9</v>
      </c>
      <c r="D2795" s="2">
        <v>7.24</v>
      </c>
      <c r="E2795" s="15"/>
      <c r="F2795" s="15"/>
      <c r="G2795" s="15"/>
      <c r="H2795" s="15"/>
    </row>
    <row r="2796" spans="1:8" x14ac:dyDescent="0.3">
      <c r="A2796" s="15"/>
      <c r="B2796" s="15"/>
      <c r="C2796" s="3" t="s">
        <v>14</v>
      </c>
      <c r="D2796" s="7">
        <v>22.734000000000002</v>
      </c>
      <c r="E2796" s="15"/>
      <c r="F2796" s="15"/>
      <c r="G2796" s="15"/>
      <c r="H2796" s="15"/>
    </row>
    <row r="2797" spans="1:8" x14ac:dyDescent="0.3">
      <c r="A2797" s="15"/>
      <c r="B2797" s="15"/>
      <c r="C2797" s="8" t="s">
        <v>17</v>
      </c>
      <c r="D2797" s="2">
        <v>41.1</v>
      </c>
      <c r="E2797" s="15"/>
      <c r="F2797" s="15"/>
      <c r="G2797" s="15"/>
      <c r="H2797" s="15"/>
    </row>
    <row r="2798" spans="1:8" x14ac:dyDescent="0.3">
      <c r="A2798" s="16"/>
      <c r="B2798" s="16"/>
      <c r="C2798" s="3" t="s">
        <v>13</v>
      </c>
      <c r="D2798" s="2">
        <v>16.43</v>
      </c>
      <c r="E2798" s="16"/>
      <c r="F2798" s="16"/>
      <c r="G2798" s="16"/>
      <c r="H2798" s="16"/>
    </row>
    <row r="2799" spans="1:8" x14ac:dyDescent="0.3">
      <c r="A2799" s="18">
        <v>467</v>
      </c>
      <c r="B2799" s="20">
        <v>45678</v>
      </c>
      <c r="C2799" s="3" t="s">
        <v>8</v>
      </c>
      <c r="D2799" s="2">
        <v>20.43</v>
      </c>
      <c r="E2799" s="19">
        <f>SUM(D2799:D2804)</f>
        <v>120.702</v>
      </c>
      <c r="F2799" s="17">
        <f>INT(MAX(D2799:D2804))</f>
        <v>51</v>
      </c>
      <c r="G2799" s="14">
        <f>INT((F2799/10)*2)</f>
        <v>10</v>
      </c>
      <c r="H2799" s="14">
        <f>F2799-G2799</f>
        <v>41</v>
      </c>
    </row>
    <row r="2800" spans="1:8" x14ac:dyDescent="0.3">
      <c r="A2800" s="15"/>
      <c r="B2800" s="15"/>
      <c r="C2800" s="3" t="s">
        <v>12</v>
      </c>
      <c r="D2800" s="7">
        <v>20.591999999999999</v>
      </c>
      <c r="E2800" s="15"/>
      <c r="F2800" s="15"/>
      <c r="G2800" s="15"/>
      <c r="H2800" s="15"/>
    </row>
    <row r="2801" spans="1:8" x14ac:dyDescent="0.3">
      <c r="A2801" s="15"/>
      <c r="B2801" s="15"/>
      <c r="C2801" s="8" t="s">
        <v>17</v>
      </c>
      <c r="D2801" s="2">
        <v>18.77</v>
      </c>
      <c r="E2801" s="15"/>
      <c r="F2801" s="15"/>
      <c r="G2801" s="15"/>
      <c r="H2801" s="15"/>
    </row>
    <row r="2802" spans="1:8" x14ac:dyDescent="0.3">
      <c r="A2802" s="15"/>
      <c r="B2802" s="15"/>
      <c r="C2802" s="3" t="s">
        <v>10</v>
      </c>
      <c r="D2802" s="2">
        <v>51.35</v>
      </c>
      <c r="E2802" s="15"/>
      <c r="F2802" s="15"/>
      <c r="G2802" s="15"/>
      <c r="H2802" s="15"/>
    </row>
    <row r="2803" spans="1:8" x14ac:dyDescent="0.3">
      <c r="A2803" s="15"/>
      <c r="B2803" s="15"/>
      <c r="C2803" s="3" t="s">
        <v>11</v>
      </c>
      <c r="D2803" s="7">
        <v>3.37</v>
      </c>
      <c r="E2803" s="15"/>
      <c r="F2803" s="15"/>
      <c r="G2803" s="15"/>
      <c r="H2803" s="15"/>
    </row>
    <row r="2804" spans="1:8" x14ac:dyDescent="0.3">
      <c r="A2804" s="16"/>
      <c r="B2804" s="16"/>
      <c r="C2804" s="8" t="s">
        <v>18</v>
      </c>
      <c r="D2804" s="2">
        <v>6.19</v>
      </c>
      <c r="E2804" s="16"/>
      <c r="F2804" s="16"/>
      <c r="G2804" s="16"/>
      <c r="H2804" s="16"/>
    </row>
    <row r="2805" spans="1:8" x14ac:dyDescent="0.3">
      <c r="A2805" s="18">
        <v>468</v>
      </c>
      <c r="B2805" s="20">
        <v>45681</v>
      </c>
      <c r="C2805" s="3" t="s">
        <v>17</v>
      </c>
      <c r="D2805" s="2">
        <v>13.14</v>
      </c>
      <c r="E2805" s="19">
        <f>SUM(D2805:D2810)</f>
        <v>139.01</v>
      </c>
      <c r="F2805" s="17">
        <f>INT(MAX(D2805:D2810))</f>
        <v>46</v>
      </c>
      <c r="G2805" s="14">
        <f>INT((F2805/10)*2)</f>
        <v>9</v>
      </c>
      <c r="H2805" s="14">
        <f>F2805-G2805</f>
        <v>37</v>
      </c>
    </row>
    <row r="2806" spans="1:8" x14ac:dyDescent="0.3">
      <c r="A2806" s="15"/>
      <c r="B2806" s="15"/>
      <c r="C2806" s="3" t="s">
        <v>12</v>
      </c>
      <c r="D2806" s="2">
        <v>8.4</v>
      </c>
      <c r="E2806" s="15"/>
      <c r="F2806" s="15"/>
      <c r="G2806" s="15"/>
      <c r="H2806" s="15"/>
    </row>
    <row r="2807" spans="1:8" x14ac:dyDescent="0.3">
      <c r="A2807" s="15"/>
      <c r="B2807" s="15"/>
      <c r="C2807" s="3" t="s">
        <v>16</v>
      </c>
      <c r="D2807" s="7">
        <v>36.459000000000003</v>
      </c>
      <c r="E2807" s="15"/>
      <c r="F2807" s="15"/>
      <c r="G2807" s="15"/>
      <c r="H2807" s="15"/>
    </row>
    <row r="2808" spans="1:8" x14ac:dyDescent="0.3">
      <c r="A2808" s="15"/>
      <c r="B2808" s="15"/>
      <c r="C2808" s="8" t="s">
        <v>15</v>
      </c>
      <c r="D2808" s="2">
        <v>46.93</v>
      </c>
      <c r="E2808" s="15"/>
      <c r="F2808" s="15"/>
      <c r="G2808" s="15"/>
      <c r="H2808" s="15"/>
    </row>
    <row r="2809" spans="1:8" x14ac:dyDescent="0.3">
      <c r="A2809" s="15"/>
      <c r="B2809" s="15"/>
      <c r="C2809" s="3" t="s">
        <v>14</v>
      </c>
      <c r="D2809" s="2">
        <v>21.14</v>
      </c>
      <c r="E2809" s="15"/>
      <c r="F2809" s="15"/>
      <c r="G2809" s="15"/>
      <c r="H2809" s="15"/>
    </row>
    <row r="2810" spans="1:8" x14ac:dyDescent="0.3">
      <c r="A2810" s="16"/>
      <c r="B2810" s="16"/>
      <c r="C2810" s="3" t="s">
        <v>17</v>
      </c>
      <c r="D2810" s="7">
        <v>12.941000000000001</v>
      </c>
      <c r="E2810" s="16"/>
      <c r="F2810" s="16"/>
      <c r="G2810" s="16"/>
      <c r="H2810" s="16"/>
    </row>
    <row r="2811" spans="1:8" x14ac:dyDescent="0.3">
      <c r="A2811" s="18">
        <v>469</v>
      </c>
      <c r="B2811" s="20">
        <v>45685</v>
      </c>
      <c r="C2811" s="8" t="s">
        <v>9</v>
      </c>
      <c r="D2811" s="2">
        <v>42.75</v>
      </c>
      <c r="E2811" s="19">
        <f>SUM(D2811:D2816)</f>
        <v>181.523</v>
      </c>
      <c r="F2811" s="17">
        <f>INT(MAX(D2811:D2816))</f>
        <v>43</v>
      </c>
      <c r="G2811" s="14">
        <f>INT((F2811/10)*2)</f>
        <v>8</v>
      </c>
      <c r="H2811" s="14">
        <f>F2811-G2811</f>
        <v>35</v>
      </c>
    </row>
    <row r="2812" spans="1:8" x14ac:dyDescent="0.3">
      <c r="A2812" s="15"/>
      <c r="B2812" s="15"/>
      <c r="C2812" s="3" t="s">
        <v>13</v>
      </c>
      <c r="D2812" s="2">
        <v>16.52</v>
      </c>
      <c r="E2812" s="15"/>
      <c r="F2812" s="15"/>
      <c r="G2812" s="15"/>
      <c r="H2812" s="15"/>
    </row>
    <row r="2813" spans="1:8" x14ac:dyDescent="0.3">
      <c r="A2813" s="15"/>
      <c r="B2813" s="15"/>
      <c r="C2813" s="3" t="s">
        <v>17</v>
      </c>
      <c r="D2813" s="2">
        <v>30.91</v>
      </c>
      <c r="E2813" s="15"/>
      <c r="F2813" s="15"/>
      <c r="G2813" s="15"/>
      <c r="H2813" s="15"/>
    </row>
    <row r="2814" spans="1:8" x14ac:dyDescent="0.3">
      <c r="A2814" s="15"/>
      <c r="B2814" s="15"/>
      <c r="C2814" s="3" t="s">
        <v>11</v>
      </c>
      <c r="D2814" s="2">
        <v>43.79</v>
      </c>
      <c r="E2814" s="15"/>
      <c r="F2814" s="15"/>
      <c r="G2814" s="15"/>
      <c r="H2814" s="15"/>
    </row>
    <row r="2815" spans="1:8" x14ac:dyDescent="0.3">
      <c r="A2815" s="15"/>
      <c r="B2815" s="15"/>
      <c r="C2815" s="3" t="s">
        <v>15</v>
      </c>
      <c r="D2815" s="2">
        <v>25.06</v>
      </c>
      <c r="E2815" s="15"/>
      <c r="F2815" s="15"/>
      <c r="G2815" s="15"/>
      <c r="H2815" s="15"/>
    </row>
    <row r="2816" spans="1:8" x14ac:dyDescent="0.3">
      <c r="A2816" s="16"/>
      <c r="B2816" s="16"/>
      <c r="C2816" s="3" t="s">
        <v>12</v>
      </c>
      <c r="D2816" s="7">
        <v>22.492999999999999</v>
      </c>
      <c r="E2816" s="16"/>
      <c r="F2816" s="16"/>
      <c r="G2816" s="16"/>
      <c r="H2816" s="16"/>
    </row>
    <row r="2817" spans="1:8" x14ac:dyDescent="0.3">
      <c r="A2817" s="18">
        <v>470</v>
      </c>
      <c r="B2817" s="20">
        <v>45688</v>
      </c>
      <c r="C2817" s="8" t="s">
        <v>14</v>
      </c>
      <c r="D2817" s="2">
        <v>37.56</v>
      </c>
      <c r="E2817" s="19">
        <f>SUM(D2817:D2822)</f>
        <v>165.214</v>
      </c>
      <c r="F2817" s="17">
        <f>INT(MAX(D2817:D2822))</f>
        <v>40</v>
      </c>
      <c r="G2817" s="14">
        <f>INT((F2817/10)*2)</f>
        <v>8</v>
      </c>
      <c r="H2817" s="14">
        <f>F2817-G2817</f>
        <v>32</v>
      </c>
    </row>
    <row r="2818" spans="1:8" x14ac:dyDescent="0.3">
      <c r="A2818" s="15"/>
      <c r="B2818" s="15"/>
      <c r="C2818" s="3" t="s">
        <v>13</v>
      </c>
      <c r="D2818" s="2">
        <v>30.85</v>
      </c>
      <c r="E2818" s="15"/>
      <c r="F2818" s="15"/>
      <c r="G2818" s="15"/>
      <c r="H2818" s="15"/>
    </row>
    <row r="2819" spans="1:8" x14ac:dyDescent="0.3">
      <c r="A2819" s="15"/>
      <c r="B2819" s="15"/>
      <c r="C2819" s="3" t="s">
        <v>8</v>
      </c>
      <c r="D2819" s="2">
        <v>28.53</v>
      </c>
      <c r="E2819" s="15"/>
      <c r="F2819" s="15"/>
      <c r="G2819" s="15"/>
      <c r="H2819" s="15"/>
    </row>
    <row r="2820" spans="1:8" x14ac:dyDescent="0.3">
      <c r="A2820" s="15"/>
      <c r="B2820" s="15"/>
      <c r="C2820" s="3" t="s">
        <v>12</v>
      </c>
      <c r="D2820" s="7">
        <v>40.414000000000001</v>
      </c>
      <c r="E2820" s="15"/>
      <c r="F2820" s="15"/>
      <c r="G2820" s="15"/>
      <c r="H2820" s="15"/>
    </row>
    <row r="2821" spans="1:8" x14ac:dyDescent="0.3">
      <c r="A2821" s="15"/>
      <c r="B2821" s="15"/>
      <c r="C2821" s="8" t="s">
        <v>11</v>
      </c>
      <c r="D2821" s="2">
        <v>11.8</v>
      </c>
      <c r="E2821" s="15"/>
      <c r="F2821" s="15"/>
      <c r="G2821" s="15"/>
      <c r="H2821" s="15"/>
    </row>
    <row r="2822" spans="1:8" x14ac:dyDescent="0.3">
      <c r="A2822" s="16"/>
      <c r="B2822" s="16"/>
      <c r="C2822" s="3" t="s">
        <v>12</v>
      </c>
      <c r="D2822" s="2">
        <v>16.059999999999999</v>
      </c>
      <c r="E2822" s="16"/>
      <c r="F2822" s="16"/>
      <c r="G2822" s="16"/>
      <c r="H2822" s="16"/>
    </row>
    <row r="2823" spans="1:8" x14ac:dyDescent="0.3">
      <c r="A2823" s="18">
        <v>471</v>
      </c>
      <c r="B2823" s="20">
        <v>45692</v>
      </c>
      <c r="C2823" s="3" t="s">
        <v>9</v>
      </c>
      <c r="D2823" s="2">
        <v>4.8</v>
      </c>
      <c r="E2823" s="19">
        <f>SUM(D2823:D2828)</f>
        <v>76.049000000000007</v>
      </c>
      <c r="F2823" s="17">
        <f>INT(MAX(D2823:D2828))</f>
        <v>23</v>
      </c>
      <c r="G2823" s="14">
        <f>INT((F2823/10)*2)</f>
        <v>4</v>
      </c>
      <c r="H2823" s="14">
        <f>F2823-G2823</f>
        <v>19</v>
      </c>
    </row>
    <row r="2824" spans="1:8" x14ac:dyDescent="0.3">
      <c r="A2824" s="15"/>
      <c r="B2824" s="15"/>
      <c r="C2824" s="3" t="s">
        <v>10</v>
      </c>
      <c r="D2824" s="7">
        <v>15.569000000000001</v>
      </c>
      <c r="E2824" s="15"/>
      <c r="F2824" s="15"/>
      <c r="G2824" s="15"/>
      <c r="H2824" s="15"/>
    </row>
    <row r="2825" spans="1:8" x14ac:dyDescent="0.3">
      <c r="A2825" s="15"/>
      <c r="B2825" s="15"/>
      <c r="C2825" s="8" t="s">
        <v>16</v>
      </c>
      <c r="D2825" s="2">
        <v>19.600000000000001</v>
      </c>
      <c r="E2825" s="15"/>
      <c r="F2825" s="15"/>
      <c r="G2825" s="15"/>
      <c r="H2825" s="15"/>
    </row>
    <row r="2826" spans="1:8" x14ac:dyDescent="0.3">
      <c r="A2826" s="15"/>
      <c r="B2826" s="15"/>
      <c r="C2826" s="3" t="s">
        <v>9</v>
      </c>
      <c r="D2826" s="2">
        <v>8.02</v>
      </c>
      <c r="E2826" s="15"/>
      <c r="F2826" s="15"/>
      <c r="G2826" s="15"/>
      <c r="H2826" s="15"/>
    </row>
    <row r="2827" spans="1:8" x14ac:dyDescent="0.3">
      <c r="A2827" s="15"/>
      <c r="B2827" s="15"/>
      <c r="C2827" s="3" t="s">
        <v>18</v>
      </c>
      <c r="D2827" s="2">
        <v>4.97</v>
      </c>
      <c r="E2827" s="15"/>
      <c r="F2827" s="15"/>
      <c r="G2827" s="15"/>
      <c r="H2827" s="15"/>
    </row>
    <row r="2828" spans="1:8" x14ac:dyDescent="0.3">
      <c r="A2828" s="16"/>
      <c r="B2828" s="16"/>
      <c r="C2828" s="3" t="s">
        <v>10</v>
      </c>
      <c r="D2828" s="2">
        <v>23.09</v>
      </c>
      <c r="E2828" s="16"/>
      <c r="F2828" s="16"/>
      <c r="G2828" s="16"/>
      <c r="H2828" s="16"/>
    </row>
    <row r="2829" spans="1:8" x14ac:dyDescent="0.3">
      <c r="A2829" s="18">
        <v>472</v>
      </c>
      <c r="B2829" s="20">
        <v>45695</v>
      </c>
      <c r="C2829" s="3" t="s">
        <v>11</v>
      </c>
      <c r="D2829" s="2">
        <v>24.49</v>
      </c>
      <c r="E2829" s="19">
        <f>SUM(D2829:D2834)</f>
        <v>91.890999999999991</v>
      </c>
      <c r="F2829" s="17">
        <f>INT(MAX(D2829:D2834))</f>
        <v>24</v>
      </c>
      <c r="G2829" s="14">
        <f>INT((F2829/10)*2)</f>
        <v>4</v>
      </c>
      <c r="H2829" s="14">
        <f>F2829-G2829</f>
        <v>20</v>
      </c>
    </row>
    <row r="2830" spans="1:8" x14ac:dyDescent="0.3">
      <c r="A2830" s="15"/>
      <c r="B2830" s="15"/>
      <c r="C2830" s="3" t="s">
        <v>13</v>
      </c>
      <c r="D2830" s="7">
        <v>11.962999999999999</v>
      </c>
      <c r="E2830" s="15"/>
      <c r="F2830" s="15"/>
      <c r="G2830" s="15"/>
      <c r="H2830" s="15"/>
    </row>
    <row r="2831" spans="1:8" x14ac:dyDescent="0.3">
      <c r="A2831" s="15"/>
      <c r="B2831" s="15"/>
      <c r="C2831" s="8" t="s">
        <v>10</v>
      </c>
      <c r="D2831" s="2">
        <v>4.54</v>
      </c>
      <c r="E2831" s="15"/>
      <c r="F2831" s="15"/>
      <c r="G2831" s="15"/>
      <c r="H2831" s="15"/>
    </row>
    <row r="2832" spans="1:8" x14ac:dyDescent="0.3">
      <c r="A2832" s="15"/>
      <c r="B2832" s="15"/>
      <c r="C2832" s="3" t="s">
        <v>16</v>
      </c>
      <c r="D2832" s="2">
        <v>21.77</v>
      </c>
      <c r="E2832" s="15"/>
      <c r="F2832" s="15"/>
      <c r="G2832" s="15"/>
      <c r="H2832" s="15"/>
    </row>
    <row r="2833" spans="1:8" x14ac:dyDescent="0.3">
      <c r="A2833" s="15"/>
      <c r="B2833" s="15"/>
      <c r="C2833" s="3" t="s">
        <v>13</v>
      </c>
      <c r="D2833" s="7">
        <v>10.458</v>
      </c>
      <c r="E2833" s="15"/>
      <c r="F2833" s="15"/>
      <c r="G2833" s="15"/>
      <c r="H2833" s="15"/>
    </row>
    <row r="2834" spans="1:8" x14ac:dyDescent="0.3">
      <c r="A2834" s="16"/>
      <c r="B2834" s="16"/>
      <c r="C2834" s="8" t="s">
        <v>18</v>
      </c>
      <c r="D2834" s="2">
        <v>18.670000000000002</v>
      </c>
      <c r="E2834" s="16"/>
      <c r="F2834" s="16"/>
      <c r="G2834" s="16"/>
      <c r="H2834" s="16"/>
    </row>
    <row r="2835" spans="1:8" x14ac:dyDescent="0.3">
      <c r="A2835" s="18">
        <v>473</v>
      </c>
      <c r="B2835" s="20">
        <v>45699</v>
      </c>
      <c r="C2835" s="3" t="s">
        <v>17</v>
      </c>
      <c r="D2835" s="2">
        <v>85.73</v>
      </c>
      <c r="E2835" s="19">
        <f>SUM(D2835:D2840)</f>
        <v>328.12300000000005</v>
      </c>
      <c r="F2835" s="17">
        <f>INT(MAX(D2835:D2840))</f>
        <v>106</v>
      </c>
      <c r="G2835" s="14">
        <f>INT((F2835/10)*2)</f>
        <v>21</v>
      </c>
      <c r="H2835" s="14">
        <f>F2835-G2835</f>
        <v>85</v>
      </c>
    </row>
    <row r="2836" spans="1:8" x14ac:dyDescent="0.3">
      <c r="A2836" s="15"/>
      <c r="B2836" s="15"/>
      <c r="C2836" s="3" t="s">
        <v>15</v>
      </c>
      <c r="D2836" s="2">
        <v>35.840000000000003</v>
      </c>
      <c r="E2836" s="15"/>
      <c r="F2836" s="15"/>
      <c r="G2836" s="15"/>
      <c r="H2836" s="15"/>
    </row>
    <row r="2837" spans="1:8" x14ac:dyDescent="0.3">
      <c r="A2837" s="15"/>
      <c r="B2837" s="15"/>
      <c r="C2837" s="3" t="s">
        <v>8</v>
      </c>
      <c r="D2837" s="2">
        <v>49.9</v>
      </c>
      <c r="E2837" s="15"/>
      <c r="F2837" s="15"/>
      <c r="G2837" s="15"/>
      <c r="H2837" s="15"/>
    </row>
    <row r="2838" spans="1:8" x14ac:dyDescent="0.3">
      <c r="A2838" s="15"/>
      <c r="B2838" s="15"/>
      <c r="C2838" s="3" t="s">
        <v>9</v>
      </c>
      <c r="D2838" s="2">
        <v>17.78</v>
      </c>
      <c r="E2838" s="15"/>
      <c r="F2838" s="15"/>
      <c r="G2838" s="15"/>
      <c r="H2838" s="15"/>
    </row>
    <row r="2839" spans="1:8" x14ac:dyDescent="0.3">
      <c r="A2839" s="15"/>
      <c r="B2839" s="15"/>
      <c r="C2839" s="3" t="s">
        <v>10</v>
      </c>
      <c r="D2839" s="7">
        <v>31.972999999999999</v>
      </c>
      <c r="E2839" s="15"/>
      <c r="F2839" s="15"/>
      <c r="G2839" s="15"/>
      <c r="H2839" s="15"/>
    </row>
    <row r="2840" spans="1:8" x14ac:dyDescent="0.3">
      <c r="A2840" s="16"/>
      <c r="B2840" s="16"/>
      <c r="C2840" s="8" t="s">
        <v>12</v>
      </c>
      <c r="D2840" s="2">
        <v>106.9</v>
      </c>
      <c r="E2840" s="16"/>
      <c r="F2840" s="16"/>
      <c r="G2840" s="16"/>
      <c r="H2840" s="16"/>
    </row>
    <row r="2841" spans="1:8" x14ac:dyDescent="0.3">
      <c r="A2841" s="18">
        <v>474</v>
      </c>
      <c r="B2841" s="20">
        <v>45702</v>
      </c>
      <c r="C2841" s="3" t="s">
        <v>13</v>
      </c>
      <c r="D2841" s="2">
        <v>14.85</v>
      </c>
      <c r="E2841" s="19">
        <f>SUM(D2841:D2846)</f>
        <v>116.26400000000001</v>
      </c>
      <c r="F2841" s="17">
        <f>INT(MAX(D2841:D2846))</f>
        <v>34</v>
      </c>
      <c r="G2841" s="14">
        <f>INT((F2841/10)*2)</f>
        <v>6</v>
      </c>
      <c r="H2841" s="14">
        <f>F2841-G2841</f>
        <v>28</v>
      </c>
    </row>
    <row r="2842" spans="1:8" x14ac:dyDescent="0.3">
      <c r="A2842" s="15"/>
      <c r="B2842" s="15"/>
      <c r="C2842" s="3" t="s">
        <v>18</v>
      </c>
      <c r="D2842" s="7">
        <v>34.936999999999998</v>
      </c>
      <c r="E2842" s="15"/>
      <c r="F2842" s="15"/>
      <c r="G2842" s="15"/>
      <c r="H2842" s="15"/>
    </row>
    <row r="2843" spans="1:8" x14ac:dyDescent="0.3">
      <c r="A2843" s="15"/>
      <c r="B2843" s="15"/>
      <c r="C2843" s="8" t="s">
        <v>17</v>
      </c>
      <c r="D2843" s="2">
        <v>21.55</v>
      </c>
      <c r="E2843" s="15"/>
      <c r="F2843" s="15"/>
      <c r="G2843" s="15"/>
      <c r="H2843" s="15"/>
    </row>
    <row r="2844" spans="1:8" x14ac:dyDescent="0.3">
      <c r="A2844" s="15"/>
      <c r="B2844" s="15"/>
      <c r="C2844" s="3" t="s">
        <v>18</v>
      </c>
      <c r="D2844" s="2">
        <v>29.23</v>
      </c>
      <c r="E2844" s="15"/>
      <c r="F2844" s="15"/>
      <c r="G2844" s="15"/>
      <c r="H2844" s="15"/>
    </row>
    <row r="2845" spans="1:8" x14ac:dyDescent="0.3">
      <c r="A2845" s="15"/>
      <c r="B2845" s="15"/>
      <c r="C2845" s="3" t="s">
        <v>8</v>
      </c>
      <c r="D2845" s="7">
        <v>6.4969999999999999</v>
      </c>
      <c r="E2845" s="15"/>
      <c r="F2845" s="15"/>
      <c r="G2845" s="15"/>
      <c r="H2845" s="15"/>
    </row>
    <row r="2846" spans="1:8" x14ac:dyDescent="0.3">
      <c r="A2846" s="16"/>
      <c r="B2846" s="16"/>
      <c r="C2846" s="8" t="s">
        <v>16</v>
      </c>
      <c r="D2846" s="2">
        <v>9.1999999999999993</v>
      </c>
      <c r="E2846" s="16"/>
      <c r="F2846" s="16"/>
      <c r="G2846" s="16"/>
      <c r="H2846" s="16"/>
    </row>
    <row r="2847" spans="1:8" x14ac:dyDescent="0.3">
      <c r="A2847" s="18">
        <v>475</v>
      </c>
      <c r="B2847" s="20">
        <v>45706</v>
      </c>
      <c r="C2847" s="3" t="s">
        <v>18</v>
      </c>
      <c r="D2847" s="2">
        <v>18.32</v>
      </c>
      <c r="E2847" s="19">
        <f>SUM(D2847:D2852)</f>
        <v>89.540999999999997</v>
      </c>
      <c r="F2847" s="17">
        <f>INT(MAX(D2847:D2852))</f>
        <v>18</v>
      </c>
      <c r="G2847" s="14">
        <f>INT((F2847/10)*2)</f>
        <v>3</v>
      </c>
      <c r="H2847" s="14">
        <f>F2847-G2847</f>
        <v>15</v>
      </c>
    </row>
    <row r="2848" spans="1:8" x14ac:dyDescent="0.3">
      <c r="A2848" s="15"/>
      <c r="B2848" s="15"/>
      <c r="C2848" s="3" t="s">
        <v>13</v>
      </c>
      <c r="D2848" s="2">
        <v>8.15</v>
      </c>
      <c r="E2848" s="15"/>
      <c r="F2848" s="15"/>
      <c r="G2848" s="15"/>
      <c r="H2848" s="15"/>
    </row>
    <row r="2849" spans="1:8" x14ac:dyDescent="0.3">
      <c r="A2849" s="15"/>
      <c r="B2849" s="15"/>
      <c r="C2849" s="3" t="s">
        <v>15</v>
      </c>
      <c r="D2849" s="2">
        <v>13.52</v>
      </c>
      <c r="E2849" s="15"/>
      <c r="F2849" s="15"/>
      <c r="G2849" s="15"/>
      <c r="H2849" s="15"/>
    </row>
    <row r="2850" spans="1:8" x14ac:dyDescent="0.3">
      <c r="A2850" s="15"/>
      <c r="B2850" s="15"/>
      <c r="C2850" s="3" t="s">
        <v>9</v>
      </c>
      <c r="D2850" s="7">
        <v>15.471</v>
      </c>
      <c r="E2850" s="15"/>
      <c r="F2850" s="15"/>
      <c r="G2850" s="15"/>
      <c r="H2850" s="15"/>
    </row>
    <row r="2851" spans="1:8" x14ac:dyDescent="0.3">
      <c r="A2851" s="15"/>
      <c r="B2851" s="15"/>
      <c r="C2851" s="8" t="s">
        <v>14</v>
      </c>
      <c r="D2851" s="2">
        <v>17.79</v>
      </c>
      <c r="E2851" s="15"/>
      <c r="F2851" s="15"/>
      <c r="G2851" s="15"/>
      <c r="H2851" s="15"/>
    </row>
    <row r="2852" spans="1:8" x14ac:dyDescent="0.3">
      <c r="A2852" s="16"/>
      <c r="B2852" s="16"/>
      <c r="C2852" s="3" t="s">
        <v>15</v>
      </c>
      <c r="D2852" s="2">
        <v>16.29</v>
      </c>
      <c r="E2852" s="16"/>
      <c r="F2852" s="16"/>
      <c r="G2852" s="16"/>
      <c r="H2852" s="16"/>
    </row>
    <row r="2853" spans="1:8" x14ac:dyDescent="0.3">
      <c r="A2853" s="18">
        <v>476</v>
      </c>
      <c r="B2853" s="20">
        <v>45709</v>
      </c>
      <c r="C2853" s="3" t="s">
        <v>16</v>
      </c>
      <c r="D2853" s="2">
        <v>19.100000000000001</v>
      </c>
      <c r="E2853" s="19">
        <f>SUM(D2853:D2858)</f>
        <v>197.16200000000001</v>
      </c>
      <c r="F2853" s="17">
        <f>INT(MAX(D2853:D2858))</f>
        <v>57</v>
      </c>
      <c r="G2853" s="14">
        <f>INT((F2853/10)*2)</f>
        <v>11</v>
      </c>
      <c r="H2853" s="14">
        <f>F2853-G2853</f>
        <v>46</v>
      </c>
    </row>
    <row r="2854" spans="1:8" x14ac:dyDescent="0.3">
      <c r="A2854" s="15"/>
      <c r="B2854" s="15"/>
      <c r="C2854" s="3" t="s">
        <v>13</v>
      </c>
      <c r="D2854" s="7">
        <v>38.322000000000003</v>
      </c>
      <c r="E2854" s="15"/>
      <c r="F2854" s="15"/>
      <c r="G2854" s="15"/>
      <c r="H2854" s="15"/>
    </row>
    <row r="2855" spans="1:8" x14ac:dyDescent="0.3">
      <c r="A2855" s="15"/>
      <c r="B2855" s="15"/>
      <c r="C2855" s="8" t="s">
        <v>13</v>
      </c>
      <c r="D2855" s="2">
        <v>11.44</v>
      </c>
      <c r="E2855" s="15"/>
      <c r="F2855" s="15"/>
      <c r="G2855" s="15"/>
      <c r="H2855" s="15"/>
    </row>
    <row r="2856" spans="1:8" x14ac:dyDescent="0.3">
      <c r="A2856" s="15"/>
      <c r="B2856" s="15"/>
      <c r="C2856" s="3" t="s">
        <v>18</v>
      </c>
      <c r="D2856" s="2">
        <v>56.03</v>
      </c>
      <c r="E2856" s="15"/>
      <c r="F2856" s="15"/>
      <c r="G2856" s="15"/>
      <c r="H2856" s="15"/>
    </row>
    <row r="2857" spans="1:8" x14ac:dyDescent="0.3">
      <c r="A2857" s="15"/>
      <c r="B2857" s="15"/>
      <c r="C2857" s="3" t="s">
        <v>15</v>
      </c>
      <c r="D2857" s="2">
        <v>14.71</v>
      </c>
      <c r="E2857" s="15"/>
      <c r="F2857" s="15"/>
      <c r="G2857" s="15"/>
      <c r="H2857" s="15"/>
    </row>
    <row r="2858" spans="1:8" x14ac:dyDescent="0.3">
      <c r="A2858" s="16"/>
      <c r="B2858" s="16"/>
      <c r="C2858" s="3" t="s">
        <v>16</v>
      </c>
      <c r="D2858" s="2">
        <v>57.56</v>
      </c>
      <c r="E2858" s="16"/>
      <c r="F2858" s="16"/>
      <c r="G2858" s="16"/>
      <c r="H2858" s="16"/>
    </row>
    <row r="2859" spans="1:8" x14ac:dyDescent="0.3">
      <c r="A2859" s="18">
        <v>477</v>
      </c>
      <c r="B2859" s="20">
        <v>45713</v>
      </c>
      <c r="C2859" s="3" t="s">
        <v>9</v>
      </c>
      <c r="D2859" s="7">
        <v>7.7679999999999998</v>
      </c>
      <c r="E2859" s="19">
        <f>SUM(D2859:D2864)</f>
        <v>87.951000000000008</v>
      </c>
      <c r="F2859" s="17">
        <f>INT(MAX(D2859:D2864))</f>
        <v>20</v>
      </c>
      <c r="G2859" s="14">
        <f>INT((F2859/10)*2)</f>
        <v>4</v>
      </c>
      <c r="H2859" s="14">
        <f>F2859-G2859</f>
        <v>16</v>
      </c>
    </row>
    <row r="2860" spans="1:8" x14ac:dyDescent="0.3">
      <c r="A2860" s="15"/>
      <c r="B2860" s="15"/>
      <c r="C2860" s="8" t="s">
        <v>9</v>
      </c>
      <c r="D2860" s="2">
        <v>12.18</v>
      </c>
      <c r="E2860" s="15"/>
      <c r="F2860" s="15"/>
      <c r="G2860" s="15"/>
      <c r="H2860" s="15"/>
    </row>
    <row r="2861" spans="1:8" x14ac:dyDescent="0.3">
      <c r="A2861" s="15"/>
      <c r="B2861" s="15"/>
      <c r="C2861" s="3" t="s">
        <v>14</v>
      </c>
      <c r="D2861" s="2">
        <v>11.89</v>
      </c>
      <c r="E2861" s="15"/>
      <c r="F2861" s="15"/>
      <c r="G2861" s="15"/>
      <c r="H2861" s="15"/>
    </row>
    <row r="2862" spans="1:8" x14ac:dyDescent="0.3">
      <c r="A2862" s="15"/>
      <c r="B2862" s="15"/>
      <c r="C2862" s="3" t="s">
        <v>10</v>
      </c>
      <c r="D2862" s="2">
        <v>19.100000000000001</v>
      </c>
      <c r="E2862" s="15"/>
      <c r="F2862" s="15"/>
      <c r="G2862" s="15"/>
      <c r="H2862" s="15"/>
    </row>
    <row r="2863" spans="1:8" x14ac:dyDescent="0.3">
      <c r="A2863" s="15"/>
      <c r="B2863" s="15"/>
      <c r="C2863" s="3" t="s">
        <v>15</v>
      </c>
      <c r="D2863" s="2">
        <v>16.95</v>
      </c>
      <c r="E2863" s="15"/>
      <c r="F2863" s="15"/>
      <c r="G2863" s="15"/>
      <c r="H2863" s="15"/>
    </row>
    <row r="2864" spans="1:8" x14ac:dyDescent="0.3">
      <c r="A2864" s="16"/>
      <c r="B2864" s="16"/>
      <c r="C2864" s="3" t="s">
        <v>16</v>
      </c>
      <c r="D2864" s="7">
        <v>20.062999999999999</v>
      </c>
      <c r="E2864" s="16"/>
      <c r="F2864" s="16"/>
      <c r="G2864" s="16"/>
      <c r="H2864" s="16"/>
    </row>
    <row r="2865" spans="1:8" x14ac:dyDescent="0.3">
      <c r="A2865" s="18">
        <v>478</v>
      </c>
      <c r="B2865" s="20">
        <v>45716</v>
      </c>
      <c r="C2865" s="8" t="s">
        <v>9</v>
      </c>
      <c r="D2865" s="2">
        <v>10.8</v>
      </c>
      <c r="E2865" s="19">
        <f>SUM(D2865:D2870)</f>
        <v>49.501000000000005</v>
      </c>
      <c r="F2865" s="17">
        <f>INT(MAX(D2865:D2870))</f>
        <v>10</v>
      </c>
      <c r="G2865" s="14">
        <f>INT((F2865/10)*2)</f>
        <v>2</v>
      </c>
      <c r="H2865" s="14">
        <f>F2865-G2865</f>
        <v>8</v>
      </c>
    </row>
    <row r="2866" spans="1:8" x14ac:dyDescent="0.3">
      <c r="A2866" s="15"/>
      <c r="B2866" s="15"/>
      <c r="C2866" s="3" t="s">
        <v>16</v>
      </c>
      <c r="D2866" s="2">
        <v>6.73</v>
      </c>
      <c r="E2866" s="15"/>
      <c r="F2866" s="15"/>
      <c r="G2866" s="15"/>
      <c r="H2866" s="15"/>
    </row>
    <row r="2867" spans="1:8" x14ac:dyDescent="0.3">
      <c r="A2867" s="15"/>
      <c r="B2867" s="15"/>
      <c r="C2867" s="3" t="s">
        <v>8</v>
      </c>
      <c r="D2867" s="2">
        <v>4.74</v>
      </c>
      <c r="E2867" s="15"/>
      <c r="F2867" s="15"/>
      <c r="G2867" s="15"/>
      <c r="H2867" s="15"/>
    </row>
    <row r="2868" spans="1:8" x14ac:dyDescent="0.3">
      <c r="A2868" s="15"/>
      <c r="B2868" s="15"/>
      <c r="C2868" s="3" t="s">
        <v>12</v>
      </c>
      <c r="D2868" s="7">
        <v>8.6609999999999996</v>
      </c>
      <c r="E2868" s="15"/>
      <c r="F2868" s="15"/>
      <c r="G2868" s="15"/>
      <c r="H2868" s="15"/>
    </row>
    <row r="2869" spans="1:8" x14ac:dyDescent="0.3">
      <c r="A2869" s="15"/>
      <c r="B2869" s="15"/>
      <c r="C2869" s="8" t="s">
        <v>12</v>
      </c>
      <c r="D2869" s="2">
        <v>7.82</v>
      </c>
      <c r="E2869" s="15"/>
      <c r="F2869" s="15"/>
      <c r="G2869" s="15"/>
      <c r="H2869" s="15"/>
    </row>
    <row r="2870" spans="1:8" x14ac:dyDescent="0.3">
      <c r="A2870" s="16"/>
      <c r="B2870" s="16"/>
      <c r="C2870" s="3" t="s">
        <v>10</v>
      </c>
      <c r="D2870" s="2">
        <v>10.75</v>
      </c>
      <c r="E2870" s="16"/>
      <c r="F2870" s="16"/>
      <c r="G2870" s="16"/>
      <c r="H2870" s="16"/>
    </row>
    <row r="2871" spans="1:8" x14ac:dyDescent="0.3">
      <c r="A2871" s="18">
        <v>479</v>
      </c>
      <c r="B2871" s="20">
        <v>45720</v>
      </c>
      <c r="C2871" s="3" t="s">
        <v>8</v>
      </c>
      <c r="D2871" s="2">
        <v>25.49</v>
      </c>
      <c r="E2871" s="19">
        <f>SUM(D2871:D2876)</f>
        <v>91.695999999999998</v>
      </c>
      <c r="F2871" s="17">
        <f>INT(MAX(D2871:D2876))</f>
        <v>25</v>
      </c>
      <c r="G2871" s="14">
        <f>INT((F2871/10)*2)</f>
        <v>5</v>
      </c>
      <c r="H2871" s="14">
        <f>F2871-G2871</f>
        <v>20</v>
      </c>
    </row>
    <row r="2872" spans="1:8" x14ac:dyDescent="0.3">
      <c r="A2872" s="15"/>
      <c r="B2872" s="15"/>
      <c r="C2872" s="3" t="s">
        <v>15</v>
      </c>
      <c r="D2872" s="2">
        <v>14.04</v>
      </c>
      <c r="E2872" s="15"/>
      <c r="F2872" s="15"/>
      <c r="G2872" s="15"/>
      <c r="H2872" s="15"/>
    </row>
    <row r="2873" spans="1:8" x14ac:dyDescent="0.3">
      <c r="A2873" s="15"/>
      <c r="B2873" s="15"/>
      <c r="C2873" s="3" t="s">
        <v>9</v>
      </c>
      <c r="D2873" s="2">
        <v>8.9700000000000006</v>
      </c>
      <c r="E2873" s="15"/>
      <c r="F2873" s="15"/>
      <c r="G2873" s="15"/>
      <c r="H2873" s="15"/>
    </row>
    <row r="2874" spans="1:8" x14ac:dyDescent="0.3">
      <c r="A2874" s="15"/>
      <c r="B2874" s="15"/>
      <c r="C2874" s="3" t="s">
        <v>16</v>
      </c>
      <c r="D2874" s="7">
        <v>19.126000000000001</v>
      </c>
      <c r="E2874" s="15"/>
      <c r="F2874" s="15"/>
      <c r="G2874" s="15"/>
      <c r="H2874" s="15"/>
    </row>
    <row r="2875" spans="1:8" x14ac:dyDescent="0.3">
      <c r="A2875" s="15"/>
      <c r="B2875" s="15"/>
      <c r="C2875" s="8" t="s">
        <v>8</v>
      </c>
      <c r="D2875" s="2">
        <v>10.79</v>
      </c>
      <c r="E2875" s="15"/>
      <c r="F2875" s="15"/>
      <c r="G2875" s="15"/>
      <c r="H2875" s="15"/>
    </row>
    <row r="2876" spans="1:8" x14ac:dyDescent="0.3">
      <c r="A2876" s="16"/>
      <c r="B2876" s="16"/>
      <c r="C2876" s="3" t="s">
        <v>9</v>
      </c>
      <c r="D2876" s="2">
        <v>13.28</v>
      </c>
      <c r="E2876" s="16"/>
      <c r="F2876" s="16"/>
      <c r="G2876" s="16"/>
      <c r="H2876" s="16"/>
    </row>
    <row r="2877" spans="1:8" x14ac:dyDescent="0.3">
      <c r="A2877" s="18">
        <v>480</v>
      </c>
      <c r="B2877" s="20">
        <v>45723</v>
      </c>
      <c r="C2877" s="3" t="s">
        <v>17</v>
      </c>
      <c r="D2877" s="7">
        <v>21.535</v>
      </c>
      <c r="E2877" s="19">
        <f>SUM(D2877:D2882)</f>
        <v>132.256</v>
      </c>
      <c r="F2877" s="17">
        <f>INT(MAX(D2877:D2882))</f>
        <v>54</v>
      </c>
      <c r="G2877" s="14">
        <f>INT((F2877/10)*2)</f>
        <v>10</v>
      </c>
      <c r="H2877" s="14">
        <f>F2877-G2877</f>
        <v>44</v>
      </c>
    </row>
    <row r="2878" spans="1:8" x14ac:dyDescent="0.3">
      <c r="A2878" s="15"/>
      <c r="B2878" s="15"/>
      <c r="C2878" s="8" t="s">
        <v>11</v>
      </c>
      <c r="D2878" s="2">
        <v>13.02</v>
      </c>
      <c r="E2878" s="15"/>
      <c r="F2878" s="15"/>
      <c r="G2878" s="15"/>
      <c r="H2878" s="15"/>
    </row>
    <row r="2879" spans="1:8" x14ac:dyDescent="0.3">
      <c r="A2879" s="15"/>
      <c r="B2879" s="15"/>
      <c r="C2879" s="3" t="s">
        <v>15</v>
      </c>
      <c r="D2879" s="2">
        <v>18.940000000000001</v>
      </c>
      <c r="E2879" s="15"/>
      <c r="F2879" s="15"/>
      <c r="G2879" s="15"/>
      <c r="H2879" s="15"/>
    </row>
    <row r="2880" spans="1:8" x14ac:dyDescent="0.3">
      <c r="A2880" s="15"/>
      <c r="B2880" s="15"/>
      <c r="C2880" s="3" t="s">
        <v>9</v>
      </c>
      <c r="D2880" s="7">
        <v>11.311</v>
      </c>
      <c r="E2880" s="15"/>
      <c r="F2880" s="15"/>
      <c r="G2880" s="15"/>
      <c r="H2880" s="15"/>
    </row>
    <row r="2881" spans="1:8" x14ac:dyDescent="0.3">
      <c r="A2881" s="15"/>
      <c r="B2881" s="15"/>
      <c r="C2881" s="8" t="s">
        <v>17</v>
      </c>
      <c r="D2881" s="2">
        <v>13.33</v>
      </c>
      <c r="E2881" s="15"/>
      <c r="F2881" s="15"/>
      <c r="G2881" s="15"/>
      <c r="H2881" s="15"/>
    </row>
    <row r="2882" spans="1:8" x14ac:dyDescent="0.3">
      <c r="A2882" s="16"/>
      <c r="B2882" s="16"/>
      <c r="C2882" s="3" t="s">
        <v>10</v>
      </c>
      <c r="D2882" s="2">
        <v>54.12</v>
      </c>
      <c r="E2882" s="16"/>
      <c r="F2882" s="16"/>
      <c r="G2882" s="16"/>
      <c r="H2882" s="16"/>
    </row>
    <row r="2883" spans="1:8" x14ac:dyDescent="0.3">
      <c r="A2883" s="18">
        <v>481</v>
      </c>
      <c r="B2883" s="20">
        <v>45727</v>
      </c>
      <c r="C2883" s="3" t="s">
        <v>13</v>
      </c>
      <c r="D2883" s="2">
        <v>37.950000000000003</v>
      </c>
      <c r="E2883" s="19">
        <f>SUM(D2883:D2888)</f>
        <v>118.93400000000001</v>
      </c>
      <c r="F2883" s="17">
        <f>INT(MAX(D2883:D2888))</f>
        <v>37</v>
      </c>
      <c r="G2883" s="14">
        <f>INT((F2883/10)*2)</f>
        <v>7</v>
      </c>
      <c r="H2883" s="14">
        <f>F2883-G2883</f>
        <v>30</v>
      </c>
    </row>
    <row r="2884" spans="1:8" x14ac:dyDescent="0.3">
      <c r="A2884" s="15"/>
      <c r="B2884" s="15"/>
      <c r="C2884" s="3" t="s">
        <v>14</v>
      </c>
      <c r="D2884" s="7">
        <v>7.8140000000000001</v>
      </c>
      <c r="E2884" s="15"/>
      <c r="F2884" s="15"/>
      <c r="G2884" s="15"/>
      <c r="H2884" s="15"/>
    </row>
    <row r="2885" spans="1:8" x14ac:dyDescent="0.3">
      <c r="A2885" s="15"/>
      <c r="B2885" s="15"/>
      <c r="C2885" s="8" t="s">
        <v>17</v>
      </c>
      <c r="D2885" s="2">
        <v>31.79</v>
      </c>
      <c r="E2885" s="15"/>
      <c r="F2885" s="15"/>
      <c r="G2885" s="15"/>
      <c r="H2885" s="15"/>
    </row>
    <row r="2886" spans="1:8" x14ac:dyDescent="0.3">
      <c r="A2886" s="15"/>
      <c r="B2886" s="15"/>
      <c r="C2886" s="3" t="s">
        <v>13</v>
      </c>
      <c r="D2886" s="2">
        <v>8.48</v>
      </c>
      <c r="E2886" s="15"/>
      <c r="F2886" s="15"/>
      <c r="G2886" s="15"/>
      <c r="H2886" s="15"/>
    </row>
    <row r="2887" spans="1:8" x14ac:dyDescent="0.3">
      <c r="A2887" s="15"/>
      <c r="B2887" s="15"/>
      <c r="C2887" s="3" t="s">
        <v>14</v>
      </c>
      <c r="D2887" s="2">
        <v>23.95</v>
      </c>
      <c r="E2887" s="15"/>
      <c r="F2887" s="15"/>
      <c r="G2887" s="15"/>
      <c r="H2887" s="15"/>
    </row>
    <row r="2888" spans="1:8" x14ac:dyDescent="0.3">
      <c r="A2888" s="16"/>
      <c r="B2888" s="16"/>
      <c r="C2888" s="3" t="s">
        <v>9</v>
      </c>
      <c r="D2888" s="2">
        <v>8.9499999999999993</v>
      </c>
      <c r="E2888" s="16"/>
      <c r="F2888" s="16"/>
      <c r="G2888" s="16"/>
      <c r="H2888" s="16"/>
    </row>
    <row r="2889" spans="1:8" x14ac:dyDescent="0.3">
      <c r="A2889" s="18">
        <v>482</v>
      </c>
      <c r="B2889" s="20">
        <v>45730</v>
      </c>
      <c r="C2889" s="3" t="s">
        <v>8</v>
      </c>
      <c r="D2889" s="2">
        <v>9.56</v>
      </c>
      <c r="E2889" s="19">
        <f>SUM(D2889:D2894)</f>
        <v>138.459</v>
      </c>
      <c r="F2889" s="17">
        <f>INT(MAX(D2889:D2894))</f>
        <v>41</v>
      </c>
      <c r="G2889" s="14">
        <f>INT((F2889/10)*2)</f>
        <v>8</v>
      </c>
      <c r="H2889" s="14">
        <f>F2889-G2889</f>
        <v>33</v>
      </c>
    </row>
    <row r="2890" spans="1:8" x14ac:dyDescent="0.3">
      <c r="A2890" s="15"/>
      <c r="B2890" s="15"/>
      <c r="C2890" s="3" t="s">
        <v>16</v>
      </c>
      <c r="D2890" s="7">
        <v>41.128999999999998</v>
      </c>
      <c r="E2890" s="15"/>
      <c r="F2890" s="15"/>
      <c r="G2890" s="15"/>
      <c r="H2890" s="15"/>
    </row>
    <row r="2891" spans="1:8" x14ac:dyDescent="0.3">
      <c r="A2891" s="15"/>
      <c r="B2891" s="15"/>
      <c r="C2891" s="8" t="s">
        <v>12</v>
      </c>
      <c r="D2891" s="2">
        <v>15.3</v>
      </c>
      <c r="E2891" s="15"/>
      <c r="F2891" s="15"/>
      <c r="G2891" s="15"/>
      <c r="H2891" s="15"/>
    </row>
    <row r="2892" spans="1:8" x14ac:dyDescent="0.3">
      <c r="A2892" s="15"/>
      <c r="B2892" s="15"/>
      <c r="C2892" s="3" t="s">
        <v>18</v>
      </c>
      <c r="D2892" s="2">
        <v>12.22</v>
      </c>
      <c r="E2892" s="15"/>
      <c r="F2892" s="15"/>
      <c r="G2892" s="15"/>
      <c r="H2892" s="15"/>
    </row>
    <row r="2893" spans="1:8" x14ac:dyDescent="0.3">
      <c r="A2893" s="15"/>
      <c r="B2893" s="15"/>
      <c r="C2893" s="3" t="s">
        <v>10</v>
      </c>
      <c r="D2893" s="2">
        <v>33.26</v>
      </c>
      <c r="E2893" s="15"/>
      <c r="F2893" s="15"/>
      <c r="G2893" s="15"/>
      <c r="H2893" s="15"/>
    </row>
    <row r="2894" spans="1:8" x14ac:dyDescent="0.3">
      <c r="A2894" s="16"/>
      <c r="B2894" s="16"/>
      <c r="C2894" s="3" t="s">
        <v>8</v>
      </c>
      <c r="D2894" s="2">
        <v>26.99</v>
      </c>
      <c r="E2894" s="16"/>
      <c r="F2894" s="16"/>
      <c r="G2894" s="16"/>
      <c r="H2894" s="16"/>
    </row>
    <row r="2895" spans="1:8" x14ac:dyDescent="0.3">
      <c r="A2895" s="18">
        <v>483</v>
      </c>
      <c r="B2895" s="20">
        <v>45734</v>
      </c>
      <c r="C2895" s="3" t="s">
        <v>9</v>
      </c>
      <c r="D2895" s="7">
        <v>31.927</v>
      </c>
      <c r="E2895" s="19">
        <f>SUM(D2895:D2900)</f>
        <v>346.87399999999997</v>
      </c>
      <c r="F2895" s="17">
        <f>INT(MAX(D2895:D2900))</f>
        <v>132</v>
      </c>
      <c r="G2895" s="14">
        <f>INT((F2895/10)*2)</f>
        <v>26</v>
      </c>
      <c r="H2895" s="14">
        <f>F2895-G2895</f>
        <v>106</v>
      </c>
    </row>
    <row r="2896" spans="1:8" x14ac:dyDescent="0.3">
      <c r="A2896" s="15"/>
      <c r="B2896" s="15"/>
      <c r="C2896" s="8" t="s">
        <v>14</v>
      </c>
      <c r="D2896" s="2">
        <v>29.79</v>
      </c>
      <c r="E2896" s="15"/>
      <c r="F2896" s="15"/>
      <c r="G2896" s="15"/>
      <c r="H2896" s="15"/>
    </row>
    <row r="2897" spans="1:8" x14ac:dyDescent="0.3">
      <c r="A2897" s="15"/>
      <c r="B2897" s="15"/>
      <c r="C2897" s="3" t="s">
        <v>12</v>
      </c>
      <c r="D2897" s="2">
        <v>128.84</v>
      </c>
      <c r="E2897" s="15"/>
      <c r="F2897" s="15"/>
      <c r="G2897" s="15"/>
      <c r="H2897" s="15"/>
    </row>
    <row r="2898" spans="1:8" x14ac:dyDescent="0.3">
      <c r="A2898" s="15"/>
      <c r="B2898" s="15"/>
      <c r="C2898" s="3" t="s">
        <v>13</v>
      </c>
      <c r="D2898" s="2">
        <v>132.03</v>
      </c>
      <c r="E2898" s="15"/>
      <c r="F2898" s="15"/>
      <c r="G2898" s="15"/>
      <c r="H2898" s="15"/>
    </row>
    <row r="2899" spans="1:8" x14ac:dyDescent="0.3">
      <c r="A2899" s="15"/>
      <c r="B2899" s="15"/>
      <c r="C2899" s="3" t="s">
        <v>11</v>
      </c>
      <c r="D2899" s="2">
        <v>14.08</v>
      </c>
      <c r="E2899" s="15"/>
      <c r="F2899" s="15"/>
      <c r="G2899" s="15"/>
      <c r="H2899" s="15"/>
    </row>
    <row r="2900" spans="1:8" x14ac:dyDescent="0.3">
      <c r="A2900" s="16"/>
      <c r="B2900" s="16"/>
      <c r="C2900" s="3" t="s">
        <v>18</v>
      </c>
      <c r="D2900" s="7">
        <v>10.207000000000001</v>
      </c>
      <c r="E2900" s="16"/>
      <c r="F2900" s="16"/>
      <c r="G2900" s="16"/>
      <c r="H2900" s="16"/>
    </row>
    <row r="2901" spans="1:8" x14ac:dyDescent="0.3">
      <c r="A2901" s="18">
        <v>484</v>
      </c>
      <c r="B2901" s="20">
        <v>45737</v>
      </c>
      <c r="C2901" s="8" t="s">
        <v>18</v>
      </c>
      <c r="D2901" s="2">
        <v>32.29</v>
      </c>
      <c r="E2901" s="19">
        <f>SUM(D2901:D2906)</f>
        <v>200.80100000000002</v>
      </c>
      <c r="F2901" s="17">
        <f>INT(MAX(D2901:D2906))</f>
        <v>51</v>
      </c>
      <c r="G2901" s="14">
        <f>INT((F2901/10)*2)</f>
        <v>10</v>
      </c>
      <c r="H2901" s="14">
        <f>F2901-G2901</f>
        <v>41</v>
      </c>
    </row>
    <row r="2902" spans="1:8" x14ac:dyDescent="0.3">
      <c r="A2902" s="15"/>
      <c r="B2902" s="15"/>
      <c r="C2902" s="3" t="s">
        <v>11</v>
      </c>
      <c r="D2902" s="2">
        <v>27.36</v>
      </c>
      <c r="E2902" s="15"/>
      <c r="F2902" s="15"/>
      <c r="G2902" s="15"/>
      <c r="H2902" s="15"/>
    </row>
    <row r="2903" spans="1:8" x14ac:dyDescent="0.3">
      <c r="A2903" s="15"/>
      <c r="B2903" s="15"/>
      <c r="C2903" s="3" t="s">
        <v>8</v>
      </c>
      <c r="D2903" s="2">
        <v>36.28</v>
      </c>
      <c r="E2903" s="15"/>
      <c r="F2903" s="15"/>
      <c r="G2903" s="15"/>
      <c r="H2903" s="15"/>
    </row>
    <row r="2904" spans="1:8" x14ac:dyDescent="0.3">
      <c r="A2904" s="15"/>
      <c r="B2904" s="15"/>
      <c r="C2904" s="3" t="s">
        <v>9</v>
      </c>
      <c r="D2904" s="7">
        <v>19.221</v>
      </c>
      <c r="E2904" s="15"/>
      <c r="F2904" s="15"/>
      <c r="G2904" s="15"/>
      <c r="H2904" s="15"/>
    </row>
    <row r="2905" spans="1:8" x14ac:dyDescent="0.3">
      <c r="A2905" s="15"/>
      <c r="B2905" s="15"/>
      <c r="C2905" s="8" t="s">
        <v>17</v>
      </c>
      <c r="D2905" s="2">
        <v>51.27</v>
      </c>
      <c r="E2905" s="15"/>
      <c r="F2905" s="15"/>
      <c r="G2905" s="15"/>
      <c r="H2905" s="15"/>
    </row>
    <row r="2906" spans="1:8" x14ac:dyDescent="0.3">
      <c r="A2906" s="16"/>
      <c r="B2906" s="16"/>
      <c r="C2906" s="3" t="s">
        <v>9</v>
      </c>
      <c r="D2906" s="2">
        <v>34.380000000000003</v>
      </c>
      <c r="E2906" s="16"/>
      <c r="F2906" s="16"/>
      <c r="G2906" s="16"/>
      <c r="H2906" s="16"/>
    </row>
    <row r="2907" spans="1:8" x14ac:dyDescent="0.3">
      <c r="A2907" s="18">
        <v>485</v>
      </c>
      <c r="B2907" s="20">
        <v>45741</v>
      </c>
      <c r="C2907" s="3" t="s">
        <v>10</v>
      </c>
      <c r="D2907" s="2">
        <v>38.36</v>
      </c>
      <c r="E2907" s="19">
        <f>SUM(D2907:D2912)</f>
        <v>359.54499999999996</v>
      </c>
      <c r="F2907" s="17">
        <f>INT(MAX(D2907:D2912))</f>
        <v>101</v>
      </c>
      <c r="G2907" s="14">
        <f>INT((F2907/10)*2)</f>
        <v>20</v>
      </c>
      <c r="H2907" s="14">
        <f>F2907-G2907</f>
        <v>81</v>
      </c>
    </row>
    <row r="2908" spans="1:8" x14ac:dyDescent="0.3">
      <c r="A2908" s="15"/>
      <c r="B2908" s="15"/>
      <c r="C2908" s="3" t="s">
        <v>13</v>
      </c>
      <c r="D2908" s="7">
        <v>57.643000000000001</v>
      </c>
      <c r="E2908" s="15"/>
      <c r="F2908" s="15"/>
      <c r="G2908" s="15"/>
      <c r="H2908" s="15"/>
    </row>
    <row r="2909" spans="1:8" x14ac:dyDescent="0.3">
      <c r="A2909" s="15"/>
      <c r="B2909" s="15"/>
      <c r="C2909" s="8" t="s">
        <v>17</v>
      </c>
      <c r="D2909" s="2">
        <v>50</v>
      </c>
      <c r="E2909" s="15"/>
      <c r="F2909" s="15"/>
      <c r="G2909" s="15"/>
      <c r="H2909" s="15"/>
    </row>
    <row r="2910" spans="1:8" x14ac:dyDescent="0.3">
      <c r="A2910" s="15"/>
      <c r="B2910" s="15"/>
      <c r="C2910" s="3" t="s">
        <v>10</v>
      </c>
      <c r="D2910" s="2">
        <v>64.2</v>
      </c>
      <c r="E2910" s="15"/>
      <c r="F2910" s="15"/>
      <c r="G2910" s="15"/>
      <c r="H2910" s="15"/>
    </row>
    <row r="2911" spans="1:8" x14ac:dyDescent="0.3">
      <c r="A2911" s="15"/>
      <c r="B2911" s="15"/>
      <c r="C2911" s="3" t="s">
        <v>14</v>
      </c>
      <c r="D2911" s="2">
        <v>101.43</v>
      </c>
      <c r="E2911" s="15"/>
      <c r="F2911" s="15"/>
      <c r="G2911" s="15"/>
      <c r="H2911" s="15"/>
    </row>
    <row r="2912" spans="1:8" x14ac:dyDescent="0.3">
      <c r="A2912" s="16"/>
      <c r="B2912" s="16"/>
      <c r="C2912" s="3" t="s">
        <v>15</v>
      </c>
      <c r="D2912" s="7">
        <v>47.911999999999999</v>
      </c>
      <c r="E2912" s="16"/>
      <c r="F2912" s="16"/>
      <c r="G2912" s="16"/>
      <c r="H2912" s="16"/>
    </row>
    <row r="2913" spans="1:8" x14ac:dyDescent="0.3">
      <c r="A2913" s="18">
        <v>486</v>
      </c>
      <c r="B2913" s="20">
        <v>45744</v>
      </c>
      <c r="C2913" s="8" t="s">
        <v>11</v>
      </c>
      <c r="D2913" s="2">
        <v>19.11</v>
      </c>
      <c r="E2913" s="19">
        <f>SUM(D2913:D2918)</f>
        <v>80.769000000000005</v>
      </c>
      <c r="F2913" s="17">
        <f>INT(MAX(D2913:D2918))</f>
        <v>21</v>
      </c>
      <c r="G2913" s="14">
        <f>INT((F2913/10)*2)</f>
        <v>4</v>
      </c>
      <c r="H2913" s="14">
        <f>F2913-G2913</f>
        <v>17</v>
      </c>
    </row>
    <row r="2914" spans="1:8" x14ac:dyDescent="0.3">
      <c r="A2914" s="15"/>
      <c r="B2914" s="15"/>
      <c r="C2914" s="3" t="s">
        <v>9</v>
      </c>
      <c r="D2914" s="2">
        <v>21.85</v>
      </c>
      <c r="E2914" s="15"/>
      <c r="F2914" s="15"/>
      <c r="G2914" s="15"/>
      <c r="H2914" s="15"/>
    </row>
    <row r="2915" spans="1:8" x14ac:dyDescent="0.3">
      <c r="A2915" s="15"/>
      <c r="B2915" s="15"/>
      <c r="C2915" s="3" t="s">
        <v>13</v>
      </c>
      <c r="D2915" s="2">
        <v>7.91</v>
      </c>
      <c r="E2915" s="15"/>
      <c r="F2915" s="15"/>
      <c r="G2915" s="15"/>
      <c r="H2915" s="15"/>
    </row>
    <row r="2916" spans="1:8" x14ac:dyDescent="0.3">
      <c r="A2916" s="15"/>
      <c r="B2916" s="15"/>
      <c r="C2916" s="3" t="s">
        <v>16</v>
      </c>
      <c r="D2916" s="2">
        <v>9.58</v>
      </c>
      <c r="E2916" s="15"/>
      <c r="F2916" s="15"/>
      <c r="G2916" s="15"/>
      <c r="H2916" s="15"/>
    </row>
    <row r="2917" spans="1:8" x14ac:dyDescent="0.3">
      <c r="A2917" s="15"/>
      <c r="B2917" s="15"/>
      <c r="C2917" s="3" t="s">
        <v>18</v>
      </c>
      <c r="D2917" s="7">
        <v>9.1690000000000005</v>
      </c>
      <c r="E2917" s="15"/>
      <c r="F2917" s="15"/>
      <c r="G2917" s="15"/>
      <c r="H2917" s="15"/>
    </row>
    <row r="2918" spans="1:8" x14ac:dyDescent="0.3">
      <c r="A2918" s="16"/>
      <c r="B2918" s="16"/>
      <c r="C2918" s="8" t="s">
        <v>10</v>
      </c>
      <c r="D2918" s="2">
        <v>13.15</v>
      </c>
      <c r="E2918" s="16"/>
      <c r="F2918" s="16"/>
      <c r="G2918" s="16"/>
      <c r="H2918" s="16"/>
    </row>
    <row r="2919" spans="1:8" x14ac:dyDescent="0.3">
      <c r="A2919" s="18">
        <v>487</v>
      </c>
      <c r="B2919" s="20">
        <v>45748</v>
      </c>
      <c r="C2919" s="3" t="s">
        <v>12</v>
      </c>
      <c r="D2919" s="2">
        <v>9.84</v>
      </c>
      <c r="E2919" s="19">
        <f>SUM(D2919:D2924)</f>
        <v>87.164999999999992</v>
      </c>
      <c r="F2919" s="17">
        <f>INT(MAX(D2919:D2924))</f>
        <v>26</v>
      </c>
      <c r="G2919" s="14">
        <f>INT((F2919/10)*2)</f>
        <v>5</v>
      </c>
      <c r="H2919" s="14">
        <f>F2919-G2919</f>
        <v>21</v>
      </c>
    </row>
    <row r="2920" spans="1:8" x14ac:dyDescent="0.3">
      <c r="A2920" s="15"/>
      <c r="B2920" s="15"/>
      <c r="C2920" s="3" t="s">
        <v>15</v>
      </c>
      <c r="D2920" s="2">
        <v>4.2699999999999996</v>
      </c>
      <c r="E2920" s="15"/>
      <c r="F2920" s="15"/>
      <c r="G2920" s="15"/>
      <c r="H2920" s="15"/>
    </row>
    <row r="2921" spans="1:8" x14ac:dyDescent="0.3">
      <c r="A2921" s="15"/>
      <c r="B2921" s="15"/>
      <c r="C2921" s="3" t="s">
        <v>17</v>
      </c>
      <c r="D2921" s="2">
        <v>25.44</v>
      </c>
      <c r="E2921" s="15"/>
      <c r="F2921" s="15"/>
      <c r="G2921" s="15"/>
      <c r="H2921" s="15"/>
    </row>
    <row r="2922" spans="1:8" x14ac:dyDescent="0.3">
      <c r="A2922" s="15"/>
      <c r="B2922" s="15"/>
      <c r="C2922" s="3" t="s">
        <v>13</v>
      </c>
      <c r="D2922" s="2">
        <v>4.1500000000000004</v>
      </c>
      <c r="E2922" s="15"/>
      <c r="F2922" s="15"/>
      <c r="G2922" s="15"/>
      <c r="H2922" s="15"/>
    </row>
    <row r="2923" spans="1:8" x14ac:dyDescent="0.3">
      <c r="A2923" s="15"/>
      <c r="B2923" s="15"/>
      <c r="C2923" s="3" t="s">
        <v>18</v>
      </c>
      <c r="D2923" s="7">
        <v>16.795000000000002</v>
      </c>
      <c r="E2923" s="15"/>
      <c r="F2923" s="15"/>
      <c r="G2923" s="15"/>
      <c r="H2923" s="15"/>
    </row>
    <row r="2924" spans="1:8" x14ac:dyDescent="0.3">
      <c r="A2924" s="16"/>
      <c r="B2924" s="16"/>
      <c r="C2924" s="8" t="s">
        <v>12</v>
      </c>
      <c r="D2924" s="2">
        <v>26.67</v>
      </c>
      <c r="E2924" s="16"/>
      <c r="F2924" s="16"/>
      <c r="G2924" s="16"/>
      <c r="H2924" s="16"/>
    </row>
    <row r="2925" spans="1:8" x14ac:dyDescent="0.3">
      <c r="A2925" s="18">
        <v>488</v>
      </c>
      <c r="B2925" s="20">
        <v>45751</v>
      </c>
      <c r="C2925" s="3" t="s">
        <v>8</v>
      </c>
      <c r="D2925" s="2">
        <v>30.22</v>
      </c>
      <c r="E2925" s="19">
        <f>SUM(D2925:D2930)</f>
        <v>186.79600000000002</v>
      </c>
      <c r="F2925" s="17">
        <f>INT(MAX(D2925:D2930))</f>
        <v>50</v>
      </c>
      <c r="G2925" s="14">
        <f>INT((F2925/10)*2)</f>
        <v>10</v>
      </c>
      <c r="H2925" s="14">
        <f>F2925-G2925</f>
        <v>40</v>
      </c>
    </row>
    <row r="2926" spans="1:8" x14ac:dyDescent="0.3">
      <c r="A2926" s="15"/>
      <c r="B2926" s="15"/>
      <c r="C2926" s="3" t="s">
        <v>9</v>
      </c>
      <c r="D2926" s="7">
        <v>42.853000000000002</v>
      </c>
      <c r="E2926" s="15"/>
      <c r="F2926" s="15"/>
      <c r="G2926" s="15"/>
      <c r="H2926" s="15"/>
    </row>
    <row r="2927" spans="1:8" x14ac:dyDescent="0.3">
      <c r="A2927" s="15"/>
      <c r="B2927" s="15"/>
      <c r="C2927" s="8" t="s">
        <v>14</v>
      </c>
      <c r="D2927" s="2">
        <v>50</v>
      </c>
      <c r="E2927" s="15"/>
      <c r="F2927" s="15"/>
      <c r="G2927" s="15"/>
      <c r="H2927" s="15"/>
    </row>
    <row r="2928" spans="1:8" x14ac:dyDescent="0.3">
      <c r="A2928" s="15"/>
      <c r="B2928" s="15"/>
      <c r="C2928" s="3" t="s">
        <v>10</v>
      </c>
      <c r="D2928" s="2">
        <v>40</v>
      </c>
      <c r="E2928" s="15"/>
      <c r="F2928" s="15"/>
      <c r="G2928" s="15"/>
      <c r="H2928" s="15"/>
    </row>
    <row r="2929" spans="1:8" x14ac:dyDescent="0.3">
      <c r="A2929" s="15"/>
      <c r="B2929" s="15"/>
      <c r="C2929" s="3" t="s">
        <v>18</v>
      </c>
      <c r="D2929" s="7">
        <v>8.7330000000000005</v>
      </c>
      <c r="E2929" s="15"/>
      <c r="F2929" s="15"/>
      <c r="G2929" s="15"/>
      <c r="H2929" s="15"/>
    </row>
    <row r="2930" spans="1:8" x14ac:dyDescent="0.3">
      <c r="A2930" s="16"/>
      <c r="B2930" s="16"/>
      <c r="C2930" s="8" t="s">
        <v>18</v>
      </c>
      <c r="D2930" s="2">
        <v>14.99</v>
      </c>
      <c r="E2930" s="16"/>
      <c r="F2930" s="16"/>
      <c r="G2930" s="16"/>
      <c r="H2930" s="16"/>
    </row>
    <row r="2931" spans="1:8" x14ac:dyDescent="0.3">
      <c r="A2931" s="18">
        <v>489</v>
      </c>
      <c r="B2931" s="20">
        <v>45755</v>
      </c>
      <c r="C2931" s="3" t="s">
        <v>12</v>
      </c>
      <c r="D2931" s="2">
        <v>15.46</v>
      </c>
      <c r="E2931" s="19">
        <f>SUM(D2931:D2936)</f>
        <v>168.82600000000002</v>
      </c>
      <c r="F2931" s="17">
        <f>INT(MAX(D2931:D2936))</f>
        <v>49</v>
      </c>
      <c r="G2931" s="14">
        <f>INT((F2931/10)*2)</f>
        <v>9</v>
      </c>
      <c r="H2931" s="14">
        <f>F2931-G2931</f>
        <v>40</v>
      </c>
    </row>
    <row r="2932" spans="1:8" x14ac:dyDescent="0.3">
      <c r="A2932" s="15"/>
      <c r="B2932" s="15"/>
      <c r="C2932" s="3" t="s">
        <v>10</v>
      </c>
      <c r="D2932" s="2">
        <v>33.11</v>
      </c>
      <c r="E2932" s="15"/>
      <c r="F2932" s="15"/>
      <c r="G2932" s="15"/>
      <c r="H2932" s="15"/>
    </row>
    <row r="2933" spans="1:8" x14ac:dyDescent="0.3">
      <c r="A2933" s="15"/>
      <c r="B2933" s="15"/>
      <c r="C2933" s="3" t="s">
        <v>13</v>
      </c>
      <c r="D2933" s="2">
        <v>10.18</v>
      </c>
      <c r="E2933" s="15"/>
      <c r="F2933" s="15"/>
      <c r="G2933" s="15"/>
      <c r="H2933" s="15"/>
    </row>
    <row r="2934" spans="1:8" x14ac:dyDescent="0.3">
      <c r="A2934" s="15"/>
      <c r="B2934" s="15"/>
      <c r="C2934" s="3" t="s">
        <v>8</v>
      </c>
      <c r="D2934" s="2">
        <v>16.78</v>
      </c>
      <c r="E2934" s="15"/>
      <c r="F2934" s="15"/>
      <c r="G2934" s="15"/>
      <c r="H2934" s="15"/>
    </row>
    <row r="2935" spans="1:8" x14ac:dyDescent="0.3">
      <c r="A2935" s="15"/>
      <c r="B2935" s="15"/>
      <c r="C2935" s="3" t="s">
        <v>11</v>
      </c>
      <c r="D2935" s="7">
        <v>43.716000000000001</v>
      </c>
      <c r="E2935" s="15"/>
      <c r="F2935" s="15"/>
      <c r="G2935" s="15"/>
      <c r="H2935" s="15"/>
    </row>
    <row r="2936" spans="1:8" x14ac:dyDescent="0.3">
      <c r="A2936" s="16"/>
      <c r="B2936" s="16"/>
      <c r="C2936" s="8" t="s">
        <v>12</v>
      </c>
      <c r="D2936" s="2">
        <v>49.58</v>
      </c>
      <c r="E2936" s="16"/>
      <c r="F2936" s="16"/>
      <c r="G2936" s="16"/>
      <c r="H2936" s="16"/>
    </row>
    <row r="2937" spans="1:8" x14ac:dyDescent="0.3">
      <c r="A2937" s="18">
        <v>490</v>
      </c>
      <c r="B2937" s="20">
        <v>45758</v>
      </c>
      <c r="C2937" s="3" t="s">
        <v>10</v>
      </c>
      <c r="D2937" s="2">
        <v>79.06</v>
      </c>
      <c r="E2937" s="19">
        <f>SUM(D2937:D2942)</f>
        <v>313.38</v>
      </c>
      <c r="F2937" s="17">
        <f>INT(MAX(D2937:D2942))</f>
        <v>79</v>
      </c>
      <c r="G2937" s="14">
        <f>INT((F2937/10)*2)</f>
        <v>15</v>
      </c>
      <c r="H2937" s="14">
        <f>F2937-G2937</f>
        <v>64</v>
      </c>
    </row>
    <row r="2938" spans="1:8" x14ac:dyDescent="0.3">
      <c r="A2938" s="15"/>
      <c r="B2938" s="15"/>
      <c r="C2938" s="3" t="s">
        <v>15</v>
      </c>
      <c r="D2938" s="2">
        <v>69.25</v>
      </c>
      <c r="E2938" s="15"/>
      <c r="F2938" s="15"/>
      <c r="G2938" s="15"/>
      <c r="H2938" s="15"/>
    </row>
    <row r="2939" spans="1:8" x14ac:dyDescent="0.3">
      <c r="A2939" s="15"/>
      <c r="B2939" s="15"/>
      <c r="C2939" s="3" t="s">
        <v>9</v>
      </c>
      <c r="D2939" s="2">
        <v>31.06</v>
      </c>
      <c r="E2939" s="15"/>
      <c r="F2939" s="15"/>
      <c r="G2939" s="15"/>
      <c r="H2939" s="15"/>
    </row>
    <row r="2940" spans="1:8" x14ac:dyDescent="0.3">
      <c r="A2940" s="15"/>
      <c r="B2940" s="15"/>
      <c r="C2940" s="3" t="s">
        <v>16</v>
      </c>
      <c r="D2940" s="2">
        <v>39.799999999999997</v>
      </c>
      <c r="E2940" s="15"/>
      <c r="F2940" s="15"/>
      <c r="G2940" s="15"/>
      <c r="H2940" s="15"/>
    </row>
    <row r="2941" spans="1:8" x14ac:dyDescent="0.3">
      <c r="A2941" s="15"/>
      <c r="B2941" s="15"/>
      <c r="C2941" s="3" t="s">
        <v>18</v>
      </c>
      <c r="D2941" s="7">
        <v>30.44</v>
      </c>
      <c r="E2941" s="15"/>
      <c r="F2941" s="15"/>
      <c r="G2941" s="15"/>
      <c r="H2941" s="15"/>
    </row>
    <row r="2942" spans="1:8" x14ac:dyDescent="0.3">
      <c r="A2942" s="16"/>
      <c r="B2942" s="16"/>
      <c r="C2942" s="8" t="s">
        <v>16</v>
      </c>
      <c r="D2942" s="2">
        <v>63.77</v>
      </c>
      <c r="E2942" s="16"/>
      <c r="F2942" s="16"/>
      <c r="G2942" s="16"/>
      <c r="H2942" s="16"/>
    </row>
    <row r="2943" spans="1:8" x14ac:dyDescent="0.3">
      <c r="A2943" s="18">
        <v>491</v>
      </c>
      <c r="B2943" s="20">
        <v>45762</v>
      </c>
      <c r="C2943" s="3" t="s">
        <v>11</v>
      </c>
      <c r="D2943" s="2">
        <v>54.67</v>
      </c>
      <c r="E2943" s="19">
        <f>SUM(D2943:D2948)</f>
        <v>131.01400000000001</v>
      </c>
      <c r="F2943" s="17">
        <f>INT(MAX(D2943:D2948))</f>
        <v>54</v>
      </c>
      <c r="G2943" s="14">
        <f>INT((F2943/10)*2)</f>
        <v>10</v>
      </c>
      <c r="H2943" s="14">
        <f>F2943-G2943</f>
        <v>44</v>
      </c>
    </row>
    <row r="2944" spans="1:8" x14ac:dyDescent="0.3">
      <c r="A2944" s="15"/>
      <c r="B2944" s="15"/>
      <c r="C2944" s="3" t="s">
        <v>15</v>
      </c>
      <c r="D2944" s="2">
        <v>27.21</v>
      </c>
      <c r="E2944" s="15"/>
      <c r="F2944" s="15"/>
      <c r="G2944" s="15"/>
      <c r="H2944" s="15"/>
    </row>
    <row r="2945" spans="1:8" x14ac:dyDescent="0.3">
      <c r="A2945" s="15"/>
      <c r="B2945" s="15"/>
      <c r="C2945" s="3" t="s">
        <v>8</v>
      </c>
      <c r="D2945" s="2">
        <v>6.95</v>
      </c>
      <c r="E2945" s="15"/>
      <c r="F2945" s="15"/>
      <c r="G2945" s="15"/>
      <c r="H2945" s="15"/>
    </row>
    <row r="2946" spans="1:8" x14ac:dyDescent="0.3">
      <c r="A2946" s="15"/>
      <c r="B2946" s="15"/>
      <c r="C2946" s="3" t="s">
        <v>10</v>
      </c>
      <c r="D2946" s="2">
        <v>21.34</v>
      </c>
      <c r="E2946" s="15"/>
      <c r="F2946" s="15"/>
      <c r="G2946" s="15"/>
      <c r="H2946" s="15"/>
    </row>
    <row r="2947" spans="1:8" x14ac:dyDescent="0.3">
      <c r="A2947" s="15"/>
      <c r="B2947" s="15"/>
      <c r="C2947" s="3" t="s">
        <v>18</v>
      </c>
      <c r="D2947" s="7">
        <v>5.194</v>
      </c>
      <c r="E2947" s="15"/>
      <c r="F2947" s="15"/>
      <c r="G2947" s="15"/>
      <c r="H2947" s="15"/>
    </row>
    <row r="2948" spans="1:8" x14ac:dyDescent="0.3">
      <c r="A2948" s="16"/>
      <c r="B2948" s="16"/>
      <c r="C2948" s="8" t="s">
        <v>16</v>
      </c>
      <c r="D2948" s="2">
        <v>15.65</v>
      </c>
      <c r="E2948" s="16"/>
      <c r="F2948" s="16"/>
      <c r="G2948" s="16"/>
      <c r="H2948" s="16"/>
    </row>
    <row r="2949" spans="1:8" x14ac:dyDescent="0.3">
      <c r="A2949" s="18">
        <v>492</v>
      </c>
      <c r="B2949" s="20">
        <v>45765</v>
      </c>
      <c r="C2949" s="3" t="s">
        <v>14</v>
      </c>
      <c r="D2949" s="2">
        <v>12.31</v>
      </c>
      <c r="E2949" s="19">
        <f>SUM(D2949:D2954)</f>
        <v>60.869</v>
      </c>
      <c r="F2949" s="17">
        <f>INT(MAX(D2949:D2954))</f>
        <v>15</v>
      </c>
      <c r="G2949" s="14">
        <f>INT((F2949/10)*2)</f>
        <v>3</v>
      </c>
      <c r="H2949" s="14">
        <f>F2949-G2949</f>
        <v>12</v>
      </c>
    </row>
    <row r="2950" spans="1:8" x14ac:dyDescent="0.3">
      <c r="A2950" s="15"/>
      <c r="B2950" s="15"/>
      <c r="C2950" s="3" t="s">
        <v>17</v>
      </c>
      <c r="D2950" s="2">
        <v>15.48</v>
      </c>
      <c r="E2950" s="15"/>
      <c r="F2950" s="15"/>
      <c r="G2950" s="15"/>
      <c r="H2950" s="15"/>
    </row>
    <row r="2951" spans="1:8" x14ac:dyDescent="0.3">
      <c r="A2951" s="15"/>
      <c r="B2951" s="15"/>
      <c r="C2951" s="3" t="s">
        <v>11</v>
      </c>
      <c r="D2951" s="2">
        <v>4.3600000000000003</v>
      </c>
      <c r="E2951" s="15"/>
      <c r="F2951" s="15"/>
      <c r="G2951" s="15"/>
      <c r="H2951" s="15"/>
    </row>
    <row r="2952" spans="1:8" x14ac:dyDescent="0.3">
      <c r="A2952" s="15"/>
      <c r="B2952" s="15"/>
      <c r="C2952" s="3" t="s">
        <v>8</v>
      </c>
      <c r="D2952" s="2">
        <v>12.64</v>
      </c>
      <c r="E2952" s="15"/>
      <c r="F2952" s="15"/>
      <c r="G2952" s="15"/>
      <c r="H2952" s="15"/>
    </row>
    <row r="2953" spans="1:8" x14ac:dyDescent="0.3">
      <c r="A2953" s="15"/>
      <c r="B2953" s="15"/>
      <c r="C2953" s="3" t="s">
        <v>9</v>
      </c>
      <c r="D2953" s="7">
        <v>6.1790000000000003</v>
      </c>
      <c r="E2953" s="15"/>
      <c r="F2953" s="15"/>
      <c r="G2953" s="15"/>
      <c r="H2953" s="15"/>
    </row>
    <row r="2954" spans="1:8" x14ac:dyDescent="0.3">
      <c r="A2954" s="16"/>
      <c r="B2954" s="16"/>
      <c r="C2954" s="8" t="s">
        <v>18</v>
      </c>
      <c r="D2954" s="2">
        <v>9.9</v>
      </c>
      <c r="E2954" s="16"/>
      <c r="F2954" s="16"/>
      <c r="G2954" s="16"/>
      <c r="H2954" s="16"/>
    </row>
    <row r="2955" spans="1:8" x14ac:dyDescent="0.3">
      <c r="A2955" s="18">
        <v>493</v>
      </c>
      <c r="B2955" s="20">
        <v>45769</v>
      </c>
      <c r="C2955" s="3" t="s">
        <v>8</v>
      </c>
      <c r="D2955" s="2">
        <v>8.3699999999999992</v>
      </c>
      <c r="E2955" s="19">
        <f>SUM(D2955:D2960)</f>
        <v>209.679</v>
      </c>
      <c r="F2955" s="17">
        <f>INT(MAX(D2955:D2960))</f>
        <v>82</v>
      </c>
      <c r="G2955" s="14">
        <f>INT((F2955/10)*2)</f>
        <v>16</v>
      </c>
      <c r="H2955" s="14">
        <f>F2955-G2955</f>
        <v>66</v>
      </c>
    </row>
    <row r="2956" spans="1:8" x14ac:dyDescent="0.3">
      <c r="A2956" s="15"/>
      <c r="B2956" s="15"/>
      <c r="C2956" s="3" t="s">
        <v>14</v>
      </c>
      <c r="D2956" s="2">
        <v>12.7</v>
      </c>
      <c r="E2956" s="15"/>
      <c r="F2956" s="15"/>
      <c r="G2956" s="15"/>
      <c r="H2956" s="15"/>
    </row>
    <row r="2957" spans="1:8" x14ac:dyDescent="0.3">
      <c r="A2957" s="15"/>
      <c r="B2957" s="15"/>
      <c r="C2957" s="3" t="s">
        <v>17</v>
      </c>
      <c r="D2957" s="2">
        <v>4.04</v>
      </c>
      <c r="E2957" s="15"/>
      <c r="F2957" s="15"/>
      <c r="G2957" s="15"/>
      <c r="H2957" s="15"/>
    </row>
    <row r="2958" spans="1:8" x14ac:dyDescent="0.3">
      <c r="A2958" s="15"/>
      <c r="B2958" s="15"/>
      <c r="C2958" s="3" t="s">
        <v>10</v>
      </c>
      <c r="D2958" s="7">
        <v>61.889000000000003</v>
      </c>
      <c r="E2958" s="15"/>
      <c r="F2958" s="15"/>
      <c r="G2958" s="15"/>
      <c r="H2958" s="15"/>
    </row>
    <row r="2959" spans="1:8" x14ac:dyDescent="0.3">
      <c r="A2959" s="15"/>
      <c r="B2959" s="15"/>
      <c r="C2959" s="8" t="s">
        <v>14</v>
      </c>
      <c r="D2959" s="2">
        <v>82.03</v>
      </c>
      <c r="E2959" s="15"/>
      <c r="F2959" s="15"/>
      <c r="G2959" s="15"/>
      <c r="H2959" s="15"/>
    </row>
    <row r="2960" spans="1:8" x14ac:dyDescent="0.3">
      <c r="A2960" s="16"/>
      <c r="B2960" s="16"/>
      <c r="C2960" s="3" t="s">
        <v>15</v>
      </c>
      <c r="D2960" s="2">
        <v>40.65</v>
      </c>
      <c r="E2960" s="16"/>
      <c r="F2960" s="16"/>
      <c r="G2960" s="16"/>
      <c r="H2960" s="16"/>
    </row>
    <row r="2961" spans="1:8" x14ac:dyDescent="0.3">
      <c r="A2961" s="18">
        <v>494</v>
      </c>
      <c r="B2961" s="20">
        <v>45772</v>
      </c>
      <c r="C2961" s="3" t="s">
        <v>12</v>
      </c>
      <c r="D2961" s="2">
        <v>13.8</v>
      </c>
      <c r="E2961" s="19">
        <f>SUM(D2961:D2966)</f>
        <v>126.02799999999999</v>
      </c>
      <c r="F2961" s="17">
        <f>INT(MAX(D2961:D2966))</f>
        <v>47</v>
      </c>
      <c r="G2961" s="14">
        <f>INT((F2961/10)*2)</f>
        <v>9</v>
      </c>
      <c r="H2961" s="14">
        <f>F2961-G2961</f>
        <v>38</v>
      </c>
    </row>
    <row r="2962" spans="1:8" x14ac:dyDescent="0.3">
      <c r="A2962" s="15"/>
      <c r="B2962" s="15"/>
      <c r="C2962" s="3" t="s">
        <v>17</v>
      </c>
      <c r="D2962" s="2">
        <v>32.47</v>
      </c>
      <c r="E2962" s="15"/>
      <c r="F2962" s="15"/>
      <c r="G2962" s="15"/>
      <c r="H2962" s="15"/>
    </row>
    <row r="2963" spans="1:8" x14ac:dyDescent="0.3">
      <c r="A2963" s="15"/>
      <c r="B2963" s="15"/>
      <c r="C2963" s="3" t="s">
        <v>8</v>
      </c>
      <c r="D2963" s="2">
        <v>47.56</v>
      </c>
      <c r="E2963" s="15"/>
      <c r="F2963" s="15"/>
      <c r="G2963" s="15"/>
      <c r="H2963" s="15"/>
    </row>
    <row r="2964" spans="1:8" x14ac:dyDescent="0.3">
      <c r="A2964" s="15"/>
      <c r="B2964" s="15"/>
      <c r="C2964" s="3" t="s">
        <v>9</v>
      </c>
      <c r="D2964" s="7">
        <v>19.478000000000002</v>
      </c>
      <c r="E2964" s="15"/>
      <c r="F2964" s="15"/>
      <c r="G2964" s="15"/>
      <c r="H2964" s="15"/>
    </row>
    <row r="2965" spans="1:8" x14ac:dyDescent="0.3">
      <c r="A2965" s="15"/>
      <c r="B2965" s="15"/>
      <c r="C2965" s="8" t="s">
        <v>15</v>
      </c>
      <c r="D2965" s="2">
        <v>5.08</v>
      </c>
      <c r="E2965" s="15"/>
      <c r="F2965" s="15"/>
      <c r="G2965" s="15"/>
      <c r="H2965" s="15"/>
    </row>
    <row r="2966" spans="1:8" x14ac:dyDescent="0.3">
      <c r="A2966" s="16"/>
      <c r="B2966" s="16"/>
      <c r="C2966" s="3" t="s">
        <v>8</v>
      </c>
      <c r="D2966" s="2">
        <v>7.64</v>
      </c>
      <c r="E2966" s="16"/>
      <c r="F2966" s="16"/>
      <c r="G2966" s="16"/>
      <c r="H2966" s="16"/>
    </row>
    <row r="2967" spans="1:8" x14ac:dyDescent="0.3">
      <c r="A2967" s="18">
        <v>495</v>
      </c>
      <c r="B2967" s="20">
        <v>45776</v>
      </c>
      <c r="C2967" s="3" t="s">
        <v>18</v>
      </c>
      <c r="D2967" s="2">
        <v>14.72</v>
      </c>
      <c r="E2967" s="19">
        <f>SUM(D2967:D2972)</f>
        <v>180.047</v>
      </c>
      <c r="F2967" s="17">
        <f>INT(MAX(D2967:D2972))</f>
        <v>65</v>
      </c>
      <c r="G2967" s="14">
        <f>INT((F2967/10)*2)</f>
        <v>13</v>
      </c>
      <c r="H2967" s="14">
        <f>F2967-G2967</f>
        <v>52</v>
      </c>
    </row>
    <row r="2968" spans="1:8" x14ac:dyDescent="0.3">
      <c r="A2968" s="15"/>
      <c r="B2968" s="15"/>
      <c r="C2968" s="3" t="s">
        <v>17</v>
      </c>
      <c r="D2968" s="2">
        <v>10.68</v>
      </c>
      <c r="E2968" s="15"/>
      <c r="F2968" s="15"/>
      <c r="G2968" s="15"/>
      <c r="H2968" s="15"/>
    </row>
    <row r="2969" spans="1:8" x14ac:dyDescent="0.3">
      <c r="A2969" s="15"/>
      <c r="B2969" s="15"/>
      <c r="C2969" s="3" t="s">
        <v>10</v>
      </c>
      <c r="D2969" s="7">
        <v>24.021999999999998</v>
      </c>
      <c r="E2969" s="15"/>
      <c r="F2969" s="15"/>
      <c r="G2969" s="15"/>
      <c r="H2969" s="15"/>
    </row>
    <row r="2970" spans="1:8" x14ac:dyDescent="0.3">
      <c r="A2970" s="15"/>
      <c r="B2970" s="15"/>
      <c r="C2970" s="8" t="s">
        <v>12</v>
      </c>
      <c r="D2970" s="2">
        <v>30.19</v>
      </c>
      <c r="E2970" s="15"/>
      <c r="F2970" s="15"/>
      <c r="G2970" s="15"/>
      <c r="H2970" s="15"/>
    </row>
    <row r="2971" spans="1:8" x14ac:dyDescent="0.3">
      <c r="A2971" s="15"/>
      <c r="B2971" s="15"/>
      <c r="C2971" s="3" t="s">
        <v>14</v>
      </c>
      <c r="D2971" s="2">
        <v>34.86</v>
      </c>
      <c r="E2971" s="15"/>
      <c r="F2971" s="15"/>
      <c r="G2971" s="15"/>
      <c r="H2971" s="15"/>
    </row>
    <row r="2972" spans="1:8" x14ac:dyDescent="0.3">
      <c r="A2972" s="16"/>
      <c r="B2972" s="16"/>
      <c r="C2972" s="3" t="s">
        <v>11</v>
      </c>
      <c r="D2972" s="7">
        <v>65.575000000000003</v>
      </c>
      <c r="E2972" s="16"/>
      <c r="F2972" s="16"/>
      <c r="G2972" s="16"/>
      <c r="H2972" s="16"/>
    </row>
    <row r="2973" spans="1:8" x14ac:dyDescent="0.3">
      <c r="A2973" s="18">
        <v>496</v>
      </c>
      <c r="B2973" s="20">
        <v>45779</v>
      </c>
      <c r="C2973" s="8" t="s">
        <v>17</v>
      </c>
      <c r="D2973" s="2">
        <v>36.869999999999997</v>
      </c>
      <c r="E2973" s="19">
        <f>SUM(D2973:D2978)</f>
        <v>356.14100000000008</v>
      </c>
      <c r="F2973" s="17">
        <f>INT(MAX(D2973:D2978))</f>
        <v>140</v>
      </c>
      <c r="G2973" s="14">
        <f>INT((F2973/10)*2)</f>
        <v>28</v>
      </c>
      <c r="H2973" s="14">
        <f>F2973-G2973</f>
        <v>112</v>
      </c>
    </row>
    <row r="2974" spans="1:8" x14ac:dyDescent="0.3">
      <c r="A2974" s="15"/>
      <c r="B2974" s="15"/>
      <c r="C2974" s="3" t="s">
        <v>12</v>
      </c>
      <c r="D2974" s="2">
        <v>128.55000000000001</v>
      </c>
      <c r="E2974" s="15"/>
      <c r="F2974" s="15"/>
      <c r="G2974" s="15"/>
      <c r="H2974" s="15"/>
    </row>
    <row r="2975" spans="1:8" x14ac:dyDescent="0.3">
      <c r="A2975" s="15"/>
      <c r="B2975" s="15"/>
      <c r="C2975" s="3" t="s">
        <v>11</v>
      </c>
      <c r="D2975" s="2">
        <v>140</v>
      </c>
      <c r="E2975" s="15"/>
      <c r="F2975" s="15"/>
      <c r="G2975" s="15"/>
      <c r="H2975" s="15"/>
    </row>
    <row r="2976" spans="1:8" x14ac:dyDescent="0.3">
      <c r="A2976" s="15"/>
      <c r="B2976" s="15"/>
      <c r="C2976" s="3" t="s">
        <v>13</v>
      </c>
      <c r="D2976" s="7">
        <v>6.5209999999999999</v>
      </c>
      <c r="E2976" s="15"/>
      <c r="F2976" s="15"/>
      <c r="G2976" s="15"/>
      <c r="H2976" s="15"/>
    </row>
    <row r="2977" spans="1:8" x14ac:dyDescent="0.3">
      <c r="A2977" s="15"/>
      <c r="B2977" s="15"/>
      <c r="C2977" s="8" t="s">
        <v>12</v>
      </c>
      <c r="D2977" s="2">
        <v>12.29</v>
      </c>
      <c r="E2977" s="15"/>
      <c r="F2977" s="15"/>
      <c r="G2977" s="15"/>
      <c r="H2977" s="15"/>
    </row>
    <row r="2978" spans="1:8" x14ac:dyDescent="0.3">
      <c r="A2978" s="16"/>
      <c r="B2978" s="16"/>
      <c r="C2978" s="3" t="s">
        <v>10</v>
      </c>
      <c r="D2978" s="2">
        <v>31.91</v>
      </c>
      <c r="E2978" s="16"/>
      <c r="F2978" s="16"/>
      <c r="G2978" s="16"/>
      <c r="H2978" s="16"/>
    </row>
    <row r="2979" spans="1:8" x14ac:dyDescent="0.3">
      <c r="A2979" s="18">
        <v>497</v>
      </c>
      <c r="B2979" s="20">
        <v>45783</v>
      </c>
      <c r="C2979" s="3" t="s">
        <v>15</v>
      </c>
      <c r="D2979" s="2">
        <v>23.77</v>
      </c>
      <c r="E2979" s="19">
        <f>SUM(D2979:D2984)</f>
        <v>262.27300000000002</v>
      </c>
      <c r="F2979" s="17">
        <f>INT(MAX(D2979:D2984))</f>
        <v>69</v>
      </c>
      <c r="G2979" s="14">
        <f>INT((F2979/10)*2)</f>
        <v>13</v>
      </c>
      <c r="H2979" s="14">
        <f>F2979-G2979</f>
        <v>56</v>
      </c>
    </row>
    <row r="2980" spans="1:8" x14ac:dyDescent="0.3">
      <c r="A2980" s="15"/>
      <c r="B2980" s="15"/>
      <c r="C2980" s="3" t="s">
        <v>9</v>
      </c>
      <c r="D2980" s="2">
        <v>8.17</v>
      </c>
      <c r="E2980" s="15"/>
      <c r="F2980" s="15"/>
      <c r="G2980" s="15"/>
      <c r="H2980" s="15"/>
    </row>
    <row r="2981" spans="1:8" x14ac:dyDescent="0.3">
      <c r="A2981" s="15"/>
      <c r="B2981" s="15"/>
      <c r="C2981" s="3" t="s">
        <v>17</v>
      </c>
      <c r="D2981" s="7">
        <v>69.423000000000002</v>
      </c>
      <c r="E2981" s="15"/>
      <c r="F2981" s="15"/>
      <c r="G2981" s="15"/>
      <c r="H2981" s="15"/>
    </row>
    <row r="2982" spans="1:8" x14ac:dyDescent="0.3">
      <c r="A2982" s="15"/>
      <c r="B2982" s="15"/>
      <c r="C2982" s="8" t="s">
        <v>12</v>
      </c>
      <c r="D2982" s="2">
        <v>60.28</v>
      </c>
      <c r="E2982" s="15"/>
      <c r="F2982" s="15"/>
      <c r="G2982" s="15"/>
      <c r="H2982" s="15"/>
    </row>
    <row r="2983" spans="1:8" x14ac:dyDescent="0.3">
      <c r="A2983" s="15"/>
      <c r="B2983" s="15"/>
      <c r="C2983" s="3" t="s">
        <v>14</v>
      </c>
      <c r="D2983" s="2">
        <v>66.5</v>
      </c>
      <c r="E2983" s="15"/>
      <c r="F2983" s="15"/>
      <c r="G2983" s="15"/>
      <c r="H2983" s="15"/>
    </row>
    <row r="2984" spans="1:8" x14ac:dyDescent="0.3">
      <c r="A2984" s="16"/>
      <c r="B2984" s="16"/>
      <c r="C2984" s="3" t="s">
        <v>16</v>
      </c>
      <c r="D2984" s="2">
        <v>34.130000000000003</v>
      </c>
      <c r="E2984" s="16"/>
      <c r="F2984" s="16"/>
      <c r="G2984" s="16"/>
      <c r="H2984" s="16"/>
    </row>
    <row r="2985" spans="1:8" x14ac:dyDescent="0.3">
      <c r="A2985" s="18">
        <v>498</v>
      </c>
      <c r="B2985" s="20">
        <v>45786</v>
      </c>
      <c r="C2985" s="3" t="s">
        <v>15</v>
      </c>
      <c r="D2985" s="2">
        <v>33.799999999999997</v>
      </c>
      <c r="E2985" s="19">
        <f>SUM(D2985:D2990)</f>
        <v>132.464</v>
      </c>
      <c r="F2985" s="17">
        <f>INT(MAX(D2985:D2990))</f>
        <v>43</v>
      </c>
      <c r="G2985" s="14">
        <f>INT((F2985/10)*2)</f>
        <v>8</v>
      </c>
      <c r="H2985" s="14">
        <f>F2985-G2985</f>
        <v>35</v>
      </c>
    </row>
    <row r="2986" spans="1:8" x14ac:dyDescent="0.3">
      <c r="A2986" s="15"/>
      <c r="B2986" s="15"/>
      <c r="C2986" s="3" t="s">
        <v>8</v>
      </c>
      <c r="D2986" s="7">
        <v>14.513999999999999</v>
      </c>
      <c r="E2986" s="15"/>
      <c r="F2986" s="15"/>
      <c r="G2986" s="15"/>
      <c r="H2986" s="15"/>
    </row>
    <row r="2987" spans="1:8" x14ac:dyDescent="0.3">
      <c r="A2987" s="15"/>
      <c r="B2987" s="15"/>
      <c r="C2987" s="8" t="s">
        <v>12</v>
      </c>
      <c r="D2987" s="2">
        <v>10.8</v>
      </c>
      <c r="E2987" s="15"/>
      <c r="F2987" s="15"/>
      <c r="G2987" s="15"/>
      <c r="H2987" s="15"/>
    </row>
    <row r="2988" spans="1:8" x14ac:dyDescent="0.3">
      <c r="A2988" s="15"/>
      <c r="B2988" s="15"/>
      <c r="C2988" s="3" t="s">
        <v>16</v>
      </c>
      <c r="D2988" s="2">
        <v>43.26</v>
      </c>
      <c r="E2988" s="15"/>
      <c r="F2988" s="15"/>
      <c r="G2988" s="15"/>
      <c r="H2988" s="15"/>
    </row>
    <row r="2989" spans="1:8" x14ac:dyDescent="0.3">
      <c r="A2989" s="15"/>
      <c r="B2989" s="15"/>
      <c r="C2989" s="3" t="s">
        <v>11</v>
      </c>
      <c r="D2989" s="2">
        <v>23.4</v>
      </c>
      <c r="E2989" s="15"/>
      <c r="F2989" s="15"/>
      <c r="G2989" s="15"/>
      <c r="H2989" s="15"/>
    </row>
    <row r="2990" spans="1:8" x14ac:dyDescent="0.3">
      <c r="A2990" s="16"/>
      <c r="B2990" s="16"/>
      <c r="C2990" s="3" t="s">
        <v>15</v>
      </c>
      <c r="D2990" s="2">
        <v>6.69</v>
      </c>
      <c r="E2990" s="16"/>
      <c r="F2990" s="16"/>
      <c r="G2990" s="16"/>
      <c r="H2990" s="16"/>
    </row>
    <row r="2991" spans="1:8" x14ac:dyDescent="0.3">
      <c r="A2991" s="18">
        <v>499</v>
      </c>
      <c r="B2991" s="20">
        <v>45790</v>
      </c>
      <c r="C2991" s="3" t="s">
        <v>18</v>
      </c>
      <c r="D2991" s="2">
        <v>11.59</v>
      </c>
      <c r="E2991" s="19">
        <f>SUM(D2991:D2996)</f>
        <v>105.032</v>
      </c>
      <c r="F2991" s="17">
        <f>INT(MAX(D2991:D2996))</f>
        <v>46</v>
      </c>
      <c r="G2991" s="14">
        <f>INT((F2991/10)*2)</f>
        <v>9</v>
      </c>
      <c r="H2991" s="14">
        <f>F2991-G2991</f>
        <v>37</v>
      </c>
    </row>
    <row r="2992" spans="1:8" x14ac:dyDescent="0.3">
      <c r="A2992" s="15"/>
      <c r="B2992" s="15"/>
      <c r="C2992" s="3" t="s">
        <v>17</v>
      </c>
      <c r="D2992" s="7">
        <v>8.8460000000000001</v>
      </c>
      <c r="E2992" s="15"/>
      <c r="F2992" s="15"/>
      <c r="G2992" s="15"/>
      <c r="H2992" s="15"/>
    </row>
    <row r="2993" spans="1:8" x14ac:dyDescent="0.3">
      <c r="A2993" s="15"/>
      <c r="B2993" s="15"/>
      <c r="C2993" s="8" t="s">
        <v>18</v>
      </c>
      <c r="D2993" s="2">
        <v>16.37</v>
      </c>
      <c r="E2993" s="15"/>
      <c r="F2993" s="15"/>
      <c r="G2993" s="15"/>
      <c r="H2993" s="15"/>
    </row>
    <row r="2994" spans="1:8" x14ac:dyDescent="0.3">
      <c r="A2994" s="15"/>
      <c r="B2994" s="15"/>
      <c r="C2994" s="3" t="s">
        <v>16</v>
      </c>
      <c r="D2994" s="2">
        <v>5.28</v>
      </c>
      <c r="E2994" s="15"/>
      <c r="F2994" s="15"/>
      <c r="G2994" s="15"/>
      <c r="H2994" s="15"/>
    </row>
    <row r="2995" spans="1:8" x14ac:dyDescent="0.3">
      <c r="A2995" s="15"/>
      <c r="B2995" s="15"/>
      <c r="C2995" s="3" t="s">
        <v>17</v>
      </c>
      <c r="D2995" s="7">
        <v>46.936</v>
      </c>
      <c r="E2995" s="15"/>
      <c r="F2995" s="15"/>
      <c r="G2995" s="15"/>
      <c r="H2995" s="15"/>
    </row>
    <row r="2996" spans="1:8" x14ac:dyDescent="0.3">
      <c r="A2996" s="16"/>
      <c r="B2996" s="16"/>
      <c r="C2996" s="8" t="s">
        <v>11</v>
      </c>
      <c r="D2996" s="2">
        <v>16.010000000000002</v>
      </c>
      <c r="E2996" s="16"/>
      <c r="F2996" s="16"/>
      <c r="G2996" s="16"/>
      <c r="H2996" s="16"/>
    </row>
    <row r="2997" spans="1:8" x14ac:dyDescent="0.3">
      <c r="A2997" s="18">
        <v>500</v>
      </c>
      <c r="B2997" s="20">
        <v>45793</v>
      </c>
      <c r="C2997" s="3" t="s">
        <v>16</v>
      </c>
      <c r="D2997" s="2">
        <v>12.07</v>
      </c>
      <c r="E2997" s="19">
        <f>SUM(D2997:D3002)</f>
        <v>154.41499999999999</v>
      </c>
      <c r="F2997" s="17">
        <f>INT(MAX(D2997:D3002))</f>
        <v>62</v>
      </c>
      <c r="G2997" s="14">
        <f>INT((F2997/10)*2)</f>
        <v>12</v>
      </c>
      <c r="H2997" s="14">
        <f>F2997-G2997</f>
        <v>50</v>
      </c>
    </row>
    <row r="2998" spans="1:8" x14ac:dyDescent="0.3">
      <c r="A2998" s="15"/>
      <c r="B2998" s="15"/>
      <c r="C2998" s="3" t="s">
        <v>12</v>
      </c>
      <c r="D2998" s="2">
        <v>10.14</v>
      </c>
      <c r="E2998" s="15"/>
      <c r="F2998" s="15"/>
      <c r="G2998" s="15"/>
      <c r="H2998" s="15"/>
    </row>
    <row r="2999" spans="1:8" x14ac:dyDescent="0.3">
      <c r="A2999" s="15"/>
      <c r="B2999" s="15"/>
      <c r="C2999" s="3" t="s">
        <v>8</v>
      </c>
      <c r="D2999" s="2">
        <v>14.34</v>
      </c>
      <c r="E2999" s="15"/>
      <c r="F2999" s="15"/>
      <c r="G2999" s="15"/>
      <c r="H2999" s="15"/>
    </row>
    <row r="3000" spans="1:8" x14ac:dyDescent="0.3">
      <c r="A3000" s="15"/>
      <c r="B3000" s="15"/>
      <c r="C3000" s="3" t="s">
        <v>15</v>
      </c>
      <c r="D3000" s="2">
        <v>15.65</v>
      </c>
      <c r="E3000" s="15"/>
      <c r="F3000" s="15"/>
      <c r="G3000" s="15"/>
      <c r="H3000" s="15"/>
    </row>
    <row r="3001" spans="1:8" x14ac:dyDescent="0.3">
      <c r="A3001" s="15"/>
      <c r="B3001" s="15"/>
      <c r="C3001" s="3" t="s">
        <v>14</v>
      </c>
      <c r="D3001" s="7">
        <v>62.945</v>
      </c>
      <c r="E3001" s="15"/>
      <c r="F3001" s="15"/>
      <c r="G3001" s="15"/>
      <c r="H3001" s="15"/>
    </row>
    <row r="3002" spans="1:8" x14ac:dyDescent="0.3">
      <c r="A3002" s="16"/>
      <c r="B3002" s="16"/>
      <c r="C3002" s="8" t="s">
        <v>13</v>
      </c>
      <c r="D3002" s="2">
        <v>39.270000000000003</v>
      </c>
      <c r="E3002" s="16"/>
      <c r="F3002" s="16"/>
      <c r="G3002" s="16"/>
      <c r="H3002" s="16"/>
    </row>
    <row r="3003" spans="1:8" x14ac:dyDescent="0.3">
      <c r="A3003" s="18">
        <v>501</v>
      </c>
      <c r="B3003" s="20">
        <v>45797</v>
      </c>
      <c r="C3003" s="3" t="s">
        <v>14</v>
      </c>
      <c r="D3003" s="2">
        <v>17.260000000000002</v>
      </c>
      <c r="E3003" s="19">
        <f>SUM(D3003:D3008)</f>
        <v>305.56200000000001</v>
      </c>
      <c r="F3003" s="17">
        <f>INT(MAX(D3003:D3008))</f>
        <v>127</v>
      </c>
      <c r="G3003" s="14">
        <f>INT((F3003/10)*2)</f>
        <v>25</v>
      </c>
      <c r="H3003" s="14">
        <f>F3003-G3003</f>
        <v>102</v>
      </c>
    </row>
    <row r="3004" spans="1:8" x14ac:dyDescent="0.3">
      <c r="A3004" s="15"/>
      <c r="B3004" s="15"/>
      <c r="C3004" s="3" t="s">
        <v>9</v>
      </c>
      <c r="D3004" s="7">
        <v>37.905000000000001</v>
      </c>
      <c r="E3004" s="15"/>
      <c r="F3004" s="15"/>
      <c r="G3004" s="15"/>
      <c r="H3004" s="15"/>
    </row>
    <row r="3005" spans="1:8" x14ac:dyDescent="0.3">
      <c r="A3005" s="15"/>
      <c r="B3005" s="15"/>
      <c r="C3005" s="8" t="s">
        <v>9</v>
      </c>
      <c r="D3005" s="2">
        <v>127.95</v>
      </c>
      <c r="E3005" s="15"/>
      <c r="F3005" s="15"/>
      <c r="G3005" s="15"/>
      <c r="H3005" s="15"/>
    </row>
    <row r="3006" spans="1:8" x14ac:dyDescent="0.3">
      <c r="A3006" s="15"/>
      <c r="B3006" s="15"/>
      <c r="C3006" s="3" t="s">
        <v>11</v>
      </c>
      <c r="D3006" s="2">
        <v>78.81</v>
      </c>
      <c r="E3006" s="15"/>
      <c r="F3006" s="15"/>
      <c r="G3006" s="15"/>
      <c r="H3006" s="15"/>
    </row>
    <row r="3007" spans="1:8" x14ac:dyDescent="0.3">
      <c r="A3007" s="15"/>
      <c r="B3007" s="15"/>
      <c r="C3007" s="3" t="s">
        <v>15</v>
      </c>
      <c r="D3007" s="2">
        <v>16.510000000000002</v>
      </c>
      <c r="E3007" s="15"/>
      <c r="F3007" s="15"/>
      <c r="G3007" s="15"/>
      <c r="H3007" s="15"/>
    </row>
    <row r="3008" spans="1:8" x14ac:dyDescent="0.3">
      <c r="A3008" s="16"/>
      <c r="B3008" s="16"/>
      <c r="C3008" s="3" t="s">
        <v>17</v>
      </c>
      <c r="D3008" s="7">
        <v>27.126999999999999</v>
      </c>
      <c r="E3008" s="16"/>
      <c r="F3008" s="16"/>
      <c r="G3008" s="16"/>
      <c r="H3008" s="16"/>
    </row>
    <row r="3009" spans="1:8" x14ac:dyDescent="0.3">
      <c r="A3009" s="18">
        <v>502</v>
      </c>
      <c r="B3009" s="20">
        <v>45800</v>
      </c>
      <c r="C3009" s="8" t="s">
        <v>17</v>
      </c>
      <c r="D3009" s="2">
        <v>12.44</v>
      </c>
      <c r="E3009" s="19">
        <f>SUM(D3009:D3014)</f>
        <v>231.37599999999998</v>
      </c>
      <c r="F3009" s="17">
        <f>INT(MAX(D3009:D3014))</f>
        <v>112</v>
      </c>
      <c r="G3009" s="14">
        <f>INT((F3009/10)*2)</f>
        <v>22</v>
      </c>
      <c r="H3009" s="14">
        <f>F3009-G3009</f>
        <v>90</v>
      </c>
    </row>
    <row r="3010" spans="1:8" x14ac:dyDescent="0.3">
      <c r="A3010" s="15"/>
      <c r="B3010" s="15"/>
      <c r="C3010" s="3" t="s">
        <v>9</v>
      </c>
      <c r="D3010" s="2">
        <v>45.53</v>
      </c>
      <c r="E3010" s="15"/>
      <c r="F3010" s="15"/>
      <c r="G3010" s="15"/>
      <c r="H3010" s="15"/>
    </row>
    <row r="3011" spans="1:8" x14ac:dyDescent="0.3">
      <c r="A3011" s="15"/>
      <c r="B3011" s="15"/>
      <c r="C3011" s="3" t="s">
        <v>15</v>
      </c>
      <c r="D3011" s="7">
        <v>12.989000000000001</v>
      </c>
      <c r="E3011" s="15"/>
      <c r="F3011" s="15"/>
      <c r="G3011" s="15"/>
      <c r="H3011" s="15"/>
    </row>
    <row r="3012" spans="1:8" x14ac:dyDescent="0.3">
      <c r="A3012" s="15"/>
      <c r="B3012" s="15"/>
      <c r="C3012" s="8" t="s">
        <v>10</v>
      </c>
      <c r="D3012" s="2">
        <v>25.17</v>
      </c>
      <c r="E3012" s="15"/>
      <c r="F3012" s="15"/>
      <c r="G3012" s="15"/>
      <c r="H3012" s="15"/>
    </row>
    <row r="3013" spans="1:8" x14ac:dyDescent="0.3">
      <c r="A3013" s="15"/>
      <c r="B3013" s="15"/>
      <c r="C3013" s="3" t="s">
        <v>14</v>
      </c>
      <c r="D3013" s="2">
        <v>112.1</v>
      </c>
      <c r="E3013" s="15"/>
      <c r="F3013" s="15"/>
      <c r="G3013" s="15"/>
      <c r="H3013" s="15"/>
    </row>
    <row r="3014" spans="1:8" x14ac:dyDescent="0.3">
      <c r="A3014" s="16"/>
      <c r="B3014" s="16"/>
      <c r="C3014" s="3" t="s">
        <v>13</v>
      </c>
      <c r="D3014" s="7">
        <v>23.146999999999998</v>
      </c>
      <c r="E3014" s="16"/>
      <c r="F3014" s="16"/>
      <c r="G3014" s="16"/>
      <c r="H3014" s="16"/>
    </row>
    <row r="3015" spans="1:8" x14ac:dyDescent="0.3">
      <c r="A3015" s="18">
        <v>503</v>
      </c>
      <c r="B3015" s="20">
        <v>45804</v>
      </c>
      <c r="C3015" s="8" t="s">
        <v>15</v>
      </c>
      <c r="D3015" s="2">
        <v>9.2100000000000009</v>
      </c>
      <c r="E3015" s="19">
        <f>SUM(D3015:D3020)</f>
        <v>130.30600000000001</v>
      </c>
      <c r="F3015" s="17">
        <f>INT(MAX(D3015:D3020))</f>
        <v>46</v>
      </c>
      <c r="G3015" s="14">
        <f>INT((F3015/10)*2)</f>
        <v>9</v>
      </c>
      <c r="H3015" s="14">
        <f>F3015-G3015</f>
        <v>37</v>
      </c>
    </row>
    <row r="3016" spans="1:8" x14ac:dyDescent="0.3">
      <c r="A3016" s="15"/>
      <c r="B3016" s="15"/>
      <c r="C3016" s="3" t="s">
        <v>8</v>
      </c>
      <c r="D3016" s="2">
        <v>5.44</v>
      </c>
      <c r="E3016" s="15"/>
      <c r="F3016" s="15"/>
      <c r="G3016" s="15"/>
      <c r="H3016" s="15"/>
    </row>
    <row r="3017" spans="1:8" x14ac:dyDescent="0.3">
      <c r="A3017" s="15"/>
      <c r="B3017" s="15"/>
      <c r="C3017" s="3" t="s">
        <v>14</v>
      </c>
      <c r="D3017" s="2">
        <v>7.91</v>
      </c>
      <c r="E3017" s="15"/>
      <c r="F3017" s="15"/>
      <c r="G3017" s="15"/>
      <c r="H3017" s="15"/>
    </row>
    <row r="3018" spans="1:8" x14ac:dyDescent="0.3">
      <c r="A3018" s="15"/>
      <c r="B3018" s="15"/>
      <c r="C3018" s="3" t="s">
        <v>9</v>
      </c>
      <c r="D3018" s="7">
        <v>46.155999999999999</v>
      </c>
      <c r="E3018" s="15"/>
      <c r="F3018" s="15"/>
      <c r="G3018" s="15"/>
      <c r="H3018" s="15"/>
    </row>
    <row r="3019" spans="1:8" x14ac:dyDescent="0.3">
      <c r="A3019" s="15"/>
      <c r="B3019" s="15"/>
      <c r="C3019" s="8" t="s">
        <v>14</v>
      </c>
      <c r="D3019" s="2">
        <v>28.08</v>
      </c>
      <c r="E3019" s="15"/>
      <c r="F3019" s="15"/>
      <c r="G3019" s="15"/>
      <c r="H3019" s="15"/>
    </row>
    <row r="3020" spans="1:8" x14ac:dyDescent="0.3">
      <c r="A3020" s="16"/>
      <c r="B3020" s="16"/>
      <c r="C3020" s="3" t="s">
        <v>16</v>
      </c>
      <c r="D3020" s="2">
        <v>33.51</v>
      </c>
      <c r="E3020" s="16"/>
      <c r="F3020" s="16"/>
      <c r="G3020" s="16"/>
      <c r="H3020" s="16"/>
    </row>
    <row r="3021" spans="1:8" x14ac:dyDescent="0.3">
      <c r="A3021" s="18">
        <v>504</v>
      </c>
      <c r="B3021" s="20">
        <v>45807</v>
      </c>
      <c r="C3021" s="3" t="s">
        <v>11</v>
      </c>
      <c r="D3021" s="2">
        <v>39.75</v>
      </c>
      <c r="E3021" s="19">
        <f>SUM(D3021:D3026)</f>
        <v>110.30600000000001</v>
      </c>
      <c r="F3021" s="17">
        <f>INT(MAX(D3021:D3026))</f>
        <v>39</v>
      </c>
      <c r="G3021" s="14">
        <f>INT((F3021/10)*2)</f>
        <v>7</v>
      </c>
      <c r="H3021" s="14">
        <f>F3021-G3021</f>
        <v>32</v>
      </c>
    </row>
    <row r="3022" spans="1:8" x14ac:dyDescent="0.3">
      <c r="A3022" s="15"/>
      <c r="B3022" s="15"/>
      <c r="C3022" s="3" t="s">
        <v>9</v>
      </c>
      <c r="D3022" s="2">
        <v>10.050000000000001</v>
      </c>
      <c r="E3022" s="15"/>
      <c r="F3022" s="15"/>
      <c r="G3022" s="15"/>
      <c r="H3022" s="15"/>
    </row>
    <row r="3023" spans="1:8" x14ac:dyDescent="0.3">
      <c r="A3023" s="15"/>
      <c r="B3023" s="15"/>
      <c r="C3023" s="3" t="s">
        <v>12</v>
      </c>
      <c r="D3023" s="7">
        <v>19.315999999999999</v>
      </c>
      <c r="E3023" s="15"/>
      <c r="F3023" s="15"/>
      <c r="G3023" s="15"/>
      <c r="H3023" s="15"/>
    </row>
    <row r="3024" spans="1:8" x14ac:dyDescent="0.3">
      <c r="A3024" s="15"/>
      <c r="B3024" s="15"/>
      <c r="C3024" s="8" t="s">
        <v>9</v>
      </c>
      <c r="D3024" s="2">
        <v>13.95</v>
      </c>
      <c r="E3024" s="15"/>
      <c r="F3024" s="15"/>
      <c r="G3024" s="15"/>
      <c r="H3024" s="15"/>
    </row>
    <row r="3025" spans="1:8" x14ac:dyDescent="0.3">
      <c r="A3025" s="15"/>
      <c r="B3025" s="15"/>
      <c r="C3025" s="3" t="s">
        <v>11</v>
      </c>
      <c r="D3025" s="2">
        <v>4.6399999999999997</v>
      </c>
      <c r="E3025" s="15"/>
      <c r="F3025" s="15"/>
      <c r="G3025" s="15"/>
      <c r="H3025" s="15"/>
    </row>
    <row r="3026" spans="1:8" x14ac:dyDescent="0.3">
      <c r="A3026" s="16"/>
      <c r="B3026" s="16"/>
      <c r="C3026" s="3" t="s">
        <v>10</v>
      </c>
      <c r="D3026" s="2">
        <v>22.6</v>
      </c>
      <c r="E3026" s="16"/>
      <c r="F3026" s="16"/>
      <c r="G3026" s="16"/>
      <c r="H3026" s="16"/>
    </row>
    <row r="3027" spans="1:8" x14ac:dyDescent="0.3">
      <c r="A3027" s="18">
        <v>505</v>
      </c>
      <c r="B3027" s="20">
        <v>45811</v>
      </c>
      <c r="C3027" s="3" t="s">
        <v>13</v>
      </c>
      <c r="D3027" s="2">
        <v>13.55</v>
      </c>
      <c r="E3027" s="19">
        <f>SUM(D3027:D3032)</f>
        <v>223.65300000000002</v>
      </c>
      <c r="F3027" s="17">
        <f>INT(MAX(D3027:D3032))</f>
        <v>70</v>
      </c>
      <c r="G3027" s="14">
        <f>INT((F3027/10)*2)</f>
        <v>14</v>
      </c>
      <c r="H3027" s="14">
        <f>F3027-G3027</f>
        <v>56</v>
      </c>
    </row>
    <row r="3028" spans="1:8" x14ac:dyDescent="0.3">
      <c r="A3028" s="15"/>
      <c r="B3028" s="15"/>
      <c r="C3028" s="3" t="s">
        <v>16</v>
      </c>
      <c r="D3028" s="7">
        <v>34.904000000000003</v>
      </c>
      <c r="E3028" s="15"/>
      <c r="F3028" s="15"/>
      <c r="G3028" s="15"/>
      <c r="H3028" s="15"/>
    </row>
    <row r="3029" spans="1:8" x14ac:dyDescent="0.3">
      <c r="A3029" s="15"/>
      <c r="B3029" s="15"/>
      <c r="C3029" s="8" t="s">
        <v>12</v>
      </c>
      <c r="D3029" s="2">
        <v>22.78</v>
      </c>
      <c r="E3029" s="15"/>
      <c r="F3029" s="15"/>
      <c r="G3029" s="15"/>
      <c r="H3029" s="15"/>
    </row>
    <row r="3030" spans="1:8" x14ac:dyDescent="0.3">
      <c r="A3030" s="15"/>
      <c r="B3030" s="15"/>
      <c r="C3030" s="3" t="s">
        <v>18</v>
      </c>
      <c r="D3030" s="2">
        <v>70.53</v>
      </c>
      <c r="E3030" s="15"/>
      <c r="F3030" s="15"/>
      <c r="G3030" s="15"/>
      <c r="H3030" s="15"/>
    </row>
    <row r="3031" spans="1:8" x14ac:dyDescent="0.3">
      <c r="A3031" s="15"/>
      <c r="B3031" s="15"/>
      <c r="C3031" s="3" t="s">
        <v>15</v>
      </c>
      <c r="D3031" s="2">
        <v>70.11</v>
      </c>
      <c r="E3031" s="15"/>
      <c r="F3031" s="15"/>
      <c r="G3031" s="15"/>
      <c r="H3031" s="15"/>
    </row>
    <row r="3032" spans="1:8" x14ac:dyDescent="0.3">
      <c r="A3032" s="16"/>
      <c r="B3032" s="16"/>
      <c r="C3032" s="3" t="s">
        <v>11</v>
      </c>
      <c r="D3032" s="7">
        <v>11.779</v>
      </c>
      <c r="E3032" s="16"/>
      <c r="F3032" s="16"/>
      <c r="G3032" s="16"/>
      <c r="H3032" s="16"/>
    </row>
    <row r="3033" spans="1:8" x14ac:dyDescent="0.3">
      <c r="A3033" s="18">
        <v>506</v>
      </c>
      <c r="B3033" s="20">
        <v>45814</v>
      </c>
      <c r="C3033" s="8" t="s">
        <v>18</v>
      </c>
      <c r="D3033" s="2">
        <v>28.81</v>
      </c>
      <c r="E3033" s="19">
        <f>SUM(D3033:D3038)</f>
        <v>247.15500000000003</v>
      </c>
      <c r="F3033" s="17">
        <f>INT(MAX(D3033:D3038))</f>
        <v>58</v>
      </c>
      <c r="G3033" s="14">
        <f>INT((F3033/10)*2)</f>
        <v>11</v>
      </c>
      <c r="H3033" s="14">
        <f>F3033-G3033</f>
        <v>47</v>
      </c>
    </row>
    <row r="3034" spans="1:8" x14ac:dyDescent="0.3">
      <c r="A3034" s="15"/>
      <c r="B3034" s="15"/>
      <c r="C3034" s="3" t="s">
        <v>12</v>
      </c>
      <c r="D3034" s="2">
        <v>50.1</v>
      </c>
      <c r="E3034" s="15"/>
      <c r="F3034" s="15"/>
      <c r="G3034" s="15"/>
      <c r="H3034" s="15"/>
    </row>
    <row r="3035" spans="1:8" x14ac:dyDescent="0.3">
      <c r="A3035" s="15"/>
      <c r="B3035" s="15"/>
      <c r="C3035" s="3" t="s">
        <v>15</v>
      </c>
      <c r="D3035" s="7">
        <v>37.155000000000001</v>
      </c>
      <c r="E3035" s="15"/>
      <c r="F3035" s="15"/>
      <c r="G3035" s="15"/>
      <c r="H3035" s="15"/>
    </row>
    <row r="3036" spans="1:8" x14ac:dyDescent="0.3">
      <c r="A3036" s="15"/>
      <c r="B3036" s="15"/>
      <c r="C3036" s="8" t="s">
        <v>17</v>
      </c>
      <c r="D3036" s="2">
        <v>22.31</v>
      </c>
      <c r="E3036" s="15"/>
      <c r="F3036" s="15"/>
      <c r="G3036" s="15"/>
      <c r="H3036" s="15"/>
    </row>
    <row r="3037" spans="1:8" x14ac:dyDescent="0.3">
      <c r="A3037" s="15"/>
      <c r="B3037" s="15"/>
      <c r="C3037" s="3" t="s">
        <v>10</v>
      </c>
      <c r="D3037" s="2">
        <v>58.86</v>
      </c>
      <c r="E3037" s="15"/>
      <c r="F3037" s="15"/>
      <c r="G3037" s="15"/>
      <c r="H3037" s="15"/>
    </row>
    <row r="3038" spans="1:8" x14ac:dyDescent="0.3">
      <c r="A3038" s="16"/>
      <c r="B3038" s="16"/>
      <c r="C3038" s="3" t="s">
        <v>13</v>
      </c>
      <c r="D3038" s="2">
        <v>49.92</v>
      </c>
      <c r="E3038" s="16"/>
      <c r="F3038" s="16"/>
      <c r="G3038" s="16"/>
      <c r="H3038" s="16"/>
    </row>
    <row r="3039" spans="1:8" x14ac:dyDescent="0.3">
      <c r="A3039" s="18">
        <v>507</v>
      </c>
      <c r="B3039" s="20">
        <v>45818</v>
      </c>
      <c r="C3039" s="3" t="s">
        <v>15</v>
      </c>
      <c r="D3039" s="2">
        <v>118.34</v>
      </c>
      <c r="E3039" s="19">
        <f>SUM(D3039:D3044)</f>
        <v>186.78200000000001</v>
      </c>
      <c r="F3039" s="17">
        <f>INT(MAX(D3039:D3044))</f>
        <v>118</v>
      </c>
      <c r="G3039" s="14">
        <f>INT((F3039/10)*2)</f>
        <v>23</v>
      </c>
      <c r="H3039" s="14">
        <f>F3039-G3039</f>
        <v>95</v>
      </c>
    </row>
    <row r="3040" spans="1:8" x14ac:dyDescent="0.3">
      <c r="A3040" s="15"/>
      <c r="B3040" s="15"/>
      <c r="C3040" s="3" t="s">
        <v>11</v>
      </c>
      <c r="D3040" s="7">
        <v>12.262</v>
      </c>
      <c r="E3040" s="15"/>
      <c r="F3040" s="15"/>
      <c r="G3040" s="15"/>
      <c r="H3040" s="15"/>
    </row>
    <row r="3041" spans="1:8" x14ac:dyDescent="0.3">
      <c r="A3041" s="15"/>
      <c r="B3041" s="15"/>
      <c r="C3041" s="8" t="s">
        <v>8</v>
      </c>
      <c r="D3041" s="2">
        <v>8.7799999999999994</v>
      </c>
      <c r="E3041" s="15"/>
      <c r="F3041" s="15"/>
      <c r="G3041" s="15"/>
      <c r="H3041" s="15"/>
    </row>
    <row r="3042" spans="1:8" x14ac:dyDescent="0.3">
      <c r="A3042" s="15"/>
      <c r="B3042" s="15"/>
      <c r="C3042" s="3" t="s">
        <v>9</v>
      </c>
      <c r="D3042" s="2">
        <v>3.02</v>
      </c>
      <c r="E3042" s="15"/>
      <c r="F3042" s="15"/>
      <c r="G3042" s="15"/>
      <c r="H3042" s="15"/>
    </row>
    <row r="3043" spans="1:8" x14ac:dyDescent="0.3">
      <c r="A3043" s="15"/>
      <c r="B3043" s="15"/>
      <c r="C3043" s="3" t="s">
        <v>18</v>
      </c>
      <c r="D3043" s="2">
        <v>15.35</v>
      </c>
      <c r="E3043" s="15"/>
      <c r="F3043" s="15"/>
      <c r="G3043" s="15"/>
      <c r="H3043" s="15"/>
    </row>
    <row r="3044" spans="1:8" x14ac:dyDescent="0.3">
      <c r="A3044" s="16"/>
      <c r="B3044" s="16"/>
      <c r="C3044" s="3" t="s">
        <v>16</v>
      </c>
      <c r="D3044" s="2">
        <v>29.03</v>
      </c>
      <c r="E3044" s="16"/>
      <c r="F3044" s="16"/>
      <c r="G3044" s="16"/>
      <c r="H3044" s="16"/>
    </row>
    <row r="3045" spans="1:8" x14ac:dyDescent="0.3">
      <c r="A3045" s="18">
        <v>508</v>
      </c>
      <c r="B3045" s="20">
        <v>45821</v>
      </c>
      <c r="C3045" s="3" t="s">
        <v>11</v>
      </c>
      <c r="D3045" s="2">
        <v>9.2899999999999991</v>
      </c>
      <c r="E3045" s="19">
        <f>SUM(D3045:D3050)</f>
        <v>64.981000000000009</v>
      </c>
      <c r="F3045" s="17">
        <f>INT(MAX(D3045:D3050))</f>
        <v>21</v>
      </c>
      <c r="G3045" s="14">
        <f>INT((F3045/10)*2)</f>
        <v>4</v>
      </c>
      <c r="H3045" s="14">
        <f>F3045-G3045</f>
        <v>17</v>
      </c>
    </row>
    <row r="3046" spans="1:8" x14ac:dyDescent="0.3">
      <c r="A3046" s="15"/>
      <c r="B3046" s="15"/>
      <c r="C3046" s="3" t="s">
        <v>10</v>
      </c>
      <c r="D3046" s="7">
        <v>10.510999999999999</v>
      </c>
      <c r="E3046" s="15"/>
      <c r="F3046" s="15"/>
      <c r="G3046" s="15"/>
      <c r="H3046" s="15"/>
    </row>
    <row r="3047" spans="1:8" x14ac:dyDescent="0.3">
      <c r="A3047" s="15"/>
      <c r="B3047" s="15"/>
      <c r="C3047" s="8" t="s">
        <v>11</v>
      </c>
      <c r="D3047" s="2">
        <v>21.03</v>
      </c>
      <c r="E3047" s="15"/>
      <c r="F3047" s="15"/>
      <c r="G3047" s="15"/>
      <c r="H3047" s="15"/>
    </row>
    <row r="3048" spans="1:8" x14ac:dyDescent="0.3">
      <c r="A3048" s="15"/>
      <c r="B3048" s="15"/>
      <c r="C3048" s="3" t="s">
        <v>15</v>
      </c>
      <c r="D3048" s="2">
        <v>5.31</v>
      </c>
      <c r="E3048" s="15"/>
      <c r="F3048" s="15"/>
      <c r="G3048" s="15"/>
      <c r="H3048" s="15"/>
    </row>
    <row r="3049" spans="1:8" x14ac:dyDescent="0.3">
      <c r="A3049" s="15"/>
      <c r="B3049" s="15"/>
      <c r="C3049" s="3" t="s">
        <v>17</v>
      </c>
      <c r="D3049" s="2">
        <v>5.46</v>
      </c>
      <c r="E3049" s="15"/>
      <c r="F3049" s="15"/>
      <c r="G3049" s="15"/>
      <c r="H3049" s="15"/>
    </row>
    <row r="3050" spans="1:8" x14ac:dyDescent="0.3">
      <c r="A3050" s="16"/>
      <c r="B3050" s="16"/>
      <c r="C3050" s="3" t="s">
        <v>18</v>
      </c>
      <c r="D3050" s="2">
        <v>13.38</v>
      </c>
      <c r="E3050" s="16"/>
      <c r="F3050" s="16"/>
      <c r="G3050" s="16"/>
      <c r="H3050" s="16"/>
    </row>
    <row r="3051" spans="1:8" x14ac:dyDescent="0.3">
      <c r="A3051" s="18">
        <v>509</v>
      </c>
      <c r="B3051" s="20">
        <v>45825</v>
      </c>
      <c r="C3051" s="3" t="s">
        <v>12</v>
      </c>
      <c r="D3051" s="2">
        <v>17.2</v>
      </c>
      <c r="E3051" s="19">
        <f>SUM(D3051:D3056)</f>
        <v>91.353999999999985</v>
      </c>
      <c r="F3051" s="17">
        <f>INT(MAX(D3051:D3056))</f>
        <v>26</v>
      </c>
      <c r="G3051" s="14">
        <f>INT((F3051/10)*2)</f>
        <v>5</v>
      </c>
      <c r="H3051" s="14">
        <f>F3051-G3051</f>
        <v>21</v>
      </c>
    </row>
    <row r="3052" spans="1:8" x14ac:dyDescent="0.3">
      <c r="A3052" s="15"/>
      <c r="B3052" s="15"/>
      <c r="C3052" s="3" t="s">
        <v>16</v>
      </c>
      <c r="D3052" s="7">
        <v>12.587999999999999</v>
      </c>
      <c r="E3052" s="15"/>
      <c r="F3052" s="15"/>
      <c r="G3052" s="15"/>
      <c r="H3052" s="15"/>
    </row>
    <row r="3053" spans="1:8" x14ac:dyDescent="0.3">
      <c r="A3053" s="15"/>
      <c r="B3053" s="15"/>
      <c r="C3053" s="8" t="s">
        <v>11</v>
      </c>
      <c r="D3053" s="2">
        <v>5.66</v>
      </c>
      <c r="E3053" s="15"/>
      <c r="F3053" s="15"/>
      <c r="G3053" s="15"/>
      <c r="H3053" s="15"/>
    </row>
    <row r="3054" spans="1:8" x14ac:dyDescent="0.3">
      <c r="A3054" s="15"/>
      <c r="B3054" s="15"/>
      <c r="C3054" s="3" t="s">
        <v>16</v>
      </c>
      <c r="D3054" s="2">
        <v>17.57</v>
      </c>
      <c r="E3054" s="15"/>
      <c r="F3054" s="15"/>
      <c r="G3054" s="15"/>
      <c r="H3054" s="15"/>
    </row>
    <row r="3055" spans="1:8" x14ac:dyDescent="0.3">
      <c r="A3055" s="15"/>
      <c r="B3055" s="15"/>
      <c r="C3055" s="3" t="s">
        <v>14</v>
      </c>
      <c r="D3055" s="2">
        <v>11.98</v>
      </c>
      <c r="E3055" s="15"/>
      <c r="F3055" s="15"/>
      <c r="G3055" s="15"/>
      <c r="H3055" s="15"/>
    </row>
    <row r="3056" spans="1:8" x14ac:dyDescent="0.3">
      <c r="A3056" s="16"/>
      <c r="B3056" s="16"/>
      <c r="C3056" s="3" t="s">
        <v>17</v>
      </c>
      <c r="D3056" s="7">
        <v>26.356000000000002</v>
      </c>
      <c r="E3056" s="16"/>
      <c r="F3056" s="16"/>
      <c r="G3056" s="16"/>
      <c r="H3056" s="16"/>
    </row>
    <row r="3057" spans="1:8" x14ac:dyDescent="0.3">
      <c r="A3057" s="18">
        <v>510</v>
      </c>
      <c r="B3057" s="20">
        <v>45828</v>
      </c>
      <c r="C3057" s="8" t="s">
        <v>14</v>
      </c>
      <c r="D3057" s="2">
        <v>17.02</v>
      </c>
      <c r="E3057" s="19">
        <f>SUM(D3057:D3062)</f>
        <v>82.894000000000005</v>
      </c>
      <c r="F3057" s="17">
        <f>INT(MAX(D3057:D3062))</f>
        <v>21</v>
      </c>
      <c r="G3057" s="14">
        <f>INT((F3057/10)*2)</f>
        <v>4</v>
      </c>
      <c r="H3057" s="14">
        <f>F3057-G3057</f>
        <v>17</v>
      </c>
    </row>
    <row r="3058" spans="1:8" x14ac:dyDescent="0.3">
      <c r="A3058" s="15"/>
      <c r="B3058" s="15"/>
      <c r="C3058" s="3" t="s">
        <v>17</v>
      </c>
      <c r="D3058" s="2">
        <v>15.14</v>
      </c>
      <c r="E3058" s="15"/>
      <c r="F3058" s="15"/>
      <c r="G3058" s="15"/>
      <c r="H3058" s="15"/>
    </row>
    <row r="3059" spans="1:8" x14ac:dyDescent="0.3">
      <c r="A3059" s="15"/>
      <c r="B3059" s="15"/>
      <c r="C3059" s="3" t="s">
        <v>16</v>
      </c>
      <c r="D3059" s="2">
        <v>9.81</v>
      </c>
      <c r="E3059" s="15"/>
      <c r="F3059" s="15"/>
      <c r="G3059" s="15"/>
      <c r="H3059" s="15"/>
    </row>
    <row r="3060" spans="1:8" x14ac:dyDescent="0.3">
      <c r="A3060" s="15"/>
      <c r="B3060" s="15"/>
      <c r="C3060" s="3" t="s">
        <v>18</v>
      </c>
      <c r="D3060" s="2">
        <v>8.4600000000000009</v>
      </c>
      <c r="E3060" s="15"/>
      <c r="F3060" s="15"/>
      <c r="G3060" s="15"/>
      <c r="H3060" s="15"/>
    </row>
    <row r="3061" spans="1:8" x14ac:dyDescent="0.3">
      <c r="A3061" s="15"/>
      <c r="B3061" s="15"/>
      <c r="C3061" s="3" t="s">
        <v>10</v>
      </c>
      <c r="D3061" s="7">
        <v>11.414</v>
      </c>
      <c r="E3061" s="15"/>
      <c r="F3061" s="15"/>
      <c r="G3061" s="15"/>
      <c r="H3061" s="15"/>
    </row>
    <row r="3062" spans="1:8" x14ac:dyDescent="0.3">
      <c r="A3062" s="16"/>
      <c r="B3062" s="16"/>
      <c r="C3062" s="8" t="s">
        <v>17</v>
      </c>
      <c r="D3062" s="2">
        <v>21.05</v>
      </c>
      <c r="E3062" s="16"/>
      <c r="F3062" s="16"/>
      <c r="G3062" s="16"/>
      <c r="H3062" s="16"/>
    </row>
    <row r="3063" spans="1:8" x14ac:dyDescent="0.3">
      <c r="A3063" s="18">
        <v>511</v>
      </c>
      <c r="B3063" s="20">
        <v>45832</v>
      </c>
      <c r="C3063" s="3" t="s">
        <v>18</v>
      </c>
      <c r="D3063" s="2">
        <v>6.15</v>
      </c>
      <c r="E3063" s="19">
        <f>SUM(D3063:D3068)</f>
        <v>185.339</v>
      </c>
      <c r="F3063" s="17">
        <f>INT(MAX(D3063:D3068))</f>
        <v>43</v>
      </c>
      <c r="G3063" s="14">
        <f>INT((F3063/10)*2)</f>
        <v>8</v>
      </c>
      <c r="H3063" s="14">
        <f>F3063-G3063</f>
        <v>35</v>
      </c>
    </row>
    <row r="3064" spans="1:8" x14ac:dyDescent="0.3">
      <c r="A3064" s="15"/>
      <c r="B3064" s="15"/>
      <c r="C3064" s="3" t="s">
        <v>8</v>
      </c>
      <c r="D3064" s="2">
        <v>43.46</v>
      </c>
      <c r="E3064" s="15"/>
      <c r="F3064" s="15"/>
      <c r="G3064" s="15"/>
      <c r="H3064" s="15"/>
    </row>
    <row r="3065" spans="1:8" x14ac:dyDescent="0.3">
      <c r="A3065" s="15"/>
      <c r="B3065" s="15"/>
      <c r="C3065" s="3" t="s">
        <v>9</v>
      </c>
      <c r="D3065" s="2">
        <v>33.46</v>
      </c>
      <c r="E3065" s="15"/>
      <c r="F3065" s="15"/>
      <c r="G3065" s="15"/>
      <c r="H3065" s="15"/>
    </row>
    <row r="3066" spans="1:8" x14ac:dyDescent="0.3">
      <c r="A3066" s="15"/>
      <c r="B3066" s="15"/>
      <c r="C3066" s="3" t="s">
        <v>12</v>
      </c>
      <c r="D3066" s="7">
        <v>36.668999999999997</v>
      </c>
      <c r="E3066" s="15"/>
      <c r="F3066" s="15"/>
      <c r="G3066" s="15"/>
      <c r="H3066" s="15"/>
    </row>
    <row r="3067" spans="1:8" x14ac:dyDescent="0.3">
      <c r="A3067" s="15"/>
      <c r="B3067" s="15"/>
      <c r="C3067" s="8" t="s">
        <v>17</v>
      </c>
      <c r="D3067" s="2">
        <v>25.88</v>
      </c>
      <c r="E3067" s="15"/>
      <c r="F3067" s="15"/>
      <c r="G3067" s="15"/>
      <c r="H3067" s="15"/>
    </row>
    <row r="3068" spans="1:8" x14ac:dyDescent="0.3">
      <c r="A3068" s="16"/>
      <c r="B3068" s="16"/>
      <c r="C3068" s="3" t="s">
        <v>16</v>
      </c>
      <c r="D3068" s="2">
        <v>39.72</v>
      </c>
      <c r="E3068" s="16"/>
      <c r="F3068" s="16"/>
      <c r="G3068" s="16"/>
      <c r="H3068" s="16"/>
    </row>
    <row r="3069" spans="1:8" x14ac:dyDescent="0.3">
      <c r="A3069" s="18">
        <v>512</v>
      </c>
      <c r="B3069" s="20">
        <v>45835</v>
      </c>
      <c r="C3069" s="3" t="s">
        <v>12</v>
      </c>
      <c r="D3069" s="2">
        <v>129.30000000000001</v>
      </c>
      <c r="E3069" s="19">
        <f>SUM(D3069:D3074)</f>
        <v>184.69600000000003</v>
      </c>
      <c r="F3069" s="17">
        <f>INT(MAX(D3069:D3074))</f>
        <v>129</v>
      </c>
      <c r="G3069" s="14">
        <f>INT((F3069/10)*2)</f>
        <v>25</v>
      </c>
      <c r="H3069" s="14">
        <f>F3069-G3069</f>
        <v>104</v>
      </c>
    </row>
    <row r="3070" spans="1:8" x14ac:dyDescent="0.3">
      <c r="A3070" s="15"/>
      <c r="B3070" s="15"/>
      <c r="C3070" s="3" t="s">
        <v>11</v>
      </c>
      <c r="D3070" s="7">
        <v>10.016</v>
      </c>
      <c r="E3070" s="15"/>
      <c r="F3070" s="15"/>
      <c r="G3070" s="15"/>
      <c r="H3070" s="15"/>
    </row>
    <row r="3071" spans="1:8" x14ac:dyDescent="0.3">
      <c r="A3071" s="15"/>
      <c r="B3071" s="15"/>
      <c r="C3071" s="8" t="s">
        <v>8</v>
      </c>
      <c r="D3071" s="2">
        <v>9.39</v>
      </c>
      <c r="E3071" s="15"/>
      <c r="F3071" s="15"/>
      <c r="G3071" s="15"/>
      <c r="H3071" s="15"/>
    </row>
    <row r="3072" spans="1:8" x14ac:dyDescent="0.3">
      <c r="A3072" s="15"/>
      <c r="B3072" s="15"/>
      <c r="C3072" s="3" t="s">
        <v>17</v>
      </c>
      <c r="D3072" s="2">
        <v>10.23</v>
      </c>
      <c r="E3072" s="15"/>
      <c r="F3072" s="15"/>
      <c r="G3072" s="15"/>
      <c r="H3072" s="15"/>
    </row>
    <row r="3073" spans="1:8" x14ac:dyDescent="0.3">
      <c r="A3073" s="15"/>
      <c r="B3073" s="15"/>
      <c r="C3073" s="3" t="s">
        <v>9</v>
      </c>
      <c r="D3073" s="2">
        <v>10.15</v>
      </c>
      <c r="E3073" s="15"/>
      <c r="F3073" s="15"/>
      <c r="G3073" s="15"/>
      <c r="H3073" s="15"/>
    </row>
    <row r="3074" spans="1:8" x14ac:dyDescent="0.3">
      <c r="A3074" s="16"/>
      <c r="B3074" s="16"/>
      <c r="C3074" s="3" t="s">
        <v>14</v>
      </c>
      <c r="D3074" s="2">
        <v>15.61</v>
      </c>
      <c r="E3074" s="16"/>
      <c r="F3074" s="16"/>
      <c r="G3074" s="16"/>
      <c r="H3074" s="16"/>
    </row>
    <row r="3075" spans="1:8" x14ac:dyDescent="0.3">
      <c r="A3075" s="18">
        <v>513</v>
      </c>
      <c r="B3075" s="20">
        <v>45839</v>
      </c>
      <c r="C3075" s="3" t="s">
        <v>12</v>
      </c>
      <c r="D3075" s="2">
        <v>6.6</v>
      </c>
      <c r="E3075" s="19">
        <f>SUM(D3075:D3080)</f>
        <v>122.654</v>
      </c>
      <c r="F3075" s="17">
        <f>INT(MAX(D3075:D3080))</f>
        <v>43</v>
      </c>
      <c r="G3075" s="14">
        <f>INT((F3075/10)*2)</f>
        <v>8</v>
      </c>
      <c r="H3075" s="14">
        <f>F3075-G3075</f>
        <v>35</v>
      </c>
    </row>
    <row r="3076" spans="1:8" x14ac:dyDescent="0.3">
      <c r="A3076" s="15"/>
      <c r="B3076" s="15"/>
      <c r="C3076" s="3" t="s">
        <v>18</v>
      </c>
      <c r="D3076" s="7">
        <v>34.768000000000001</v>
      </c>
      <c r="E3076" s="15"/>
      <c r="F3076" s="15"/>
      <c r="G3076" s="15"/>
      <c r="H3076" s="15"/>
    </row>
    <row r="3077" spans="1:8" x14ac:dyDescent="0.3">
      <c r="A3077" s="15"/>
      <c r="B3077" s="15"/>
      <c r="C3077" s="8" t="s">
        <v>13</v>
      </c>
      <c r="D3077" s="2">
        <v>7.46</v>
      </c>
      <c r="E3077" s="15"/>
      <c r="F3077" s="15"/>
      <c r="G3077" s="15"/>
      <c r="H3077" s="15"/>
    </row>
    <row r="3078" spans="1:8" x14ac:dyDescent="0.3">
      <c r="A3078" s="15"/>
      <c r="B3078" s="15"/>
      <c r="C3078" s="3" t="s">
        <v>17</v>
      </c>
      <c r="D3078" s="2">
        <v>5.32</v>
      </c>
      <c r="E3078" s="15"/>
      <c r="F3078" s="15"/>
      <c r="G3078" s="15"/>
      <c r="H3078" s="15"/>
    </row>
    <row r="3079" spans="1:8" x14ac:dyDescent="0.3">
      <c r="A3079" s="15"/>
      <c r="B3079" s="15"/>
      <c r="C3079" s="3" t="s">
        <v>18</v>
      </c>
      <c r="D3079" s="7">
        <v>25.495999999999999</v>
      </c>
      <c r="E3079" s="15"/>
      <c r="F3079" s="15"/>
      <c r="G3079" s="15"/>
      <c r="H3079" s="15"/>
    </row>
    <row r="3080" spans="1:8" x14ac:dyDescent="0.3">
      <c r="A3080" s="16"/>
      <c r="B3080" s="16"/>
      <c r="C3080" s="8" t="s">
        <v>17</v>
      </c>
      <c r="D3080" s="2">
        <v>43.01</v>
      </c>
      <c r="E3080" s="16"/>
      <c r="F3080" s="16"/>
      <c r="G3080" s="16"/>
      <c r="H3080" s="16"/>
    </row>
    <row r="3081" spans="1:8" x14ac:dyDescent="0.3">
      <c r="A3081" s="18">
        <v>514</v>
      </c>
      <c r="B3081" s="20">
        <v>45842</v>
      </c>
      <c r="C3081" s="3" t="s">
        <v>10</v>
      </c>
      <c r="D3081" s="2">
        <v>40.700000000000003</v>
      </c>
      <c r="E3081" s="19">
        <f>SUM(D3081:D3086)</f>
        <v>277.154</v>
      </c>
      <c r="F3081" s="17">
        <f>INT(MAX(D3081:D3086))</f>
        <v>200</v>
      </c>
      <c r="G3081" s="14">
        <f>INT((F3081/10)*2)</f>
        <v>40</v>
      </c>
      <c r="H3081" s="14">
        <f>F3081-G3081</f>
        <v>160</v>
      </c>
    </row>
    <row r="3082" spans="1:8" x14ac:dyDescent="0.3">
      <c r="A3082" s="15"/>
      <c r="B3082" s="15"/>
      <c r="C3082" s="3" t="s">
        <v>14</v>
      </c>
      <c r="D3082" s="2">
        <v>200</v>
      </c>
      <c r="E3082" s="15"/>
      <c r="F3082" s="15"/>
      <c r="G3082" s="15"/>
      <c r="H3082" s="15"/>
    </row>
    <row r="3083" spans="1:8" x14ac:dyDescent="0.3">
      <c r="A3083" s="15"/>
      <c r="B3083" s="15"/>
      <c r="C3083" s="3" t="s">
        <v>11</v>
      </c>
      <c r="D3083" s="7">
        <v>12.404</v>
      </c>
      <c r="E3083" s="15"/>
      <c r="F3083" s="15"/>
      <c r="G3083" s="15"/>
      <c r="H3083" s="15"/>
    </row>
    <row r="3084" spans="1:8" x14ac:dyDescent="0.3">
      <c r="A3084" s="15"/>
      <c r="B3084" s="15"/>
      <c r="C3084" s="8" t="s">
        <v>17</v>
      </c>
      <c r="D3084" s="2">
        <v>11.04</v>
      </c>
      <c r="E3084" s="15"/>
      <c r="F3084" s="15"/>
      <c r="G3084" s="15"/>
      <c r="H3084" s="15"/>
    </row>
    <row r="3085" spans="1:8" x14ac:dyDescent="0.3">
      <c r="A3085" s="15"/>
      <c r="B3085" s="15"/>
      <c r="C3085" s="3" t="s">
        <v>10</v>
      </c>
      <c r="D3085" s="2">
        <v>7.57</v>
      </c>
      <c r="E3085" s="15"/>
      <c r="F3085" s="15"/>
      <c r="G3085" s="15"/>
      <c r="H3085" s="15"/>
    </row>
    <row r="3086" spans="1:8" x14ac:dyDescent="0.3">
      <c r="A3086" s="16"/>
      <c r="B3086" s="16"/>
      <c r="C3086" s="3" t="s">
        <v>8</v>
      </c>
      <c r="D3086" s="2">
        <v>5.44</v>
      </c>
      <c r="E3086" s="16"/>
      <c r="F3086" s="16"/>
      <c r="G3086" s="16"/>
      <c r="H3086" s="16"/>
    </row>
    <row r="3087" spans="1:8" x14ac:dyDescent="0.3">
      <c r="A3087" s="18">
        <v>515</v>
      </c>
      <c r="B3087" s="20">
        <v>45846</v>
      </c>
      <c r="C3087" s="3" t="s">
        <v>18</v>
      </c>
      <c r="D3087" s="2">
        <v>14.89</v>
      </c>
      <c r="E3087" s="19">
        <f>SUM(D3087:D3092)</f>
        <v>204.16100000000003</v>
      </c>
      <c r="F3087" s="17">
        <f>INT(MAX(D3087:D3092))</f>
        <v>105</v>
      </c>
      <c r="G3087" s="14">
        <f>INT((F3087/10)*2)</f>
        <v>21</v>
      </c>
      <c r="H3087" s="14">
        <f>F3087-G3087</f>
        <v>84</v>
      </c>
    </row>
    <row r="3088" spans="1:8" x14ac:dyDescent="0.3">
      <c r="A3088" s="15"/>
      <c r="B3088" s="15"/>
      <c r="C3088" s="3" t="s">
        <v>9</v>
      </c>
      <c r="D3088" s="2">
        <v>19.559999999999999</v>
      </c>
      <c r="E3088" s="15"/>
      <c r="F3088" s="15"/>
      <c r="G3088" s="15"/>
      <c r="H3088" s="15"/>
    </row>
    <row r="3089" spans="1:8" x14ac:dyDescent="0.3">
      <c r="A3089" s="15"/>
      <c r="B3089" s="15"/>
      <c r="C3089" s="3" t="s">
        <v>14</v>
      </c>
      <c r="D3089" s="7">
        <v>31.501000000000001</v>
      </c>
      <c r="E3089" s="15"/>
      <c r="F3089" s="15"/>
      <c r="G3089" s="15"/>
      <c r="H3089" s="15"/>
    </row>
    <row r="3090" spans="1:8" x14ac:dyDescent="0.3">
      <c r="A3090" s="15"/>
      <c r="B3090" s="15"/>
      <c r="C3090" s="8" t="s">
        <v>10</v>
      </c>
      <c r="D3090" s="2">
        <v>15.67</v>
      </c>
      <c r="E3090" s="15"/>
      <c r="F3090" s="15"/>
      <c r="G3090" s="15"/>
      <c r="H3090" s="15"/>
    </row>
    <row r="3091" spans="1:8" x14ac:dyDescent="0.3">
      <c r="A3091" s="15"/>
      <c r="B3091" s="15"/>
      <c r="C3091" s="3" t="s">
        <v>12</v>
      </c>
      <c r="D3091" s="2">
        <v>105.14</v>
      </c>
      <c r="E3091" s="15"/>
      <c r="F3091" s="15"/>
      <c r="G3091" s="15"/>
      <c r="H3091" s="15"/>
    </row>
    <row r="3092" spans="1:8" x14ac:dyDescent="0.3">
      <c r="A3092" s="16"/>
      <c r="B3092" s="16"/>
      <c r="C3092" s="3" t="s">
        <v>13</v>
      </c>
      <c r="D3092" s="2">
        <v>17.399999999999999</v>
      </c>
      <c r="E3092" s="16"/>
      <c r="F3092" s="16"/>
      <c r="G3092" s="16"/>
      <c r="H3092" s="16"/>
    </row>
    <row r="3093" spans="1:8" x14ac:dyDescent="0.3">
      <c r="A3093" s="18">
        <v>516</v>
      </c>
      <c r="B3093" s="20">
        <v>45849</v>
      </c>
      <c r="C3093" s="3" t="s">
        <v>18</v>
      </c>
      <c r="D3093" s="2">
        <v>54.84</v>
      </c>
      <c r="E3093" s="19">
        <f>SUM(D3093:D3098)</f>
        <v>221.77</v>
      </c>
      <c r="F3093" s="17">
        <f>INT(MAX(D3093:D3098))</f>
        <v>58</v>
      </c>
      <c r="G3093" s="14">
        <f>INT((F3093/10)*2)</f>
        <v>11</v>
      </c>
      <c r="H3093" s="14">
        <f>F3093-G3093</f>
        <v>47</v>
      </c>
    </row>
    <row r="3094" spans="1:8" x14ac:dyDescent="0.3">
      <c r="A3094" s="15"/>
      <c r="B3094" s="15"/>
      <c r="C3094" s="3" t="s">
        <v>14</v>
      </c>
      <c r="D3094" s="7">
        <v>58.26</v>
      </c>
      <c r="E3094" s="15"/>
      <c r="F3094" s="15"/>
      <c r="G3094" s="15"/>
      <c r="H3094" s="15"/>
    </row>
    <row r="3095" spans="1:8" x14ac:dyDescent="0.3">
      <c r="A3095" s="15"/>
      <c r="B3095" s="15"/>
      <c r="C3095" s="8" t="s">
        <v>13</v>
      </c>
      <c r="D3095" s="2">
        <v>29.82</v>
      </c>
      <c r="E3095" s="15"/>
      <c r="F3095" s="15"/>
      <c r="G3095" s="15"/>
      <c r="H3095" s="15"/>
    </row>
    <row r="3096" spans="1:8" x14ac:dyDescent="0.3">
      <c r="A3096" s="15"/>
      <c r="B3096" s="15"/>
      <c r="C3096" s="3" t="s">
        <v>17</v>
      </c>
      <c r="D3096" s="2">
        <v>52.95</v>
      </c>
      <c r="E3096" s="15"/>
      <c r="F3096" s="15"/>
      <c r="G3096" s="15"/>
      <c r="H3096" s="15"/>
    </row>
    <row r="3097" spans="1:8" x14ac:dyDescent="0.3">
      <c r="A3097" s="15"/>
      <c r="B3097" s="15"/>
      <c r="C3097" s="3" t="s">
        <v>11</v>
      </c>
      <c r="D3097" s="2">
        <v>6.13</v>
      </c>
      <c r="E3097" s="15"/>
      <c r="F3097" s="15"/>
      <c r="G3097" s="15"/>
      <c r="H3097" s="15"/>
    </row>
    <row r="3098" spans="1:8" x14ac:dyDescent="0.3">
      <c r="A3098" s="16"/>
      <c r="B3098" s="16"/>
      <c r="C3098" s="3" t="s">
        <v>8</v>
      </c>
      <c r="D3098" s="2">
        <v>19.77</v>
      </c>
      <c r="E3098" s="16"/>
      <c r="F3098" s="16"/>
      <c r="G3098" s="16"/>
      <c r="H3098" s="16"/>
    </row>
    <row r="3099" spans="1:8" x14ac:dyDescent="0.3">
      <c r="A3099" s="18">
        <v>517</v>
      </c>
      <c r="B3099" s="20">
        <v>45853</v>
      </c>
      <c r="C3099" s="3" t="s">
        <v>9</v>
      </c>
      <c r="D3099" s="7">
        <v>43.107999999999997</v>
      </c>
      <c r="E3099" s="19">
        <f>SUM(D3099:D3104)</f>
        <v>135.13999999999999</v>
      </c>
      <c r="F3099" s="17">
        <f>INT(MAX(D3099:D3104))</f>
        <v>43</v>
      </c>
      <c r="G3099" s="14">
        <f>INT((F3099/10)*2)</f>
        <v>8</v>
      </c>
      <c r="H3099" s="14">
        <f>F3099-G3099</f>
        <v>35</v>
      </c>
    </row>
    <row r="3100" spans="1:8" x14ac:dyDescent="0.3">
      <c r="A3100" s="15"/>
      <c r="B3100" s="15"/>
      <c r="C3100" s="8" t="s">
        <v>9</v>
      </c>
      <c r="D3100" s="2">
        <v>23.49</v>
      </c>
      <c r="E3100" s="15"/>
      <c r="F3100" s="15"/>
      <c r="G3100" s="15"/>
      <c r="H3100" s="15"/>
    </row>
    <row r="3101" spans="1:8" x14ac:dyDescent="0.3">
      <c r="A3101" s="15"/>
      <c r="B3101" s="15"/>
      <c r="C3101" s="3" t="s">
        <v>15</v>
      </c>
      <c r="D3101" s="2">
        <v>15.1</v>
      </c>
      <c r="E3101" s="15"/>
      <c r="F3101" s="15"/>
      <c r="G3101" s="15"/>
      <c r="H3101" s="15"/>
    </row>
    <row r="3102" spans="1:8" x14ac:dyDescent="0.3">
      <c r="A3102" s="15"/>
      <c r="B3102" s="15"/>
      <c r="C3102" s="3" t="s">
        <v>12</v>
      </c>
      <c r="D3102" s="7">
        <v>9.8919999999999995</v>
      </c>
      <c r="E3102" s="15"/>
      <c r="F3102" s="15"/>
      <c r="G3102" s="15"/>
      <c r="H3102" s="15"/>
    </row>
    <row r="3103" spans="1:8" x14ac:dyDescent="0.3">
      <c r="A3103" s="15"/>
      <c r="B3103" s="15"/>
      <c r="C3103" s="8" t="s">
        <v>18</v>
      </c>
      <c r="D3103" s="2">
        <v>26.79</v>
      </c>
      <c r="E3103" s="15"/>
      <c r="F3103" s="15"/>
      <c r="G3103" s="15"/>
      <c r="H3103" s="15"/>
    </row>
    <row r="3104" spans="1:8" x14ac:dyDescent="0.3">
      <c r="A3104" s="16"/>
      <c r="B3104" s="16"/>
      <c r="C3104" s="3" t="s">
        <v>16</v>
      </c>
      <c r="D3104" s="2">
        <v>16.760000000000002</v>
      </c>
      <c r="E3104" s="16"/>
      <c r="F3104" s="16"/>
      <c r="G3104" s="16"/>
      <c r="H3104" s="16"/>
    </row>
    <row r="3105" spans="1:8" x14ac:dyDescent="0.3">
      <c r="A3105" s="18">
        <v>518</v>
      </c>
      <c r="B3105" s="20">
        <v>45856</v>
      </c>
      <c r="C3105" s="3" t="s">
        <v>10</v>
      </c>
      <c r="D3105" s="2">
        <v>24.72</v>
      </c>
      <c r="E3105" s="19">
        <f>SUM(D3105:D3110)</f>
        <v>169.12300000000002</v>
      </c>
      <c r="F3105" s="17">
        <f>INT(MAX(D3105:D3110))</f>
        <v>50</v>
      </c>
      <c r="G3105" s="14">
        <f>INT((F3105/10)*2)</f>
        <v>10</v>
      </c>
      <c r="H3105" s="14">
        <f>F3105-G3105</f>
        <v>40</v>
      </c>
    </row>
    <row r="3106" spans="1:8" x14ac:dyDescent="0.3">
      <c r="A3106" s="15"/>
      <c r="B3106" s="15"/>
      <c r="C3106" s="3" t="s">
        <v>8</v>
      </c>
      <c r="D3106" s="2">
        <v>50.22</v>
      </c>
      <c r="E3106" s="15"/>
      <c r="F3106" s="15"/>
      <c r="G3106" s="15"/>
      <c r="H3106" s="15"/>
    </row>
    <row r="3107" spans="1:8" x14ac:dyDescent="0.3">
      <c r="A3107" s="15"/>
      <c r="B3107" s="15"/>
      <c r="C3107" s="3" t="s">
        <v>11</v>
      </c>
      <c r="D3107" s="2">
        <v>39.520000000000003</v>
      </c>
      <c r="E3107" s="15"/>
      <c r="F3107" s="15"/>
      <c r="G3107" s="15"/>
      <c r="H3107" s="15"/>
    </row>
    <row r="3108" spans="1:8" x14ac:dyDescent="0.3">
      <c r="A3108" s="15"/>
      <c r="B3108" s="15"/>
      <c r="C3108" s="3" t="s">
        <v>13</v>
      </c>
      <c r="D3108" s="7">
        <v>4.173</v>
      </c>
      <c r="E3108" s="15"/>
      <c r="F3108" s="15"/>
      <c r="G3108" s="15"/>
      <c r="H3108" s="15"/>
    </row>
    <row r="3109" spans="1:8" x14ac:dyDescent="0.3">
      <c r="A3109" s="15"/>
      <c r="B3109" s="15"/>
      <c r="C3109" s="8" t="s">
        <v>10</v>
      </c>
      <c r="D3109" s="2">
        <v>28.47</v>
      </c>
      <c r="E3109" s="15"/>
      <c r="F3109" s="15"/>
      <c r="G3109" s="15"/>
      <c r="H3109" s="15"/>
    </row>
    <row r="3110" spans="1:8" x14ac:dyDescent="0.3">
      <c r="A3110" s="16"/>
      <c r="B3110" s="16"/>
      <c r="C3110" s="3" t="s">
        <v>15</v>
      </c>
      <c r="D3110" s="2">
        <v>22.02</v>
      </c>
      <c r="E3110" s="16"/>
      <c r="F3110" s="16"/>
      <c r="G3110" s="16"/>
      <c r="H3110" s="16"/>
    </row>
    <row r="3111" spans="1:8" x14ac:dyDescent="0.3">
      <c r="A3111" s="18">
        <v>519</v>
      </c>
      <c r="B3111" s="20">
        <v>45860</v>
      </c>
      <c r="C3111" s="3" t="s">
        <v>9</v>
      </c>
      <c r="D3111" s="2">
        <v>7.5</v>
      </c>
      <c r="E3111" s="19">
        <f>SUM(D3111:D3116)</f>
        <v>109.529</v>
      </c>
      <c r="F3111" s="17">
        <f>INT(MAX(D3111:D3116))</f>
        <v>41</v>
      </c>
      <c r="G3111" s="14">
        <f>INT((F3111/10)*2)</f>
        <v>8</v>
      </c>
      <c r="H3111" s="14">
        <f>F3111-G3111</f>
        <v>33</v>
      </c>
    </row>
    <row r="3112" spans="1:8" x14ac:dyDescent="0.3">
      <c r="A3112" s="15"/>
      <c r="B3112" s="15"/>
      <c r="C3112" s="3" t="s">
        <v>12</v>
      </c>
      <c r="D3112" s="2">
        <v>5.7</v>
      </c>
      <c r="E3112" s="15"/>
      <c r="F3112" s="15"/>
      <c r="G3112" s="15"/>
      <c r="H3112" s="15"/>
    </row>
    <row r="3113" spans="1:8" x14ac:dyDescent="0.3">
      <c r="A3113" s="15"/>
      <c r="B3113" s="15"/>
      <c r="C3113" s="3" t="s">
        <v>18</v>
      </c>
      <c r="D3113" s="2">
        <v>23.45</v>
      </c>
      <c r="E3113" s="15"/>
      <c r="F3113" s="15"/>
      <c r="G3113" s="15"/>
      <c r="H3113" s="15"/>
    </row>
    <row r="3114" spans="1:8" x14ac:dyDescent="0.3">
      <c r="A3114" s="15"/>
      <c r="B3114" s="15"/>
      <c r="C3114" s="3" t="s">
        <v>14</v>
      </c>
      <c r="D3114" s="7">
        <v>41.829000000000001</v>
      </c>
      <c r="E3114" s="15"/>
      <c r="F3114" s="15"/>
      <c r="G3114" s="15"/>
      <c r="H3114" s="15"/>
    </row>
    <row r="3115" spans="1:8" x14ac:dyDescent="0.3">
      <c r="A3115" s="15"/>
      <c r="B3115" s="15"/>
      <c r="C3115" s="8" t="s">
        <v>9</v>
      </c>
      <c r="D3115" s="2">
        <v>15.05</v>
      </c>
      <c r="E3115" s="15"/>
      <c r="F3115" s="15"/>
      <c r="G3115" s="15"/>
      <c r="H3115" s="15"/>
    </row>
    <row r="3116" spans="1:8" x14ac:dyDescent="0.3">
      <c r="A3116" s="16"/>
      <c r="B3116" s="16"/>
      <c r="C3116" s="3" t="s">
        <v>10</v>
      </c>
      <c r="D3116" s="2">
        <v>16</v>
      </c>
      <c r="E3116" s="16"/>
      <c r="F3116" s="16"/>
      <c r="G3116" s="16"/>
      <c r="H3116" s="16"/>
    </row>
    <row r="3117" spans="1:8" x14ac:dyDescent="0.3">
      <c r="A3117" s="18">
        <v>520</v>
      </c>
      <c r="B3117" s="20">
        <v>45863</v>
      </c>
      <c r="C3117" s="3" t="s">
        <v>14</v>
      </c>
      <c r="D3117" s="7">
        <v>7.8239999999999998</v>
      </c>
      <c r="E3117" s="19">
        <f>SUM(D3117:D3122)</f>
        <v>109.092</v>
      </c>
      <c r="F3117" s="17">
        <f>INT(MAX(D3117:D3122))</f>
        <v>43</v>
      </c>
      <c r="G3117" s="14">
        <f>INT((F3117/10)*2)</f>
        <v>8</v>
      </c>
      <c r="H3117" s="14">
        <f>F3117-G3117</f>
        <v>35</v>
      </c>
    </row>
    <row r="3118" spans="1:8" x14ac:dyDescent="0.3">
      <c r="A3118" s="15"/>
      <c r="B3118" s="15"/>
      <c r="C3118" s="8" t="s">
        <v>10</v>
      </c>
      <c r="D3118" s="2">
        <v>10.1</v>
      </c>
      <c r="E3118" s="15"/>
      <c r="F3118" s="15"/>
      <c r="G3118" s="15"/>
      <c r="H3118" s="15"/>
    </row>
    <row r="3119" spans="1:8" x14ac:dyDescent="0.3">
      <c r="A3119" s="15"/>
      <c r="B3119" s="15"/>
      <c r="C3119" s="3" t="s">
        <v>8</v>
      </c>
      <c r="D3119" s="2">
        <v>15.56</v>
      </c>
      <c r="E3119" s="15"/>
      <c r="F3119" s="15"/>
      <c r="G3119" s="15"/>
      <c r="H3119" s="15"/>
    </row>
    <row r="3120" spans="1:8" x14ac:dyDescent="0.3">
      <c r="A3120" s="15"/>
      <c r="B3120" s="15"/>
      <c r="C3120" s="3" t="s">
        <v>15</v>
      </c>
      <c r="D3120" s="2">
        <v>8.1</v>
      </c>
      <c r="E3120" s="15"/>
      <c r="F3120" s="15"/>
      <c r="G3120" s="15"/>
      <c r="H3120" s="15"/>
    </row>
    <row r="3121" spans="1:8" x14ac:dyDescent="0.3">
      <c r="A3121" s="15"/>
      <c r="B3121" s="15"/>
      <c r="C3121" s="3" t="s">
        <v>18</v>
      </c>
      <c r="D3121" s="7">
        <v>24.257999999999999</v>
      </c>
      <c r="E3121" s="15"/>
      <c r="F3121" s="15"/>
      <c r="G3121" s="15"/>
      <c r="H3121" s="15"/>
    </row>
    <row r="3122" spans="1:8" x14ac:dyDescent="0.3">
      <c r="A3122" s="16"/>
      <c r="B3122" s="16"/>
      <c r="C3122" s="8" t="s">
        <v>18</v>
      </c>
      <c r="D3122" s="2">
        <v>43.25</v>
      </c>
      <c r="E3122" s="16"/>
      <c r="F3122" s="16"/>
      <c r="G3122" s="16"/>
      <c r="H3122" s="16"/>
    </row>
    <row r="3123" spans="1:8" x14ac:dyDescent="0.3">
      <c r="A3123" s="18">
        <v>521</v>
      </c>
      <c r="B3123" s="20">
        <v>45867</v>
      </c>
      <c r="C3123" s="3" t="s">
        <v>12</v>
      </c>
      <c r="D3123" s="2">
        <v>53.99</v>
      </c>
      <c r="E3123" s="19">
        <f>SUM(D3123:D3128)</f>
        <v>188.41300000000001</v>
      </c>
      <c r="F3123" s="17">
        <f>INT(MAX(D3123:D3128))</f>
        <v>59</v>
      </c>
      <c r="G3123" s="14">
        <f>INT((F3123/10)*2)</f>
        <v>11</v>
      </c>
      <c r="H3123" s="14">
        <f>F3123-G3123</f>
        <v>48</v>
      </c>
    </row>
    <row r="3124" spans="1:8" x14ac:dyDescent="0.3">
      <c r="A3124" s="15"/>
      <c r="B3124" s="15"/>
      <c r="C3124" s="3" t="s">
        <v>15</v>
      </c>
      <c r="D3124" s="2">
        <v>59.81</v>
      </c>
      <c r="E3124" s="15"/>
      <c r="F3124" s="15"/>
      <c r="G3124" s="15"/>
      <c r="H3124" s="15"/>
    </row>
    <row r="3125" spans="1:8" x14ac:dyDescent="0.3">
      <c r="A3125" s="15"/>
      <c r="B3125" s="15"/>
      <c r="C3125" s="3" t="s">
        <v>14</v>
      </c>
      <c r="D3125" s="7">
        <v>20.103000000000002</v>
      </c>
      <c r="E3125" s="15"/>
      <c r="F3125" s="15"/>
      <c r="G3125" s="15"/>
      <c r="H3125" s="15"/>
    </row>
    <row r="3126" spans="1:8" x14ac:dyDescent="0.3">
      <c r="A3126" s="15"/>
      <c r="B3126" s="15"/>
      <c r="C3126" s="8" t="s">
        <v>12</v>
      </c>
      <c r="D3126" s="2">
        <v>23.13</v>
      </c>
      <c r="E3126" s="15"/>
      <c r="F3126" s="15"/>
      <c r="G3126" s="15"/>
      <c r="H3126" s="15"/>
    </row>
    <row r="3127" spans="1:8" x14ac:dyDescent="0.3">
      <c r="A3127" s="15"/>
      <c r="B3127" s="15"/>
      <c r="C3127" s="3" t="s">
        <v>14</v>
      </c>
      <c r="D3127" s="2">
        <v>8.06</v>
      </c>
      <c r="E3127" s="15"/>
      <c r="F3127" s="15"/>
      <c r="G3127" s="15"/>
      <c r="H3127" s="15"/>
    </row>
    <row r="3128" spans="1:8" x14ac:dyDescent="0.3">
      <c r="A3128" s="16"/>
      <c r="B3128" s="16"/>
      <c r="C3128" s="3" t="s">
        <v>10</v>
      </c>
      <c r="D3128" s="2">
        <v>23.32</v>
      </c>
      <c r="E3128" s="16"/>
      <c r="F3128" s="16"/>
      <c r="G3128" s="16"/>
      <c r="H3128" s="16"/>
    </row>
    <row r="3129" spans="1:8" x14ac:dyDescent="0.3">
      <c r="A3129" s="18">
        <v>522</v>
      </c>
      <c r="B3129" s="20">
        <v>45870</v>
      </c>
      <c r="C3129" s="3" t="s">
        <v>18</v>
      </c>
      <c r="D3129" s="2">
        <v>46.94</v>
      </c>
      <c r="E3129" s="19">
        <f>SUM(D3129:D3134)</f>
        <v>210.96799999999999</v>
      </c>
      <c r="F3129" s="17">
        <f>INT(MAX(D3129:D3134))</f>
        <v>54</v>
      </c>
      <c r="G3129" s="14">
        <f>INT((F3129/10)*2)</f>
        <v>10</v>
      </c>
      <c r="H3129" s="14">
        <f>F3129-G3129</f>
        <v>44</v>
      </c>
    </row>
    <row r="3130" spans="1:8" x14ac:dyDescent="0.3">
      <c r="A3130" s="15"/>
      <c r="B3130" s="15"/>
      <c r="C3130" s="3" t="s">
        <v>16</v>
      </c>
      <c r="D3130" s="2">
        <v>24.81</v>
      </c>
      <c r="E3130" s="15"/>
      <c r="F3130" s="15"/>
      <c r="G3130" s="15"/>
      <c r="H3130" s="15"/>
    </row>
    <row r="3131" spans="1:8" x14ac:dyDescent="0.3">
      <c r="A3131" s="15"/>
      <c r="B3131" s="15"/>
      <c r="C3131" s="3" t="s">
        <v>8</v>
      </c>
      <c r="D3131" s="7">
        <v>54.648000000000003</v>
      </c>
      <c r="E3131" s="15"/>
      <c r="F3131" s="15"/>
      <c r="G3131" s="15"/>
      <c r="H3131" s="15"/>
    </row>
    <row r="3132" spans="1:8" x14ac:dyDescent="0.3">
      <c r="A3132" s="15"/>
      <c r="B3132" s="15"/>
      <c r="C3132" s="8" t="s">
        <v>9</v>
      </c>
      <c r="D3132" s="2">
        <v>37.380000000000003</v>
      </c>
      <c r="E3132" s="15"/>
      <c r="F3132" s="15"/>
      <c r="G3132" s="15"/>
      <c r="H3132" s="15"/>
    </row>
    <row r="3133" spans="1:8" x14ac:dyDescent="0.3">
      <c r="A3133" s="15"/>
      <c r="B3133" s="15"/>
      <c r="C3133" s="3" t="s">
        <v>12</v>
      </c>
      <c r="D3133" s="2">
        <v>23.17</v>
      </c>
      <c r="E3133" s="15"/>
      <c r="F3133" s="15"/>
      <c r="G3133" s="15"/>
      <c r="H3133" s="15"/>
    </row>
    <row r="3134" spans="1:8" x14ac:dyDescent="0.3">
      <c r="A3134" s="16"/>
      <c r="B3134" s="16"/>
      <c r="C3134" s="3" t="s">
        <v>10</v>
      </c>
      <c r="D3134" s="2">
        <v>24.02</v>
      </c>
      <c r="E3134" s="16"/>
      <c r="F3134" s="16"/>
      <c r="G3134" s="16"/>
      <c r="H3134" s="16"/>
    </row>
    <row r="3135" spans="1:8" x14ac:dyDescent="0.3">
      <c r="A3135" s="18">
        <v>523</v>
      </c>
      <c r="B3135" s="20">
        <v>45874</v>
      </c>
      <c r="C3135" s="3" t="s">
        <v>17</v>
      </c>
      <c r="D3135" s="2">
        <v>11.93</v>
      </c>
      <c r="E3135" s="19">
        <f>SUM(D3135:D3140)</f>
        <v>76.435000000000002</v>
      </c>
      <c r="F3135" s="17">
        <f>INT(MAX(D3135:D3140))</f>
        <v>18</v>
      </c>
      <c r="G3135" s="14">
        <f>INT((F3135/10)*2)</f>
        <v>3</v>
      </c>
      <c r="H3135" s="14">
        <f>F3135-G3135</f>
        <v>15</v>
      </c>
    </row>
    <row r="3136" spans="1:8" x14ac:dyDescent="0.3">
      <c r="A3136" s="15"/>
      <c r="B3136" s="15"/>
      <c r="C3136" s="3" t="s">
        <v>8</v>
      </c>
      <c r="D3136" s="2">
        <v>18.09</v>
      </c>
      <c r="E3136" s="15"/>
      <c r="F3136" s="15"/>
      <c r="G3136" s="15"/>
      <c r="H3136" s="15"/>
    </row>
    <row r="3137" spans="1:8" x14ac:dyDescent="0.3">
      <c r="A3137" s="15"/>
      <c r="B3137" s="15"/>
      <c r="C3137" s="3" t="s">
        <v>16</v>
      </c>
      <c r="D3137" s="7">
        <v>10.154999999999999</v>
      </c>
      <c r="E3137" s="15"/>
      <c r="F3137" s="15"/>
      <c r="G3137" s="15"/>
      <c r="H3137" s="15"/>
    </row>
    <row r="3138" spans="1:8" x14ac:dyDescent="0.3">
      <c r="A3138" s="15"/>
      <c r="B3138" s="15"/>
      <c r="C3138" s="8" t="s">
        <v>8</v>
      </c>
      <c r="D3138" s="2">
        <v>15.42</v>
      </c>
      <c r="E3138" s="15"/>
      <c r="F3138" s="15"/>
      <c r="G3138" s="15"/>
      <c r="H3138" s="15"/>
    </row>
    <row r="3139" spans="1:8" x14ac:dyDescent="0.3">
      <c r="A3139" s="15"/>
      <c r="B3139" s="15"/>
      <c r="C3139" s="3" t="s">
        <v>16</v>
      </c>
      <c r="D3139" s="2">
        <v>7.6</v>
      </c>
      <c r="E3139" s="15"/>
      <c r="F3139" s="15"/>
      <c r="G3139" s="15"/>
      <c r="H3139" s="15"/>
    </row>
    <row r="3140" spans="1:8" x14ac:dyDescent="0.3">
      <c r="A3140" s="16"/>
      <c r="B3140" s="16"/>
      <c r="C3140" s="3" t="s">
        <v>12</v>
      </c>
      <c r="D3140" s="2">
        <v>13.24</v>
      </c>
      <c r="E3140" s="16"/>
      <c r="F3140" s="16"/>
      <c r="G3140" s="16"/>
      <c r="H3140" s="16"/>
    </row>
    <row r="3141" spans="1:8" x14ac:dyDescent="0.3">
      <c r="A3141" s="18">
        <v>524</v>
      </c>
      <c r="B3141" s="20">
        <v>45877</v>
      </c>
      <c r="C3141" s="3" t="s">
        <v>15</v>
      </c>
      <c r="D3141" s="2">
        <v>3.7</v>
      </c>
      <c r="E3141" s="19">
        <f>SUM(D3141:D3146)</f>
        <v>93.11</v>
      </c>
      <c r="F3141" s="17">
        <f>INT(MAX(D3141:D3146))</f>
        <v>27</v>
      </c>
      <c r="G3141" s="14">
        <f>INT((F3141/10)*2)</f>
        <v>5</v>
      </c>
      <c r="H3141" s="14">
        <f>F3141-G3141</f>
        <v>22</v>
      </c>
    </row>
    <row r="3142" spans="1:8" x14ac:dyDescent="0.3">
      <c r="A3142" s="15"/>
      <c r="B3142" s="15"/>
      <c r="C3142" s="3" t="s">
        <v>18</v>
      </c>
      <c r="D3142" s="2">
        <v>11.56</v>
      </c>
      <c r="E3142" s="15"/>
      <c r="F3142" s="15"/>
      <c r="G3142" s="15"/>
      <c r="H3142" s="15"/>
    </row>
    <row r="3143" spans="1:8" x14ac:dyDescent="0.3">
      <c r="A3143" s="15"/>
      <c r="B3143" s="15"/>
      <c r="C3143" s="3" t="s">
        <v>17</v>
      </c>
      <c r="D3143" s="7">
        <v>20.988</v>
      </c>
      <c r="E3143" s="15"/>
      <c r="F3143" s="15"/>
      <c r="G3143" s="15"/>
      <c r="H3143" s="15"/>
    </row>
    <row r="3144" spans="1:8" x14ac:dyDescent="0.3">
      <c r="A3144" s="15"/>
      <c r="B3144" s="15"/>
      <c r="C3144" s="8" t="s">
        <v>9</v>
      </c>
      <c r="D3144" s="2">
        <v>17.77</v>
      </c>
      <c r="E3144" s="15"/>
      <c r="F3144" s="15"/>
      <c r="G3144" s="15"/>
      <c r="H3144" s="15"/>
    </row>
    <row r="3145" spans="1:8" x14ac:dyDescent="0.3">
      <c r="A3145" s="15"/>
      <c r="B3145" s="15"/>
      <c r="C3145" s="3" t="s">
        <v>11</v>
      </c>
      <c r="D3145" s="2">
        <v>27.13</v>
      </c>
      <c r="E3145" s="15"/>
      <c r="F3145" s="15"/>
      <c r="G3145" s="15"/>
      <c r="H3145" s="15"/>
    </row>
    <row r="3146" spans="1:8" x14ac:dyDescent="0.3">
      <c r="A3146" s="16"/>
      <c r="B3146" s="16"/>
      <c r="C3146" s="3" t="s">
        <v>14</v>
      </c>
      <c r="D3146" s="7">
        <v>11.962</v>
      </c>
      <c r="E3146" s="16"/>
      <c r="F3146" s="16"/>
      <c r="G3146" s="16"/>
      <c r="H3146" s="16"/>
    </row>
    <row r="3147" spans="1:8" x14ac:dyDescent="0.3">
      <c r="A3147" s="18">
        <v>525</v>
      </c>
      <c r="B3147" s="20">
        <v>45881</v>
      </c>
      <c r="C3147" s="8" t="s">
        <v>14</v>
      </c>
      <c r="D3147" s="2">
        <v>5.5</v>
      </c>
      <c r="E3147" s="19">
        <f>SUM(D3147:D3152)</f>
        <v>128.47300000000001</v>
      </c>
      <c r="F3147" s="17">
        <f>INT(MAX(D3147:D3152))</f>
        <v>47</v>
      </c>
      <c r="G3147" s="14">
        <f>INT((F3147/10)*2)</f>
        <v>9</v>
      </c>
      <c r="H3147" s="14">
        <f>F3147-G3147</f>
        <v>38</v>
      </c>
    </row>
    <row r="3148" spans="1:8" x14ac:dyDescent="0.3">
      <c r="A3148" s="15"/>
      <c r="B3148" s="15"/>
      <c r="C3148" s="3" t="s">
        <v>17</v>
      </c>
      <c r="D3148" s="2">
        <v>16.46</v>
      </c>
      <c r="E3148" s="15"/>
      <c r="F3148" s="15"/>
      <c r="G3148" s="15"/>
      <c r="H3148" s="15"/>
    </row>
    <row r="3149" spans="1:8" x14ac:dyDescent="0.3">
      <c r="A3149" s="15"/>
      <c r="B3149" s="15"/>
      <c r="C3149" s="3" t="s">
        <v>13</v>
      </c>
      <c r="D3149" s="2">
        <v>21.07</v>
      </c>
      <c r="E3149" s="15"/>
      <c r="F3149" s="15"/>
      <c r="G3149" s="15"/>
      <c r="H3149" s="15"/>
    </row>
    <row r="3150" spans="1:8" x14ac:dyDescent="0.3">
      <c r="A3150" s="15"/>
      <c r="B3150" s="15"/>
      <c r="C3150" s="3" t="s">
        <v>9</v>
      </c>
      <c r="D3150" s="2">
        <v>20.67</v>
      </c>
      <c r="E3150" s="15"/>
      <c r="F3150" s="15"/>
      <c r="G3150" s="15"/>
      <c r="H3150" s="15"/>
    </row>
    <row r="3151" spans="1:8" x14ac:dyDescent="0.3">
      <c r="A3151" s="15"/>
      <c r="B3151" s="15"/>
      <c r="C3151" s="3" t="s">
        <v>15</v>
      </c>
      <c r="D3151" s="2">
        <v>17.04</v>
      </c>
      <c r="E3151" s="15"/>
      <c r="F3151" s="15"/>
      <c r="G3151" s="15"/>
      <c r="H3151" s="15"/>
    </row>
    <row r="3152" spans="1:8" x14ac:dyDescent="0.3">
      <c r="A3152" s="16"/>
      <c r="B3152" s="16"/>
      <c r="C3152" s="3" t="s">
        <v>11</v>
      </c>
      <c r="D3152" s="7">
        <v>47.732999999999997</v>
      </c>
      <c r="E3152" s="16"/>
      <c r="F3152" s="16"/>
      <c r="G3152" s="16"/>
      <c r="H3152" s="16"/>
    </row>
    <row r="3153" spans="1:8" x14ac:dyDescent="0.3">
      <c r="A3153" s="18">
        <v>526</v>
      </c>
      <c r="B3153" s="20">
        <v>45884</v>
      </c>
      <c r="C3153" s="8" t="s">
        <v>13</v>
      </c>
      <c r="D3153" s="2">
        <v>18.84</v>
      </c>
      <c r="E3153" s="19">
        <f>SUM(D3153:D3158)</f>
        <v>156.548</v>
      </c>
      <c r="F3153" s="17">
        <f>INT(MAX(D3153:D3158))</f>
        <v>67</v>
      </c>
      <c r="G3153" s="14">
        <f>INT((F3153/10)*2)</f>
        <v>13</v>
      </c>
      <c r="H3153" s="14">
        <f>F3153-G3153</f>
        <v>54</v>
      </c>
    </row>
    <row r="3154" spans="1:8" x14ac:dyDescent="0.3">
      <c r="A3154" s="15"/>
      <c r="B3154" s="15"/>
      <c r="C3154" s="3" t="s">
        <v>15</v>
      </c>
      <c r="D3154" s="2">
        <v>4.3899999999999997</v>
      </c>
      <c r="E3154" s="15"/>
      <c r="F3154" s="15"/>
      <c r="G3154" s="15"/>
      <c r="H3154" s="15"/>
    </row>
    <row r="3155" spans="1:8" x14ac:dyDescent="0.3">
      <c r="A3155" s="15"/>
      <c r="B3155" s="15"/>
      <c r="C3155" s="3" t="s">
        <v>8</v>
      </c>
      <c r="D3155" s="2">
        <v>67.48</v>
      </c>
      <c r="E3155" s="15"/>
      <c r="F3155" s="15"/>
      <c r="G3155" s="15"/>
      <c r="H3155" s="15"/>
    </row>
    <row r="3156" spans="1:8" x14ac:dyDescent="0.3">
      <c r="A3156" s="15"/>
      <c r="B3156" s="15"/>
      <c r="C3156" s="3" t="s">
        <v>11</v>
      </c>
      <c r="D3156" s="2">
        <v>32.11</v>
      </c>
      <c r="E3156" s="15"/>
      <c r="F3156" s="15"/>
      <c r="G3156" s="15"/>
      <c r="H3156" s="15"/>
    </row>
    <row r="3157" spans="1:8" x14ac:dyDescent="0.3">
      <c r="A3157" s="15"/>
      <c r="B3157" s="15"/>
      <c r="C3157" s="3" t="s">
        <v>9</v>
      </c>
      <c r="D3157" s="2">
        <v>18.29</v>
      </c>
      <c r="E3157" s="15"/>
      <c r="F3157" s="15"/>
      <c r="G3157" s="15"/>
      <c r="H3157" s="15"/>
    </row>
    <row r="3158" spans="1:8" x14ac:dyDescent="0.3">
      <c r="A3158" s="16"/>
      <c r="B3158" s="16"/>
      <c r="C3158" s="3" t="s">
        <v>12</v>
      </c>
      <c r="D3158" s="7">
        <v>15.438000000000001</v>
      </c>
      <c r="E3158" s="16"/>
      <c r="F3158" s="16"/>
      <c r="G3158" s="16"/>
      <c r="H3158" s="16"/>
    </row>
    <row r="3159" spans="1:8" x14ac:dyDescent="0.3">
      <c r="A3159" s="18">
        <v>527</v>
      </c>
      <c r="B3159" s="20">
        <v>45888</v>
      </c>
      <c r="C3159" s="8" t="s">
        <v>15</v>
      </c>
      <c r="D3159" s="2">
        <v>12.83</v>
      </c>
      <c r="E3159" s="19">
        <f>SUM(D3159:D3164)</f>
        <v>237.92000000000002</v>
      </c>
      <c r="F3159" s="17">
        <f>INT(MAX(D3159:D3164))</f>
        <v>90</v>
      </c>
      <c r="G3159" s="14">
        <f>INT((F3159/10)*2)</f>
        <v>18</v>
      </c>
      <c r="H3159" s="14">
        <f>F3159-G3159</f>
        <v>72</v>
      </c>
    </row>
    <row r="3160" spans="1:8" x14ac:dyDescent="0.3">
      <c r="A3160" s="15"/>
      <c r="B3160" s="15"/>
      <c r="C3160" s="3" t="s">
        <v>14</v>
      </c>
      <c r="D3160" s="2">
        <v>43.16</v>
      </c>
      <c r="E3160" s="15"/>
      <c r="F3160" s="15"/>
      <c r="G3160" s="15"/>
      <c r="H3160" s="15"/>
    </row>
    <row r="3161" spans="1:8" x14ac:dyDescent="0.3">
      <c r="A3161" s="15"/>
      <c r="B3161" s="15"/>
      <c r="C3161" s="3" t="s">
        <v>11</v>
      </c>
      <c r="D3161" s="2">
        <v>12</v>
      </c>
      <c r="E3161" s="15"/>
      <c r="F3161" s="15"/>
      <c r="G3161" s="15"/>
      <c r="H3161" s="15"/>
    </row>
    <row r="3162" spans="1:8" x14ac:dyDescent="0.3">
      <c r="A3162" s="15"/>
      <c r="B3162" s="15"/>
      <c r="C3162" s="3" t="s">
        <v>10</v>
      </c>
      <c r="D3162" s="7">
        <v>19.309999999999999</v>
      </c>
      <c r="E3162" s="15"/>
      <c r="F3162" s="15"/>
      <c r="G3162" s="15"/>
      <c r="H3162" s="15"/>
    </row>
    <row r="3163" spans="1:8" x14ac:dyDescent="0.3">
      <c r="A3163" s="15"/>
      <c r="B3163" s="15"/>
      <c r="C3163" s="8" t="s">
        <v>18</v>
      </c>
      <c r="D3163" s="2">
        <v>90.04</v>
      </c>
      <c r="E3163" s="15"/>
      <c r="F3163" s="15"/>
      <c r="G3163" s="15"/>
      <c r="H3163" s="15"/>
    </row>
    <row r="3164" spans="1:8" x14ac:dyDescent="0.3">
      <c r="A3164" s="16"/>
      <c r="B3164" s="16"/>
      <c r="C3164" s="3" t="s">
        <v>9</v>
      </c>
      <c r="D3164" s="2">
        <v>60.58</v>
      </c>
      <c r="E3164" s="16"/>
      <c r="F3164" s="16"/>
      <c r="G3164" s="16"/>
      <c r="H3164" s="16"/>
    </row>
    <row r="3165" spans="1:8" x14ac:dyDescent="0.3">
      <c r="A3165" s="18">
        <v>528</v>
      </c>
      <c r="B3165" s="20">
        <v>45891</v>
      </c>
      <c r="C3165" s="3" t="s">
        <v>15</v>
      </c>
      <c r="D3165" s="7">
        <v>19.745000000000001</v>
      </c>
      <c r="E3165" s="19">
        <f>SUM(D3165:D3170)</f>
        <v>119.17800000000003</v>
      </c>
      <c r="F3165" s="17">
        <f>INT(MAX(D3165:D3170))</f>
        <v>41</v>
      </c>
      <c r="G3165" s="14">
        <f>INT((F3165/10)*2)</f>
        <v>8</v>
      </c>
      <c r="H3165" s="14">
        <f>F3165-G3165</f>
        <v>33</v>
      </c>
    </row>
    <row r="3166" spans="1:8" x14ac:dyDescent="0.3">
      <c r="A3166" s="15"/>
      <c r="B3166" s="15"/>
      <c r="C3166" s="8" t="s">
        <v>10</v>
      </c>
      <c r="D3166" s="2">
        <v>10.88</v>
      </c>
      <c r="E3166" s="15"/>
      <c r="F3166" s="15"/>
      <c r="G3166" s="15"/>
      <c r="H3166" s="15"/>
    </row>
    <row r="3167" spans="1:8" x14ac:dyDescent="0.3">
      <c r="A3167" s="15"/>
      <c r="B3167" s="15"/>
      <c r="C3167" s="3" t="s">
        <v>16</v>
      </c>
      <c r="D3167" s="2">
        <v>18.559999999999999</v>
      </c>
      <c r="E3167" s="15"/>
      <c r="F3167" s="15"/>
      <c r="G3167" s="15"/>
      <c r="H3167" s="15"/>
    </row>
    <row r="3168" spans="1:8" x14ac:dyDescent="0.3">
      <c r="A3168" s="15"/>
      <c r="B3168" s="15"/>
      <c r="C3168" s="3" t="s">
        <v>9</v>
      </c>
      <c r="D3168" s="2">
        <v>41.96</v>
      </c>
      <c r="E3168" s="15"/>
      <c r="F3168" s="15"/>
      <c r="G3168" s="15"/>
      <c r="H3168" s="15"/>
    </row>
    <row r="3169" spans="1:8" x14ac:dyDescent="0.3">
      <c r="A3169" s="15"/>
      <c r="B3169" s="15"/>
      <c r="C3169" s="3" t="s">
        <v>11</v>
      </c>
      <c r="D3169" s="7">
        <v>16.353000000000002</v>
      </c>
      <c r="E3169" s="15"/>
      <c r="F3169" s="15"/>
      <c r="G3169" s="15"/>
      <c r="H3169" s="15"/>
    </row>
    <row r="3170" spans="1:8" x14ac:dyDescent="0.3">
      <c r="A3170" s="16"/>
      <c r="B3170" s="16"/>
      <c r="C3170" s="8" t="s">
        <v>16</v>
      </c>
      <c r="D3170" s="2">
        <v>11.68</v>
      </c>
      <c r="E3170" s="16"/>
      <c r="F3170" s="16"/>
      <c r="G3170" s="16"/>
      <c r="H3170" s="16"/>
    </row>
    <row r="3171" spans="1:8" x14ac:dyDescent="0.3">
      <c r="A3171" s="18">
        <v>529</v>
      </c>
      <c r="B3171" s="20">
        <v>45895</v>
      </c>
      <c r="C3171" s="3" t="s">
        <v>18</v>
      </c>
      <c r="D3171" s="2">
        <v>26.37</v>
      </c>
      <c r="E3171" s="19">
        <f>SUM(D3171:D3176)</f>
        <v>136.11799999999999</v>
      </c>
      <c r="F3171" s="17">
        <f>INT(MAX(D3171:D3176))</f>
        <v>30</v>
      </c>
      <c r="G3171" s="14">
        <f>INT((F3171/10)*2)</f>
        <v>6</v>
      </c>
      <c r="H3171" s="14">
        <f>F3171-G3171</f>
        <v>24</v>
      </c>
    </row>
    <row r="3172" spans="1:8" x14ac:dyDescent="0.3">
      <c r="A3172" s="15"/>
      <c r="B3172" s="15"/>
      <c r="C3172" s="3" t="s">
        <v>10</v>
      </c>
      <c r="D3172" s="7">
        <v>18.187999999999999</v>
      </c>
      <c r="E3172" s="15"/>
      <c r="F3172" s="15"/>
      <c r="G3172" s="15"/>
      <c r="H3172" s="15"/>
    </row>
    <row r="3173" spans="1:8" x14ac:dyDescent="0.3">
      <c r="A3173" s="15"/>
      <c r="B3173" s="15"/>
      <c r="C3173" s="8" t="s">
        <v>12</v>
      </c>
      <c r="D3173" s="2">
        <v>30.9</v>
      </c>
      <c r="E3173" s="15"/>
      <c r="F3173" s="15"/>
      <c r="G3173" s="15"/>
      <c r="H3173" s="15"/>
    </row>
    <row r="3174" spans="1:8" x14ac:dyDescent="0.3">
      <c r="A3174" s="15"/>
      <c r="B3174" s="15"/>
      <c r="C3174" s="3" t="s">
        <v>9</v>
      </c>
      <c r="D3174" s="2">
        <v>27.71</v>
      </c>
      <c r="E3174" s="15"/>
      <c r="F3174" s="15"/>
      <c r="G3174" s="15"/>
      <c r="H3174" s="15"/>
    </row>
    <row r="3175" spans="1:8" x14ac:dyDescent="0.3">
      <c r="A3175" s="15"/>
      <c r="B3175" s="15"/>
      <c r="C3175" s="3" t="s">
        <v>14</v>
      </c>
      <c r="D3175" s="2">
        <v>17.350000000000001</v>
      </c>
      <c r="E3175" s="15"/>
      <c r="F3175" s="15"/>
      <c r="G3175" s="15"/>
      <c r="H3175" s="15"/>
    </row>
    <row r="3176" spans="1:8" x14ac:dyDescent="0.3">
      <c r="A3176" s="16"/>
      <c r="B3176" s="16"/>
      <c r="C3176" s="3" t="s">
        <v>11</v>
      </c>
      <c r="D3176" s="2">
        <v>15.6</v>
      </c>
      <c r="E3176" s="16"/>
      <c r="F3176" s="16"/>
      <c r="G3176" s="16"/>
      <c r="H3176" s="16"/>
    </row>
    <row r="3177" spans="1:8" x14ac:dyDescent="0.3">
      <c r="A3177" s="18">
        <v>530</v>
      </c>
      <c r="B3177" s="20">
        <v>45898</v>
      </c>
      <c r="C3177" s="3" t="s">
        <v>18</v>
      </c>
      <c r="D3177" s="2">
        <v>13.69</v>
      </c>
      <c r="E3177" s="19">
        <f>SUM(D3177:D3182)</f>
        <v>254.15800000000002</v>
      </c>
      <c r="F3177" s="17">
        <f>INT(MAX(D3177:D3182))</f>
        <v>103</v>
      </c>
      <c r="G3177" s="14">
        <f>INT((F3177/10)*2)</f>
        <v>20</v>
      </c>
      <c r="H3177" s="14">
        <f>F3177-G3177</f>
        <v>83</v>
      </c>
    </row>
    <row r="3178" spans="1:8" x14ac:dyDescent="0.3">
      <c r="A3178" s="15"/>
      <c r="B3178" s="15"/>
      <c r="C3178" s="3" t="s">
        <v>8</v>
      </c>
      <c r="D3178" s="7">
        <v>25.175000000000001</v>
      </c>
      <c r="E3178" s="15"/>
      <c r="F3178" s="15"/>
      <c r="G3178" s="15"/>
      <c r="H3178" s="15"/>
    </row>
    <row r="3179" spans="1:8" x14ac:dyDescent="0.3">
      <c r="A3179" s="15"/>
      <c r="B3179" s="15"/>
      <c r="C3179" s="8" t="s">
        <v>8</v>
      </c>
      <c r="D3179" s="2">
        <v>38.53</v>
      </c>
      <c r="E3179" s="15"/>
      <c r="F3179" s="15"/>
      <c r="G3179" s="15"/>
      <c r="H3179" s="15"/>
    </row>
    <row r="3180" spans="1:8" x14ac:dyDescent="0.3">
      <c r="A3180" s="15"/>
      <c r="B3180" s="15"/>
      <c r="C3180" s="3" t="s">
        <v>9</v>
      </c>
      <c r="D3180" s="2">
        <v>23.13</v>
      </c>
      <c r="E3180" s="15"/>
      <c r="F3180" s="15"/>
      <c r="G3180" s="15"/>
      <c r="H3180" s="15"/>
    </row>
    <row r="3181" spans="1:8" x14ac:dyDescent="0.3">
      <c r="A3181" s="15"/>
      <c r="B3181" s="15"/>
      <c r="C3181" s="3" t="s">
        <v>14</v>
      </c>
      <c r="D3181" s="7">
        <v>103.633</v>
      </c>
      <c r="E3181" s="15"/>
      <c r="F3181" s="15"/>
      <c r="G3181" s="15"/>
      <c r="H3181" s="15"/>
    </row>
    <row r="3182" spans="1:8" x14ac:dyDescent="0.3">
      <c r="A3182" s="16"/>
      <c r="B3182" s="16"/>
      <c r="C3182" s="8" t="s">
        <v>12</v>
      </c>
      <c r="D3182" s="2">
        <v>50</v>
      </c>
      <c r="E3182" s="16"/>
      <c r="F3182" s="16"/>
      <c r="G3182" s="16"/>
      <c r="H3182" s="16"/>
    </row>
    <row r="3183" spans="1:8" x14ac:dyDescent="0.3">
      <c r="A3183" s="18">
        <v>531</v>
      </c>
      <c r="B3183" s="20">
        <v>45902</v>
      </c>
      <c r="C3183" s="3" t="s">
        <v>10</v>
      </c>
      <c r="D3183" s="2">
        <v>81.72</v>
      </c>
      <c r="E3183" s="19">
        <f>SUM(D3183:D3188)</f>
        <v>233.7</v>
      </c>
      <c r="F3183" s="17">
        <f>INT(MAX(D3183:D3188))</f>
        <v>81</v>
      </c>
      <c r="G3183" s="14">
        <f>INT((F3183/10)*2)</f>
        <v>16</v>
      </c>
      <c r="H3183" s="14">
        <f>F3183-G3183</f>
        <v>65</v>
      </c>
    </row>
    <row r="3184" spans="1:8" x14ac:dyDescent="0.3">
      <c r="A3184" s="15"/>
      <c r="B3184" s="15"/>
      <c r="C3184" s="3" t="s">
        <v>9</v>
      </c>
      <c r="D3184" s="7">
        <v>23.13</v>
      </c>
      <c r="E3184" s="15"/>
      <c r="F3184" s="15"/>
      <c r="G3184" s="15"/>
      <c r="H3184" s="15"/>
    </row>
    <row r="3185" spans="1:8" x14ac:dyDescent="0.3">
      <c r="A3185" s="15"/>
      <c r="B3185" s="15"/>
      <c r="C3185" s="8" t="s">
        <v>16</v>
      </c>
      <c r="D3185" s="2">
        <v>11.42</v>
      </c>
      <c r="E3185" s="15"/>
      <c r="F3185" s="15"/>
      <c r="G3185" s="15"/>
      <c r="H3185" s="15"/>
    </row>
    <row r="3186" spans="1:8" x14ac:dyDescent="0.3">
      <c r="A3186" s="15"/>
      <c r="B3186" s="15"/>
      <c r="C3186" s="3" t="s">
        <v>14</v>
      </c>
      <c r="D3186" s="2">
        <v>35.43</v>
      </c>
      <c r="E3186" s="15"/>
      <c r="F3186" s="15"/>
      <c r="G3186" s="15"/>
      <c r="H3186" s="15"/>
    </row>
    <row r="3187" spans="1:8" x14ac:dyDescent="0.3">
      <c r="A3187" s="15"/>
      <c r="B3187" s="15"/>
      <c r="C3187" s="3" t="s">
        <v>15</v>
      </c>
      <c r="D3187" s="2">
        <v>32.64</v>
      </c>
      <c r="E3187" s="15"/>
      <c r="F3187" s="15"/>
      <c r="G3187" s="15"/>
      <c r="H3187" s="15"/>
    </row>
    <row r="3188" spans="1:8" x14ac:dyDescent="0.3">
      <c r="A3188" s="16"/>
      <c r="B3188" s="16"/>
      <c r="C3188" s="3" t="s">
        <v>9</v>
      </c>
      <c r="D3188" s="2">
        <v>49.36</v>
      </c>
      <c r="E3188" s="16"/>
      <c r="F3188" s="16"/>
      <c r="G3188" s="16"/>
      <c r="H3188" s="16"/>
    </row>
    <row r="3189" spans="1:8" x14ac:dyDescent="0.3">
      <c r="A3189" s="18">
        <v>532</v>
      </c>
      <c r="B3189" s="20">
        <v>45905</v>
      </c>
      <c r="C3189" s="3" t="s">
        <v>11</v>
      </c>
      <c r="D3189" s="7">
        <v>6.5629999999999997</v>
      </c>
      <c r="E3189" s="19">
        <f>SUM(D3189:D3194)</f>
        <v>135.59199999999998</v>
      </c>
      <c r="F3189" s="17">
        <f>INT(MAX(D3189:D3194))</f>
        <v>36</v>
      </c>
      <c r="G3189" s="14">
        <f>INT((F3189/10)*2)</f>
        <v>7</v>
      </c>
      <c r="H3189" s="14">
        <f>F3189-G3189</f>
        <v>29</v>
      </c>
    </row>
    <row r="3190" spans="1:8" x14ac:dyDescent="0.3">
      <c r="A3190" s="15"/>
      <c r="B3190" s="15"/>
      <c r="C3190" s="8" t="s">
        <v>8</v>
      </c>
      <c r="D3190" s="2">
        <v>17.350000000000001</v>
      </c>
      <c r="E3190" s="15"/>
      <c r="F3190" s="15"/>
      <c r="G3190" s="15"/>
      <c r="H3190" s="15"/>
    </row>
    <row r="3191" spans="1:8" x14ac:dyDescent="0.3">
      <c r="A3191" s="15"/>
      <c r="B3191" s="15"/>
      <c r="C3191" s="3" t="s">
        <v>14</v>
      </c>
      <c r="D3191" s="2">
        <v>26.31</v>
      </c>
      <c r="E3191" s="15"/>
      <c r="F3191" s="15"/>
      <c r="G3191" s="15"/>
      <c r="H3191" s="15"/>
    </row>
    <row r="3192" spans="1:8" x14ac:dyDescent="0.3">
      <c r="A3192" s="15"/>
      <c r="B3192" s="15"/>
      <c r="C3192" s="3" t="s">
        <v>15</v>
      </c>
      <c r="D3192" s="7">
        <v>36.319000000000003</v>
      </c>
      <c r="E3192" s="15"/>
      <c r="F3192" s="15"/>
      <c r="G3192" s="15"/>
      <c r="H3192" s="15"/>
    </row>
    <row r="3193" spans="1:8" x14ac:dyDescent="0.3">
      <c r="A3193" s="15"/>
      <c r="B3193" s="15"/>
      <c r="C3193" s="8" t="s">
        <v>17</v>
      </c>
      <c r="D3193" s="2">
        <v>22.57</v>
      </c>
      <c r="E3193" s="15"/>
      <c r="F3193" s="15"/>
      <c r="G3193" s="15"/>
      <c r="H3193" s="15"/>
    </row>
    <row r="3194" spans="1:8" x14ac:dyDescent="0.3">
      <c r="A3194" s="16"/>
      <c r="B3194" s="16"/>
      <c r="C3194" s="3" t="s">
        <v>16</v>
      </c>
      <c r="D3194" s="2">
        <v>26.48</v>
      </c>
      <c r="E3194" s="16"/>
      <c r="F3194" s="16"/>
      <c r="G3194" s="16"/>
      <c r="H3194" s="16"/>
    </row>
    <row r="3195" spans="1:8" x14ac:dyDescent="0.3">
      <c r="A3195" s="18">
        <v>533</v>
      </c>
      <c r="B3195" s="20">
        <v>45909</v>
      </c>
      <c r="C3195" s="3" t="s">
        <v>15</v>
      </c>
      <c r="D3195" s="2">
        <v>80.5</v>
      </c>
      <c r="E3195" s="19">
        <f>SUM(D3195:D3200)</f>
        <v>189.733</v>
      </c>
      <c r="F3195" s="17">
        <f>INT(MAX(D3195:D3200))</f>
        <v>80</v>
      </c>
      <c r="G3195" s="14">
        <f>INT((F3195/10)*2)</f>
        <v>16</v>
      </c>
      <c r="H3195" s="14">
        <f>F3195-G3195</f>
        <v>64</v>
      </c>
    </row>
    <row r="3196" spans="1:8" x14ac:dyDescent="0.3">
      <c r="A3196" s="15"/>
      <c r="B3196" s="15"/>
      <c r="C3196" s="3" t="s">
        <v>11</v>
      </c>
      <c r="D3196" s="2">
        <v>41.53</v>
      </c>
      <c r="E3196" s="15"/>
      <c r="F3196" s="15"/>
      <c r="G3196" s="15"/>
      <c r="H3196" s="15"/>
    </row>
    <row r="3197" spans="1:8" x14ac:dyDescent="0.3">
      <c r="A3197" s="15"/>
      <c r="B3197" s="15"/>
      <c r="C3197" s="3" t="s">
        <v>12</v>
      </c>
      <c r="D3197" s="7">
        <v>8.0329999999999995</v>
      </c>
      <c r="E3197" s="15"/>
      <c r="F3197" s="15"/>
      <c r="G3197" s="15"/>
      <c r="H3197" s="15"/>
    </row>
    <row r="3198" spans="1:8" x14ac:dyDescent="0.3">
      <c r="A3198" s="15"/>
      <c r="B3198" s="15"/>
      <c r="C3198" s="8" t="s">
        <v>18</v>
      </c>
      <c r="D3198" s="2">
        <v>29.78</v>
      </c>
      <c r="E3198" s="15"/>
      <c r="F3198" s="15"/>
      <c r="G3198" s="15"/>
      <c r="H3198" s="15"/>
    </row>
    <row r="3199" spans="1:8" x14ac:dyDescent="0.3">
      <c r="A3199" s="15"/>
      <c r="B3199" s="15"/>
      <c r="C3199" s="3" t="s">
        <v>13</v>
      </c>
      <c r="D3199" s="2">
        <v>3.86</v>
      </c>
      <c r="E3199" s="15"/>
      <c r="F3199" s="15"/>
      <c r="G3199" s="15"/>
      <c r="H3199" s="15"/>
    </row>
    <row r="3200" spans="1:8" x14ac:dyDescent="0.3">
      <c r="A3200" s="16"/>
      <c r="B3200" s="16"/>
      <c r="C3200" s="3" t="s">
        <v>8</v>
      </c>
      <c r="D3200" s="2">
        <v>26.03</v>
      </c>
      <c r="E3200" s="16"/>
      <c r="F3200" s="16"/>
      <c r="G3200" s="16"/>
      <c r="H3200" s="16"/>
    </row>
    <row r="3201" spans="1:8" x14ac:dyDescent="0.3">
      <c r="A3201" s="18">
        <v>534</v>
      </c>
      <c r="B3201" s="20">
        <v>45912</v>
      </c>
      <c r="C3201" s="3" t="s">
        <v>11</v>
      </c>
      <c r="D3201" s="2">
        <v>12.48</v>
      </c>
      <c r="E3201" s="19">
        <f>SUM(D3201:D3206)</f>
        <v>105.333</v>
      </c>
      <c r="F3201" s="17">
        <f>INT(MAX(D3201:D3206))</f>
        <v>22</v>
      </c>
      <c r="G3201" s="14">
        <f>INT((F3201/10)*2)</f>
        <v>4</v>
      </c>
      <c r="H3201" s="14">
        <f>F3201-G3201</f>
        <v>18</v>
      </c>
    </row>
    <row r="3202" spans="1:8" x14ac:dyDescent="0.3">
      <c r="A3202" s="15"/>
      <c r="B3202" s="15"/>
      <c r="C3202" s="3" t="s">
        <v>12</v>
      </c>
      <c r="D3202" s="2">
        <v>11.27</v>
      </c>
      <c r="E3202" s="15"/>
      <c r="F3202" s="15"/>
      <c r="G3202" s="15"/>
      <c r="H3202" s="15"/>
    </row>
    <row r="3203" spans="1:8" x14ac:dyDescent="0.3">
      <c r="A3203" s="15"/>
      <c r="B3203" s="15"/>
      <c r="C3203" s="3" t="s">
        <v>9</v>
      </c>
      <c r="D3203" s="7">
        <v>19.433</v>
      </c>
      <c r="E3203" s="15"/>
      <c r="F3203" s="15"/>
      <c r="G3203" s="15"/>
      <c r="H3203" s="15"/>
    </row>
    <row r="3204" spans="1:8" x14ac:dyDescent="0.3">
      <c r="A3204" s="15"/>
      <c r="B3204" s="15"/>
      <c r="C3204" s="8" t="s">
        <v>15</v>
      </c>
      <c r="D3204" s="2">
        <v>20.85</v>
      </c>
      <c r="E3204" s="15"/>
      <c r="F3204" s="15"/>
      <c r="G3204" s="15"/>
      <c r="H3204" s="15"/>
    </row>
    <row r="3205" spans="1:8" x14ac:dyDescent="0.3">
      <c r="A3205" s="15"/>
      <c r="B3205" s="15"/>
      <c r="C3205" s="3" t="s">
        <v>10</v>
      </c>
      <c r="D3205" s="2">
        <v>22.78</v>
      </c>
      <c r="E3205" s="15"/>
      <c r="F3205" s="15"/>
      <c r="G3205" s="15"/>
      <c r="H3205" s="15"/>
    </row>
    <row r="3206" spans="1:8" x14ac:dyDescent="0.3">
      <c r="A3206" s="16"/>
      <c r="B3206" s="16"/>
      <c r="C3206" s="3" t="s">
        <v>9</v>
      </c>
      <c r="D3206" s="2">
        <v>18.52</v>
      </c>
      <c r="E3206" s="16"/>
      <c r="F3206" s="16"/>
      <c r="G3206" s="16"/>
      <c r="H3206" s="16"/>
    </row>
    <row r="3207" spans="1:8" x14ac:dyDescent="0.3">
      <c r="A3207" s="18">
        <v>535</v>
      </c>
      <c r="B3207" s="20">
        <v>45916</v>
      </c>
      <c r="C3207" s="3" t="s">
        <v>17</v>
      </c>
      <c r="D3207" s="7">
        <v>28.597999999999999</v>
      </c>
      <c r="E3207" s="19">
        <f>SUM(D3207:D3212)</f>
        <v>97.402999999999992</v>
      </c>
      <c r="F3207" s="17">
        <f>INT(MAX(D3207:D3212))</f>
        <v>28</v>
      </c>
      <c r="G3207" s="14">
        <f>INT((F3207/10)*2)</f>
        <v>5</v>
      </c>
      <c r="H3207" s="14">
        <f>F3207-G3207</f>
        <v>23</v>
      </c>
    </row>
    <row r="3208" spans="1:8" x14ac:dyDescent="0.3">
      <c r="A3208" s="15"/>
      <c r="B3208" s="15"/>
      <c r="C3208" s="8" t="s">
        <v>11</v>
      </c>
      <c r="D3208" s="2">
        <v>12.55</v>
      </c>
      <c r="E3208" s="15"/>
      <c r="F3208" s="15"/>
      <c r="G3208" s="15"/>
      <c r="H3208" s="15"/>
    </row>
    <row r="3209" spans="1:8" x14ac:dyDescent="0.3">
      <c r="A3209" s="15"/>
      <c r="B3209" s="15"/>
      <c r="C3209" s="3" t="s">
        <v>12</v>
      </c>
      <c r="D3209" s="2">
        <v>15.26</v>
      </c>
      <c r="E3209" s="15"/>
      <c r="F3209" s="15"/>
      <c r="G3209" s="15"/>
      <c r="H3209" s="15"/>
    </row>
    <row r="3210" spans="1:8" x14ac:dyDescent="0.3">
      <c r="A3210" s="15"/>
      <c r="B3210" s="15"/>
      <c r="C3210" s="3" t="s">
        <v>14</v>
      </c>
      <c r="D3210" s="2">
        <v>21.06</v>
      </c>
      <c r="E3210" s="15"/>
      <c r="F3210" s="15"/>
      <c r="G3210" s="15"/>
      <c r="H3210" s="15"/>
    </row>
    <row r="3211" spans="1:8" x14ac:dyDescent="0.3">
      <c r="A3211" s="15"/>
      <c r="B3211" s="15"/>
      <c r="C3211" s="3" t="s">
        <v>15</v>
      </c>
      <c r="D3211" s="2">
        <v>15.19</v>
      </c>
      <c r="E3211" s="15"/>
      <c r="F3211" s="15"/>
      <c r="G3211" s="15"/>
      <c r="H3211" s="15"/>
    </row>
    <row r="3212" spans="1:8" x14ac:dyDescent="0.3">
      <c r="A3212" s="16"/>
      <c r="B3212" s="16"/>
      <c r="C3212" s="3" t="s">
        <v>10</v>
      </c>
      <c r="D3212" s="7">
        <v>4.7450000000000001</v>
      </c>
      <c r="E3212" s="16"/>
      <c r="F3212" s="16"/>
      <c r="G3212" s="16"/>
      <c r="H3212" s="16"/>
    </row>
    <row r="3213" spans="1:8" x14ac:dyDescent="0.3">
      <c r="A3213" s="18">
        <v>536</v>
      </c>
      <c r="B3213" s="20">
        <v>45919</v>
      </c>
      <c r="C3213" s="8" t="s">
        <v>10</v>
      </c>
      <c r="D3213" s="2">
        <v>9.3000000000000007</v>
      </c>
      <c r="E3213" s="19">
        <f>SUM(D3213:D3218)</f>
        <v>182.09</v>
      </c>
      <c r="F3213" s="17">
        <f>INT(MAX(D3213:D3218))</f>
        <v>70</v>
      </c>
      <c r="G3213" s="14">
        <f>INT((F3213/10)*2)</f>
        <v>14</v>
      </c>
      <c r="H3213" s="14">
        <f>F3213-G3213</f>
        <v>56</v>
      </c>
    </row>
    <row r="3214" spans="1:8" x14ac:dyDescent="0.3">
      <c r="A3214" s="15"/>
      <c r="B3214" s="15"/>
      <c r="C3214" s="3" t="s">
        <v>18</v>
      </c>
      <c r="D3214" s="2">
        <v>24.48</v>
      </c>
      <c r="E3214" s="15"/>
      <c r="F3214" s="15"/>
      <c r="G3214" s="15"/>
      <c r="H3214" s="15"/>
    </row>
    <row r="3215" spans="1:8" x14ac:dyDescent="0.3">
      <c r="A3215" s="15"/>
      <c r="B3215" s="15"/>
      <c r="C3215" s="3" t="s">
        <v>9</v>
      </c>
      <c r="D3215" s="7">
        <v>28.66</v>
      </c>
      <c r="E3215" s="15"/>
      <c r="F3215" s="15"/>
      <c r="G3215" s="15"/>
      <c r="H3215" s="15"/>
    </row>
    <row r="3216" spans="1:8" x14ac:dyDescent="0.3">
      <c r="A3216" s="15"/>
      <c r="B3216" s="15"/>
      <c r="C3216" s="8" t="s">
        <v>9</v>
      </c>
      <c r="D3216" s="2">
        <v>70.03</v>
      </c>
      <c r="E3216" s="15"/>
      <c r="F3216" s="15"/>
      <c r="G3216" s="15"/>
      <c r="H3216" s="15"/>
    </row>
    <row r="3217" spans="1:8" x14ac:dyDescent="0.3">
      <c r="A3217" s="15"/>
      <c r="B3217" s="15"/>
      <c r="C3217" s="3" t="s">
        <v>13</v>
      </c>
      <c r="D3217" s="2">
        <v>15.8</v>
      </c>
      <c r="E3217" s="15"/>
      <c r="F3217" s="15"/>
      <c r="G3217" s="15"/>
      <c r="H3217" s="15"/>
    </row>
    <row r="3218" spans="1:8" x14ac:dyDescent="0.3">
      <c r="A3218" s="16"/>
      <c r="B3218" s="16"/>
      <c r="C3218" s="3" t="s">
        <v>17</v>
      </c>
      <c r="D3218" s="2">
        <v>33.82</v>
      </c>
      <c r="E3218" s="16"/>
      <c r="F3218" s="16"/>
      <c r="G3218" s="16"/>
      <c r="H3218" s="16"/>
    </row>
    <row r="3219" spans="1:8" x14ac:dyDescent="0.3">
      <c r="A3219" s="18">
        <v>537</v>
      </c>
      <c r="B3219" s="20">
        <v>45923</v>
      </c>
      <c r="C3219" s="3" t="s">
        <v>10</v>
      </c>
      <c r="D3219" s="7">
        <v>95.778999999999996</v>
      </c>
      <c r="E3219" s="19">
        <f>SUM(D3219:D3224)</f>
        <v>202.17899999999997</v>
      </c>
      <c r="F3219" s="17">
        <f>INT(MAX(D3219:D3224))</f>
        <v>95</v>
      </c>
      <c r="G3219" s="14">
        <f>INT((F3219/10)*2)</f>
        <v>19</v>
      </c>
      <c r="H3219" s="14">
        <f>F3219-G3219</f>
        <v>76</v>
      </c>
    </row>
    <row r="3220" spans="1:8" x14ac:dyDescent="0.3">
      <c r="A3220" s="15"/>
      <c r="B3220" s="15"/>
      <c r="C3220" s="8" t="s">
        <v>11</v>
      </c>
      <c r="D3220" s="2">
        <v>41.76</v>
      </c>
      <c r="E3220" s="15"/>
      <c r="F3220" s="15"/>
      <c r="G3220" s="15"/>
      <c r="H3220" s="15"/>
    </row>
    <row r="3221" spans="1:8" x14ac:dyDescent="0.3">
      <c r="A3221" s="15"/>
      <c r="B3221" s="15"/>
      <c r="C3221" s="3" t="s">
        <v>13</v>
      </c>
      <c r="D3221" s="2">
        <v>23.4</v>
      </c>
      <c r="E3221" s="15"/>
      <c r="F3221" s="15"/>
      <c r="G3221" s="15"/>
      <c r="H3221" s="15"/>
    </row>
    <row r="3222" spans="1:8" x14ac:dyDescent="0.3">
      <c r="A3222" s="15"/>
      <c r="B3222" s="15"/>
      <c r="C3222" s="3" t="s">
        <v>10</v>
      </c>
      <c r="D3222" s="7">
        <v>13.1</v>
      </c>
      <c r="E3222" s="15"/>
      <c r="F3222" s="15"/>
      <c r="G3222" s="15"/>
      <c r="H3222" s="15"/>
    </row>
    <row r="3223" spans="1:8" x14ac:dyDescent="0.3">
      <c r="A3223" s="15"/>
      <c r="B3223" s="15"/>
      <c r="C3223" s="8" t="s">
        <v>17</v>
      </c>
      <c r="D3223" s="2">
        <v>13.26</v>
      </c>
      <c r="E3223" s="15"/>
      <c r="F3223" s="15"/>
      <c r="G3223" s="15"/>
      <c r="H3223" s="15"/>
    </row>
    <row r="3224" spans="1:8" x14ac:dyDescent="0.3">
      <c r="A3224" s="16"/>
      <c r="B3224" s="16"/>
      <c r="C3224" s="3" t="s">
        <v>15</v>
      </c>
      <c r="D3224" s="2">
        <v>14.88</v>
      </c>
      <c r="E3224" s="16"/>
      <c r="F3224" s="16"/>
      <c r="G3224" s="16"/>
      <c r="H3224" s="16"/>
    </row>
    <row r="3225" spans="1:8" x14ac:dyDescent="0.3">
      <c r="A3225" s="18">
        <v>538</v>
      </c>
      <c r="B3225" s="20">
        <v>45926</v>
      </c>
      <c r="C3225" s="3" t="s">
        <v>9</v>
      </c>
      <c r="D3225" s="2">
        <v>3.8</v>
      </c>
      <c r="E3225" s="19">
        <f>SUM(D3225:D3230)</f>
        <v>88.631</v>
      </c>
      <c r="F3225" s="17">
        <f>INT(MAX(D3225:D3230))</f>
        <v>34</v>
      </c>
      <c r="G3225" s="14">
        <f>INT((F3225/10)*2)</f>
        <v>6</v>
      </c>
      <c r="H3225" s="14">
        <f>F3225-G3225</f>
        <v>28</v>
      </c>
    </row>
    <row r="3226" spans="1:8" x14ac:dyDescent="0.3">
      <c r="A3226" s="15"/>
      <c r="B3226" s="15"/>
      <c r="C3226" s="3" t="s">
        <v>10</v>
      </c>
      <c r="D3226" s="2">
        <v>11.06</v>
      </c>
      <c r="E3226" s="15"/>
      <c r="F3226" s="15"/>
      <c r="G3226" s="15"/>
      <c r="H3226" s="15"/>
    </row>
    <row r="3227" spans="1:8" x14ac:dyDescent="0.3">
      <c r="A3227" s="15"/>
      <c r="B3227" s="15"/>
      <c r="C3227" s="3" t="s">
        <v>8</v>
      </c>
      <c r="D3227" s="2">
        <v>34</v>
      </c>
      <c r="E3227" s="15"/>
      <c r="F3227" s="15"/>
      <c r="G3227" s="15"/>
      <c r="H3227" s="15"/>
    </row>
    <row r="3228" spans="1:8" x14ac:dyDescent="0.3">
      <c r="A3228" s="15"/>
      <c r="B3228" s="15"/>
      <c r="C3228" s="3" t="s">
        <v>11</v>
      </c>
      <c r="D3228" s="7">
        <v>15.901</v>
      </c>
      <c r="E3228" s="15"/>
      <c r="F3228" s="15"/>
      <c r="G3228" s="15"/>
      <c r="H3228" s="15"/>
    </row>
    <row r="3229" spans="1:8" x14ac:dyDescent="0.3">
      <c r="A3229" s="15"/>
      <c r="B3229" s="15"/>
      <c r="C3229" s="8" t="s">
        <v>14</v>
      </c>
      <c r="D3229" s="2">
        <v>12.72</v>
      </c>
      <c r="E3229" s="15"/>
      <c r="F3229" s="15"/>
      <c r="G3229" s="15"/>
      <c r="H3229" s="15"/>
    </row>
    <row r="3230" spans="1:8" x14ac:dyDescent="0.3">
      <c r="A3230" s="16"/>
      <c r="B3230" s="16"/>
      <c r="C3230" s="3" t="s">
        <v>17</v>
      </c>
      <c r="D3230" s="2">
        <v>11.15</v>
      </c>
      <c r="E3230" s="16"/>
      <c r="F3230" s="16"/>
      <c r="G3230" s="16"/>
      <c r="H3230" s="16"/>
    </row>
    <row r="3231" spans="1:8" x14ac:dyDescent="0.3">
      <c r="A3231" s="18">
        <v>539</v>
      </c>
      <c r="B3231" s="20">
        <v>45930</v>
      </c>
      <c r="C3231" s="3" t="s">
        <v>11</v>
      </c>
      <c r="D3231" s="2">
        <v>12.26</v>
      </c>
      <c r="E3231" s="19">
        <f>SUM(D3231:D3236)</f>
        <v>85.722999999999999</v>
      </c>
      <c r="F3231" s="17">
        <f>INT(MAX(D3231:D3236))</f>
        <v>34</v>
      </c>
      <c r="G3231" s="14">
        <f>INT((F3231/10)*2)</f>
        <v>6</v>
      </c>
      <c r="H3231" s="14">
        <f>F3231-G3231</f>
        <v>28</v>
      </c>
    </row>
    <row r="3232" spans="1:8" x14ac:dyDescent="0.3">
      <c r="A3232" s="15"/>
      <c r="B3232" s="15"/>
      <c r="C3232" s="3" t="s">
        <v>8</v>
      </c>
      <c r="D3232" s="7">
        <v>17.353999999999999</v>
      </c>
      <c r="E3232" s="15"/>
      <c r="F3232" s="15"/>
      <c r="G3232" s="15"/>
      <c r="H3232" s="15"/>
    </row>
    <row r="3233" spans="1:8" x14ac:dyDescent="0.3">
      <c r="A3233" s="15"/>
      <c r="B3233" s="15"/>
      <c r="C3233" s="8" t="s">
        <v>9</v>
      </c>
      <c r="D3233" s="2">
        <v>4.1399999999999997</v>
      </c>
      <c r="E3233" s="15"/>
      <c r="F3233" s="15"/>
      <c r="G3233" s="15"/>
      <c r="H3233" s="15"/>
    </row>
    <row r="3234" spans="1:8" x14ac:dyDescent="0.3">
      <c r="A3234" s="15"/>
      <c r="B3234" s="15"/>
      <c r="C3234" s="3" t="s">
        <v>16</v>
      </c>
      <c r="D3234" s="2">
        <v>3.5</v>
      </c>
      <c r="E3234" s="15"/>
      <c r="F3234" s="15"/>
      <c r="G3234" s="15"/>
      <c r="H3234" s="15"/>
    </row>
    <row r="3235" spans="1:8" x14ac:dyDescent="0.3">
      <c r="A3235" s="15"/>
      <c r="B3235" s="15"/>
      <c r="C3235" s="3" t="s">
        <v>18</v>
      </c>
      <c r="D3235" s="2">
        <v>13.96</v>
      </c>
      <c r="E3235" s="15"/>
      <c r="F3235" s="15"/>
      <c r="G3235" s="15"/>
      <c r="H3235" s="15"/>
    </row>
    <row r="3236" spans="1:8" x14ac:dyDescent="0.3">
      <c r="A3236" s="16"/>
      <c r="B3236" s="16"/>
      <c r="C3236" s="3" t="s">
        <v>15</v>
      </c>
      <c r="D3236" s="7">
        <v>34.509</v>
      </c>
      <c r="E3236" s="16"/>
      <c r="F3236" s="16"/>
      <c r="G3236" s="16"/>
      <c r="H3236" s="16"/>
    </row>
    <row r="3237" spans="1:8" x14ac:dyDescent="0.3">
      <c r="A3237" s="18">
        <v>540</v>
      </c>
      <c r="B3237" s="20">
        <v>45933</v>
      </c>
      <c r="C3237" s="8" t="s">
        <v>16</v>
      </c>
      <c r="D3237" s="2">
        <v>12.08</v>
      </c>
      <c r="E3237" s="19">
        <f>SUM(D3237:D3242)</f>
        <v>216.43300000000002</v>
      </c>
      <c r="F3237" s="17">
        <f>INT(MAX(D3237:D3242))</f>
        <v>85</v>
      </c>
      <c r="G3237" s="14">
        <f>INT((F3237/10)*2)</f>
        <v>17</v>
      </c>
      <c r="H3237" s="14">
        <f>F3237-G3237</f>
        <v>68</v>
      </c>
    </row>
    <row r="3238" spans="1:8" x14ac:dyDescent="0.3">
      <c r="A3238" s="15"/>
      <c r="B3238" s="15"/>
      <c r="C3238" s="3" t="s">
        <v>17</v>
      </c>
      <c r="D3238" s="2">
        <v>25.98</v>
      </c>
      <c r="E3238" s="15"/>
      <c r="F3238" s="15"/>
      <c r="G3238" s="15"/>
      <c r="H3238" s="15"/>
    </row>
    <row r="3239" spans="1:8" x14ac:dyDescent="0.3">
      <c r="A3239" s="15"/>
      <c r="B3239" s="15"/>
      <c r="C3239" s="3" t="s">
        <v>14</v>
      </c>
      <c r="D3239" s="2">
        <v>31.71</v>
      </c>
      <c r="E3239" s="15"/>
      <c r="F3239" s="15"/>
      <c r="G3239" s="15"/>
      <c r="H3239" s="15"/>
    </row>
    <row r="3240" spans="1:8" x14ac:dyDescent="0.3">
      <c r="A3240" s="15"/>
      <c r="B3240" s="15"/>
      <c r="C3240" s="3" t="s">
        <v>15</v>
      </c>
      <c r="D3240" s="2">
        <v>85.03</v>
      </c>
      <c r="E3240" s="15"/>
      <c r="F3240" s="15"/>
      <c r="G3240" s="15"/>
      <c r="H3240" s="15"/>
    </row>
    <row r="3241" spans="1:8" x14ac:dyDescent="0.3">
      <c r="A3241" s="15"/>
      <c r="B3241" s="15"/>
      <c r="C3241" s="3" t="s">
        <v>13</v>
      </c>
      <c r="D3241" s="2">
        <v>32.42</v>
      </c>
      <c r="E3241" s="15"/>
      <c r="F3241" s="15"/>
      <c r="G3241" s="15"/>
      <c r="H3241" s="15"/>
    </row>
    <row r="3242" spans="1:8" x14ac:dyDescent="0.3">
      <c r="A3242" s="16"/>
      <c r="B3242" s="16"/>
      <c r="C3242" s="3" t="s">
        <v>10</v>
      </c>
      <c r="D3242" s="7">
        <v>29.213000000000001</v>
      </c>
      <c r="E3242" s="16"/>
      <c r="F3242" s="16"/>
      <c r="G3242" s="16"/>
      <c r="H3242" s="16"/>
    </row>
    <row r="3243" spans="1:8" x14ac:dyDescent="0.3">
      <c r="A3243" s="18">
        <v>541</v>
      </c>
      <c r="B3243" s="20">
        <v>45937</v>
      </c>
      <c r="C3243" s="8" t="s">
        <v>8</v>
      </c>
      <c r="D3243" s="2">
        <v>54.27</v>
      </c>
      <c r="E3243" s="19">
        <f>SUM(D3243:D3248)</f>
        <v>167.94200000000001</v>
      </c>
      <c r="F3243" s="17">
        <f>INT(MAX(D3243:D3248))</f>
        <v>54</v>
      </c>
      <c r="G3243" s="14">
        <f>INT((F3243/10)*2)</f>
        <v>10</v>
      </c>
      <c r="H3243" s="14">
        <f>F3243-G3243</f>
        <v>44</v>
      </c>
    </row>
    <row r="3244" spans="1:8" x14ac:dyDescent="0.3">
      <c r="A3244" s="15"/>
      <c r="B3244" s="15"/>
      <c r="C3244" s="3" t="s">
        <v>13</v>
      </c>
      <c r="D3244" s="2">
        <v>25.71</v>
      </c>
      <c r="E3244" s="15"/>
      <c r="F3244" s="15"/>
      <c r="G3244" s="15"/>
      <c r="H3244" s="15"/>
    </row>
    <row r="3245" spans="1:8" x14ac:dyDescent="0.3">
      <c r="A3245" s="15"/>
      <c r="B3245" s="15"/>
      <c r="C3245" s="3" t="s">
        <v>14</v>
      </c>
      <c r="D3245" s="7">
        <v>13.061999999999999</v>
      </c>
      <c r="E3245" s="15"/>
      <c r="F3245" s="15"/>
      <c r="G3245" s="15"/>
      <c r="H3245" s="15"/>
    </row>
    <row r="3246" spans="1:8" x14ac:dyDescent="0.3">
      <c r="A3246" s="15"/>
      <c r="B3246" s="15"/>
      <c r="C3246" s="8" t="s">
        <v>16</v>
      </c>
      <c r="D3246" s="2">
        <v>5.0999999999999996</v>
      </c>
      <c r="E3246" s="15"/>
      <c r="F3246" s="15"/>
      <c r="G3246" s="15"/>
      <c r="H3246" s="15"/>
    </row>
    <row r="3247" spans="1:8" x14ac:dyDescent="0.3">
      <c r="A3247" s="15"/>
      <c r="B3247" s="15"/>
      <c r="C3247" s="3" t="s">
        <v>10</v>
      </c>
      <c r="D3247" s="2">
        <v>22.59</v>
      </c>
      <c r="E3247" s="15"/>
      <c r="F3247" s="15"/>
      <c r="G3247" s="15"/>
      <c r="H3247" s="15"/>
    </row>
    <row r="3248" spans="1:8" x14ac:dyDescent="0.3">
      <c r="A3248" s="16"/>
      <c r="B3248" s="16"/>
      <c r="C3248" s="3" t="s">
        <v>13</v>
      </c>
      <c r="D3248" s="2">
        <v>47.21</v>
      </c>
      <c r="E3248" s="16"/>
      <c r="F3248" s="16"/>
      <c r="G3248" s="16"/>
      <c r="H3248" s="16"/>
    </row>
    <row r="3249" spans="1:8" x14ac:dyDescent="0.3">
      <c r="A3249" s="18">
        <v>542</v>
      </c>
      <c r="B3249" s="20">
        <v>45940</v>
      </c>
      <c r="C3249" s="3" t="s">
        <v>11</v>
      </c>
      <c r="D3249" s="7">
        <v>16.353000000000002</v>
      </c>
      <c r="E3249" s="19">
        <f>SUM(D3249:D3254)</f>
        <v>129.82</v>
      </c>
      <c r="F3249" s="17">
        <f>INT(MAX(D3249:D3254))</f>
        <v>45</v>
      </c>
      <c r="G3249" s="14">
        <f>INT((F3249/10)*2)</f>
        <v>9</v>
      </c>
      <c r="H3249" s="14">
        <f>F3249-G3249</f>
        <v>36</v>
      </c>
    </row>
    <row r="3250" spans="1:8" x14ac:dyDescent="0.3">
      <c r="A3250" s="15"/>
      <c r="B3250" s="15"/>
      <c r="C3250" s="8" t="s">
        <v>17</v>
      </c>
      <c r="D3250" s="2">
        <v>11.01</v>
      </c>
      <c r="E3250" s="15"/>
      <c r="F3250" s="15"/>
      <c r="G3250" s="15"/>
      <c r="H3250" s="15"/>
    </row>
    <row r="3251" spans="1:8" x14ac:dyDescent="0.3">
      <c r="A3251" s="15"/>
      <c r="B3251" s="15"/>
      <c r="C3251" s="3" t="s">
        <v>10</v>
      </c>
      <c r="D3251" s="2">
        <v>13.79</v>
      </c>
      <c r="E3251" s="15"/>
      <c r="F3251" s="15"/>
      <c r="G3251" s="15"/>
      <c r="H3251" s="15"/>
    </row>
    <row r="3252" spans="1:8" x14ac:dyDescent="0.3">
      <c r="A3252" s="15"/>
      <c r="B3252" s="15"/>
      <c r="C3252" s="3" t="s">
        <v>16</v>
      </c>
      <c r="D3252" s="2">
        <v>45.34</v>
      </c>
      <c r="E3252" s="15"/>
      <c r="F3252" s="15"/>
      <c r="G3252" s="15"/>
      <c r="H3252" s="15"/>
    </row>
    <row r="3253" spans="1:8" x14ac:dyDescent="0.3">
      <c r="A3253" s="15"/>
      <c r="B3253" s="15"/>
      <c r="C3253" s="3" t="s">
        <v>11</v>
      </c>
      <c r="D3253" s="2">
        <v>27.11</v>
      </c>
      <c r="E3253" s="15"/>
      <c r="F3253" s="15"/>
      <c r="G3253" s="15"/>
      <c r="H3253" s="15"/>
    </row>
    <row r="3254" spans="1:8" x14ac:dyDescent="0.3">
      <c r="A3254" s="16"/>
      <c r="B3254" s="16"/>
      <c r="C3254" s="3" t="s">
        <v>18</v>
      </c>
      <c r="D3254" s="7">
        <v>16.216999999999999</v>
      </c>
      <c r="E3254" s="16"/>
      <c r="F3254" s="16"/>
      <c r="G3254" s="16"/>
      <c r="H3254" s="16"/>
    </row>
    <row r="3255" spans="1:8" x14ac:dyDescent="0.3">
      <c r="A3255" s="18">
        <v>543</v>
      </c>
      <c r="B3255" s="20">
        <v>45944</v>
      </c>
      <c r="C3255" s="8" t="s">
        <v>14</v>
      </c>
      <c r="D3255" s="2">
        <v>9.8800000000000008</v>
      </c>
      <c r="E3255" s="19">
        <f>SUM(D3255:D3260)</f>
        <v>86.977999999999994</v>
      </c>
      <c r="F3255" s="17">
        <f>INT(MAX(D3255:D3260))</f>
        <v>48</v>
      </c>
      <c r="G3255" s="14">
        <f>INT((F3255/10)*2)</f>
        <v>9</v>
      </c>
      <c r="H3255" s="14">
        <f>F3255-G3255</f>
        <v>39</v>
      </c>
    </row>
    <row r="3256" spans="1:8" x14ac:dyDescent="0.3">
      <c r="A3256" s="15"/>
      <c r="B3256" s="15"/>
      <c r="C3256" s="3" t="s">
        <v>12</v>
      </c>
      <c r="D3256" s="2">
        <v>4.1500000000000004</v>
      </c>
      <c r="E3256" s="15"/>
      <c r="F3256" s="15"/>
      <c r="G3256" s="15"/>
      <c r="H3256" s="15"/>
    </row>
    <row r="3257" spans="1:8" x14ac:dyDescent="0.3">
      <c r="A3257" s="15"/>
      <c r="B3257" s="15"/>
      <c r="C3257" s="3" t="s">
        <v>8</v>
      </c>
      <c r="D3257" s="2">
        <v>9.8699999999999992</v>
      </c>
      <c r="E3257" s="15"/>
      <c r="F3257" s="15"/>
      <c r="G3257" s="15"/>
      <c r="H3257" s="15"/>
    </row>
    <row r="3258" spans="1:8" x14ac:dyDescent="0.3">
      <c r="A3258" s="15"/>
      <c r="B3258" s="15"/>
      <c r="C3258" s="3" t="s">
        <v>10</v>
      </c>
      <c r="D3258" s="2">
        <v>6.18</v>
      </c>
      <c r="E3258" s="15"/>
      <c r="F3258" s="15"/>
      <c r="G3258" s="15"/>
      <c r="H3258" s="15"/>
    </row>
    <row r="3259" spans="1:8" x14ac:dyDescent="0.3">
      <c r="A3259" s="15"/>
      <c r="B3259" s="15"/>
      <c r="C3259" s="3" t="s">
        <v>18</v>
      </c>
      <c r="D3259" s="2">
        <v>48</v>
      </c>
      <c r="E3259" s="15"/>
      <c r="F3259" s="15"/>
      <c r="G3259" s="15"/>
      <c r="H3259" s="15"/>
    </row>
    <row r="3260" spans="1:8" x14ac:dyDescent="0.3">
      <c r="A3260" s="16"/>
      <c r="B3260" s="16"/>
      <c r="C3260" s="3" t="s">
        <v>11</v>
      </c>
      <c r="D3260" s="7">
        <v>8.8979999999999997</v>
      </c>
      <c r="E3260" s="16"/>
      <c r="F3260" s="16"/>
      <c r="G3260" s="16"/>
      <c r="H3260" s="16"/>
    </row>
    <row r="3261" spans="1:8" x14ac:dyDescent="0.3">
      <c r="A3261" s="18">
        <v>544</v>
      </c>
      <c r="B3261" s="20">
        <v>45947</v>
      </c>
      <c r="C3261" s="8" t="s">
        <v>18</v>
      </c>
      <c r="D3261" s="2">
        <v>14.58</v>
      </c>
      <c r="E3261" s="19">
        <f>SUM(D3261:D3266)</f>
        <v>74.965999999999994</v>
      </c>
      <c r="F3261" s="17">
        <f>INT(MAX(D3261:D3266))</f>
        <v>16</v>
      </c>
      <c r="G3261" s="14">
        <f>INT((F3261/10)*2)</f>
        <v>3</v>
      </c>
      <c r="H3261" s="14">
        <f>F3261-G3261</f>
        <v>13</v>
      </c>
    </row>
    <row r="3262" spans="1:8" x14ac:dyDescent="0.3">
      <c r="A3262" s="15"/>
      <c r="B3262" s="15"/>
      <c r="C3262" s="3" t="s">
        <v>13</v>
      </c>
      <c r="D3262" s="2">
        <v>14.4</v>
      </c>
      <c r="E3262" s="15"/>
      <c r="F3262" s="15"/>
      <c r="G3262" s="15"/>
      <c r="H3262" s="15"/>
    </row>
    <row r="3263" spans="1:8" x14ac:dyDescent="0.3">
      <c r="A3263" s="15"/>
      <c r="B3263" s="15"/>
      <c r="C3263" s="3" t="s">
        <v>9</v>
      </c>
      <c r="D3263" s="2">
        <v>16.54</v>
      </c>
      <c r="E3263" s="15"/>
      <c r="F3263" s="15"/>
      <c r="G3263" s="15"/>
      <c r="H3263" s="15"/>
    </row>
    <row r="3264" spans="1:8" x14ac:dyDescent="0.3">
      <c r="A3264" s="15"/>
      <c r="B3264" s="15"/>
      <c r="C3264" s="3" t="s">
        <v>11</v>
      </c>
      <c r="D3264" s="2">
        <v>7.17</v>
      </c>
      <c r="E3264" s="15"/>
      <c r="F3264" s="15"/>
      <c r="G3264" s="15"/>
      <c r="H3264" s="15"/>
    </row>
    <row r="3265" spans="1:8" x14ac:dyDescent="0.3">
      <c r="A3265" s="15"/>
      <c r="B3265" s="15"/>
      <c r="C3265" s="3" t="s">
        <v>8</v>
      </c>
      <c r="D3265" s="2">
        <v>9.82</v>
      </c>
      <c r="E3265" s="15"/>
      <c r="F3265" s="15"/>
      <c r="G3265" s="15"/>
      <c r="H3265" s="15"/>
    </row>
    <row r="3266" spans="1:8" x14ac:dyDescent="0.3">
      <c r="A3266" s="16"/>
      <c r="B3266" s="16"/>
      <c r="C3266" s="3" t="s">
        <v>15</v>
      </c>
      <c r="D3266" s="7">
        <v>12.456</v>
      </c>
      <c r="E3266" s="16"/>
      <c r="F3266" s="16"/>
      <c r="G3266" s="16"/>
      <c r="H3266" s="16"/>
    </row>
    <row r="3267" spans="1:8" x14ac:dyDescent="0.3">
      <c r="A3267" s="18">
        <v>545</v>
      </c>
      <c r="B3267" s="20">
        <v>45951</v>
      </c>
      <c r="C3267" s="8" t="s">
        <v>17</v>
      </c>
      <c r="D3267" s="2">
        <v>10.15</v>
      </c>
      <c r="E3267" s="19">
        <f>SUM(D3267:D3272)</f>
        <v>131.893</v>
      </c>
      <c r="F3267" s="17">
        <f>INT(MAX(D3267:D3272))</f>
        <v>33</v>
      </c>
      <c r="G3267" s="14">
        <f>INT((F3267/10)*2)</f>
        <v>6</v>
      </c>
      <c r="H3267" s="14">
        <f>F3267-G3267</f>
        <v>27</v>
      </c>
    </row>
    <row r="3268" spans="1:8" x14ac:dyDescent="0.3">
      <c r="A3268" s="15"/>
      <c r="B3268" s="15"/>
      <c r="C3268" s="3" t="s">
        <v>10</v>
      </c>
      <c r="D3268" s="2">
        <v>22.12</v>
      </c>
      <c r="E3268" s="15"/>
      <c r="F3268" s="15"/>
      <c r="G3268" s="15"/>
      <c r="H3268" s="15"/>
    </row>
    <row r="3269" spans="1:8" x14ac:dyDescent="0.3">
      <c r="A3269" s="15"/>
      <c r="B3269" s="15"/>
      <c r="C3269" s="3" t="s">
        <v>18</v>
      </c>
      <c r="D3269" s="2">
        <v>11.15</v>
      </c>
      <c r="E3269" s="15"/>
      <c r="F3269" s="15"/>
      <c r="G3269" s="15"/>
      <c r="H3269" s="15"/>
    </row>
    <row r="3270" spans="1:8" x14ac:dyDescent="0.3">
      <c r="A3270" s="15"/>
      <c r="B3270" s="15"/>
      <c r="C3270" s="3" t="s">
        <v>8</v>
      </c>
      <c r="D3270" s="2">
        <v>33.58</v>
      </c>
      <c r="E3270" s="15"/>
      <c r="F3270" s="15"/>
      <c r="G3270" s="15"/>
      <c r="H3270" s="15"/>
    </row>
    <row r="3271" spans="1:8" x14ac:dyDescent="0.3">
      <c r="A3271" s="15"/>
      <c r="B3271" s="15"/>
      <c r="C3271" s="3" t="s">
        <v>9</v>
      </c>
      <c r="D3271" s="7">
        <v>22.363</v>
      </c>
      <c r="E3271" s="15"/>
      <c r="F3271" s="15"/>
      <c r="G3271" s="15"/>
      <c r="H3271" s="15"/>
    </row>
    <row r="3272" spans="1:8" x14ac:dyDescent="0.3">
      <c r="A3272" s="16"/>
      <c r="B3272" s="16"/>
      <c r="C3272" s="8" t="s">
        <v>9</v>
      </c>
      <c r="D3272" s="2">
        <v>32.53</v>
      </c>
      <c r="E3272" s="16"/>
      <c r="F3272" s="16"/>
      <c r="G3272" s="16"/>
      <c r="H3272" s="16"/>
    </row>
    <row r="3273" spans="1:8" x14ac:dyDescent="0.3">
      <c r="A3273" s="18">
        <v>546</v>
      </c>
      <c r="B3273" s="20">
        <v>45954</v>
      </c>
      <c r="C3273" s="3" t="s">
        <v>11</v>
      </c>
      <c r="D3273" s="2">
        <v>9.1300000000000008</v>
      </c>
      <c r="E3273" s="19">
        <f>SUM(D3273:D3278)</f>
        <v>179.78100000000001</v>
      </c>
      <c r="F3273" s="17">
        <f>INT(MAX(D3273:D3278))</f>
        <v>66</v>
      </c>
      <c r="G3273" s="14">
        <f>INT((F3273/10)*2)</f>
        <v>13</v>
      </c>
      <c r="H3273" s="14">
        <f>F3273-G3273</f>
        <v>53</v>
      </c>
    </row>
    <row r="3274" spans="1:8" x14ac:dyDescent="0.3">
      <c r="A3274" s="15"/>
      <c r="B3274" s="15"/>
      <c r="C3274" s="3" t="s">
        <v>10</v>
      </c>
      <c r="D3274" s="2">
        <v>6.87</v>
      </c>
      <c r="E3274" s="15"/>
      <c r="F3274" s="15"/>
      <c r="G3274" s="15"/>
      <c r="H3274" s="15"/>
    </row>
    <row r="3275" spans="1:8" x14ac:dyDescent="0.3">
      <c r="A3275" s="15"/>
      <c r="B3275" s="15"/>
      <c r="C3275" s="3" t="s">
        <v>12</v>
      </c>
      <c r="D3275" s="7">
        <v>41.670999999999999</v>
      </c>
      <c r="E3275" s="15"/>
      <c r="F3275" s="15"/>
      <c r="G3275" s="15"/>
      <c r="H3275" s="15"/>
    </row>
    <row r="3276" spans="1:8" x14ac:dyDescent="0.3">
      <c r="A3276" s="15"/>
      <c r="B3276" s="15"/>
      <c r="C3276" s="8" t="s">
        <v>13</v>
      </c>
      <c r="D3276" s="2">
        <v>22.41</v>
      </c>
      <c r="E3276" s="15"/>
      <c r="F3276" s="15"/>
      <c r="G3276" s="15"/>
      <c r="H3276" s="15"/>
    </row>
    <row r="3277" spans="1:8" x14ac:dyDescent="0.3">
      <c r="A3277" s="15"/>
      <c r="B3277" s="15"/>
      <c r="C3277" s="3" t="s">
        <v>17</v>
      </c>
      <c r="D3277" s="2">
        <v>66.739999999999995</v>
      </c>
      <c r="E3277" s="15"/>
      <c r="F3277" s="15"/>
      <c r="G3277" s="15"/>
      <c r="H3277" s="15"/>
    </row>
    <row r="3278" spans="1:8" x14ac:dyDescent="0.3">
      <c r="A3278" s="16"/>
      <c r="B3278" s="16"/>
      <c r="C3278" s="3" t="s">
        <v>11</v>
      </c>
      <c r="D3278" s="2">
        <v>32.96</v>
      </c>
      <c r="E3278" s="16"/>
      <c r="F3278" s="16"/>
      <c r="G3278" s="16"/>
      <c r="H3278" s="16"/>
    </row>
    <row r="3279" spans="1:8" x14ac:dyDescent="0.3">
      <c r="A3279" s="18">
        <v>547</v>
      </c>
      <c r="B3279" s="20">
        <v>45958</v>
      </c>
      <c r="C3279" s="3" t="s">
        <v>14</v>
      </c>
      <c r="D3279" s="7">
        <v>17.106999999999999</v>
      </c>
      <c r="E3279" s="19">
        <f>SUM(D3279:D3284)</f>
        <v>73.277999999999992</v>
      </c>
      <c r="F3279" s="17">
        <f>INT(MAX(D3279:D3284))</f>
        <v>17</v>
      </c>
      <c r="G3279" s="14">
        <f>INT((F3279/10)*2)</f>
        <v>3</v>
      </c>
      <c r="H3279" s="14">
        <f>F3279-G3279</f>
        <v>14</v>
      </c>
    </row>
    <row r="3280" spans="1:8" x14ac:dyDescent="0.3">
      <c r="A3280" s="15"/>
      <c r="B3280" s="15"/>
      <c r="C3280" s="8" t="s">
        <v>13</v>
      </c>
      <c r="D3280" s="2">
        <v>10.49</v>
      </c>
      <c r="E3280" s="15"/>
      <c r="F3280" s="15"/>
      <c r="G3280" s="15"/>
      <c r="H3280" s="15"/>
    </row>
    <row r="3281" spans="1:8" x14ac:dyDescent="0.3">
      <c r="A3281" s="15"/>
      <c r="B3281" s="15"/>
      <c r="C3281" s="3" t="s">
        <v>17</v>
      </c>
      <c r="D3281" s="2">
        <v>16.84</v>
      </c>
      <c r="E3281" s="15"/>
      <c r="F3281" s="15"/>
      <c r="G3281" s="15"/>
      <c r="H3281" s="15"/>
    </row>
    <row r="3282" spans="1:8" x14ac:dyDescent="0.3">
      <c r="A3282" s="15"/>
      <c r="B3282" s="15"/>
      <c r="C3282" s="3" t="s">
        <v>16</v>
      </c>
      <c r="D3282" s="7">
        <v>7.2910000000000004</v>
      </c>
      <c r="E3282" s="15"/>
      <c r="F3282" s="15"/>
      <c r="G3282" s="15"/>
      <c r="H3282" s="15"/>
    </row>
    <row r="3283" spans="1:8" x14ac:dyDescent="0.3">
      <c r="A3283" s="15"/>
      <c r="B3283" s="15"/>
      <c r="C3283" s="8" t="s">
        <v>12</v>
      </c>
      <c r="D3283" s="2">
        <v>7.09</v>
      </c>
      <c r="E3283" s="15"/>
      <c r="F3283" s="15"/>
      <c r="G3283" s="15"/>
      <c r="H3283" s="15"/>
    </row>
    <row r="3284" spans="1:8" x14ac:dyDescent="0.3">
      <c r="A3284" s="16"/>
      <c r="B3284" s="16"/>
      <c r="C3284" s="3" t="s">
        <v>18</v>
      </c>
      <c r="D3284" s="2">
        <v>14.46</v>
      </c>
      <c r="E3284" s="16"/>
      <c r="F3284" s="16"/>
      <c r="G3284" s="16"/>
      <c r="H3284" s="16"/>
    </row>
    <row r="3285" spans="1:8" x14ac:dyDescent="0.3">
      <c r="A3285" s="18">
        <v>548</v>
      </c>
      <c r="B3285" s="20">
        <v>45961</v>
      </c>
      <c r="C3285" s="3" t="s">
        <v>8</v>
      </c>
      <c r="D3285" s="7">
        <v>12.712</v>
      </c>
      <c r="E3285" s="19">
        <f>SUM(D3285:D3290)</f>
        <v>136.83099999999999</v>
      </c>
      <c r="F3285" s="17">
        <f>INT(MAX(D3285:D3290))</f>
        <v>48</v>
      </c>
      <c r="G3285" s="14">
        <f>INT((F3285/10)*2)</f>
        <v>9</v>
      </c>
      <c r="H3285" s="14">
        <f>F3285-G3285</f>
        <v>39</v>
      </c>
    </row>
    <row r="3286" spans="1:8" x14ac:dyDescent="0.3">
      <c r="A3286" s="15"/>
      <c r="B3286" s="15"/>
      <c r="C3286" s="8" t="s">
        <v>10</v>
      </c>
      <c r="D3286" s="2">
        <v>48.99</v>
      </c>
      <c r="E3286" s="15"/>
      <c r="F3286" s="15"/>
      <c r="G3286" s="15"/>
      <c r="H3286" s="15"/>
    </row>
    <row r="3287" spans="1:8" x14ac:dyDescent="0.3">
      <c r="A3287" s="15"/>
      <c r="B3287" s="15"/>
      <c r="C3287" s="3" t="s">
        <v>13</v>
      </c>
      <c r="D3287" s="2">
        <v>19.57</v>
      </c>
      <c r="E3287" s="15"/>
      <c r="F3287" s="15"/>
      <c r="G3287" s="15"/>
      <c r="H3287" s="15"/>
    </row>
    <row r="3288" spans="1:8" x14ac:dyDescent="0.3">
      <c r="A3288" s="15"/>
      <c r="B3288" s="15"/>
      <c r="C3288" s="3" t="s">
        <v>17</v>
      </c>
      <c r="D3288" s="2">
        <v>20.66</v>
      </c>
      <c r="E3288" s="15"/>
      <c r="F3288" s="15"/>
      <c r="G3288" s="15"/>
      <c r="H3288" s="15"/>
    </row>
    <row r="3289" spans="1:8" x14ac:dyDescent="0.3">
      <c r="A3289" s="15"/>
      <c r="B3289" s="15"/>
      <c r="C3289" s="3" t="s">
        <v>12</v>
      </c>
      <c r="D3289" s="2">
        <v>4.8600000000000003</v>
      </c>
      <c r="E3289" s="15"/>
      <c r="F3289" s="15"/>
      <c r="G3289" s="15"/>
      <c r="H3289" s="15"/>
    </row>
    <row r="3290" spans="1:8" x14ac:dyDescent="0.3">
      <c r="A3290" s="16"/>
      <c r="B3290" s="16"/>
      <c r="C3290" s="3" t="s">
        <v>18</v>
      </c>
      <c r="D3290" s="7">
        <v>30.039000000000001</v>
      </c>
      <c r="E3290" s="16"/>
      <c r="F3290" s="16"/>
      <c r="G3290" s="16"/>
      <c r="H3290" s="16"/>
    </row>
    <row r="3291" spans="1:8" x14ac:dyDescent="0.3">
      <c r="A3291" s="18">
        <v>549</v>
      </c>
      <c r="B3291" s="20">
        <v>45965</v>
      </c>
      <c r="C3291" s="8" t="s">
        <v>13</v>
      </c>
      <c r="D3291" s="2">
        <v>16.850000000000001</v>
      </c>
      <c r="E3291" s="19">
        <f>SUM(D3291:D3296)</f>
        <v>133.49100000000001</v>
      </c>
      <c r="F3291" s="17">
        <f>INT(MAX(D3291:D3296))</f>
        <v>55</v>
      </c>
      <c r="G3291" s="14">
        <f>INT((F3291/10)*2)</f>
        <v>11</v>
      </c>
      <c r="H3291" s="14">
        <f>F3291-G3291</f>
        <v>44</v>
      </c>
    </row>
    <row r="3292" spans="1:8" x14ac:dyDescent="0.3">
      <c r="A3292" s="15"/>
      <c r="B3292" s="15"/>
      <c r="C3292" s="3" t="s">
        <v>16</v>
      </c>
      <c r="D3292" s="2">
        <v>15.13</v>
      </c>
      <c r="E3292" s="15"/>
      <c r="F3292" s="15"/>
      <c r="G3292" s="15"/>
      <c r="H3292" s="15"/>
    </row>
    <row r="3293" spans="1:8" x14ac:dyDescent="0.3">
      <c r="A3293" s="15"/>
      <c r="B3293" s="15"/>
      <c r="C3293" s="3" t="s">
        <v>15</v>
      </c>
      <c r="D3293" s="2">
        <v>25.95</v>
      </c>
      <c r="E3293" s="15"/>
      <c r="F3293" s="15"/>
      <c r="G3293" s="15"/>
      <c r="H3293" s="15"/>
    </row>
    <row r="3294" spans="1:8" x14ac:dyDescent="0.3">
      <c r="A3294" s="15"/>
      <c r="B3294" s="15"/>
      <c r="C3294" s="3" t="s">
        <v>11</v>
      </c>
      <c r="D3294" s="2">
        <v>6.4</v>
      </c>
      <c r="E3294" s="15"/>
      <c r="F3294" s="15"/>
      <c r="G3294" s="15"/>
      <c r="H3294" s="15"/>
    </row>
    <row r="3295" spans="1:8" x14ac:dyDescent="0.3">
      <c r="A3295" s="15"/>
      <c r="B3295" s="15"/>
      <c r="C3295" s="3" t="s">
        <v>12</v>
      </c>
      <c r="D3295" s="7">
        <v>13.531000000000001</v>
      </c>
      <c r="E3295" s="15"/>
      <c r="F3295" s="15"/>
      <c r="G3295" s="15"/>
      <c r="H3295" s="15"/>
    </row>
    <row r="3296" spans="1:8" x14ac:dyDescent="0.3">
      <c r="A3296" s="16"/>
      <c r="B3296" s="16"/>
      <c r="C3296" s="8" t="s">
        <v>16</v>
      </c>
      <c r="D3296" s="2">
        <v>55.63</v>
      </c>
      <c r="E3296" s="16"/>
      <c r="F3296" s="16"/>
      <c r="G3296" s="16"/>
      <c r="H3296" s="16"/>
    </row>
    <row r="3297" spans="1:8" x14ac:dyDescent="0.3">
      <c r="A3297" s="18">
        <v>550</v>
      </c>
      <c r="B3297" s="20">
        <v>45968</v>
      </c>
      <c r="C3297" s="3" t="s">
        <v>11</v>
      </c>
      <c r="D3297" s="2">
        <v>31.92</v>
      </c>
      <c r="E3297" s="19">
        <f>SUM(D3297:D3302)</f>
        <v>109.99100000000001</v>
      </c>
      <c r="F3297" s="17">
        <f>INT(MAX(D3297:D3302))</f>
        <v>31</v>
      </c>
      <c r="G3297" s="14">
        <f>INT((F3297/10)*2)</f>
        <v>6</v>
      </c>
      <c r="H3297" s="14">
        <f>F3297-G3297</f>
        <v>25</v>
      </c>
    </row>
    <row r="3298" spans="1:8" x14ac:dyDescent="0.3">
      <c r="A3298" s="15"/>
      <c r="B3298" s="15"/>
      <c r="C3298" s="3" t="s">
        <v>17</v>
      </c>
      <c r="D3298" s="2">
        <v>23.51</v>
      </c>
      <c r="E3298" s="15"/>
      <c r="F3298" s="15"/>
      <c r="G3298" s="15"/>
      <c r="H3298" s="15"/>
    </row>
    <row r="3299" spans="1:8" x14ac:dyDescent="0.3">
      <c r="A3299" s="15"/>
      <c r="B3299" s="15"/>
      <c r="C3299" s="3" t="s">
        <v>10</v>
      </c>
      <c r="D3299" s="7">
        <v>13.471</v>
      </c>
      <c r="E3299" s="15"/>
      <c r="F3299" s="15"/>
      <c r="G3299" s="15"/>
      <c r="H3299" s="15"/>
    </row>
    <row r="3300" spans="1:8" x14ac:dyDescent="0.3">
      <c r="A3300" s="15"/>
      <c r="B3300" s="15"/>
      <c r="C3300" s="8" t="s">
        <v>15</v>
      </c>
      <c r="D3300" s="2">
        <v>15.23</v>
      </c>
      <c r="E3300" s="15"/>
      <c r="F3300" s="15"/>
      <c r="G3300" s="15"/>
      <c r="H3300" s="15"/>
    </row>
    <row r="3301" spans="1:8" x14ac:dyDescent="0.3">
      <c r="A3301" s="15"/>
      <c r="B3301" s="15"/>
      <c r="C3301" s="3" t="s">
        <v>12</v>
      </c>
      <c r="D3301" s="2">
        <v>15.25</v>
      </c>
      <c r="E3301" s="15"/>
      <c r="F3301" s="15"/>
      <c r="G3301" s="15"/>
      <c r="H3301" s="15"/>
    </row>
    <row r="3302" spans="1:8" x14ac:dyDescent="0.3">
      <c r="A3302" s="16"/>
      <c r="B3302" s="16"/>
      <c r="C3302" s="3" t="s">
        <v>9</v>
      </c>
      <c r="D3302" s="2">
        <v>10.61</v>
      </c>
      <c r="E3302" s="16"/>
      <c r="F3302" s="16"/>
      <c r="G3302" s="16"/>
      <c r="H3302" s="16"/>
    </row>
    <row r="3303" spans="1:8" x14ac:dyDescent="0.3">
      <c r="A3303" s="18">
        <v>551</v>
      </c>
      <c r="B3303" s="20">
        <v>45972</v>
      </c>
      <c r="C3303" s="3" t="s">
        <v>16</v>
      </c>
      <c r="D3303" s="2">
        <v>9.14</v>
      </c>
      <c r="E3303" s="19">
        <f>SUM(D3303:D3308)</f>
        <v>97.602000000000004</v>
      </c>
      <c r="F3303" s="17">
        <f>INT(MAX(D3303:D3308))</f>
        <v>24</v>
      </c>
      <c r="G3303" s="14">
        <f>INT((F3303/10)*2)</f>
        <v>4</v>
      </c>
      <c r="H3303" s="14">
        <f>F3303-G3303</f>
        <v>20</v>
      </c>
    </row>
    <row r="3304" spans="1:8" x14ac:dyDescent="0.3">
      <c r="A3304" s="15"/>
      <c r="B3304" s="15"/>
      <c r="C3304" s="3" t="s">
        <v>18</v>
      </c>
      <c r="D3304" s="2">
        <v>21.91</v>
      </c>
      <c r="E3304" s="15"/>
      <c r="F3304" s="15"/>
      <c r="G3304" s="15"/>
      <c r="H3304" s="15"/>
    </row>
    <row r="3305" spans="1:8" x14ac:dyDescent="0.3">
      <c r="A3305" s="15"/>
      <c r="B3305" s="15"/>
      <c r="C3305" s="3" t="s">
        <v>13</v>
      </c>
      <c r="D3305" s="7">
        <v>17.007000000000001</v>
      </c>
      <c r="E3305" s="15"/>
      <c r="F3305" s="15"/>
      <c r="G3305" s="15"/>
      <c r="H3305" s="15"/>
    </row>
    <row r="3306" spans="1:8" x14ac:dyDescent="0.3">
      <c r="A3306" s="15"/>
      <c r="B3306" s="15"/>
      <c r="C3306" s="8" t="s">
        <v>10</v>
      </c>
      <c r="D3306" s="2">
        <v>24.57</v>
      </c>
      <c r="E3306" s="15"/>
      <c r="F3306" s="15"/>
      <c r="G3306" s="15"/>
      <c r="H3306" s="15"/>
    </row>
    <row r="3307" spans="1:8" x14ac:dyDescent="0.3">
      <c r="A3307" s="15"/>
      <c r="B3307" s="15"/>
      <c r="C3307" s="3" t="s">
        <v>16</v>
      </c>
      <c r="D3307" s="2">
        <v>19.72</v>
      </c>
      <c r="E3307" s="15"/>
      <c r="F3307" s="15"/>
      <c r="G3307" s="15"/>
      <c r="H3307" s="15"/>
    </row>
    <row r="3308" spans="1:8" x14ac:dyDescent="0.3">
      <c r="A3308" s="16"/>
      <c r="B3308" s="16"/>
      <c r="C3308" s="3" t="s">
        <v>12</v>
      </c>
      <c r="D3308" s="7">
        <v>5.2549999999999999</v>
      </c>
      <c r="E3308" s="16"/>
      <c r="F3308" s="16"/>
      <c r="G3308" s="16"/>
      <c r="H3308" s="16"/>
    </row>
    <row r="3309" spans="1:8" x14ac:dyDescent="0.3">
      <c r="A3309" s="18">
        <v>552</v>
      </c>
      <c r="B3309" s="20">
        <v>45975</v>
      </c>
      <c r="C3309" s="8" t="s">
        <v>16</v>
      </c>
      <c r="D3309" s="2">
        <v>6.45</v>
      </c>
      <c r="E3309" s="19">
        <f>SUM(D3309:D3314)</f>
        <v>85.933999999999997</v>
      </c>
      <c r="F3309" s="17">
        <f>INT(MAX(D3309:D3314))</f>
        <v>25</v>
      </c>
      <c r="G3309" s="14">
        <f>INT((F3309/10)*2)</f>
        <v>5</v>
      </c>
      <c r="H3309" s="14">
        <f>F3309-G3309</f>
        <v>20</v>
      </c>
    </row>
    <row r="3310" spans="1:8" x14ac:dyDescent="0.3">
      <c r="A3310" s="15"/>
      <c r="B3310" s="15"/>
      <c r="C3310" s="3" t="s">
        <v>18</v>
      </c>
      <c r="D3310" s="2">
        <v>17.940000000000001</v>
      </c>
      <c r="E3310" s="15"/>
      <c r="F3310" s="15"/>
      <c r="G3310" s="15"/>
      <c r="H3310" s="15"/>
    </row>
    <row r="3311" spans="1:8" x14ac:dyDescent="0.3">
      <c r="A3311" s="15"/>
      <c r="B3311" s="15"/>
      <c r="C3311" s="3" t="s">
        <v>9</v>
      </c>
      <c r="D3311" s="2">
        <v>13.36</v>
      </c>
      <c r="E3311" s="15"/>
      <c r="F3311" s="15"/>
      <c r="G3311" s="15"/>
      <c r="H3311" s="15"/>
    </row>
    <row r="3312" spans="1:8" x14ac:dyDescent="0.3">
      <c r="A3312" s="15"/>
      <c r="B3312" s="15"/>
      <c r="C3312" s="3" t="s">
        <v>11</v>
      </c>
      <c r="D3312" s="2">
        <v>7.18</v>
      </c>
      <c r="E3312" s="15"/>
      <c r="F3312" s="15"/>
      <c r="G3312" s="15"/>
      <c r="H3312" s="15"/>
    </row>
    <row r="3313" spans="1:8" x14ac:dyDescent="0.3">
      <c r="A3313" s="15"/>
      <c r="B3313" s="15"/>
      <c r="C3313" s="3" t="s">
        <v>10</v>
      </c>
      <c r="D3313" s="7">
        <v>25.643999999999998</v>
      </c>
      <c r="E3313" s="15"/>
      <c r="F3313" s="15"/>
      <c r="G3313" s="15"/>
      <c r="H3313" s="15"/>
    </row>
    <row r="3314" spans="1:8" x14ac:dyDescent="0.3">
      <c r="A3314" s="16"/>
      <c r="B3314" s="16"/>
      <c r="C3314" s="8" t="s">
        <v>15</v>
      </c>
      <c r="D3314" s="2">
        <v>15.36</v>
      </c>
      <c r="E3314" s="16"/>
      <c r="F3314" s="16"/>
      <c r="G3314" s="16"/>
      <c r="H3314" s="16"/>
    </row>
    <row r="3315" spans="1:8" x14ac:dyDescent="0.3">
      <c r="A3315" s="18">
        <v>553</v>
      </c>
      <c r="B3315" s="20">
        <v>45979</v>
      </c>
      <c r="C3315" s="3" t="s">
        <v>12</v>
      </c>
      <c r="D3315" s="2">
        <v>15.46</v>
      </c>
      <c r="E3315" s="19">
        <f>SUM(D3315:D3320)</f>
        <v>147.73699999999999</v>
      </c>
      <c r="F3315" s="17">
        <f>INT(MAX(D3315:D3320))</f>
        <v>82</v>
      </c>
      <c r="G3315" s="14">
        <f>INT((F3315/10)*2)</f>
        <v>16</v>
      </c>
      <c r="H3315" s="14">
        <f>F3315-G3315</f>
        <v>66</v>
      </c>
    </row>
    <row r="3316" spans="1:8" x14ac:dyDescent="0.3">
      <c r="A3316" s="15"/>
      <c r="B3316" s="15"/>
      <c r="C3316" s="3" t="s">
        <v>9</v>
      </c>
      <c r="D3316" s="2">
        <v>5.45</v>
      </c>
      <c r="E3316" s="15"/>
      <c r="F3316" s="15"/>
      <c r="G3316" s="15"/>
      <c r="H3316" s="15"/>
    </row>
    <row r="3317" spans="1:8" x14ac:dyDescent="0.3">
      <c r="A3317" s="15"/>
      <c r="B3317" s="15"/>
      <c r="C3317" s="3" t="s">
        <v>10</v>
      </c>
      <c r="D3317" s="2">
        <v>4.6399999999999997</v>
      </c>
      <c r="E3317" s="15"/>
      <c r="F3317" s="15"/>
      <c r="G3317" s="15"/>
      <c r="H3317" s="15"/>
    </row>
    <row r="3318" spans="1:8" x14ac:dyDescent="0.3">
      <c r="A3318" s="15"/>
      <c r="B3318" s="15"/>
      <c r="C3318" s="3" t="s">
        <v>16</v>
      </c>
      <c r="D3318" s="2">
        <v>3.07</v>
      </c>
      <c r="E3318" s="15"/>
      <c r="F3318" s="15"/>
      <c r="G3318" s="15"/>
      <c r="H3318" s="15"/>
    </row>
    <row r="3319" spans="1:8" x14ac:dyDescent="0.3">
      <c r="A3319" s="15"/>
      <c r="B3319" s="15"/>
      <c r="C3319" s="3" t="s">
        <v>18</v>
      </c>
      <c r="D3319" s="7">
        <v>82.206999999999994</v>
      </c>
      <c r="E3319" s="15"/>
      <c r="F3319" s="15"/>
      <c r="G3319" s="15"/>
      <c r="H3319" s="15"/>
    </row>
    <row r="3320" spans="1:8" x14ac:dyDescent="0.3">
      <c r="A3320" s="16"/>
      <c r="B3320" s="16"/>
      <c r="C3320" s="8" t="s">
        <v>13</v>
      </c>
      <c r="D3320" s="2">
        <v>36.909999999999997</v>
      </c>
      <c r="E3320" s="16"/>
      <c r="F3320" s="16"/>
      <c r="G3320" s="16"/>
      <c r="H3320" s="16"/>
    </row>
    <row r="3321" spans="1:8" x14ac:dyDescent="0.3">
      <c r="A3321" s="18">
        <v>554</v>
      </c>
      <c r="B3321" s="20">
        <v>45982</v>
      </c>
      <c r="C3321" s="3" t="s">
        <v>17</v>
      </c>
      <c r="D3321" s="2">
        <v>72.489999999999995</v>
      </c>
      <c r="E3321" s="19">
        <f>SUM(D3321:D3326)</f>
        <v>233.63899999999998</v>
      </c>
      <c r="F3321" s="17">
        <f>INT(MAX(D3321:D3326))</f>
        <v>72</v>
      </c>
      <c r="G3321" s="14">
        <f>INT((F3321/10)*2)</f>
        <v>14</v>
      </c>
      <c r="H3321" s="14">
        <f>F3321-G3321</f>
        <v>58</v>
      </c>
    </row>
    <row r="3322" spans="1:8" x14ac:dyDescent="0.3">
      <c r="A3322" s="15"/>
      <c r="B3322" s="15"/>
      <c r="C3322" s="3" t="s">
        <v>11</v>
      </c>
      <c r="D3322" s="2">
        <v>15.88</v>
      </c>
      <c r="E3322" s="15"/>
      <c r="F3322" s="15"/>
      <c r="G3322" s="15"/>
      <c r="H3322" s="15"/>
    </row>
    <row r="3323" spans="1:8" x14ac:dyDescent="0.3">
      <c r="A3323" s="15"/>
      <c r="B3323" s="15"/>
      <c r="C3323" s="3" t="s">
        <v>18</v>
      </c>
      <c r="D3323" s="2">
        <v>18.37</v>
      </c>
      <c r="E3323" s="15"/>
      <c r="F3323" s="15"/>
      <c r="G3323" s="15"/>
      <c r="H3323" s="15"/>
    </row>
    <row r="3324" spans="1:8" x14ac:dyDescent="0.3">
      <c r="A3324" s="15"/>
      <c r="B3324" s="15"/>
      <c r="C3324" s="3" t="s">
        <v>16</v>
      </c>
      <c r="D3324" s="2">
        <v>27.12</v>
      </c>
      <c r="E3324" s="15"/>
      <c r="F3324" s="15"/>
      <c r="G3324" s="15"/>
      <c r="H3324" s="15"/>
    </row>
    <row r="3325" spans="1:8" x14ac:dyDescent="0.3">
      <c r="A3325" s="15"/>
      <c r="B3325" s="15"/>
      <c r="C3325" s="3" t="s">
        <v>8</v>
      </c>
      <c r="D3325" s="7">
        <v>62.469000000000001</v>
      </c>
      <c r="E3325" s="15"/>
      <c r="F3325" s="15"/>
      <c r="G3325" s="15"/>
      <c r="H3325" s="15"/>
    </row>
    <row r="3326" spans="1:8" x14ac:dyDescent="0.3">
      <c r="A3326" s="16"/>
      <c r="B3326" s="16"/>
      <c r="C3326" s="8" t="s">
        <v>15</v>
      </c>
      <c r="D3326" s="2">
        <v>37.31</v>
      </c>
      <c r="E3326" s="16"/>
      <c r="F3326" s="16"/>
      <c r="G3326" s="16"/>
      <c r="H3326" s="16"/>
    </row>
    <row r="3327" spans="1:8" x14ac:dyDescent="0.3">
      <c r="A3327" s="18">
        <v>555</v>
      </c>
      <c r="B3327" s="20">
        <v>45986</v>
      </c>
      <c r="C3327" s="3" t="s">
        <v>9</v>
      </c>
      <c r="D3327" s="2">
        <v>26.72</v>
      </c>
      <c r="E3327" s="19">
        <f>SUM(D3327:D3332)</f>
        <v>244.691</v>
      </c>
      <c r="F3327" s="17">
        <f>INT(MAX(D3327:D3332))</f>
        <v>78</v>
      </c>
      <c r="G3327" s="14">
        <f>INT((F3327/10)*2)</f>
        <v>15</v>
      </c>
      <c r="H3327" s="14">
        <f>F3327-G3327</f>
        <v>63</v>
      </c>
    </row>
    <row r="3328" spans="1:8" x14ac:dyDescent="0.3">
      <c r="A3328" s="15"/>
      <c r="B3328" s="15"/>
      <c r="C3328" s="3" t="s">
        <v>8</v>
      </c>
      <c r="D3328" s="2">
        <v>20.87</v>
      </c>
      <c r="E3328" s="15"/>
      <c r="F3328" s="15"/>
      <c r="G3328" s="15"/>
      <c r="H3328" s="15"/>
    </row>
    <row r="3329" spans="1:8" x14ac:dyDescent="0.3">
      <c r="A3329" s="15"/>
      <c r="B3329" s="15"/>
      <c r="C3329" s="3" t="s">
        <v>17</v>
      </c>
      <c r="D3329" s="2">
        <v>78.69</v>
      </c>
      <c r="E3329" s="15"/>
      <c r="F3329" s="15"/>
      <c r="G3329" s="15"/>
      <c r="H3329" s="15"/>
    </row>
    <row r="3330" spans="1:8" x14ac:dyDescent="0.3">
      <c r="A3330" s="15"/>
      <c r="B3330" s="15"/>
      <c r="C3330" s="3" t="s">
        <v>13</v>
      </c>
      <c r="D3330" s="2">
        <v>22.9</v>
      </c>
      <c r="E3330" s="15"/>
      <c r="F3330" s="15"/>
      <c r="G3330" s="15"/>
      <c r="H3330" s="15"/>
    </row>
    <row r="3331" spans="1:8" x14ac:dyDescent="0.3">
      <c r="A3331" s="15"/>
      <c r="B3331" s="15"/>
      <c r="C3331" s="3" t="s">
        <v>18</v>
      </c>
      <c r="D3331" s="7">
        <v>65.171000000000006</v>
      </c>
      <c r="E3331" s="15"/>
      <c r="F3331" s="15"/>
      <c r="G3331" s="15"/>
      <c r="H3331" s="15"/>
    </row>
    <row r="3332" spans="1:8" x14ac:dyDescent="0.3">
      <c r="A3332" s="16"/>
      <c r="B3332" s="16"/>
      <c r="C3332" s="8" t="s">
        <v>17</v>
      </c>
      <c r="D3332" s="2">
        <v>30.34</v>
      </c>
      <c r="E3332" s="16"/>
      <c r="F3332" s="16"/>
      <c r="G3332" s="16"/>
      <c r="H3332" s="16"/>
    </row>
    <row r="3333" spans="1:8" x14ac:dyDescent="0.3">
      <c r="A3333" s="18">
        <v>556</v>
      </c>
      <c r="B3333" s="20">
        <v>45989</v>
      </c>
      <c r="C3333" s="3" t="s">
        <v>12</v>
      </c>
      <c r="D3333" s="2">
        <v>200</v>
      </c>
      <c r="E3333" s="19">
        <f>SUM(D3333:D3338)</f>
        <v>407.10399999999998</v>
      </c>
      <c r="F3333" s="17">
        <f>INT(MAX(D3333:D3338))</f>
        <v>200</v>
      </c>
      <c r="G3333" s="14">
        <f>INT((F3333/10)*2)</f>
        <v>40</v>
      </c>
      <c r="H3333" s="14">
        <f>F3333-G3333</f>
        <v>160</v>
      </c>
    </row>
    <row r="3334" spans="1:8" x14ac:dyDescent="0.3">
      <c r="A3334" s="15"/>
      <c r="B3334" s="15"/>
      <c r="C3334" s="3" t="s">
        <v>11</v>
      </c>
      <c r="D3334" s="2">
        <v>61.12</v>
      </c>
      <c r="E3334" s="15"/>
      <c r="F3334" s="15"/>
      <c r="G3334" s="15"/>
      <c r="H3334" s="15"/>
    </row>
    <row r="3335" spans="1:8" x14ac:dyDescent="0.3">
      <c r="A3335" s="15"/>
      <c r="B3335" s="15"/>
      <c r="C3335" s="3" t="s">
        <v>9</v>
      </c>
      <c r="D3335" s="2">
        <v>110</v>
      </c>
      <c r="E3335" s="15"/>
      <c r="F3335" s="15"/>
      <c r="G3335" s="15"/>
      <c r="H3335" s="15"/>
    </row>
    <row r="3336" spans="1:8" x14ac:dyDescent="0.3">
      <c r="A3336" s="15"/>
      <c r="B3336" s="15"/>
      <c r="C3336" s="3" t="s">
        <v>15</v>
      </c>
      <c r="D3336" s="7">
        <v>11.214</v>
      </c>
      <c r="E3336" s="15"/>
      <c r="F3336" s="15"/>
      <c r="G3336" s="15"/>
      <c r="H3336" s="15"/>
    </row>
    <row r="3337" spans="1:8" x14ac:dyDescent="0.3">
      <c r="A3337" s="15"/>
      <c r="B3337" s="15"/>
      <c r="C3337" s="8" t="s">
        <v>16</v>
      </c>
      <c r="D3337" s="2">
        <v>4.1500000000000004</v>
      </c>
      <c r="E3337" s="15"/>
      <c r="F3337" s="15"/>
      <c r="G3337" s="15"/>
      <c r="H3337" s="15"/>
    </row>
    <row r="3338" spans="1:8" x14ac:dyDescent="0.3">
      <c r="A3338" s="16"/>
      <c r="B3338" s="16"/>
      <c r="C3338" s="3" t="s">
        <v>17</v>
      </c>
      <c r="D3338" s="2">
        <v>20.62</v>
      </c>
      <c r="E3338" s="16"/>
      <c r="F3338" s="16"/>
      <c r="G3338" s="16"/>
      <c r="H3338" s="16"/>
    </row>
    <row r="3339" spans="1:8" x14ac:dyDescent="0.3">
      <c r="A3339" s="18">
        <v>557</v>
      </c>
      <c r="B3339" s="20">
        <v>45993</v>
      </c>
      <c r="C3339" s="3" t="s">
        <v>15</v>
      </c>
      <c r="D3339" s="7">
        <v>18.576000000000001</v>
      </c>
      <c r="E3339" s="19">
        <f>SUM(D3339:D3344)</f>
        <v>122.85599999999999</v>
      </c>
      <c r="F3339" s="17">
        <f>INT(MAX(D3339:D3344))</f>
        <v>60</v>
      </c>
      <c r="G3339" s="14">
        <f>INT((F3339/10)*2)</f>
        <v>12</v>
      </c>
      <c r="H3339" s="14">
        <f>F3339-G3339</f>
        <v>48</v>
      </c>
    </row>
    <row r="3340" spans="1:8" x14ac:dyDescent="0.3">
      <c r="A3340" s="15"/>
      <c r="B3340" s="15"/>
      <c r="C3340" s="8" t="s">
        <v>17</v>
      </c>
      <c r="D3340" s="2">
        <v>10.1</v>
      </c>
      <c r="E3340" s="15"/>
      <c r="F3340" s="15"/>
      <c r="G3340" s="15"/>
      <c r="H3340" s="15"/>
    </row>
    <row r="3341" spans="1:8" x14ac:dyDescent="0.3">
      <c r="A3341" s="15"/>
      <c r="B3341" s="15"/>
      <c r="C3341" s="3" t="s">
        <v>14</v>
      </c>
      <c r="D3341" s="2">
        <v>9.32</v>
      </c>
      <c r="E3341" s="15"/>
      <c r="F3341" s="15"/>
      <c r="G3341" s="15"/>
      <c r="H3341" s="15"/>
    </row>
    <row r="3342" spans="1:8" x14ac:dyDescent="0.3">
      <c r="A3342" s="15"/>
      <c r="B3342" s="15"/>
      <c r="C3342" s="3" t="s">
        <v>12</v>
      </c>
      <c r="D3342" s="2">
        <v>10.52</v>
      </c>
      <c r="E3342" s="15"/>
      <c r="F3342" s="15"/>
      <c r="G3342" s="15"/>
      <c r="H3342" s="15"/>
    </row>
    <row r="3343" spans="1:8" x14ac:dyDescent="0.3">
      <c r="A3343" s="15"/>
      <c r="B3343" s="15"/>
      <c r="C3343" s="3" t="s">
        <v>16</v>
      </c>
      <c r="D3343" s="2">
        <v>13.79</v>
      </c>
      <c r="E3343" s="15"/>
      <c r="F3343" s="15"/>
      <c r="G3343" s="15"/>
      <c r="H3343" s="15"/>
    </row>
    <row r="3344" spans="1:8" x14ac:dyDescent="0.3">
      <c r="A3344" s="16"/>
      <c r="B3344" s="16"/>
      <c r="C3344" s="3" t="s">
        <v>18</v>
      </c>
      <c r="D3344" s="2">
        <v>60.55</v>
      </c>
      <c r="E3344" s="16"/>
      <c r="F3344" s="16"/>
      <c r="G3344" s="16"/>
      <c r="H3344" s="16"/>
    </row>
    <row r="3345" spans="1:8" x14ac:dyDescent="0.3">
      <c r="A3345" s="18">
        <v>558</v>
      </c>
      <c r="B3345" s="20">
        <v>45996</v>
      </c>
      <c r="C3345" s="3" t="s">
        <v>11</v>
      </c>
      <c r="D3345" s="7">
        <v>39.923999999999999</v>
      </c>
      <c r="E3345" s="19">
        <f>SUM(D3345:D3350)</f>
        <v>232.50700000000001</v>
      </c>
      <c r="F3345" s="17">
        <f>INT(MAX(D3345:D3350))</f>
        <v>63</v>
      </c>
      <c r="G3345" s="14">
        <f>INT((F3345/10)*2)</f>
        <v>12</v>
      </c>
      <c r="H3345" s="14">
        <f>F3345-G3345</f>
        <v>51</v>
      </c>
    </row>
    <row r="3346" spans="1:8" x14ac:dyDescent="0.3">
      <c r="A3346" s="15"/>
      <c r="B3346" s="15"/>
      <c r="C3346" s="8" t="s">
        <v>9</v>
      </c>
      <c r="D3346" s="2">
        <v>10.38</v>
      </c>
      <c r="E3346" s="15"/>
      <c r="F3346" s="15"/>
      <c r="G3346" s="15"/>
      <c r="H3346" s="15"/>
    </row>
    <row r="3347" spans="1:8" x14ac:dyDescent="0.3">
      <c r="A3347" s="15"/>
      <c r="B3347" s="15"/>
      <c r="C3347" s="3" t="s">
        <v>18</v>
      </c>
      <c r="D3347" s="2">
        <v>63.08</v>
      </c>
      <c r="E3347" s="15"/>
      <c r="F3347" s="15"/>
      <c r="G3347" s="15"/>
      <c r="H3347" s="15"/>
    </row>
    <row r="3348" spans="1:8" x14ac:dyDescent="0.3">
      <c r="A3348" s="15"/>
      <c r="B3348" s="15"/>
      <c r="C3348" s="3" t="s">
        <v>11</v>
      </c>
      <c r="D3348" s="2">
        <v>30.33</v>
      </c>
      <c r="E3348" s="15"/>
      <c r="F3348" s="15"/>
      <c r="G3348" s="15"/>
      <c r="H3348" s="15"/>
    </row>
    <row r="3349" spans="1:8" x14ac:dyDescent="0.3">
      <c r="A3349" s="15"/>
      <c r="B3349" s="15"/>
      <c r="C3349" s="3" t="s">
        <v>14</v>
      </c>
      <c r="D3349" s="7">
        <v>25.542999999999999</v>
      </c>
      <c r="E3349" s="15"/>
      <c r="F3349" s="15"/>
      <c r="G3349" s="15"/>
      <c r="H3349" s="15"/>
    </row>
    <row r="3350" spans="1:8" x14ac:dyDescent="0.3">
      <c r="A3350" s="16"/>
      <c r="B3350" s="16"/>
      <c r="C3350" s="8" t="s">
        <v>9</v>
      </c>
      <c r="D3350" s="2">
        <v>63.25</v>
      </c>
      <c r="E3350" s="16"/>
      <c r="F3350" s="16"/>
      <c r="G3350" s="16"/>
      <c r="H3350" s="16"/>
    </row>
    <row r="3351" spans="1:8" x14ac:dyDescent="0.3">
      <c r="A3351" s="18">
        <v>559</v>
      </c>
      <c r="B3351" s="20">
        <v>46000</v>
      </c>
      <c r="C3351" s="3" t="s">
        <v>11</v>
      </c>
      <c r="D3351" s="2">
        <v>13.84</v>
      </c>
      <c r="E3351" s="19">
        <f>SUM(D3351:D3356)</f>
        <v>235.84699999999998</v>
      </c>
      <c r="F3351" s="17">
        <f>INT(MAX(D3351:D3356))</f>
        <v>129</v>
      </c>
      <c r="G3351" s="14">
        <f>INT((F3351/10)*2)</f>
        <v>25</v>
      </c>
      <c r="H3351" s="14">
        <f>F3351-G3351</f>
        <v>104</v>
      </c>
    </row>
    <row r="3352" spans="1:8" x14ac:dyDescent="0.3">
      <c r="A3352" s="15"/>
      <c r="B3352" s="15"/>
      <c r="C3352" s="3" t="s">
        <v>18</v>
      </c>
      <c r="D3352" s="2">
        <v>44.57</v>
      </c>
      <c r="E3352" s="15"/>
      <c r="F3352" s="15"/>
      <c r="G3352" s="15"/>
      <c r="H3352" s="15"/>
    </row>
    <row r="3353" spans="1:8" x14ac:dyDescent="0.3">
      <c r="A3353" s="15"/>
      <c r="B3353" s="15"/>
      <c r="C3353" s="3" t="s">
        <v>17</v>
      </c>
      <c r="D3353" s="2">
        <v>129.57</v>
      </c>
      <c r="E3353" s="15"/>
      <c r="F3353" s="15"/>
      <c r="G3353" s="15"/>
      <c r="H3353" s="15"/>
    </row>
    <row r="3354" spans="1:8" x14ac:dyDescent="0.3">
      <c r="A3354" s="15"/>
      <c r="B3354" s="15"/>
      <c r="C3354" s="3" t="s">
        <v>13</v>
      </c>
      <c r="D3354" s="2">
        <v>27.42</v>
      </c>
      <c r="E3354" s="15"/>
      <c r="F3354" s="15"/>
      <c r="G3354" s="15"/>
      <c r="H3354" s="15"/>
    </row>
    <row r="3355" spans="1:8" x14ac:dyDescent="0.3">
      <c r="A3355" s="15"/>
      <c r="B3355" s="15"/>
      <c r="C3355" s="3" t="s">
        <v>10</v>
      </c>
      <c r="D3355" s="7">
        <v>10.436999999999999</v>
      </c>
      <c r="E3355" s="15"/>
      <c r="F3355" s="15"/>
      <c r="G3355" s="15"/>
      <c r="H3355" s="15"/>
    </row>
    <row r="3356" spans="1:8" x14ac:dyDescent="0.3">
      <c r="A3356" s="16"/>
      <c r="B3356" s="16"/>
      <c r="C3356" s="8" t="s">
        <v>17</v>
      </c>
      <c r="D3356" s="2">
        <v>10.01</v>
      </c>
      <c r="E3356" s="16"/>
      <c r="F3356" s="16"/>
      <c r="G3356" s="16"/>
      <c r="H3356" s="16"/>
    </row>
    <row r="3357" spans="1:8" x14ac:dyDescent="0.3">
      <c r="A3357" s="18">
        <v>560</v>
      </c>
      <c r="B3357" s="20">
        <v>46003</v>
      </c>
      <c r="C3357" s="3" t="s">
        <v>14</v>
      </c>
      <c r="D3357" s="2">
        <v>5.39</v>
      </c>
      <c r="E3357" s="19">
        <f>SUM(D3357:D3362)</f>
        <v>83.802999999999997</v>
      </c>
      <c r="F3357" s="17">
        <f>INT(MAX(D3357:D3362))</f>
        <v>31</v>
      </c>
      <c r="G3357" s="14">
        <f>INT((F3357/10)*2)</f>
        <v>6</v>
      </c>
      <c r="H3357" s="14">
        <f>F3357-G3357</f>
        <v>25</v>
      </c>
    </row>
    <row r="3358" spans="1:8" x14ac:dyDescent="0.3">
      <c r="A3358" s="15"/>
      <c r="B3358" s="15"/>
      <c r="C3358" s="3" t="s">
        <v>16</v>
      </c>
      <c r="D3358" s="2">
        <v>31.19</v>
      </c>
      <c r="E3358" s="15"/>
      <c r="F3358" s="15"/>
      <c r="G3358" s="15"/>
      <c r="H3358" s="15"/>
    </row>
    <row r="3359" spans="1:8" x14ac:dyDescent="0.3">
      <c r="A3359" s="15"/>
      <c r="B3359" s="15"/>
      <c r="C3359" s="3" t="s">
        <v>13</v>
      </c>
      <c r="D3359" s="7">
        <v>17.222999999999999</v>
      </c>
      <c r="E3359" s="15"/>
      <c r="F3359" s="15"/>
      <c r="G3359" s="15"/>
      <c r="H3359" s="15"/>
    </row>
    <row r="3360" spans="1:8" x14ac:dyDescent="0.3">
      <c r="A3360" s="15"/>
      <c r="B3360" s="15"/>
      <c r="C3360" s="8" t="s">
        <v>16</v>
      </c>
      <c r="D3360" s="2">
        <v>6.5</v>
      </c>
      <c r="E3360" s="15"/>
      <c r="F3360" s="15"/>
      <c r="G3360" s="15"/>
      <c r="H3360" s="15"/>
    </row>
    <row r="3361" spans="1:8" x14ac:dyDescent="0.3">
      <c r="A3361" s="15"/>
      <c r="B3361" s="15"/>
      <c r="C3361" s="3" t="s">
        <v>8</v>
      </c>
      <c r="D3361" s="2">
        <v>7.63</v>
      </c>
      <c r="E3361" s="15"/>
      <c r="F3361" s="15"/>
      <c r="G3361" s="15"/>
      <c r="H3361" s="15"/>
    </row>
    <row r="3362" spans="1:8" x14ac:dyDescent="0.3">
      <c r="A3362" s="16"/>
      <c r="B3362" s="16"/>
      <c r="C3362" s="3" t="s">
        <v>10</v>
      </c>
      <c r="D3362" s="2">
        <v>15.87</v>
      </c>
      <c r="E3362" s="16"/>
      <c r="F3362" s="16"/>
      <c r="G3362" s="16"/>
      <c r="H3362" s="16"/>
    </row>
    <row r="3363" spans="1:8" x14ac:dyDescent="0.3">
      <c r="A3363" s="18">
        <v>561</v>
      </c>
      <c r="B3363" s="20">
        <v>46007</v>
      </c>
      <c r="C3363" s="3" t="s">
        <v>14</v>
      </c>
      <c r="D3363" s="2">
        <v>33.380000000000003</v>
      </c>
      <c r="E3363" s="19">
        <f>SUM(D3363:D3368)</f>
        <v>205.374</v>
      </c>
      <c r="F3363" s="17">
        <f>INT(MAX(D3363:D3368))</f>
        <v>75</v>
      </c>
      <c r="G3363" s="14">
        <f>INT((F3363/10)*2)</f>
        <v>15</v>
      </c>
      <c r="H3363" s="14">
        <f>F3363-G3363</f>
        <v>60</v>
      </c>
    </row>
    <row r="3364" spans="1:8" x14ac:dyDescent="0.3">
      <c r="A3364" s="15"/>
      <c r="B3364" s="15"/>
      <c r="C3364" s="3" t="s">
        <v>13</v>
      </c>
      <c r="D3364" s="2">
        <v>23.1</v>
      </c>
      <c r="E3364" s="15"/>
      <c r="F3364" s="15"/>
      <c r="G3364" s="15"/>
      <c r="H3364" s="15"/>
    </row>
    <row r="3365" spans="1:8" x14ac:dyDescent="0.3">
      <c r="A3365" s="15"/>
      <c r="B3365" s="15"/>
      <c r="C3365" s="3" t="s">
        <v>9</v>
      </c>
      <c r="D3365" s="7">
        <v>27.513999999999999</v>
      </c>
      <c r="E3365" s="15"/>
      <c r="F3365" s="15"/>
      <c r="G3365" s="15"/>
      <c r="H3365" s="15"/>
    </row>
    <row r="3366" spans="1:8" x14ac:dyDescent="0.3">
      <c r="A3366" s="15"/>
      <c r="B3366" s="15"/>
      <c r="C3366" s="8" t="s">
        <v>17</v>
      </c>
      <c r="D3366" s="2">
        <v>28.22</v>
      </c>
      <c r="E3366" s="15"/>
      <c r="F3366" s="15"/>
      <c r="G3366" s="15"/>
      <c r="H3366" s="15"/>
    </row>
    <row r="3367" spans="1:8" x14ac:dyDescent="0.3">
      <c r="A3367" s="15"/>
      <c r="B3367" s="15"/>
      <c r="C3367" s="3" t="s">
        <v>10</v>
      </c>
      <c r="D3367" s="2">
        <v>75.16</v>
      </c>
      <c r="E3367" s="15"/>
      <c r="F3367" s="15"/>
      <c r="G3367" s="15"/>
      <c r="H3367" s="15"/>
    </row>
    <row r="3368" spans="1:8" x14ac:dyDescent="0.3">
      <c r="A3368" s="16"/>
      <c r="B3368" s="16"/>
      <c r="C3368" s="3" t="s">
        <v>13</v>
      </c>
      <c r="D3368" s="7">
        <v>18</v>
      </c>
      <c r="E3368" s="16"/>
      <c r="F3368" s="16"/>
      <c r="G3368" s="16"/>
      <c r="H3368" s="16"/>
    </row>
    <row r="3369" spans="1:8" x14ac:dyDescent="0.3">
      <c r="A3369" s="18">
        <v>562</v>
      </c>
      <c r="B3369" s="20">
        <v>46010</v>
      </c>
      <c r="C3369" s="8" t="s">
        <v>15</v>
      </c>
      <c r="D3369" s="2">
        <v>7.14</v>
      </c>
      <c r="E3369" s="19">
        <f>SUM(D3369:D3374)</f>
        <v>119.952</v>
      </c>
      <c r="F3369" s="17">
        <f>INT(MAX(D3369:D3374))</f>
        <v>53</v>
      </c>
      <c r="G3369" s="14">
        <f>INT((F3369/10)*2)</f>
        <v>10</v>
      </c>
      <c r="H3369" s="14">
        <f>F3369-G3369</f>
        <v>43</v>
      </c>
    </row>
    <row r="3370" spans="1:8" x14ac:dyDescent="0.3">
      <c r="A3370" s="15"/>
      <c r="B3370" s="15"/>
      <c r="C3370" s="3" t="s">
        <v>18</v>
      </c>
      <c r="D3370" s="2">
        <v>53.06</v>
      </c>
      <c r="E3370" s="15"/>
      <c r="F3370" s="15"/>
      <c r="G3370" s="15"/>
      <c r="H3370" s="15"/>
    </row>
    <row r="3371" spans="1:8" x14ac:dyDescent="0.3">
      <c r="A3371" s="15"/>
      <c r="B3371" s="15"/>
      <c r="C3371" s="3" t="s">
        <v>11</v>
      </c>
      <c r="D3371" s="2">
        <v>3.79</v>
      </c>
      <c r="E3371" s="15"/>
      <c r="F3371" s="15"/>
      <c r="G3371" s="15"/>
      <c r="H3371" s="15"/>
    </row>
    <row r="3372" spans="1:8" x14ac:dyDescent="0.3">
      <c r="A3372" s="15"/>
      <c r="B3372" s="15"/>
      <c r="C3372" s="3" t="s">
        <v>8</v>
      </c>
      <c r="D3372" s="2">
        <v>11.04</v>
      </c>
      <c r="E3372" s="15"/>
      <c r="F3372" s="15"/>
      <c r="G3372" s="15"/>
      <c r="H3372" s="15"/>
    </row>
    <row r="3373" spans="1:8" x14ac:dyDescent="0.3">
      <c r="A3373" s="15"/>
      <c r="B3373" s="15"/>
      <c r="C3373" s="3" t="s">
        <v>12</v>
      </c>
      <c r="D3373" s="2">
        <v>9.23</v>
      </c>
      <c r="E3373" s="15"/>
      <c r="F3373" s="15"/>
      <c r="G3373" s="15"/>
      <c r="H3373" s="15"/>
    </row>
    <row r="3374" spans="1:8" x14ac:dyDescent="0.3">
      <c r="A3374" s="16"/>
      <c r="B3374" s="16"/>
      <c r="C3374" s="3" t="s">
        <v>16</v>
      </c>
      <c r="D3374" s="7">
        <v>35.692</v>
      </c>
      <c r="E3374" s="16"/>
      <c r="F3374" s="16"/>
      <c r="G3374" s="16"/>
      <c r="H3374" s="16"/>
    </row>
    <row r="3375" spans="1:8" x14ac:dyDescent="0.3">
      <c r="A3375" s="18">
        <v>563</v>
      </c>
      <c r="B3375" s="20">
        <v>46014</v>
      </c>
      <c r="C3375" s="8" t="s">
        <v>12</v>
      </c>
      <c r="D3375" s="2">
        <v>13.72</v>
      </c>
      <c r="E3375" s="19">
        <f>SUM(D3375:D3380)</f>
        <v>194.25800000000001</v>
      </c>
      <c r="F3375" s="17">
        <f>INT(MAX(D3375:D3380))</f>
        <v>51</v>
      </c>
      <c r="G3375" s="14">
        <f>INT((F3375/10)*2)</f>
        <v>10</v>
      </c>
      <c r="H3375" s="14">
        <f>F3375-G3375</f>
        <v>41</v>
      </c>
    </row>
    <row r="3376" spans="1:8" x14ac:dyDescent="0.3">
      <c r="A3376" s="15"/>
      <c r="B3376" s="15"/>
      <c r="C3376" s="3" t="s">
        <v>8</v>
      </c>
      <c r="D3376" s="2">
        <v>28.66</v>
      </c>
      <c r="E3376" s="15"/>
      <c r="F3376" s="15"/>
      <c r="G3376" s="15"/>
      <c r="H3376" s="15"/>
    </row>
    <row r="3377" spans="1:8" x14ac:dyDescent="0.3">
      <c r="A3377" s="15"/>
      <c r="B3377" s="15"/>
      <c r="C3377" s="3" t="s">
        <v>16</v>
      </c>
      <c r="D3377" s="2">
        <v>28.21</v>
      </c>
      <c r="E3377" s="15"/>
      <c r="F3377" s="15"/>
      <c r="G3377" s="15"/>
      <c r="H3377" s="15"/>
    </row>
    <row r="3378" spans="1:8" x14ac:dyDescent="0.3">
      <c r="A3378" s="15"/>
      <c r="B3378" s="15"/>
      <c r="C3378" s="3" t="s">
        <v>18</v>
      </c>
      <c r="D3378" s="7">
        <v>51.838000000000001</v>
      </c>
      <c r="E3378" s="15"/>
      <c r="F3378" s="15"/>
      <c r="G3378" s="15"/>
      <c r="H3378" s="15"/>
    </row>
    <row r="3379" spans="1:8" x14ac:dyDescent="0.3">
      <c r="A3379" s="15"/>
      <c r="B3379" s="15"/>
      <c r="C3379" s="8" t="s">
        <v>16</v>
      </c>
      <c r="D3379" s="2">
        <v>26.11</v>
      </c>
      <c r="E3379" s="15"/>
      <c r="F3379" s="15"/>
      <c r="G3379" s="15"/>
      <c r="H3379" s="15"/>
    </row>
    <row r="3380" spans="1:8" x14ac:dyDescent="0.3">
      <c r="A3380" s="16"/>
      <c r="B3380" s="16"/>
      <c r="C3380" s="3" t="s">
        <v>18</v>
      </c>
      <c r="D3380" s="2">
        <v>45.72</v>
      </c>
      <c r="E3380" s="16"/>
      <c r="F3380" s="16"/>
      <c r="G3380" s="16"/>
      <c r="H3380" s="16"/>
    </row>
    <row r="3381" spans="1:8" x14ac:dyDescent="0.3">
      <c r="A3381" s="18">
        <v>564</v>
      </c>
      <c r="B3381" s="20">
        <v>46017</v>
      </c>
      <c r="C3381" s="3" t="s">
        <v>11</v>
      </c>
      <c r="D3381" s="2">
        <v>49.84</v>
      </c>
      <c r="E3381" s="19">
        <f>SUM(D3381:D3386)</f>
        <v>211.48</v>
      </c>
      <c r="F3381" s="17">
        <f>INT(MAX(D3381:D3386))</f>
        <v>68</v>
      </c>
      <c r="G3381" s="14">
        <f>INT((F3381/10)*2)</f>
        <v>13</v>
      </c>
      <c r="H3381" s="14">
        <f>F3381-G3381</f>
        <v>55</v>
      </c>
    </row>
    <row r="3382" spans="1:8" x14ac:dyDescent="0.3">
      <c r="A3382" s="15"/>
      <c r="B3382" s="15"/>
      <c r="C3382" s="3" t="s">
        <v>9</v>
      </c>
      <c r="D3382" s="2">
        <v>14.39</v>
      </c>
      <c r="E3382" s="15"/>
      <c r="F3382" s="15"/>
      <c r="G3382" s="15"/>
      <c r="H3382" s="15"/>
    </row>
    <row r="3383" spans="1:8" x14ac:dyDescent="0.3">
      <c r="A3383" s="15"/>
      <c r="B3383" s="15"/>
      <c r="C3383" s="3" t="s">
        <v>10</v>
      </c>
      <c r="D3383" s="7">
        <v>68.459999999999994</v>
      </c>
      <c r="E3383" s="15"/>
      <c r="F3383" s="15"/>
      <c r="G3383" s="15"/>
      <c r="H3383" s="15"/>
    </row>
    <row r="3384" spans="1:8" x14ac:dyDescent="0.3">
      <c r="A3384" s="15"/>
      <c r="B3384" s="15"/>
      <c r="C3384" s="8" t="s">
        <v>11</v>
      </c>
      <c r="D3384" s="2">
        <v>14.68</v>
      </c>
      <c r="E3384" s="15"/>
      <c r="F3384" s="15"/>
      <c r="G3384" s="15"/>
      <c r="H3384" s="15"/>
    </row>
    <row r="3385" spans="1:8" x14ac:dyDescent="0.3">
      <c r="A3385" s="15"/>
      <c r="B3385" s="15"/>
      <c r="C3385" s="3" t="s">
        <v>17</v>
      </c>
      <c r="D3385" s="2">
        <v>8.14</v>
      </c>
      <c r="E3385" s="15"/>
      <c r="F3385" s="15"/>
      <c r="G3385" s="15"/>
      <c r="H3385" s="15"/>
    </row>
    <row r="3386" spans="1:8" x14ac:dyDescent="0.3">
      <c r="A3386" s="16"/>
      <c r="B3386" s="16"/>
      <c r="C3386" s="3" t="s">
        <v>18</v>
      </c>
      <c r="D3386" s="7">
        <v>55.97</v>
      </c>
      <c r="E3386" s="16"/>
      <c r="F3386" s="16"/>
      <c r="G3386" s="16"/>
      <c r="H3386" s="16"/>
    </row>
    <row r="3387" spans="1:8" x14ac:dyDescent="0.3">
      <c r="A3387" s="18">
        <v>565</v>
      </c>
      <c r="B3387" s="20">
        <v>46021</v>
      </c>
      <c r="C3387" s="8" t="s">
        <v>13</v>
      </c>
      <c r="D3387" s="2">
        <v>24.28</v>
      </c>
      <c r="E3387" s="19">
        <f>SUM(D3387:D3392)</f>
        <v>106.40600000000001</v>
      </c>
      <c r="F3387" s="17">
        <f>INT(MAX(D3387:D3392))</f>
        <v>25</v>
      </c>
      <c r="G3387" s="14">
        <f>INT((F3387/10)*2)</f>
        <v>5</v>
      </c>
      <c r="H3387" s="14">
        <f>F3387-G3387</f>
        <v>20</v>
      </c>
    </row>
    <row r="3388" spans="1:8" x14ac:dyDescent="0.3">
      <c r="A3388" s="15"/>
      <c r="B3388" s="15"/>
      <c r="C3388" s="3" t="s">
        <v>12</v>
      </c>
      <c r="D3388" s="2">
        <v>25.72</v>
      </c>
      <c r="E3388" s="15"/>
      <c r="F3388" s="15"/>
      <c r="G3388" s="15"/>
      <c r="H3388" s="15"/>
    </row>
    <row r="3389" spans="1:8" x14ac:dyDescent="0.3">
      <c r="A3389" s="15"/>
      <c r="B3389" s="15"/>
      <c r="C3389" s="3" t="s">
        <v>16</v>
      </c>
      <c r="D3389" s="2">
        <v>9.02</v>
      </c>
      <c r="E3389" s="15"/>
      <c r="F3389" s="15"/>
      <c r="G3389" s="15"/>
      <c r="H3389" s="15"/>
    </row>
    <row r="3390" spans="1:8" x14ac:dyDescent="0.3">
      <c r="A3390" s="15"/>
      <c r="B3390" s="15"/>
      <c r="C3390" s="3" t="s">
        <v>9</v>
      </c>
      <c r="D3390" s="2">
        <v>20.07</v>
      </c>
      <c r="E3390" s="15"/>
      <c r="F3390" s="15"/>
      <c r="G3390" s="15"/>
      <c r="H3390" s="15"/>
    </row>
    <row r="3391" spans="1:8" x14ac:dyDescent="0.3">
      <c r="A3391" s="15"/>
      <c r="B3391" s="15"/>
      <c r="C3391" s="3" t="s">
        <v>11</v>
      </c>
      <c r="D3391" s="7">
        <v>6.6459999999999999</v>
      </c>
      <c r="E3391" s="15"/>
      <c r="F3391" s="15"/>
      <c r="G3391" s="15"/>
      <c r="H3391" s="15"/>
    </row>
    <row r="3392" spans="1:8" x14ac:dyDescent="0.3">
      <c r="A3392" s="16"/>
      <c r="B3392" s="16"/>
      <c r="C3392" s="8" t="s">
        <v>16</v>
      </c>
      <c r="D3392" s="2">
        <v>20.67</v>
      </c>
      <c r="E3392" s="16"/>
      <c r="F3392" s="16"/>
      <c r="G3392" s="16"/>
      <c r="H3392" s="16"/>
    </row>
    <row r="3393" spans="1:8" x14ac:dyDescent="0.3">
      <c r="A3393" s="18">
        <v>566</v>
      </c>
      <c r="B3393" s="20">
        <v>46024</v>
      </c>
      <c r="C3393" s="3" t="s">
        <v>15</v>
      </c>
      <c r="D3393" s="2">
        <v>14.92</v>
      </c>
      <c r="E3393" s="19">
        <f>SUM(D3393:D3398)</f>
        <v>218.13499999999999</v>
      </c>
      <c r="F3393" s="17">
        <f>INT(MAX(D3393:D3398))</f>
        <v>83</v>
      </c>
      <c r="G3393" s="14">
        <f>INT((F3393/10)*2)</f>
        <v>16</v>
      </c>
      <c r="H3393" s="14">
        <f>F3393-G3393</f>
        <v>67</v>
      </c>
    </row>
    <row r="3394" spans="1:8" x14ac:dyDescent="0.3">
      <c r="A3394" s="15"/>
      <c r="B3394" s="15"/>
      <c r="C3394" s="3" t="s">
        <v>10</v>
      </c>
      <c r="D3394" s="2">
        <v>24.84</v>
      </c>
      <c r="E3394" s="15"/>
      <c r="F3394" s="15"/>
      <c r="G3394" s="15"/>
      <c r="H3394" s="15"/>
    </row>
    <row r="3395" spans="1:8" x14ac:dyDescent="0.3">
      <c r="A3395" s="15"/>
      <c r="B3395" s="15"/>
      <c r="C3395" s="3" t="s">
        <v>9</v>
      </c>
      <c r="D3395" s="7">
        <v>58.505000000000003</v>
      </c>
      <c r="E3395" s="15"/>
      <c r="F3395" s="15"/>
      <c r="G3395" s="15"/>
      <c r="H3395" s="15"/>
    </row>
    <row r="3396" spans="1:8" x14ac:dyDescent="0.3">
      <c r="A3396" s="15"/>
      <c r="B3396" s="15"/>
      <c r="C3396" s="8" t="s">
        <v>13</v>
      </c>
      <c r="D3396" s="2">
        <v>12.02</v>
      </c>
      <c r="E3396" s="15"/>
      <c r="F3396" s="15"/>
      <c r="G3396" s="15"/>
      <c r="H3396" s="15"/>
    </row>
    <row r="3397" spans="1:8" x14ac:dyDescent="0.3">
      <c r="A3397" s="15"/>
      <c r="B3397" s="15"/>
      <c r="C3397" s="3" t="s">
        <v>9</v>
      </c>
      <c r="D3397" s="2">
        <v>23.93</v>
      </c>
      <c r="E3397" s="15"/>
      <c r="F3397" s="15"/>
      <c r="G3397" s="15"/>
      <c r="H3397" s="15"/>
    </row>
    <row r="3398" spans="1:8" x14ac:dyDescent="0.3">
      <c r="A3398" s="16"/>
      <c r="B3398" s="16"/>
      <c r="C3398" s="3" t="s">
        <v>10</v>
      </c>
      <c r="D3398" s="2">
        <v>83.92</v>
      </c>
      <c r="E3398" s="16"/>
      <c r="F3398" s="16"/>
      <c r="G3398" s="16"/>
      <c r="H3398" s="16"/>
    </row>
    <row r="3399" spans="1:8" x14ac:dyDescent="0.3">
      <c r="A3399" s="18">
        <v>567</v>
      </c>
      <c r="B3399" s="20">
        <v>46028</v>
      </c>
      <c r="C3399" s="3" t="s">
        <v>11</v>
      </c>
      <c r="D3399" s="2">
        <v>33.99</v>
      </c>
      <c r="E3399" s="19">
        <f>SUM(D3399:D3404)</f>
        <v>249.49299999999999</v>
      </c>
      <c r="F3399" s="17">
        <f>INT(MAX(D3399:D3404))</f>
        <v>97</v>
      </c>
      <c r="G3399" s="14">
        <f>INT((F3399/10)*2)</f>
        <v>19</v>
      </c>
      <c r="H3399" s="14">
        <f>F3399-G3399</f>
        <v>78</v>
      </c>
    </row>
    <row r="3400" spans="1:8" x14ac:dyDescent="0.3">
      <c r="A3400" s="15"/>
      <c r="B3400" s="15"/>
      <c r="C3400" s="3" t="s">
        <v>16</v>
      </c>
      <c r="D3400" s="7">
        <v>97.176000000000002</v>
      </c>
      <c r="E3400" s="15"/>
      <c r="F3400" s="15"/>
      <c r="G3400" s="15"/>
      <c r="H3400" s="15"/>
    </row>
    <row r="3401" spans="1:8" x14ac:dyDescent="0.3">
      <c r="A3401" s="15"/>
      <c r="B3401" s="15"/>
      <c r="C3401" s="8" t="s">
        <v>15</v>
      </c>
      <c r="D3401" s="2">
        <v>27.26</v>
      </c>
      <c r="E3401" s="15"/>
      <c r="F3401" s="15"/>
      <c r="G3401" s="15"/>
      <c r="H3401" s="15"/>
    </row>
    <row r="3402" spans="1:8" x14ac:dyDescent="0.3">
      <c r="A3402" s="15"/>
      <c r="B3402" s="15"/>
      <c r="C3402" s="3" t="s">
        <v>10</v>
      </c>
      <c r="D3402" s="2">
        <v>51.03</v>
      </c>
      <c r="E3402" s="15"/>
      <c r="F3402" s="15"/>
      <c r="G3402" s="15"/>
      <c r="H3402" s="15"/>
    </row>
    <row r="3403" spans="1:8" x14ac:dyDescent="0.3">
      <c r="A3403" s="15"/>
      <c r="B3403" s="15"/>
      <c r="C3403" s="3" t="s">
        <v>13</v>
      </c>
      <c r="D3403" s="7">
        <v>24.917000000000002</v>
      </c>
      <c r="E3403" s="15"/>
      <c r="F3403" s="15"/>
      <c r="G3403" s="15"/>
      <c r="H3403" s="15"/>
    </row>
    <row r="3404" spans="1:8" x14ac:dyDescent="0.3">
      <c r="A3404" s="16"/>
      <c r="B3404" s="16"/>
      <c r="C3404" s="8" t="s">
        <v>15</v>
      </c>
      <c r="D3404" s="2">
        <v>15.12</v>
      </c>
      <c r="E3404" s="16"/>
      <c r="F3404" s="16"/>
      <c r="G3404" s="16"/>
      <c r="H3404" s="16"/>
    </row>
    <row r="3405" spans="1:8" x14ac:dyDescent="0.3">
      <c r="A3405" s="18">
        <v>568</v>
      </c>
      <c r="B3405" s="20">
        <v>46031</v>
      </c>
      <c r="C3405" s="3" t="s">
        <v>9</v>
      </c>
      <c r="D3405" s="2">
        <v>13.89</v>
      </c>
      <c r="E3405" s="19">
        <f>SUM(D3405:D3410)</f>
        <v>133.22899999999998</v>
      </c>
      <c r="F3405" s="17">
        <f>INT(MAX(D3405:D3410))</f>
        <v>53</v>
      </c>
      <c r="G3405" s="14">
        <f>INT((F3405/10)*2)</f>
        <v>10</v>
      </c>
      <c r="H3405" s="14">
        <f>F3405-G3405</f>
        <v>43</v>
      </c>
    </row>
    <row r="3406" spans="1:8" x14ac:dyDescent="0.3">
      <c r="A3406" s="15"/>
      <c r="B3406" s="15"/>
      <c r="C3406" s="3" t="s">
        <v>12</v>
      </c>
      <c r="D3406" s="2">
        <v>3.24</v>
      </c>
      <c r="E3406" s="15"/>
      <c r="F3406" s="15"/>
      <c r="G3406" s="15"/>
      <c r="H3406" s="15"/>
    </row>
    <row r="3407" spans="1:8" x14ac:dyDescent="0.3">
      <c r="A3407" s="15"/>
      <c r="B3407" s="15"/>
      <c r="C3407" s="3" t="s">
        <v>18</v>
      </c>
      <c r="D3407" s="2">
        <v>11.12</v>
      </c>
      <c r="E3407" s="15"/>
      <c r="F3407" s="15"/>
      <c r="G3407" s="15"/>
      <c r="H3407" s="15"/>
    </row>
    <row r="3408" spans="1:8" x14ac:dyDescent="0.3">
      <c r="A3408" s="15"/>
      <c r="B3408" s="15"/>
      <c r="C3408" s="3" t="s">
        <v>17</v>
      </c>
      <c r="D3408" s="7">
        <v>33.128999999999998</v>
      </c>
      <c r="E3408" s="15"/>
      <c r="F3408" s="15"/>
      <c r="G3408" s="15"/>
      <c r="H3408" s="15"/>
    </row>
    <row r="3409" spans="1:8" x14ac:dyDescent="0.3">
      <c r="A3409" s="15"/>
      <c r="B3409" s="15"/>
      <c r="C3409" s="8" t="s">
        <v>12</v>
      </c>
      <c r="D3409" s="2">
        <v>53.66</v>
      </c>
      <c r="E3409" s="15"/>
      <c r="F3409" s="15"/>
      <c r="G3409" s="15"/>
      <c r="H3409" s="15"/>
    </row>
    <row r="3410" spans="1:8" x14ac:dyDescent="0.3">
      <c r="A3410" s="16"/>
      <c r="B3410" s="16"/>
      <c r="C3410" s="3" t="s">
        <v>9</v>
      </c>
      <c r="D3410" s="2">
        <v>18.190000000000001</v>
      </c>
      <c r="E3410" s="16"/>
      <c r="F3410" s="16"/>
      <c r="G3410" s="16"/>
      <c r="H3410" s="16"/>
    </row>
    <row r="3411" spans="1:8" x14ac:dyDescent="0.3">
      <c r="A3411" s="18">
        <v>569</v>
      </c>
      <c r="B3411" s="20">
        <v>46035</v>
      </c>
      <c r="C3411" s="3" t="s">
        <v>18</v>
      </c>
      <c r="D3411" s="7">
        <v>16.132999999999999</v>
      </c>
      <c r="E3411" s="19">
        <f>SUM(D3411:D3416)</f>
        <v>76.003</v>
      </c>
      <c r="F3411" s="17">
        <f>INT(MAX(D3411:D3416))</f>
        <v>20</v>
      </c>
      <c r="G3411" s="14">
        <f>INT((F3411/10)*2)</f>
        <v>4</v>
      </c>
      <c r="H3411" s="14">
        <f>F3411-G3411</f>
        <v>16</v>
      </c>
    </row>
    <row r="3412" spans="1:8" x14ac:dyDescent="0.3">
      <c r="A3412" s="15"/>
      <c r="B3412" s="15"/>
      <c r="C3412" s="8" t="s">
        <v>13</v>
      </c>
      <c r="D3412" s="2">
        <v>9.0299999999999994</v>
      </c>
      <c r="E3412" s="15"/>
      <c r="F3412" s="15"/>
      <c r="G3412" s="15"/>
      <c r="H3412" s="15"/>
    </row>
    <row r="3413" spans="1:8" x14ac:dyDescent="0.3">
      <c r="A3413" s="15"/>
      <c r="B3413" s="15"/>
      <c r="C3413" s="3" t="s">
        <v>16</v>
      </c>
      <c r="D3413" s="2">
        <v>14.19</v>
      </c>
      <c r="E3413" s="15"/>
      <c r="F3413" s="15"/>
      <c r="G3413" s="15"/>
      <c r="H3413" s="15"/>
    </row>
    <row r="3414" spans="1:8" x14ac:dyDescent="0.3">
      <c r="A3414" s="15"/>
      <c r="B3414" s="15"/>
      <c r="C3414" s="3" t="s">
        <v>12</v>
      </c>
      <c r="D3414" s="2">
        <v>12.21</v>
      </c>
      <c r="E3414" s="15"/>
      <c r="F3414" s="15"/>
      <c r="G3414" s="15"/>
      <c r="H3414" s="15"/>
    </row>
    <row r="3415" spans="1:8" x14ac:dyDescent="0.3">
      <c r="A3415" s="15"/>
      <c r="B3415" s="15"/>
      <c r="C3415" s="3" t="s">
        <v>9</v>
      </c>
      <c r="D3415" s="2">
        <v>20.8</v>
      </c>
      <c r="E3415" s="15"/>
      <c r="F3415" s="15"/>
      <c r="G3415" s="15"/>
      <c r="H3415" s="15"/>
    </row>
    <row r="3416" spans="1:8" x14ac:dyDescent="0.3">
      <c r="A3416" s="16"/>
      <c r="B3416" s="16"/>
      <c r="C3416" s="3" t="s">
        <v>15</v>
      </c>
      <c r="D3416" s="2">
        <v>3.64</v>
      </c>
      <c r="E3416" s="16"/>
      <c r="F3416" s="16"/>
      <c r="G3416" s="16"/>
      <c r="H3416" s="16"/>
    </row>
    <row r="3417" spans="1:8" x14ac:dyDescent="0.3">
      <c r="A3417" s="18">
        <v>570</v>
      </c>
      <c r="B3417" s="20">
        <v>46038</v>
      </c>
      <c r="C3417" s="3" t="s">
        <v>18</v>
      </c>
      <c r="D3417" s="7">
        <v>5.6630000000000003</v>
      </c>
      <c r="E3417" s="19">
        <f>SUM(D3417:D3422)</f>
        <v>117.94199999999999</v>
      </c>
      <c r="F3417" s="17">
        <f>INT(MAX(D3417:D3422))</f>
        <v>46</v>
      </c>
      <c r="G3417" s="14">
        <f>INT((F3417/10)*2)</f>
        <v>9</v>
      </c>
      <c r="H3417" s="14">
        <f>F3417-G3417</f>
        <v>37</v>
      </c>
    </row>
    <row r="3418" spans="1:8" x14ac:dyDescent="0.3">
      <c r="A3418" s="15"/>
      <c r="B3418" s="15"/>
      <c r="C3418" s="8" t="s">
        <v>18</v>
      </c>
      <c r="D3418" s="2">
        <v>46.72</v>
      </c>
      <c r="E3418" s="15"/>
      <c r="F3418" s="15"/>
      <c r="G3418" s="15"/>
      <c r="H3418" s="15"/>
    </row>
    <row r="3419" spans="1:8" x14ac:dyDescent="0.3">
      <c r="A3419" s="15"/>
      <c r="B3419" s="15"/>
      <c r="C3419" s="3" t="s">
        <v>11</v>
      </c>
      <c r="D3419" s="2">
        <v>16.12</v>
      </c>
      <c r="E3419" s="15"/>
      <c r="F3419" s="15"/>
      <c r="G3419" s="15"/>
      <c r="H3419" s="15"/>
    </row>
    <row r="3420" spans="1:8" x14ac:dyDescent="0.3">
      <c r="A3420" s="15"/>
      <c r="B3420" s="15"/>
      <c r="C3420" s="3" t="s">
        <v>16</v>
      </c>
      <c r="D3420" s="2">
        <v>12.02</v>
      </c>
      <c r="E3420" s="15"/>
      <c r="F3420" s="15"/>
      <c r="G3420" s="15"/>
      <c r="H3420" s="15"/>
    </row>
    <row r="3421" spans="1:8" x14ac:dyDescent="0.3">
      <c r="A3421" s="15"/>
      <c r="B3421" s="15"/>
      <c r="C3421" s="3" t="s">
        <v>10</v>
      </c>
      <c r="D3421" s="7">
        <v>16.919</v>
      </c>
      <c r="E3421" s="15"/>
      <c r="F3421" s="15"/>
      <c r="G3421" s="15"/>
      <c r="H3421" s="15"/>
    </row>
    <row r="3422" spans="1:8" x14ac:dyDescent="0.3">
      <c r="A3422" s="16"/>
      <c r="B3422" s="16"/>
      <c r="C3422" s="8" t="s">
        <v>18</v>
      </c>
      <c r="D3422" s="2">
        <v>20.5</v>
      </c>
      <c r="E3422" s="16"/>
      <c r="F3422" s="16"/>
      <c r="G3422" s="16"/>
      <c r="H3422" s="16"/>
    </row>
    <row r="3423" spans="1:8" x14ac:dyDescent="0.3">
      <c r="A3423" s="18">
        <v>571</v>
      </c>
      <c r="B3423" s="20">
        <v>46042</v>
      </c>
      <c r="C3423" s="3" t="s">
        <v>13</v>
      </c>
      <c r="D3423" s="2">
        <v>25.74</v>
      </c>
      <c r="E3423" s="19">
        <f>SUM(D3423:D3428)</f>
        <v>179.79199999999997</v>
      </c>
      <c r="F3423" s="17">
        <f>INT(MAX(D3423:D3428))</f>
        <v>95</v>
      </c>
      <c r="G3423" s="14">
        <f>INT((F3423/10)*2)</f>
        <v>19</v>
      </c>
      <c r="H3423" s="14">
        <f>F3423-G3423</f>
        <v>76</v>
      </c>
    </row>
    <row r="3424" spans="1:8" x14ac:dyDescent="0.3">
      <c r="A3424" s="15"/>
      <c r="B3424" s="15"/>
      <c r="C3424" s="3" t="s">
        <v>17</v>
      </c>
      <c r="D3424" s="2">
        <v>95.49</v>
      </c>
      <c r="E3424" s="15"/>
      <c r="F3424" s="15"/>
      <c r="G3424" s="15"/>
      <c r="H3424" s="15"/>
    </row>
    <row r="3425" spans="1:8" x14ac:dyDescent="0.3">
      <c r="A3425" s="15"/>
      <c r="B3425" s="15"/>
      <c r="C3425" s="3" t="s">
        <v>11</v>
      </c>
      <c r="D3425" s="2">
        <v>10.29</v>
      </c>
      <c r="E3425" s="15"/>
      <c r="F3425" s="15"/>
      <c r="G3425" s="15"/>
      <c r="H3425" s="15"/>
    </row>
    <row r="3426" spans="1:8" x14ac:dyDescent="0.3">
      <c r="A3426" s="15"/>
      <c r="B3426" s="15"/>
      <c r="C3426" s="3" t="s">
        <v>16</v>
      </c>
      <c r="D3426" s="7">
        <v>9.4220000000000006</v>
      </c>
      <c r="E3426" s="15"/>
      <c r="F3426" s="15"/>
      <c r="G3426" s="15"/>
      <c r="H3426" s="15"/>
    </row>
    <row r="3427" spans="1:8" x14ac:dyDescent="0.3">
      <c r="A3427" s="15"/>
      <c r="B3427" s="15"/>
      <c r="C3427" s="8" t="s">
        <v>12</v>
      </c>
      <c r="D3427" s="2">
        <v>12.35</v>
      </c>
      <c r="E3427" s="15"/>
      <c r="F3427" s="15"/>
      <c r="G3427" s="15"/>
      <c r="H3427" s="15"/>
    </row>
    <row r="3428" spans="1:8" x14ac:dyDescent="0.3">
      <c r="A3428" s="16"/>
      <c r="B3428" s="16"/>
      <c r="C3428" s="3" t="s">
        <v>17</v>
      </c>
      <c r="D3428" s="2">
        <v>26.5</v>
      </c>
      <c r="E3428" s="16"/>
      <c r="F3428" s="16"/>
      <c r="G3428" s="16"/>
      <c r="H3428" s="16"/>
    </row>
    <row r="3429" spans="1:8" x14ac:dyDescent="0.3">
      <c r="A3429" s="18">
        <v>572</v>
      </c>
      <c r="B3429" s="20">
        <v>46045</v>
      </c>
      <c r="C3429" s="3" t="s">
        <v>13</v>
      </c>
      <c r="D3429" s="2">
        <v>8.91</v>
      </c>
      <c r="E3429" s="19">
        <f>SUM(D3429:D3434)</f>
        <v>218.35699999999997</v>
      </c>
      <c r="F3429" s="17">
        <f>INT(MAX(D3429:D3434))</f>
        <v>70</v>
      </c>
      <c r="G3429" s="14">
        <f>INT((F3429/10)*2)</f>
        <v>14</v>
      </c>
      <c r="H3429" s="14">
        <f>F3429-G3429</f>
        <v>56</v>
      </c>
    </row>
    <row r="3430" spans="1:8" x14ac:dyDescent="0.3">
      <c r="A3430" s="15"/>
      <c r="B3430" s="15"/>
      <c r="C3430" s="3" t="s">
        <v>8</v>
      </c>
      <c r="D3430" s="7">
        <v>17.236999999999998</v>
      </c>
      <c r="E3430" s="15"/>
      <c r="F3430" s="15"/>
      <c r="G3430" s="15"/>
      <c r="H3430" s="15"/>
    </row>
    <row r="3431" spans="1:8" x14ac:dyDescent="0.3">
      <c r="A3431" s="15"/>
      <c r="B3431" s="15"/>
      <c r="C3431" s="8" t="s">
        <v>10</v>
      </c>
      <c r="D3431" s="2">
        <v>70</v>
      </c>
      <c r="E3431" s="15"/>
      <c r="F3431" s="15"/>
      <c r="G3431" s="15"/>
      <c r="H3431" s="15"/>
    </row>
    <row r="3432" spans="1:8" x14ac:dyDescent="0.3">
      <c r="A3432" s="15"/>
      <c r="B3432" s="15"/>
      <c r="C3432" s="3" t="s">
        <v>16</v>
      </c>
      <c r="D3432" s="2">
        <v>50</v>
      </c>
      <c r="E3432" s="15"/>
      <c r="F3432" s="15"/>
      <c r="G3432" s="15"/>
      <c r="H3432" s="15"/>
    </row>
    <row r="3433" spans="1:8" x14ac:dyDescent="0.3">
      <c r="A3433" s="15"/>
      <c r="B3433" s="15"/>
      <c r="C3433" s="3" t="s">
        <v>8</v>
      </c>
      <c r="D3433" s="2">
        <v>28.66</v>
      </c>
      <c r="E3433" s="15"/>
      <c r="F3433" s="15"/>
      <c r="G3433" s="15"/>
      <c r="H3433" s="15"/>
    </row>
    <row r="3434" spans="1:8" x14ac:dyDescent="0.3">
      <c r="A3434" s="16"/>
      <c r="B3434" s="16"/>
      <c r="C3434" s="3" t="s">
        <v>14</v>
      </c>
      <c r="D3434" s="2">
        <v>43.55</v>
      </c>
      <c r="E3434" s="16"/>
      <c r="F3434" s="16"/>
      <c r="G3434" s="16"/>
      <c r="H3434" s="16"/>
    </row>
    <row r="3435" spans="1:8" x14ac:dyDescent="0.3">
      <c r="A3435" s="18">
        <v>573</v>
      </c>
      <c r="B3435" s="20">
        <v>46049</v>
      </c>
      <c r="C3435" s="3" t="s">
        <v>12</v>
      </c>
      <c r="D3435" s="7">
        <v>7.0780000000000003</v>
      </c>
      <c r="E3435" s="19">
        <f>SUM(D3435:D3440)</f>
        <v>98.012</v>
      </c>
      <c r="F3435" s="17">
        <f>INT(MAX(D3435:D3440))</f>
        <v>23</v>
      </c>
      <c r="G3435" s="14">
        <f>INT((F3435/10)*2)</f>
        <v>4</v>
      </c>
      <c r="H3435" s="14">
        <f>F3435-G3435</f>
        <v>19</v>
      </c>
    </row>
    <row r="3436" spans="1:8" x14ac:dyDescent="0.3">
      <c r="A3436" s="15"/>
      <c r="B3436" s="15"/>
      <c r="C3436" s="8" t="s">
        <v>18</v>
      </c>
      <c r="D3436" s="2">
        <v>15.98</v>
      </c>
      <c r="E3436" s="15"/>
      <c r="F3436" s="15"/>
      <c r="G3436" s="15"/>
      <c r="H3436" s="15"/>
    </row>
    <row r="3437" spans="1:8" x14ac:dyDescent="0.3">
      <c r="A3437" s="15"/>
      <c r="B3437" s="15"/>
      <c r="C3437" s="3" t="s">
        <v>16</v>
      </c>
      <c r="D3437" s="2">
        <v>10.87</v>
      </c>
      <c r="E3437" s="15"/>
      <c r="F3437" s="15"/>
      <c r="G3437" s="15"/>
      <c r="H3437" s="15"/>
    </row>
    <row r="3438" spans="1:8" x14ac:dyDescent="0.3">
      <c r="A3438" s="15"/>
      <c r="B3438" s="15"/>
      <c r="C3438" s="3" t="s">
        <v>17</v>
      </c>
      <c r="D3438" s="2">
        <v>17.36</v>
      </c>
      <c r="E3438" s="15"/>
      <c r="F3438" s="15"/>
      <c r="G3438" s="15"/>
      <c r="H3438" s="15"/>
    </row>
    <row r="3439" spans="1:8" x14ac:dyDescent="0.3">
      <c r="A3439" s="15"/>
      <c r="B3439" s="15"/>
      <c r="C3439" s="3" t="s">
        <v>9</v>
      </c>
      <c r="D3439" s="7">
        <v>23.344000000000001</v>
      </c>
      <c r="E3439" s="15"/>
      <c r="F3439" s="15"/>
      <c r="G3439" s="15"/>
      <c r="H3439" s="15"/>
    </row>
    <row r="3440" spans="1:8" x14ac:dyDescent="0.3">
      <c r="A3440" s="16"/>
      <c r="B3440" s="16"/>
      <c r="C3440" s="8" t="s">
        <v>17</v>
      </c>
      <c r="D3440" s="2">
        <v>23.38</v>
      </c>
      <c r="E3440" s="16"/>
      <c r="F3440" s="16"/>
      <c r="G3440" s="16"/>
      <c r="H3440" s="16"/>
    </row>
    <row r="3441" spans="1:8" x14ac:dyDescent="0.3">
      <c r="A3441" s="18">
        <v>574</v>
      </c>
      <c r="B3441" s="20">
        <v>46052</v>
      </c>
      <c r="C3441" s="3" t="s">
        <v>9</v>
      </c>
      <c r="D3441" s="2">
        <v>31.75</v>
      </c>
      <c r="E3441" s="19">
        <f>SUM(D3441:D3446)</f>
        <v>171.434</v>
      </c>
      <c r="F3441" s="17">
        <f>INT(MAX(D3441:D3446))</f>
        <v>44</v>
      </c>
      <c r="G3441" s="14">
        <f>INT((F3441/10)*2)</f>
        <v>8</v>
      </c>
      <c r="H3441" s="14">
        <f>F3441-G3441</f>
        <v>36</v>
      </c>
    </row>
    <row r="3442" spans="1:8" x14ac:dyDescent="0.3">
      <c r="A3442" s="15"/>
      <c r="B3442" s="15"/>
      <c r="C3442" s="3" t="s">
        <v>14</v>
      </c>
      <c r="D3442" s="2">
        <v>44.6</v>
      </c>
      <c r="E3442" s="15"/>
      <c r="F3442" s="15"/>
      <c r="G3442" s="15"/>
      <c r="H3442" s="15"/>
    </row>
    <row r="3443" spans="1:8" x14ac:dyDescent="0.3">
      <c r="A3443" s="15"/>
      <c r="B3443" s="15"/>
      <c r="C3443" s="3" t="s">
        <v>15</v>
      </c>
      <c r="D3443" s="2">
        <v>26.3</v>
      </c>
      <c r="E3443" s="15"/>
      <c r="F3443" s="15"/>
      <c r="G3443" s="15"/>
      <c r="H3443" s="15"/>
    </row>
    <row r="3444" spans="1:8" x14ac:dyDescent="0.3">
      <c r="A3444" s="15"/>
      <c r="B3444" s="15"/>
      <c r="C3444" s="3" t="s">
        <v>13</v>
      </c>
      <c r="D3444" s="2">
        <v>24.84</v>
      </c>
      <c r="E3444" s="15"/>
      <c r="F3444" s="15"/>
      <c r="G3444" s="15"/>
      <c r="H3444" s="15"/>
    </row>
    <row r="3445" spans="1:8" x14ac:dyDescent="0.3">
      <c r="A3445" s="15"/>
      <c r="B3445" s="15"/>
      <c r="C3445" s="3" t="s">
        <v>10</v>
      </c>
      <c r="D3445" s="7">
        <v>32.823999999999998</v>
      </c>
      <c r="E3445" s="15"/>
      <c r="F3445" s="15"/>
      <c r="G3445" s="15"/>
      <c r="H3445" s="15"/>
    </row>
    <row r="3446" spans="1:8" x14ac:dyDescent="0.3">
      <c r="A3446" s="16"/>
      <c r="B3446" s="16"/>
      <c r="C3446" s="8" t="s">
        <v>14</v>
      </c>
      <c r="D3446" s="2">
        <v>11.12</v>
      </c>
      <c r="E3446" s="16"/>
      <c r="F3446" s="16"/>
      <c r="G3446" s="16"/>
      <c r="H3446" s="16"/>
    </row>
    <row r="3447" spans="1:8" x14ac:dyDescent="0.3">
      <c r="A3447" s="18">
        <v>575</v>
      </c>
      <c r="B3447" s="20">
        <v>46056</v>
      </c>
      <c r="C3447" s="3" t="s">
        <v>10</v>
      </c>
      <c r="D3447" s="2">
        <v>59.02</v>
      </c>
      <c r="E3447" s="19">
        <f>SUM(D3447:D3452)</f>
        <v>301.1880000000001</v>
      </c>
      <c r="F3447" s="17">
        <f>INT(MAX(D3447:D3452))</f>
        <v>134</v>
      </c>
      <c r="G3447" s="14">
        <f>INT((F3447/10)*2)</f>
        <v>26</v>
      </c>
      <c r="H3447" s="14">
        <f>F3447-G3447</f>
        <v>108</v>
      </c>
    </row>
    <row r="3448" spans="1:8" x14ac:dyDescent="0.3">
      <c r="A3448" s="15"/>
      <c r="B3448" s="15"/>
      <c r="C3448" s="3" t="s">
        <v>16</v>
      </c>
      <c r="D3448" s="2">
        <v>134.80000000000001</v>
      </c>
      <c r="E3448" s="15"/>
      <c r="F3448" s="15"/>
      <c r="G3448" s="15"/>
      <c r="H3448" s="15"/>
    </row>
    <row r="3449" spans="1:8" x14ac:dyDescent="0.3">
      <c r="A3449" s="15"/>
      <c r="B3449" s="15"/>
      <c r="C3449" s="3" t="s">
        <v>11</v>
      </c>
      <c r="D3449" s="2">
        <v>64.13</v>
      </c>
      <c r="E3449" s="15"/>
      <c r="F3449" s="15"/>
      <c r="G3449" s="15"/>
      <c r="H3449" s="15"/>
    </row>
    <row r="3450" spans="1:8" x14ac:dyDescent="0.3">
      <c r="A3450" s="15"/>
      <c r="B3450" s="15"/>
      <c r="C3450" s="3" t="s">
        <v>13</v>
      </c>
      <c r="D3450" s="7">
        <v>15.898</v>
      </c>
      <c r="E3450" s="15"/>
      <c r="F3450" s="15"/>
      <c r="G3450" s="15"/>
      <c r="H3450" s="15"/>
    </row>
    <row r="3451" spans="1:8" x14ac:dyDescent="0.3">
      <c r="A3451" s="15"/>
      <c r="B3451" s="15"/>
      <c r="C3451" s="8" t="s">
        <v>14</v>
      </c>
      <c r="D3451" s="2">
        <v>16.489999999999998</v>
      </c>
      <c r="E3451" s="15"/>
      <c r="F3451" s="15"/>
      <c r="G3451" s="15"/>
      <c r="H3451" s="15"/>
    </row>
    <row r="3452" spans="1:8" x14ac:dyDescent="0.3">
      <c r="A3452" s="16"/>
      <c r="B3452" s="16"/>
      <c r="C3452" s="3" t="s">
        <v>13</v>
      </c>
      <c r="D3452" s="2">
        <v>10.85</v>
      </c>
      <c r="E3452" s="16"/>
      <c r="F3452" s="16"/>
      <c r="G3452" s="16"/>
      <c r="H3452" s="16"/>
    </row>
    <row r="3453" spans="1:8" x14ac:dyDescent="0.3">
      <c r="A3453" s="18">
        <v>576</v>
      </c>
      <c r="B3453" s="20">
        <v>46059</v>
      </c>
      <c r="C3453" s="3" t="s">
        <v>16</v>
      </c>
      <c r="D3453" s="7">
        <v>8.4550000000000001</v>
      </c>
      <c r="E3453" s="19">
        <f>SUM(D3453:D3458)</f>
        <v>76.308999999999997</v>
      </c>
      <c r="F3453" s="17">
        <f>INT(MAX(D3453:D3458))</f>
        <v>20</v>
      </c>
      <c r="G3453" s="14">
        <f>INT((F3453/10)*2)</f>
        <v>4</v>
      </c>
      <c r="H3453" s="14">
        <f>F3453-G3453</f>
        <v>16</v>
      </c>
    </row>
    <row r="3454" spans="1:8" x14ac:dyDescent="0.3">
      <c r="A3454" s="15"/>
      <c r="B3454" s="15"/>
      <c r="C3454" s="8" t="s">
        <v>15</v>
      </c>
      <c r="D3454" s="2">
        <v>6.79</v>
      </c>
      <c r="E3454" s="15"/>
      <c r="F3454" s="15"/>
      <c r="G3454" s="15"/>
      <c r="H3454" s="15"/>
    </row>
    <row r="3455" spans="1:8" x14ac:dyDescent="0.3">
      <c r="A3455" s="15"/>
      <c r="B3455" s="15"/>
      <c r="C3455" s="3" t="s">
        <v>18</v>
      </c>
      <c r="D3455" s="2">
        <v>4.07</v>
      </c>
      <c r="E3455" s="15"/>
      <c r="F3455" s="15"/>
      <c r="G3455" s="15"/>
      <c r="H3455" s="15"/>
    </row>
    <row r="3456" spans="1:8" x14ac:dyDescent="0.3">
      <c r="A3456" s="15"/>
      <c r="B3456" s="15"/>
      <c r="C3456" s="3" t="s">
        <v>12</v>
      </c>
      <c r="D3456" s="7">
        <v>20.724</v>
      </c>
      <c r="E3456" s="15"/>
      <c r="F3456" s="15"/>
      <c r="G3456" s="15"/>
      <c r="H3456" s="15"/>
    </row>
    <row r="3457" spans="1:8" x14ac:dyDescent="0.3">
      <c r="A3457" s="15"/>
      <c r="B3457" s="15"/>
      <c r="C3457" s="8" t="s">
        <v>12</v>
      </c>
      <c r="D3457" s="2">
        <v>15.6</v>
      </c>
      <c r="E3457" s="15"/>
      <c r="F3457" s="15"/>
      <c r="G3457" s="15"/>
      <c r="H3457" s="15"/>
    </row>
    <row r="3458" spans="1:8" x14ac:dyDescent="0.3">
      <c r="A3458" s="16"/>
      <c r="B3458" s="16"/>
      <c r="C3458" s="3" t="s">
        <v>16</v>
      </c>
      <c r="D3458" s="2">
        <v>20.67</v>
      </c>
      <c r="E3458" s="16"/>
      <c r="F3458" s="16"/>
      <c r="G3458" s="16"/>
      <c r="H3458" s="16"/>
    </row>
    <row r="3459" spans="1:8" x14ac:dyDescent="0.3">
      <c r="A3459" s="18">
        <v>577</v>
      </c>
      <c r="B3459" s="20">
        <v>46063</v>
      </c>
      <c r="C3459" s="3" t="s">
        <v>14</v>
      </c>
      <c r="D3459" s="2">
        <v>9.8699999999999992</v>
      </c>
      <c r="E3459" s="19">
        <f>SUM(D3459:D3464)</f>
        <v>185.75399999999999</v>
      </c>
      <c r="F3459" s="17">
        <f>INT(MAX(D3459:D3464))</f>
        <v>98</v>
      </c>
      <c r="G3459" s="14">
        <f>INT((F3459/10)*2)</f>
        <v>19</v>
      </c>
      <c r="H3459" s="14">
        <f>F3459-G3459</f>
        <v>79</v>
      </c>
    </row>
    <row r="3460" spans="1:8" x14ac:dyDescent="0.3">
      <c r="A3460" s="15"/>
      <c r="B3460" s="15"/>
      <c r="C3460" s="3" t="s">
        <v>10</v>
      </c>
      <c r="D3460" s="7">
        <v>38.573999999999998</v>
      </c>
      <c r="E3460" s="15"/>
      <c r="F3460" s="15"/>
      <c r="G3460" s="15"/>
      <c r="H3460" s="15"/>
    </row>
    <row r="3461" spans="1:8" x14ac:dyDescent="0.3">
      <c r="A3461" s="15"/>
      <c r="B3461" s="15"/>
      <c r="C3461" s="8" t="s">
        <v>11</v>
      </c>
      <c r="D3461" s="2">
        <v>23.96</v>
      </c>
      <c r="E3461" s="15"/>
      <c r="F3461" s="15"/>
      <c r="G3461" s="15"/>
      <c r="H3461" s="15"/>
    </row>
    <row r="3462" spans="1:8" x14ac:dyDescent="0.3">
      <c r="A3462" s="15"/>
      <c r="B3462" s="15"/>
      <c r="C3462" s="3" t="s">
        <v>15</v>
      </c>
      <c r="D3462" s="2">
        <v>8.8800000000000008</v>
      </c>
      <c r="E3462" s="15"/>
      <c r="F3462" s="15"/>
      <c r="G3462" s="15"/>
      <c r="H3462" s="15"/>
    </row>
    <row r="3463" spans="1:8" x14ac:dyDescent="0.3">
      <c r="A3463" s="15"/>
      <c r="B3463" s="15"/>
      <c r="C3463" s="3" t="s">
        <v>16</v>
      </c>
      <c r="D3463" s="2">
        <v>6.47</v>
      </c>
      <c r="E3463" s="15"/>
      <c r="F3463" s="15"/>
      <c r="G3463" s="15"/>
      <c r="H3463" s="15"/>
    </row>
    <row r="3464" spans="1:8" x14ac:dyDescent="0.3">
      <c r="A3464" s="16"/>
      <c r="B3464" s="16"/>
      <c r="C3464" s="3" t="s">
        <v>14</v>
      </c>
      <c r="D3464" s="4">
        <v>98</v>
      </c>
      <c r="E3464" s="16"/>
      <c r="F3464" s="16"/>
      <c r="G3464" s="16"/>
      <c r="H3464" s="16"/>
    </row>
    <row r="3465" spans="1:8" x14ac:dyDescent="0.3">
      <c r="A3465" s="18">
        <v>578</v>
      </c>
      <c r="B3465" s="20">
        <v>46066</v>
      </c>
      <c r="C3465" s="5" t="s">
        <v>11</v>
      </c>
      <c r="D3465" s="4">
        <v>49</v>
      </c>
      <c r="E3465" s="19">
        <f>SUM(D3465:D3470)</f>
        <v>201</v>
      </c>
      <c r="F3465" s="17">
        <f>INT(MAX(D3465:D3470))</f>
        <v>49</v>
      </c>
      <c r="G3465" s="14">
        <f>INT((F3465/10)*2)</f>
        <v>9</v>
      </c>
      <c r="H3465" s="14">
        <f>F3465-G3465</f>
        <v>40</v>
      </c>
    </row>
    <row r="3466" spans="1:8" x14ac:dyDescent="0.3">
      <c r="A3466" s="15"/>
      <c r="B3466" s="15"/>
      <c r="C3466" s="5" t="s">
        <v>11</v>
      </c>
      <c r="D3466" s="4">
        <v>44</v>
      </c>
      <c r="E3466" s="15"/>
      <c r="F3466" s="15"/>
      <c r="G3466" s="15"/>
      <c r="H3466" s="15"/>
    </row>
    <row r="3467" spans="1:8" x14ac:dyDescent="0.3">
      <c r="A3467" s="15"/>
      <c r="B3467" s="15"/>
      <c r="C3467" s="5" t="s">
        <v>11</v>
      </c>
      <c r="D3467" s="4">
        <v>38</v>
      </c>
      <c r="E3467" s="15"/>
      <c r="F3467" s="15"/>
      <c r="G3467" s="15"/>
      <c r="H3467" s="15"/>
    </row>
    <row r="3468" spans="1:8" x14ac:dyDescent="0.3">
      <c r="A3468" s="15"/>
      <c r="B3468" s="15"/>
      <c r="C3468" s="5" t="s">
        <v>19</v>
      </c>
      <c r="D3468" s="4">
        <v>14.5</v>
      </c>
      <c r="E3468" s="15"/>
      <c r="F3468" s="15"/>
      <c r="G3468" s="15"/>
      <c r="H3468" s="15"/>
    </row>
    <row r="3469" spans="1:8" x14ac:dyDescent="0.3">
      <c r="A3469" s="15"/>
      <c r="B3469" s="15"/>
      <c r="C3469" s="5" t="s">
        <v>19</v>
      </c>
      <c r="D3469" s="4">
        <v>20.5</v>
      </c>
      <c r="E3469" s="15"/>
      <c r="F3469" s="15"/>
      <c r="G3469" s="15"/>
      <c r="H3469" s="15"/>
    </row>
    <row r="3470" spans="1:8" x14ac:dyDescent="0.3">
      <c r="A3470" s="16"/>
      <c r="B3470" s="16"/>
      <c r="C3470" s="5" t="s">
        <v>19</v>
      </c>
      <c r="D3470" s="4">
        <v>35</v>
      </c>
      <c r="E3470" s="16"/>
      <c r="F3470" s="16"/>
      <c r="G3470" s="16"/>
      <c r="H3470" s="16"/>
    </row>
    <row r="3471" spans="1:8" x14ac:dyDescent="0.3">
      <c r="A3471" s="18">
        <v>579</v>
      </c>
      <c r="B3471" s="20">
        <v>46070</v>
      </c>
      <c r="C3471" s="5" t="s">
        <v>19</v>
      </c>
      <c r="D3471" s="4">
        <v>25</v>
      </c>
      <c r="E3471" s="19">
        <f>SUM(D3471:D3476)</f>
        <v>209.07999999999998</v>
      </c>
      <c r="F3471" s="17">
        <f>INT(MAX(D3471:D3476))</f>
        <v>52</v>
      </c>
      <c r="G3471" s="14">
        <f>INT((F3471/10)*2)</f>
        <v>10</v>
      </c>
      <c r="H3471" s="14">
        <f>F3471-G3471</f>
        <v>42</v>
      </c>
    </row>
    <row r="3472" spans="1:8" x14ac:dyDescent="0.3">
      <c r="A3472" s="15"/>
      <c r="B3472" s="15"/>
      <c r="C3472" s="5" t="s">
        <v>20</v>
      </c>
      <c r="D3472" s="4">
        <v>52.08</v>
      </c>
      <c r="E3472" s="15"/>
      <c r="F3472" s="15"/>
      <c r="G3472" s="15"/>
      <c r="H3472" s="15"/>
    </row>
    <row r="3473" spans="1:8" x14ac:dyDescent="0.3">
      <c r="A3473" s="15"/>
      <c r="B3473" s="15"/>
      <c r="C3473" s="5" t="s">
        <v>20</v>
      </c>
      <c r="D3473" s="4">
        <v>35</v>
      </c>
      <c r="E3473" s="15"/>
      <c r="F3473" s="15"/>
      <c r="G3473" s="15"/>
      <c r="H3473" s="15"/>
    </row>
    <row r="3474" spans="1:8" x14ac:dyDescent="0.3">
      <c r="A3474" s="15"/>
      <c r="B3474" s="15"/>
      <c r="C3474" s="5" t="s">
        <v>21</v>
      </c>
      <c r="D3474" s="4">
        <v>17</v>
      </c>
      <c r="E3474" s="15"/>
      <c r="F3474" s="15"/>
      <c r="G3474" s="15"/>
      <c r="H3474" s="15"/>
    </row>
    <row r="3475" spans="1:8" x14ac:dyDescent="0.3">
      <c r="A3475" s="15"/>
      <c r="B3475" s="15"/>
      <c r="C3475" s="5" t="s">
        <v>19</v>
      </c>
      <c r="D3475" s="4">
        <v>43</v>
      </c>
      <c r="E3475" s="15"/>
      <c r="F3475" s="15"/>
      <c r="G3475" s="15"/>
      <c r="H3475" s="15"/>
    </row>
    <row r="3476" spans="1:8" x14ac:dyDescent="0.3">
      <c r="A3476" s="16"/>
      <c r="B3476" s="16"/>
      <c r="C3476" s="5" t="s">
        <v>20</v>
      </c>
      <c r="D3476" s="4">
        <v>37</v>
      </c>
      <c r="E3476" s="16"/>
      <c r="F3476" s="16"/>
      <c r="G3476" s="16"/>
      <c r="H3476" s="16"/>
    </row>
    <row r="3477" spans="1:8" x14ac:dyDescent="0.3">
      <c r="A3477" s="18">
        <v>580</v>
      </c>
      <c r="B3477" s="20">
        <v>46073</v>
      </c>
      <c r="C3477" s="5" t="s">
        <v>19</v>
      </c>
      <c r="D3477" s="4">
        <v>37</v>
      </c>
      <c r="E3477" s="19">
        <f>SUM(D3477:D3482)</f>
        <v>195</v>
      </c>
      <c r="F3477" s="17">
        <f>INT(MAX(D3477:D3482))</f>
        <v>39</v>
      </c>
      <c r="G3477" s="14">
        <f>INT((F3477/10)*2)</f>
        <v>7</v>
      </c>
      <c r="H3477" s="14">
        <f>F3477-G3477</f>
        <v>32</v>
      </c>
    </row>
    <row r="3478" spans="1:8" x14ac:dyDescent="0.3">
      <c r="A3478" s="15"/>
      <c r="B3478" s="15"/>
      <c r="C3478" s="5" t="s">
        <v>20</v>
      </c>
      <c r="D3478" s="4">
        <v>39</v>
      </c>
      <c r="E3478" s="15"/>
      <c r="F3478" s="15"/>
      <c r="G3478" s="15"/>
      <c r="H3478" s="15"/>
    </row>
    <row r="3479" spans="1:8" x14ac:dyDescent="0.3">
      <c r="A3479" s="15"/>
      <c r="B3479" s="15"/>
      <c r="C3479" s="5" t="s">
        <v>21</v>
      </c>
      <c r="D3479" s="4">
        <v>24</v>
      </c>
      <c r="E3479" s="15"/>
      <c r="F3479" s="15"/>
      <c r="G3479" s="15"/>
      <c r="H3479" s="15"/>
    </row>
    <row r="3480" spans="1:8" x14ac:dyDescent="0.3">
      <c r="A3480" s="15"/>
      <c r="B3480" s="15"/>
      <c r="C3480" s="5" t="s">
        <v>21</v>
      </c>
      <c r="D3480" s="4">
        <v>30</v>
      </c>
      <c r="E3480" s="15"/>
      <c r="F3480" s="15"/>
      <c r="G3480" s="15"/>
      <c r="H3480" s="15"/>
    </row>
    <row r="3481" spans="1:8" x14ac:dyDescent="0.3">
      <c r="A3481" s="15"/>
      <c r="B3481" s="15"/>
      <c r="C3481" s="5" t="s">
        <v>21</v>
      </c>
      <c r="D3481" s="4">
        <v>30</v>
      </c>
      <c r="E3481" s="15"/>
      <c r="F3481" s="15"/>
      <c r="G3481" s="15"/>
      <c r="H3481" s="15"/>
    </row>
    <row r="3482" spans="1:8" x14ac:dyDescent="0.3">
      <c r="A3482" s="16"/>
      <c r="B3482" s="16"/>
      <c r="C3482" s="5" t="s">
        <v>21</v>
      </c>
      <c r="D3482" s="4">
        <v>35</v>
      </c>
      <c r="E3482" s="16"/>
      <c r="F3482" s="16"/>
      <c r="G3482" s="16"/>
      <c r="H3482" s="16"/>
    </row>
    <row r="3483" spans="1:8" x14ac:dyDescent="0.3">
      <c r="A3483" s="18">
        <v>581</v>
      </c>
      <c r="B3483" s="20">
        <v>46077</v>
      </c>
      <c r="C3483" s="5" t="s">
        <v>21</v>
      </c>
      <c r="D3483" s="4">
        <v>8</v>
      </c>
      <c r="E3483" s="19">
        <f>SUM(D3483:D3488)</f>
        <v>242</v>
      </c>
      <c r="F3483" s="17">
        <f>INT(MAX(D3483:D3488))</f>
        <v>68</v>
      </c>
      <c r="G3483" s="14">
        <f>INT((F3483/10)*2)</f>
        <v>13</v>
      </c>
      <c r="H3483" s="14">
        <f>F3483-G3483</f>
        <v>55</v>
      </c>
    </row>
    <row r="3484" spans="1:8" x14ac:dyDescent="0.3">
      <c r="A3484" s="15"/>
      <c r="B3484" s="15"/>
      <c r="C3484" s="5" t="s">
        <v>22</v>
      </c>
      <c r="D3484" s="4">
        <v>36</v>
      </c>
      <c r="E3484" s="15"/>
      <c r="F3484" s="15"/>
      <c r="G3484" s="15"/>
      <c r="H3484" s="15"/>
    </row>
    <row r="3485" spans="1:8" x14ac:dyDescent="0.3">
      <c r="A3485" s="15"/>
      <c r="B3485" s="15"/>
      <c r="C3485" s="5" t="s">
        <v>21</v>
      </c>
      <c r="D3485" s="4">
        <v>14</v>
      </c>
      <c r="E3485" s="15"/>
      <c r="F3485" s="15"/>
      <c r="G3485" s="15"/>
      <c r="H3485" s="15"/>
    </row>
    <row r="3486" spans="1:8" x14ac:dyDescent="0.3">
      <c r="A3486" s="15"/>
      <c r="B3486" s="15"/>
      <c r="C3486" s="5" t="s">
        <v>19</v>
      </c>
      <c r="D3486" s="4">
        <v>64</v>
      </c>
      <c r="E3486" s="15"/>
      <c r="F3486" s="15"/>
      <c r="G3486" s="15"/>
      <c r="H3486" s="15"/>
    </row>
    <row r="3487" spans="1:8" x14ac:dyDescent="0.3">
      <c r="A3487" s="15"/>
      <c r="B3487" s="15"/>
      <c r="C3487" s="5" t="s">
        <v>21</v>
      </c>
      <c r="D3487" s="4">
        <v>68</v>
      </c>
      <c r="E3487" s="15"/>
      <c r="F3487" s="15"/>
      <c r="G3487" s="15"/>
      <c r="H3487" s="15"/>
    </row>
    <row r="3488" spans="1:8" x14ac:dyDescent="0.3">
      <c r="A3488" s="16"/>
      <c r="B3488" s="16"/>
      <c r="C3488" s="5" t="s">
        <v>21</v>
      </c>
      <c r="D3488" s="4">
        <v>52</v>
      </c>
      <c r="E3488" s="16"/>
      <c r="F3488" s="16"/>
      <c r="G3488" s="16"/>
      <c r="H3488" s="16"/>
    </row>
    <row r="3501" spans="1:7" x14ac:dyDescent="0.3">
      <c r="A3501" s="21"/>
      <c r="B3501" s="13"/>
      <c r="E3501" s="13"/>
      <c r="F3501" s="13"/>
      <c r="G3501" s="13"/>
    </row>
    <row r="3502" spans="1:7" x14ac:dyDescent="0.3">
      <c r="A3502" s="13"/>
      <c r="B3502" s="13"/>
      <c r="E3502" s="13"/>
      <c r="F3502" s="13"/>
      <c r="G3502" s="13"/>
    </row>
    <row r="3503" spans="1:7" x14ac:dyDescent="0.3">
      <c r="A3503" s="13"/>
      <c r="B3503" s="13"/>
      <c r="E3503" s="13"/>
      <c r="F3503" s="13"/>
      <c r="G3503" s="13"/>
    </row>
    <row r="3504" spans="1:7" x14ac:dyDescent="0.3">
      <c r="A3504" s="13"/>
      <c r="B3504" s="13"/>
      <c r="E3504" s="13"/>
      <c r="F3504" s="13"/>
      <c r="G3504" s="13"/>
    </row>
    <row r="3505" spans="1:7" x14ac:dyDescent="0.3">
      <c r="A3505" s="13"/>
      <c r="B3505" s="13"/>
      <c r="E3505" s="13"/>
      <c r="F3505" s="13"/>
      <c r="G3505" s="13"/>
    </row>
    <row r="3506" spans="1:7" x14ac:dyDescent="0.3">
      <c r="A3506" s="13"/>
      <c r="B3506" s="13"/>
      <c r="E3506" s="13"/>
      <c r="F3506" s="13"/>
      <c r="G3506" s="13"/>
    </row>
    <row r="3507" spans="1:7" x14ac:dyDescent="0.3">
      <c r="A3507" s="21"/>
      <c r="B3507" s="13"/>
      <c r="E3507" s="13"/>
      <c r="F3507" s="13"/>
      <c r="G3507" s="13"/>
    </row>
    <row r="3508" spans="1:7" x14ac:dyDescent="0.3">
      <c r="A3508" s="13"/>
      <c r="B3508" s="13"/>
      <c r="E3508" s="13"/>
      <c r="F3508" s="13"/>
      <c r="G3508" s="13"/>
    </row>
    <row r="3509" spans="1:7" x14ac:dyDescent="0.3">
      <c r="A3509" s="13"/>
      <c r="B3509" s="13"/>
      <c r="E3509" s="13"/>
      <c r="F3509" s="13"/>
      <c r="G3509" s="13"/>
    </row>
    <row r="3510" spans="1:7" x14ac:dyDescent="0.3">
      <c r="A3510" s="13"/>
      <c r="B3510" s="13"/>
      <c r="E3510" s="13"/>
      <c r="F3510" s="13"/>
      <c r="G3510" s="13"/>
    </row>
    <row r="3511" spans="1:7" x14ac:dyDescent="0.3">
      <c r="A3511" s="13"/>
      <c r="B3511" s="13"/>
      <c r="E3511" s="13"/>
      <c r="F3511" s="13"/>
      <c r="G3511" s="13"/>
    </row>
    <row r="3512" spans="1:7" x14ac:dyDescent="0.3">
      <c r="A3512" s="13"/>
      <c r="B3512" s="13"/>
      <c r="E3512" s="13"/>
      <c r="F3512" s="13"/>
      <c r="G3512" s="13"/>
    </row>
    <row r="3513" spans="1:7" x14ac:dyDescent="0.3">
      <c r="A3513" s="21"/>
      <c r="B3513" s="13"/>
      <c r="E3513" s="13"/>
      <c r="F3513" s="13"/>
      <c r="G3513" s="13"/>
    </row>
    <row r="3514" spans="1:7" x14ac:dyDescent="0.3">
      <c r="A3514" s="13"/>
      <c r="B3514" s="13"/>
      <c r="E3514" s="13"/>
      <c r="F3514" s="13"/>
      <c r="G3514" s="13"/>
    </row>
    <row r="3515" spans="1:7" x14ac:dyDescent="0.3">
      <c r="A3515" s="13"/>
      <c r="B3515" s="13"/>
      <c r="E3515" s="13"/>
      <c r="F3515" s="13"/>
      <c r="G3515" s="13"/>
    </row>
    <row r="3516" spans="1:7" x14ac:dyDescent="0.3">
      <c r="A3516" s="13"/>
      <c r="B3516" s="13"/>
      <c r="E3516" s="13"/>
      <c r="F3516" s="13"/>
      <c r="G3516" s="13"/>
    </row>
    <row r="3517" spans="1:7" x14ac:dyDescent="0.3">
      <c r="A3517" s="13"/>
      <c r="B3517" s="13"/>
      <c r="E3517" s="13"/>
      <c r="F3517" s="13"/>
      <c r="G3517" s="13"/>
    </row>
    <row r="3518" spans="1:7" x14ac:dyDescent="0.3">
      <c r="A3518" s="13"/>
      <c r="B3518" s="13"/>
      <c r="E3518" s="13"/>
      <c r="F3518" s="13"/>
      <c r="G3518" s="13"/>
    </row>
    <row r="3519" spans="1:7" x14ac:dyDescent="0.3">
      <c r="A3519" s="21"/>
      <c r="B3519" s="13"/>
      <c r="E3519" s="13"/>
      <c r="F3519" s="13"/>
      <c r="G3519" s="13"/>
    </row>
    <row r="3520" spans="1:7" x14ac:dyDescent="0.3">
      <c r="A3520" s="13"/>
      <c r="B3520" s="13"/>
      <c r="E3520" s="13"/>
      <c r="F3520" s="13"/>
      <c r="G3520" s="13"/>
    </row>
    <row r="3521" spans="1:7" x14ac:dyDescent="0.3">
      <c r="A3521" s="13"/>
      <c r="B3521" s="13"/>
      <c r="E3521" s="13"/>
      <c r="F3521" s="13"/>
      <c r="G3521" s="13"/>
    </row>
    <row r="3522" spans="1:7" x14ac:dyDescent="0.3">
      <c r="A3522" s="13"/>
      <c r="B3522" s="13"/>
      <c r="E3522" s="13"/>
      <c r="F3522" s="13"/>
      <c r="G3522" s="13"/>
    </row>
    <row r="3523" spans="1:7" x14ac:dyDescent="0.3">
      <c r="A3523" s="13"/>
      <c r="B3523" s="13"/>
      <c r="E3523" s="13"/>
      <c r="F3523" s="13"/>
      <c r="G3523" s="13"/>
    </row>
    <row r="3524" spans="1:7" x14ac:dyDescent="0.3">
      <c r="A3524" s="13"/>
      <c r="B3524" s="13"/>
      <c r="E3524" s="13"/>
      <c r="F3524" s="13"/>
      <c r="G3524" s="13"/>
    </row>
    <row r="3525" spans="1:7" x14ac:dyDescent="0.3">
      <c r="A3525" s="21"/>
      <c r="B3525" s="13"/>
      <c r="E3525" s="13"/>
      <c r="F3525" s="13"/>
      <c r="G3525" s="13"/>
    </row>
    <row r="3526" spans="1:7" x14ac:dyDescent="0.3">
      <c r="A3526" s="13"/>
      <c r="B3526" s="13"/>
      <c r="E3526" s="13"/>
      <c r="F3526" s="13"/>
      <c r="G3526" s="13"/>
    </row>
    <row r="3527" spans="1:7" x14ac:dyDescent="0.3">
      <c r="A3527" s="13"/>
      <c r="B3527" s="13"/>
      <c r="E3527" s="13"/>
      <c r="F3527" s="13"/>
      <c r="G3527" s="13"/>
    </row>
    <row r="3528" spans="1:7" x14ac:dyDescent="0.3">
      <c r="A3528" s="13"/>
      <c r="B3528" s="13"/>
      <c r="E3528" s="13"/>
      <c r="F3528" s="13"/>
      <c r="G3528" s="13"/>
    </row>
    <row r="3529" spans="1:7" x14ac:dyDescent="0.3">
      <c r="A3529" s="13"/>
      <c r="B3529" s="13"/>
      <c r="E3529" s="13"/>
      <c r="F3529" s="13"/>
      <c r="G3529" s="13"/>
    </row>
    <row r="3530" spans="1:7" x14ac:dyDescent="0.3">
      <c r="A3530" s="13"/>
      <c r="B3530" s="13"/>
      <c r="E3530" s="13"/>
      <c r="F3530" s="13"/>
      <c r="G3530" s="13"/>
    </row>
    <row r="3531" spans="1:7" x14ac:dyDescent="0.3">
      <c r="A3531" s="21"/>
      <c r="B3531" s="13"/>
      <c r="E3531" s="13"/>
      <c r="F3531" s="13"/>
      <c r="G3531" s="13"/>
    </row>
    <row r="3532" spans="1:7" x14ac:dyDescent="0.3">
      <c r="A3532" s="13"/>
      <c r="B3532" s="13"/>
      <c r="E3532" s="13"/>
      <c r="F3532" s="13"/>
      <c r="G3532" s="13"/>
    </row>
    <row r="3533" spans="1:7" x14ac:dyDescent="0.3">
      <c r="A3533" s="13"/>
      <c r="B3533" s="13"/>
      <c r="E3533" s="13"/>
      <c r="F3533" s="13"/>
      <c r="G3533" s="13"/>
    </row>
    <row r="3534" spans="1:7" x14ac:dyDescent="0.3">
      <c r="A3534" s="13"/>
      <c r="B3534" s="13"/>
      <c r="E3534" s="13"/>
      <c r="F3534" s="13"/>
      <c r="G3534" s="13"/>
    </row>
    <row r="3535" spans="1:7" x14ac:dyDescent="0.3">
      <c r="A3535" s="13"/>
      <c r="B3535" s="13"/>
      <c r="E3535" s="13"/>
      <c r="F3535" s="13"/>
      <c r="G3535" s="13"/>
    </row>
    <row r="3536" spans="1:7" x14ac:dyDescent="0.3">
      <c r="A3536" s="13"/>
      <c r="B3536" s="13"/>
      <c r="E3536" s="13"/>
      <c r="F3536" s="13"/>
      <c r="G3536" s="13"/>
    </row>
    <row r="3537" spans="1:7" x14ac:dyDescent="0.3">
      <c r="A3537" s="21"/>
      <c r="B3537" s="13"/>
      <c r="E3537" s="13"/>
      <c r="F3537" s="13"/>
      <c r="G3537" s="13"/>
    </row>
    <row r="3538" spans="1:7" x14ac:dyDescent="0.3">
      <c r="A3538" s="13"/>
      <c r="B3538" s="13"/>
      <c r="E3538" s="13"/>
      <c r="F3538" s="13"/>
      <c r="G3538" s="13"/>
    </row>
    <row r="3539" spans="1:7" x14ac:dyDescent="0.3">
      <c r="A3539" s="13"/>
      <c r="B3539" s="13"/>
      <c r="E3539" s="13"/>
      <c r="F3539" s="13"/>
      <c r="G3539" s="13"/>
    </row>
    <row r="3540" spans="1:7" x14ac:dyDescent="0.3">
      <c r="A3540" s="13"/>
      <c r="B3540" s="13"/>
      <c r="E3540" s="13"/>
      <c r="F3540" s="13"/>
      <c r="G3540" s="13"/>
    </row>
    <row r="3541" spans="1:7" x14ac:dyDescent="0.3">
      <c r="A3541" s="13"/>
      <c r="B3541" s="13"/>
      <c r="E3541" s="13"/>
      <c r="F3541" s="13"/>
      <c r="G3541" s="13"/>
    </row>
    <row r="3542" spans="1:7" x14ac:dyDescent="0.3">
      <c r="A3542" s="13"/>
      <c r="B3542" s="13"/>
      <c r="E3542" s="13"/>
      <c r="F3542" s="13"/>
      <c r="G3542" s="13"/>
    </row>
    <row r="3543" spans="1:7" x14ac:dyDescent="0.3">
      <c r="A3543" s="21"/>
      <c r="B3543" s="13"/>
      <c r="E3543" s="13"/>
      <c r="F3543" s="13"/>
      <c r="G3543" s="13"/>
    </row>
    <row r="3544" spans="1:7" x14ac:dyDescent="0.3">
      <c r="A3544" s="13"/>
      <c r="B3544" s="13"/>
      <c r="E3544" s="13"/>
      <c r="F3544" s="13"/>
      <c r="G3544" s="13"/>
    </row>
    <row r="3545" spans="1:7" x14ac:dyDescent="0.3">
      <c r="A3545" s="13"/>
      <c r="B3545" s="13"/>
      <c r="E3545" s="13"/>
      <c r="F3545" s="13"/>
      <c r="G3545" s="13"/>
    </row>
    <row r="3546" spans="1:7" x14ac:dyDescent="0.3">
      <c r="A3546" s="13"/>
      <c r="B3546" s="13"/>
      <c r="E3546" s="13"/>
      <c r="F3546" s="13"/>
      <c r="G3546" s="13"/>
    </row>
    <row r="3547" spans="1:7" x14ac:dyDescent="0.3">
      <c r="A3547" s="13"/>
      <c r="B3547" s="13"/>
      <c r="E3547" s="13"/>
      <c r="F3547" s="13"/>
      <c r="G3547" s="13"/>
    </row>
    <row r="3548" spans="1:7" x14ac:dyDescent="0.3">
      <c r="A3548" s="13"/>
      <c r="B3548" s="13"/>
      <c r="E3548" s="13"/>
      <c r="F3548" s="13"/>
      <c r="G3548" s="13"/>
    </row>
    <row r="3549" spans="1:7" x14ac:dyDescent="0.3">
      <c r="A3549" s="21"/>
      <c r="B3549" s="13"/>
      <c r="E3549" s="13"/>
      <c r="F3549" s="13"/>
      <c r="G3549" s="13"/>
    </row>
    <row r="3550" spans="1:7" x14ac:dyDescent="0.3">
      <c r="A3550" s="13"/>
      <c r="B3550" s="13"/>
      <c r="E3550" s="13"/>
      <c r="F3550" s="13"/>
      <c r="G3550" s="13"/>
    </row>
    <row r="3551" spans="1:7" x14ac:dyDescent="0.3">
      <c r="A3551" s="13"/>
      <c r="B3551" s="13"/>
      <c r="E3551" s="13"/>
      <c r="F3551" s="13"/>
      <c r="G3551" s="13"/>
    </row>
    <row r="3552" spans="1:7" x14ac:dyDescent="0.3">
      <c r="A3552" s="13"/>
      <c r="B3552" s="13"/>
      <c r="E3552" s="13"/>
      <c r="F3552" s="13"/>
      <c r="G3552" s="13"/>
    </row>
    <row r="3553" spans="1:7" x14ac:dyDescent="0.3">
      <c r="A3553" s="13"/>
      <c r="B3553" s="13"/>
      <c r="E3553" s="13"/>
      <c r="F3553" s="13"/>
      <c r="G3553" s="13"/>
    </row>
    <row r="3554" spans="1:7" x14ac:dyDescent="0.3">
      <c r="A3554" s="13"/>
      <c r="B3554" s="13"/>
      <c r="E3554" s="13"/>
      <c r="F3554" s="13"/>
      <c r="G3554" s="13"/>
    </row>
    <row r="3555" spans="1:7" x14ac:dyDescent="0.3">
      <c r="A3555" s="21"/>
      <c r="B3555" s="13"/>
      <c r="E3555" s="13"/>
      <c r="F3555" s="13"/>
      <c r="G3555" s="13"/>
    </row>
    <row r="3556" spans="1:7" x14ac:dyDescent="0.3">
      <c r="A3556" s="13"/>
      <c r="B3556" s="13"/>
      <c r="E3556" s="13"/>
      <c r="F3556" s="13"/>
      <c r="G3556" s="13"/>
    </row>
    <row r="3557" spans="1:7" x14ac:dyDescent="0.3">
      <c r="A3557" s="13"/>
      <c r="B3557" s="13"/>
      <c r="E3557" s="13"/>
      <c r="F3557" s="13"/>
      <c r="G3557" s="13"/>
    </row>
    <row r="3558" spans="1:7" x14ac:dyDescent="0.3">
      <c r="A3558" s="13"/>
      <c r="B3558" s="13"/>
      <c r="E3558" s="13"/>
      <c r="F3558" s="13"/>
      <c r="G3558" s="13"/>
    </row>
    <row r="3559" spans="1:7" x14ac:dyDescent="0.3">
      <c r="A3559" s="13"/>
      <c r="B3559" s="13"/>
      <c r="E3559" s="13"/>
      <c r="F3559" s="13"/>
      <c r="G3559" s="13"/>
    </row>
    <row r="3560" spans="1:7" x14ac:dyDescent="0.3">
      <c r="A3560" s="13"/>
      <c r="B3560" s="13"/>
      <c r="E3560" s="13"/>
      <c r="F3560" s="13"/>
      <c r="G3560" s="13"/>
    </row>
    <row r="3561" spans="1:7" x14ac:dyDescent="0.3">
      <c r="A3561" s="21"/>
      <c r="B3561" s="13"/>
      <c r="E3561" s="13"/>
      <c r="F3561" s="13"/>
      <c r="G3561" s="13"/>
    </row>
    <row r="3562" spans="1:7" x14ac:dyDescent="0.3">
      <c r="A3562" s="13"/>
      <c r="B3562" s="13"/>
      <c r="E3562" s="13"/>
      <c r="F3562" s="13"/>
      <c r="G3562" s="13"/>
    </row>
    <row r="3563" spans="1:7" x14ac:dyDescent="0.3">
      <c r="A3563" s="13"/>
      <c r="B3563" s="13"/>
      <c r="E3563" s="13"/>
      <c r="F3563" s="13"/>
      <c r="G3563" s="13"/>
    </row>
    <row r="3564" spans="1:7" x14ac:dyDescent="0.3">
      <c r="A3564" s="13"/>
      <c r="B3564" s="13"/>
      <c r="E3564" s="13"/>
      <c r="F3564" s="13"/>
      <c r="G3564" s="13"/>
    </row>
    <row r="3565" spans="1:7" x14ac:dyDescent="0.3">
      <c r="A3565" s="13"/>
      <c r="B3565" s="13"/>
      <c r="E3565" s="13"/>
      <c r="F3565" s="13"/>
      <c r="G3565" s="13"/>
    </row>
    <row r="3566" spans="1:7" x14ac:dyDescent="0.3">
      <c r="A3566" s="13"/>
      <c r="B3566" s="13"/>
      <c r="E3566" s="13"/>
      <c r="F3566" s="13"/>
      <c r="G3566" s="13"/>
    </row>
    <row r="3567" spans="1:7" x14ac:dyDescent="0.3">
      <c r="A3567" s="21"/>
      <c r="B3567" s="13"/>
      <c r="E3567" s="13"/>
      <c r="F3567" s="13"/>
      <c r="G3567" s="13"/>
    </row>
    <row r="3568" spans="1:7" x14ac:dyDescent="0.3">
      <c r="A3568" s="13"/>
      <c r="B3568" s="13"/>
      <c r="E3568" s="13"/>
      <c r="F3568" s="13"/>
      <c r="G3568" s="13"/>
    </row>
    <row r="3569" spans="1:7" x14ac:dyDescent="0.3">
      <c r="A3569" s="13"/>
      <c r="B3569" s="13"/>
      <c r="E3569" s="13"/>
      <c r="F3569" s="13"/>
      <c r="G3569" s="13"/>
    </row>
    <row r="3570" spans="1:7" x14ac:dyDescent="0.3">
      <c r="A3570" s="13"/>
      <c r="B3570" s="13"/>
      <c r="E3570" s="13"/>
      <c r="F3570" s="13"/>
      <c r="G3570" s="13"/>
    </row>
    <row r="3571" spans="1:7" x14ac:dyDescent="0.3">
      <c r="A3571" s="13"/>
      <c r="B3571" s="13"/>
      <c r="E3571" s="13"/>
      <c r="F3571" s="13"/>
      <c r="G3571" s="13"/>
    </row>
    <row r="3572" spans="1:7" x14ac:dyDescent="0.3">
      <c r="A3572" s="13"/>
      <c r="B3572" s="13"/>
      <c r="E3572" s="13"/>
      <c r="F3572" s="13"/>
      <c r="G3572" s="13"/>
    </row>
    <row r="3573" spans="1:7" x14ac:dyDescent="0.3">
      <c r="A3573" s="21"/>
      <c r="B3573" s="13"/>
      <c r="E3573" s="13"/>
      <c r="F3573" s="13"/>
      <c r="G3573" s="13"/>
    </row>
    <row r="3574" spans="1:7" x14ac:dyDescent="0.3">
      <c r="A3574" s="13"/>
      <c r="B3574" s="13"/>
      <c r="E3574" s="13"/>
      <c r="F3574" s="13"/>
      <c r="G3574" s="13"/>
    </row>
    <row r="3575" spans="1:7" x14ac:dyDescent="0.3">
      <c r="A3575" s="13"/>
      <c r="B3575" s="13"/>
      <c r="E3575" s="13"/>
      <c r="F3575" s="13"/>
      <c r="G3575" s="13"/>
    </row>
    <row r="3576" spans="1:7" x14ac:dyDescent="0.3">
      <c r="A3576" s="13"/>
      <c r="B3576" s="13"/>
      <c r="E3576" s="13"/>
      <c r="F3576" s="13"/>
      <c r="G3576" s="13"/>
    </row>
    <row r="3577" spans="1:7" x14ac:dyDescent="0.3">
      <c r="A3577" s="13"/>
      <c r="B3577" s="13"/>
      <c r="E3577" s="13"/>
      <c r="F3577" s="13"/>
      <c r="G3577" s="13"/>
    </row>
    <row r="3578" spans="1:7" x14ac:dyDescent="0.3">
      <c r="A3578" s="13"/>
      <c r="B3578" s="13"/>
      <c r="E3578" s="13"/>
      <c r="F3578" s="13"/>
      <c r="G3578" s="13"/>
    </row>
    <row r="3579" spans="1:7" x14ac:dyDescent="0.3">
      <c r="A3579" s="21"/>
      <c r="B3579" s="13"/>
      <c r="E3579" s="13"/>
      <c r="F3579" s="13"/>
      <c r="G3579" s="13"/>
    </row>
    <row r="3580" spans="1:7" x14ac:dyDescent="0.3">
      <c r="A3580" s="13"/>
      <c r="B3580" s="13"/>
      <c r="E3580" s="13"/>
      <c r="F3580" s="13"/>
      <c r="G3580" s="13"/>
    </row>
    <row r="3581" spans="1:7" x14ac:dyDescent="0.3">
      <c r="A3581" s="13"/>
      <c r="B3581" s="13"/>
      <c r="E3581" s="13"/>
      <c r="F3581" s="13"/>
      <c r="G3581" s="13"/>
    </row>
    <row r="3582" spans="1:7" x14ac:dyDescent="0.3">
      <c r="A3582" s="13"/>
      <c r="B3582" s="13"/>
      <c r="E3582" s="13"/>
      <c r="F3582" s="13"/>
      <c r="G3582" s="13"/>
    </row>
    <row r="3583" spans="1:7" x14ac:dyDescent="0.3">
      <c r="A3583" s="13"/>
      <c r="B3583" s="13"/>
      <c r="E3583" s="13"/>
      <c r="F3583" s="13"/>
      <c r="G3583" s="13"/>
    </row>
    <row r="3584" spans="1:7" x14ac:dyDescent="0.3">
      <c r="A3584" s="13"/>
      <c r="B3584" s="13"/>
      <c r="E3584" s="13"/>
      <c r="F3584" s="13"/>
      <c r="G3584" s="13"/>
    </row>
    <row r="3585" spans="1:7" x14ac:dyDescent="0.3">
      <c r="A3585" s="21"/>
      <c r="B3585" s="13"/>
      <c r="E3585" s="13"/>
      <c r="F3585" s="13"/>
      <c r="G3585" s="13"/>
    </row>
    <row r="3586" spans="1:7" x14ac:dyDescent="0.3">
      <c r="A3586" s="13"/>
      <c r="B3586" s="13"/>
      <c r="E3586" s="13"/>
      <c r="F3586" s="13"/>
      <c r="G3586" s="13"/>
    </row>
    <row r="3587" spans="1:7" x14ac:dyDescent="0.3">
      <c r="A3587" s="13"/>
      <c r="B3587" s="13"/>
      <c r="E3587" s="13"/>
      <c r="F3587" s="13"/>
      <c r="G3587" s="13"/>
    </row>
    <row r="3588" spans="1:7" x14ac:dyDescent="0.3">
      <c r="A3588" s="13"/>
      <c r="B3588" s="13"/>
      <c r="E3588" s="13"/>
      <c r="F3588" s="13"/>
      <c r="G3588" s="13"/>
    </row>
    <row r="3589" spans="1:7" x14ac:dyDescent="0.3">
      <c r="A3589" s="13"/>
      <c r="B3589" s="13"/>
      <c r="E3589" s="13"/>
      <c r="F3589" s="13"/>
      <c r="G3589" s="13"/>
    </row>
    <row r="3590" spans="1:7" x14ac:dyDescent="0.3">
      <c r="A3590" s="13"/>
      <c r="B3590" s="13"/>
      <c r="E3590" s="13"/>
      <c r="F3590" s="13"/>
      <c r="G3590" s="13"/>
    </row>
    <row r="3591" spans="1:7" x14ac:dyDescent="0.3">
      <c r="A3591" s="21"/>
      <c r="B3591" s="13"/>
      <c r="E3591" s="13"/>
      <c r="F3591" s="13"/>
      <c r="G3591" s="13"/>
    </row>
    <row r="3592" spans="1:7" x14ac:dyDescent="0.3">
      <c r="A3592" s="13"/>
      <c r="B3592" s="13"/>
      <c r="E3592" s="13"/>
      <c r="F3592" s="13"/>
      <c r="G3592" s="13"/>
    </row>
    <row r="3593" spans="1:7" x14ac:dyDescent="0.3">
      <c r="A3593" s="13"/>
      <c r="B3593" s="13"/>
      <c r="E3593" s="13"/>
      <c r="F3593" s="13"/>
      <c r="G3593" s="13"/>
    </row>
    <row r="3594" spans="1:7" x14ac:dyDescent="0.3">
      <c r="A3594" s="13"/>
      <c r="B3594" s="13"/>
      <c r="E3594" s="13"/>
      <c r="F3594" s="13"/>
      <c r="G3594" s="13"/>
    </row>
    <row r="3595" spans="1:7" x14ac:dyDescent="0.3">
      <c r="A3595" s="13"/>
      <c r="B3595" s="13"/>
      <c r="E3595" s="13"/>
      <c r="F3595" s="13"/>
      <c r="G3595" s="13"/>
    </row>
    <row r="3596" spans="1:7" x14ac:dyDescent="0.3">
      <c r="A3596" s="13"/>
      <c r="B3596" s="13"/>
      <c r="E3596" s="13"/>
      <c r="F3596" s="13"/>
      <c r="G3596" s="13"/>
    </row>
    <row r="3597" spans="1:7" x14ac:dyDescent="0.3">
      <c r="A3597" s="21"/>
      <c r="B3597" s="13"/>
      <c r="E3597" s="13"/>
      <c r="F3597" s="13"/>
      <c r="G3597" s="13"/>
    </row>
    <row r="3598" spans="1:7" x14ac:dyDescent="0.3">
      <c r="A3598" s="13"/>
      <c r="B3598" s="13"/>
      <c r="E3598" s="13"/>
      <c r="F3598" s="13"/>
      <c r="G3598" s="13"/>
    </row>
    <row r="3599" spans="1:7" x14ac:dyDescent="0.3">
      <c r="A3599" s="13"/>
      <c r="B3599" s="13"/>
      <c r="E3599" s="13"/>
      <c r="F3599" s="13"/>
      <c r="G3599" s="13"/>
    </row>
    <row r="3600" spans="1:7" x14ac:dyDescent="0.3">
      <c r="A3600" s="13"/>
      <c r="B3600" s="13"/>
      <c r="E3600" s="13"/>
      <c r="F3600" s="13"/>
      <c r="G3600" s="13"/>
    </row>
    <row r="3601" spans="1:7" x14ac:dyDescent="0.3">
      <c r="A3601" s="13"/>
      <c r="B3601" s="13"/>
      <c r="E3601" s="13"/>
      <c r="F3601" s="13"/>
      <c r="G3601" s="13"/>
    </row>
    <row r="3602" spans="1:7" x14ac:dyDescent="0.3">
      <c r="A3602" s="13"/>
      <c r="B3602" s="13"/>
      <c r="E3602" s="13"/>
      <c r="F3602" s="13"/>
      <c r="G3602" s="13"/>
    </row>
    <row r="3603" spans="1:7" x14ac:dyDescent="0.3">
      <c r="A3603" s="21"/>
      <c r="B3603" s="13"/>
      <c r="E3603" s="13"/>
      <c r="F3603" s="13"/>
      <c r="G3603" s="13"/>
    </row>
    <row r="3604" spans="1:7" x14ac:dyDescent="0.3">
      <c r="A3604" s="13"/>
      <c r="B3604" s="13"/>
      <c r="E3604" s="13"/>
      <c r="F3604" s="13"/>
      <c r="G3604" s="13"/>
    </row>
    <row r="3605" spans="1:7" x14ac:dyDescent="0.3">
      <c r="A3605" s="13"/>
      <c r="B3605" s="13"/>
      <c r="E3605" s="13"/>
      <c r="F3605" s="13"/>
      <c r="G3605" s="13"/>
    </row>
    <row r="3606" spans="1:7" x14ac:dyDescent="0.3">
      <c r="A3606" s="13"/>
      <c r="B3606" s="13"/>
      <c r="E3606" s="13"/>
      <c r="F3606" s="13"/>
      <c r="G3606" s="13"/>
    </row>
    <row r="3607" spans="1:7" x14ac:dyDescent="0.3">
      <c r="A3607" s="13"/>
      <c r="B3607" s="13"/>
      <c r="E3607" s="13"/>
      <c r="F3607" s="13"/>
      <c r="G3607" s="13"/>
    </row>
    <row r="3608" spans="1:7" x14ac:dyDescent="0.3">
      <c r="A3608" s="13"/>
      <c r="B3608" s="13"/>
      <c r="E3608" s="13"/>
      <c r="F3608" s="13"/>
      <c r="G3608" s="13"/>
    </row>
    <row r="3609" spans="1:7" x14ac:dyDescent="0.3">
      <c r="A3609" s="21"/>
      <c r="B3609" s="13"/>
      <c r="E3609" s="13"/>
      <c r="F3609" s="13"/>
      <c r="G3609" s="13"/>
    </row>
    <row r="3610" spans="1:7" x14ac:dyDescent="0.3">
      <c r="A3610" s="13"/>
      <c r="B3610" s="13"/>
      <c r="E3610" s="13"/>
      <c r="F3610" s="13"/>
      <c r="G3610" s="13"/>
    </row>
    <row r="3611" spans="1:7" x14ac:dyDescent="0.3">
      <c r="A3611" s="13"/>
      <c r="B3611" s="13"/>
      <c r="E3611" s="13"/>
      <c r="F3611" s="13"/>
      <c r="G3611" s="13"/>
    </row>
    <row r="3612" spans="1:7" x14ac:dyDescent="0.3">
      <c r="A3612" s="13"/>
      <c r="B3612" s="13"/>
      <c r="E3612" s="13"/>
      <c r="F3612" s="13"/>
      <c r="G3612" s="13"/>
    </row>
    <row r="3613" spans="1:7" x14ac:dyDescent="0.3">
      <c r="A3613" s="13"/>
      <c r="B3613" s="13"/>
      <c r="E3613" s="13"/>
      <c r="F3613" s="13"/>
      <c r="G3613" s="13"/>
    </row>
    <row r="3614" spans="1:7" x14ac:dyDescent="0.3">
      <c r="A3614" s="13"/>
      <c r="B3614" s="13"/>
      <c r="E3614" s="13"/>
      <c r="F3614" s="13"/>
      <c r="G3614" s="13"/>
    </row>
    <row r="3615" spans="1:7" x14ac:dyDescent="0.3">
      <c r="A3615" s="21"/>
      <c r="B3615" s="13"/>
      <c r="E3615" s="13"/>
      <c r="F3615" s="13"/>
      <c r="G3615" s="13"/>
    </row>
    <row r="3616" spans="1:7" x14ac:dyDescent="0.3">
      <c r="A3616" s="13"/>
      <c r="B3616" s="13"/>
      <c r="E3616" s="13"/>
      <c r="F3616" s="13"/>
      <c r="G3616" s="13"/>
    </row>
    <row r="3617" spans="1:7" x14ac:dyDescent="0.3">
      <c r="A3617" s="13"/>
      <c r="B3617" s="13"/>
      <c r="E3617" s="13"/>
      <c r="F3617" s="13"/>
      <c r="G3617" s="13"/>
    </row>
    <row r="3618" spans="1:7" x14ac:dyDescent="0.3">
      <c r="A3618" s="13"/>
      <c r="B3618" s="13"/>
      <c r="E3618" s="13"/>
      <c r="F3618" s="13"/>
      <c r="G3618" s="13"/>
    </row>
    <row r="3619" spans="1:7" x14ac:dyDescent="0.3">
      <c r="A3619" s="13"/>
      <c r="B3619" s="13"/>
      <c r="E3619" s="13"/>
      <c r="F3619" s="13"/>
      <c r="G3619" s="13"/>
    </row>
    <row r="3620" spans="1:7" x14ac:dyDescent="0.3">
      <c r="A3620" s="13"/>
      <c r="B3620" s="13"/>
      <c r="E3620" s="13"/>
      <c r="F3620" s="13"/>
      <c r="G3620" s="13"/>
    </row>
    <row r="3621" spans="1:7" x14ac:dyDescent="0.3">
      <c r="A3621" s="21"/>
      <c r="B3621" s="13"/>
      <c r="E3621" s="13"/>
      <c r="F3621" s="13"/>
      <c r="G3621" s="13"/>
    </row>
    <row r="3622" spans="1:7" x14ac:dyDescent="0.3">
      <c r="A3622" s="13"/>
      <c r="B3622" s="13"/>
      <c r="E3622" s="13"/>
      <c r="F3622" s="13"/>
      <c r="G3622" s="13"/>
    </row>
    <row r="3623" spans="1:7" x14ac:dyDescent="0.3">
      <c r="A3623" s="13"/>
      <c r="B3623" s="13"/>
      <c r="E3623" s="13"/>
      <c r="F3623" s="13"/>
      <c r="G3623" s="13"/>
    </row>
    <row r="3624" spans="1:7" x14ac:dyDescent="0.3">
      <c r="A3624" s="13"/>
      <c r="B3624" s="13"/>
      <c r="E3624" s="13"/>
      <c r="F3624" s="13"/>
      <c r="G3624" s="13"/>
    </row>
    <row r="3625" spans="1:7" x14ac:dyDescent="0.3">
      <c r="A3625" s="13"/>
      <c r="B3625" s="13"/>
      <c r="E3625" s="13"/>
      <c r="F3625" s="13"/>
      <c r="G3625" s="13"/>
    </row>
    <row r="3626" spans="1:7" x14ac:dyDescent="0.3">
      <c r="A3626" s="13"/>
      <c r="B3626" s="13"/>
      <c r="E3626" s="13"/>
      <c r="F3626" s="13"/>
      <c r="G3626" s="13"/>
    </row>
    <row r="3627" spans="1:7" x14ac:dyDescent="0.3">
      <c r="A3627" s="21"/>
      <c r="B3627" s="13"/>
      <c r="E3627" s="13"/>
      <c r="F3627" s="13"/>
      <c r="G3627" s="13"/>
    </row>
    <row r="3628" spans="1:7" x14ac:dyDescent="0.3">
      <c r="A3628" s="13"/>
      <c r="B3628" s="13"/>
      <c r="E3628" s="13"/>
      <c r="F3628" s="13"/>
      <c r="G3628" s="13"/>
    </row>
    <row r="3629" spans="1:7" x14ac:dyDescent="0.3">
      <c r="A3629" s="13"/>
      <c r="B3629" s="13"/>
      <c r="E3629" s="13"/>
      <c r="F3629" s="13"/>
      <c r="G3629" s="13"/>
    </row>
    <row r="3630" spans="1:7" x14ac:dyDescent="0.3">
      <c r="A3630" s="13"/>
      <c r="B3630" s="13"/>
      <c r="E3630" s="13"/>
      <c r="F3630" s="13"/>
      <c r="G3630" s="13"/>
    </row>
    <row r="3631" spans="1:7" x14ac:dyDescent="0.3">
      <c r="A3631" s="13"/>
      <c r="B3631" s="13"/>
      <c r="E3631" s="13"/>
      <c r="F3631" s="13"/>
      <c r="G3631" s="13"/>
    </row>
    <row r="3632" spans="1:7" x14ac:dyDescent="0.3">
      <c r="A3632" s="13"/>
      <c r="B3632" s="13"/>
      <c r="E3632" s="13"/>
      <c r="F3632" s="13"/>
      <c r="G3632" s="13"/>
    </row>
    <row r="3633" spans="1:7" x14ac:dyDescent="0.3">
      <c r="A3633" s="21"/>
      <c r="B3633" s="13"/>
      <c r="E3633" s="13"/>
      <c r="F3633" s="13"/>
      <c r="G3633" s="13"/>
    </row>
    <row r="3634" spans="1:7" x14ac:dyDescent="0.3">
      <c r="A3634" s="13"/>
      <c r="B3634" s="13"/>
      <c r="E3634" s="13"/>
      <c r="F3634" s="13"/>
      <c r="G3634" s="13"/>
    </row>
    <row r="3635" spans="1:7" x14ac:dyDescent="0.3">
      <c r="A3635" s="13"/>
      <c r="B3635" s="13"/>
      <c r="E3635" s="13"/>
      <c r="F3635" s="13"/>
      <c r="G3635" s="13"/>
    </row>
    <row r="3636" spans="1:7" x14ac:dyDescent="0.3">
      <c r="A3636" s="13"/>
      <c r="B3636" s="13"/>
      <c r="E3636" s="13"/>
      <c r="F3636" s="13"/>
      <c r="G3636" s="13"/>
    </row>
    <row r="3637" spans="1:7" x14ac:dyDescent="0.3">
      <c r="A3637" s="13"/>
      <c r="B3637" s="13"/>
      <c r="E3637" s="13"/>
      <c r="F3637" s="13"/>
      <c r="G3637" s="13"/>
    </row>
    <row r="3638" spans="1:7" x14ac:dyDescent="0.3">
      <c r="A3638" s="13"/>
      <c r="B3638" s="13"/>
      <c r="E3638" s="13"/>
      <c r="F3638" s="13"/>
      <c r="G3638" s="13"/>
    </row>
    <row r="3639" spans="1:7" x14ac:dyDescent="0.3">
      <c r="A3639" s="21"/>
      <c r="B3639" s="13"/>
      <c r="E3639" s="13"/>
      <c r="F3639" s="13"/>
      <c r="G3639" s="13"/>
    </row>
    <row r="3640" spans="1:7" x14ac:dyDescent="0.3">
      <c r="A3640" s="13"/>
      <c r="B3640" s="13"/>
      <c r="E3640" s="13"/>
      <c r="F3640" s="13"/>
      <c r="G3640" s="13"/>
    </row>
    <row r="3641" spans="1:7" x14ac:dyDescent="0.3">
      <c r="A3641" s="13"/>
      <c r="B3641" s="13"/>
      <c r="E3641" s="13"/>
      <c r="F3641" s="13"/>
      <c r="G3641" s="13"/>
    </row>
    <row r="3642" spans="1:7" x14ac:dyDescent="0.3">
      <c r="A3642" s="13"/>
      <c r="B3642" s="13"/>
      <c r="E3642" s="13"/>
      <c r="F3642" s="13"/>
      <c r="G3642" s="13"/>
    </row>
    <row r="3643" spans="1:7" x14ac:dyDescent="0.3">
      <c r="A3643" s="13"/>
      <c r="B3643" s="13"/>
      <c r="E3643" s="13"/>
      <c r="F3643" s="13"/>
      <c r="G3643" s="13"/>
    </row>
    <row r="3644" spans="1:7" x14ac:dyDescent="0.3">
      <c r="A3644" s="13"/>
      <c r="B3644" s="13"/>
      <c r="E3644" s="13"/>
      <c r="F3644" s="13"/>
      <c r="G3644" s="13"/>
    </row>
    <row r="3645" spans="1:7" x14ac:dyDescent="0.3">
      <c r="A3645" s="21"/>
      <c r="B3645" s="13"/>
      <c r="E3645" s="13"/>
      <c r="F3645" s="13"/>
      <c r="G3645" s="13"/>
    </row>
    <row r="3646" spans="1:7" x14ac:dyDescent="0.3">
      <c r="A3646" s="13"/>
      <c r="B3646" s="13"/>
      <c r="E3646" s="13"/>
      <c r="F3646" s="13"/>
      <c r="G3646" s="13"/>
    </row>
    <row r="3647" spans="1:7" x14ac:dyDescent="0.3">
      <c r="A3647" s="13"/>
      <c r="B3647" s="13"/>
      <c r="E3647" s="13"/>
      <c r="F3647" s="13"/>
      <c r="G3647" s="13"/>
    </row>
    <row r="3648" spans="1:7" x14ac:dyDescent="0.3">
      <c r="A3648" s="13"/>
      <c r="B3648" s="13"/>
      <c r="E3648" s="13"/>
      <c r="F3648" s="13"/>
      <c r="G3648" s="13"/>
    </row>
    <row r="3649" spans="1:7" x14ac:dyDescent="0.3">
      <c r="A3649" s="13"/>
      <c r="B3649" s="13"/>
      <c r="E3649" s="13"/>
      <c r="F3649" s="13"/>
      <c r="G3649" s="13"/>
    </row>
    <row r="3650" spans="1:7" x14ac:dyDescent="0.3">
      <c r="A3650" s="13"/>
      <c r="B3650" s="13"/>
      <c r="E3650" s="13"/>
      <c r="F3650" s="13"/>
      <c r="G3650" s="13"/>
    </row>
    <row r="3651" spans="1:7" x14ac:dyDescent="0.3">
      <c r="A3651" s="21"/>
      <c r="B3651" s="13"/>
      <c r="E3651" s="13"/>
      <c r="F3651" s="13"/>
      <c r="G3651" s="13"/>
    </row>
    <row r="3652" spans="1:7" x14ac:dyDescent="0.3">
      <c r="A3652" s="13"/>
      <c r="B3652" s="13"/>
      <c r="E3652" s="13"/>
      <c r="F3652" s="13"/>
      <c r="G3652" s="13"/>
    </row>
    <row r="3653" spans="1:7" x14ac:dyDescent="0.3">
      <c r="A3653" s="13"/>
      <c r="B3653" s="13"/>
      <c r="E3653" s="13"/>
      <c r="F3653" s="13"/>
      <c r="G3653" s="13"/>
    </row>
    <row r="3654" spans="1:7" x14ac:dyDescent="0.3">
      <c r="A3654" s="13"/>
      <c r="B3654" s="13"/>
      <c r="E3654" s="13"/>
      <c r="F3654" s="13"/>
      <c r="G3654" s="13"/>
    </row>
    <row r="3655" spans="1:7" x14ac:dyDescent="0.3">
      <c r="A3655" s="13"/>
      <c r="B3655" s="13"/>
      <c r="E3655" s="13"/>
      <c r="F3655" s="13"/>
      <c r="G3655" s="13"/>
    </row>
    <row r="3656" spans="1:7" x14ac:dyDescent="0.3">
      <c r="A3656" s="13"/>
      <c r="B3656" s="13"/>
      <c r="E3656" s="13"/>
      <c r="F3656" s="13"/>
      <c r="G3656" s="13"/>
    </row>
    <row r="3657" spans="1:7" x14ac:dyDescent="0.3">
      <c r="A3657" s="21"/>
      <c r="B3657" s="13"/>
      <c r="E3657" s="13"/>
      <c r="F3657" s="13"/>
      <c r="G3657" s="13"/>
    </row>
    <row r="3658" spans="1:7" x14ac:dyDescent="0.3">
      <c r="A3658" s="13"/>
      <c r="B3658" s="13"/>
      <c r="E3658" s="13"/>
      <c r="F3658" s="13"/>
      <c r="G3658" s="13"/>
    </row>
    <row r="3659" spans="1:7" x14ac:dyDescent="0.3">
      <c r="A3659" s="13"/>
      <c r="B3659" s="13"/>
      <c r="E3659" s="13"/>
      <c r="F3659" s="13"/>
      <c r="G3659" s="13"/>
    </row>
    <row r="3660" spans="1:7" x14ac:dyDescent="0.3">
      <c r="A3660" s="13"/>
      <c r="B3660" s="13"/>
      <c r="E3660" s="13"/>
      <c r="F3660" s="13"/>
      <c r="G3660" s="13"/>
    </row>
    <row r="3661" spans="1:7" x14ac:dyDescent="0.3">
      <c r="A3661" s="13"/>
      <c r="B3661" s="13"/>
      <c r="E3661" s="13"/>
      <c r="F3661" s="13"/>
      <c r="G3661" s="13"/>
    </row>
    <row r="3662" spans="1:7" x14ac:dyDescent="0.3">
      <c r="A3662" s="13"/>
      <c r="B3662" s="13"/>
      <c r="E3662" s="13"/>
      <c r="F3662" s="13"/>
      <c r="G3662" s="13"/>
    </row>
    <row r="3663" spans="1:7" x14ac:dyDescent="0.3">
      <c r="A3663" s="21"/>
      <c r="B3663" s="13"/>
      <c r="E3663" s="13"/>
      <c r="F3663" s="13"/>
      <c r="G3663" s="13"/>
    </row>
    <row r="3664" spans="1:7" x14ac:dyDescent="0.3">
      <c r="A3664" s="13"/>
      <c r="B3664" s="13"/>
      <c r="E3664" s="13"/>
      <c r="F3664" s="13"/>
      <c r="G3664" s="13"/>
    </row>
    <row r="3665" spans="1:7" x14ac:dyDescent="0.3">
      <c r="A3665" s="13"/>
      <c r="B3665" s="13"/>
      <c r="E3665" s="13"/>
      <c r="F3665" s="13"/>
      <c r="G3665" s="13"/>
    </row>
    <row r="3666" spans="1:7" x14ac:dyDescent="0.3">
      <c r="A3666" s="13"/>
      <c r="B3666" s="13"/>
      <c r="E3666" s="13"/>
      <c r="F3666" s="13"/>
      <c r="G3666" s="13"/>
    </row>
    <row r="3667" spans="1:7" x14ac:dyDescent="0.3">
      <c r="A3667" s="13"/>
      <c r="B3667" s="13"/>
      <c r="E3667" s="13"/>
      <c r="F3667" s="13"/>
      <c r="G3667" s="13"/>
    </row>
    <row r="3668" spans="1:7" x14ac:dyDescent="0.3">
      <c r="A3668" s="13"/>
      <c r="B3668" s="13"/>
      <c r="E3668" s="13"/>
      <c r="F3668" s="13"/>
      <c r="G3668" s="13"/>
    </row>
    <row r="3669" spans="1:7" x14ac:dyDescent="0.3">
      <c r="A3669" s="21"/>
      <c r="B3669" s="13"/>
      <c r="E3669" s="13"/>
      <c r="F3669" s="13"/>
      <c r="G3669" s="13"/>
    </row>
    <row r="3670" spans="1:7" x14ac:dyDescent="0.3">
      <c r="A3670" s="13"/>
      <c r="B3670" s="13"/>
      <c r="E3670" s="13"/>
      <c r="F3670" s="13"/>
      <c r="G3670" s="13"/>
    </row>
    <row r="3671" spans="1:7" x14ac:dyDescent="0.3">
      <c r="A3671" s="13"/>
      <c r="B3671" s="13"/>
      <c r="E3671" s="13"/>
      <c r="F3671" s="13"/>
      <c r="G3671" s="13"/>
    </row>
    <row r="3672" spans="1:7" x14ac:dyDescent="0.3">
      <c r="A3672" s="13"/>
      <c r="B3672" s="13"/>
      <c r="E3672" s="13"/>
      <c r="F3672" s="13"/>
      <c r="G3672" s="13"/>
    </row>
    <row r="3673" spans="1:7" x14ac:dyDescent="0.3">
      <c r="A3673" s="13"/>
      <c r="B3673" s="13"/>
      <c r="E3673" s="13"/>
      <c r="F3673" s="13"/>
      <c r="G3673" s="13"/>
    </row>
    <row r="3674" spans="1:7" x14ac:dyDescent="0.3">
      <c r="A3674" s="13"/>
      <c r="B3674" s="13"/>
      <c r="E3674" s="13"/>
      <c r="F3674" s="13"/>
      <c r="G3674" s="13"/>
    </row>
    <row r="3675" spans="1:7" x14ac:dyDescent="0.3">
      <c r="A3675" s="21"/>
      <c r="B3675" s="13"/>
      <c r="E3675" s="13"/>
      <c r="F3675" s="13"/>
      <c r="G3675" s="13"/>
    </row>
    <row r="3676" spans="1:7" x14ac:dyDescent="0.3">
      <c r="A3676" s="13"/>
      <c r="B3676" s="13"/>
      <c r="E3676" s="13"/>
      <c r="F3676" s="13"/>
      <c r="G3676" s="13"/>
    </row>
    <row r="3677" spans="1:7" x14ac:dyDescent="0.3">
      <c r="A3677" s="13"/>
      <c r="B3677" s="13"/>
      <c r="E3677" s="13"/>
      <c r="F3677" s="13"/>
      <c r="G3677" s="13"/>
    </row>
    <row r="3678" spans="1:7" x14ac:dyDescent="0.3">
      <c r="A3678" s="13"/>
      <c r="B3678" s="13"/>
      <c r="E3678" s="13"/>
      <c r="F3678" s="13"/>
      <c r="G3678" s="13"/>
    </row>
    <row r="3679" spans="1:7" x14ac:dyDescent="0.3">
      <c r="A3679" s="13"/>
      <c r="B3679" s="13"/>
      <c r="E3679" s="13"/>
      <c r="F3679" s="13"/>
      <c r="G3679" s="13"/>
    </row>
    <row r="3680" spans="1:7" x14ac:dyDescent="0.3">
      <c r="A3680" s="13"/>
      <c r="B3680" s="13"/>
      <c r="E3680" s="13"/>
      <c r="F3680" s="13"/>
      <c r="G3680" s="13"/>
    </row>
    <row r="3681" spans="1:7" x14ac:dyDescent="0.3">
      <c r="A3681" s="21"/>
      <c r="B3681" s="13"/>
      <c r="E3681" s="13"/>
      <c r="F3681" s="13"/>
      <c r="G3681" s="13"/>
    </row>
    <row r="3682" spans="1:7" x14ac:dyDescent="0.3">
      <c r="A3682" s="13"/>
      <c r="B3682" s="13"/>
      <c r="E3682" s="13"/>
      <c r="F3682" s="13"/>
      <c r="G3682" s="13"/>
    </row>
    <row r="3683" spans="1:7" x14ac:dyDescent="0.3">
      <c r="A3683" s="13"/>
      <c r="B3683" s="13"/>
      <c r="E3683" s="13"/>
      <c r="F3683" s="13"/>
      <c r="G3683" s="13"/>
    </row>
    <row r="3684" spans="1:7" x14ac:dyDescent="0.3">
      <c r="A3684" s="13"/>
      <c r="B3684" s="13"/>
      <c r="E3684" s="13"/>
      <c r="F3684" s="13"/>
      <c r="G3684" s="13"/>
    </row>
    <row r="3685" spans="1:7" x14ac:dyDescent="0.3">
      <c r="A3685" s="13"/>
      <c r="B3685" s="13"/>
      <c r="E3685" s="13"/>
      <c r="F3685" s="13"/>
      <c r="G3685" s="13"/>
    </row>
    <row r="3686" spans="1:7" x14ac:dyDescent="0.3">
      <c r="A3686" s="13"/>
      <c r="B3686" s="13"/>
      <c r="E3686" s="13"/>
      <c r="F3686" s="13"/>
      <c r="G3686" s="13"/>
    </row>
    <row r="3687" spans="1:7" x14ac:dyDescent="0.3">
      <c r="A3687" s="21"/>
      <c r="B3687" s="13"/>
      <c r="E3687" s="13"/>
      <c r="F3687" s="13"/>
      <c r="G3687" s="13"/>
    </row>
    <row r="3688" spans="1:7" x14ac:dyDescent="0.3">
      <c r="A3688" s="13"/>
      <c r="B3688" s="13"/>
      <c r="E3688" s="13"/>
      <c r="F3688" s="13"/>
      <c r="G3688" s="13"/>
    </row>
    <row r="3689" spans="1:7" x14ac:dyDescent="0.3">
      <c r="A3689" s="13"/>
      <c r="B3689" s="13"/>
      <c r="E3689" s="13"/>
      <c r="F3689" s="13"/>
      <c r="G3689" s="13"/>
    </row>
    <row r="3690" spans="1:7" x14ac:dyDescent="0.3">
      <c r="A3690" s="13"/>
      <c r="B3690" s="13"/>
      <c r="E3690" s="13"/>
      <c r="F3690" s="13"/>
      <c r="G3690" s="13"/>
    </row>
    <row r="3691" spans="1:7" x14ac:dyDescent="0.3">
      <c r="A3691" s="13"/>
      <c r="B3691" s="13"/>
      <c r="E3691" s="13"/>
      <c r="F3691" s="13"/>
      <c r="G3691" s="13"/>
    </row>
    <row r="3692" spans="1:7" x14ac:dyDescent="0.3">
      <c r="A3692" s="13"/>
      <c r="B3692" s="13"/>
      <c r="E3692" s="13"/>
      <c r="F3692" s="13"/>
      <c r="G3692" s="13"/>
    </row>
    <row r="3693" spans="1:7" x14ac:dyDescent="0.3">
      <c r="A3693" s="21"/>
      <c r="B3693" s="13"/>
      <c r="E3693" s="13"/>
      <c r="F3693" s="13"/>
      <c r="G3693" s="13"/>
    </row>
    <row r="3694" spans="1:7" x14ac:dyDescent="0.3">
      <c r="A3694" s="13"/>
      <c r="B3694" s="13"/>
      <c r="E3694" s="13"/>
      <c r="F3694" s="13"/>
      <c r="G3694" s="13"/>
    </row>
    <row r="3695" spans="1:7" x14ac:dyDescent="0.3">
      <c r="A3695" s="13"/>
      <c r="B3695" s="13"/>
      <c r="E3695" s="13"/>
      <c r="F3695" s="13"/>
      <c r="G3695" s="13"/>
    </row>
    <row r="3696" spans="1:7" x14ac:dyDescent="0.3">
      <c r="A3696" s="13"/>
      <c r="B3696" s="13"/>
      <c r="E3696" s="13"/>
      <c r="F3696" s="13"/>
      <c r="G3696" s="13"/>
    </row>
    <row r="3697" spans="1:7" x14ac:dyDescent="0.3">
      <c r="A3697" s="13"/>
      <c r="B3697" s="13"/>
      <c r="E3697" s="13"/>
      <c r="F3697" s="13"/>
      <c r="G3697" s="13"/>
    </row>
    <row r="3698" spans="1:7" x14ac:dyDescent="0.3">
      <c r="A3698" s="13"/>
      <c r="B3698" s="13"/>
      <c r="E3698" s="13"/>
      <c r="F3698" s="13"/>
      <c r="G3698" s="13"/>
    </row>
    <row r="3699" spans="1:7" x14ac:dyDescent="0.3">
      <c r="A3699" s="21"/>
      <c r="B3699" s="13"/>
      <c r="E3699" s="13"/>
      <c r="F3699" s="13"/>
      <c r="G3699" s="13"/>
    </row>
    <row r="3700" spans="1:7" x14ac:dyDescent="0.3">
      <c r="A3700" s="13"/>
      <c r="B3700" s="13"/>
      <c r="E3700" s="13"/>
      <c r="F3700" s="13"/>
      <c r="G3700" s="13"/>
    </row>
    <row r="3701" spans="1:7" x14ac:dyDescent="0.3">
      <c r="A3701" s="13"/>
      <c r="B3701" s="13"/>
      <c r="E3701" s="13"/>
      <c r="F3701" s="13"/>
      <c r="G3701" s="13"/>
    </row>
    <row r="3702" spans="1:7" x14ac:dyDescent="0.3">
      <c r="A3702" s="13"/>
      <c r="B3702" s="13"/>
      <c r="E3702" s="13"/>
      <c r="F3702" s="13"/>
      <c r="G3702" s="13"/>
    </row>
    <row r="3703" spans="1:7" x14ac:dyDescent="0.3">
      <c r="A3703" s="13"/>
      <c r="B3703" s="13"/>
      <c r="E3703" s="13"/>
      <c r="F3703" s="13"/>
      <c r="G3703" s="13"/>
    </row>
    <row r="3704" spans="1:7" x14ac:dyDescent="0.3">
      <c r="A3704" s="13"/>
      <c r="B3704" s="13"/>
      <c r="E3704" s="13"/>
      <c r="F3704" s="13"/>
      <c r="G3704" s="13"/>
    </row>
    <row r="3705" spans="1:7" x14ac:dyDescent="0.3">
      <c r="A3705" s="21"/>
      <c r="B3705" s="13"/>
      <c r="E3705" s="13"/>
      <c r="F3705" s="13"/>
      <c r="G3705" s="13"/>
    </row>
    <row r="3706" spans="1:7" x14ac:dyDescent="0.3">
      <c r="A3706" s="13"/>
      <c r="B3706" s="13"/>
      <c r="E3706" s="13"/>
      <c r="F3706" s="13"/>
      <c r="G3706" s="13"/>
    </row>
    <row r="3707" spans="1:7" x14ac:dyDescent="0.3">
      <c r="A3707" s="13"/>
      <c r="B3707" s="13"/>
      <c r="E3707" s="13"/>
      <c r="F3707" s="13"/>
      <c r="G3707" s="13"/>
    </row>
    <row r="3708" spans="1:7" x14ac:dyDescent="0.3">
      <c r="A3708" s="13"/>
      <c r="B3708" s="13"/>
      <c r="E3708" s="13"/>
      <c r="F3708" s="13"/>
      <c r="G3708" s="13"/>
    </row>
    <row r="3709" spans="1:7" x14ac:dyDescent="0.3">
      <c r="A3709" s="13"/>
      <c r="B3709" s="13"/>
      <c r="E3709" s="13"/>
      <c r="F3709" s="13"/>
      <c r="G3709" s="13"/>
    </row>
    <row r="3710" spans="1:7" x14ac:dyDescent="0.3">
      <c r="A3710" s="13"/>
      <c r="B3710" s="13"/>
      <c r="E3710" s="13"/>
      <c r="F3710" s="13"/>
      <c r="G3710" s="13"/>
    </row>
    <row r="3711" spans="1:7" x14ac:dyDescent="0.3">
      <c r="A3711" s="21"/>
      <c r="B3711" s="13"/>
      <c r="E3711" s="13"/>
      <c r="F3711" s="13"/>
      <c r="G3711" s="13"/>
    </row>
    <row r="3712" spans="1:7" x14ac:dyDescent="0.3">
      <c r="A3712" s="13"/>
      <c r="B3712" s="13"/>
      <c r="E3712" s="13"/>
      <c r="F3712" s="13"/>
      <c r="G3712" s="13"/>
    </row>
    <row r="3713" spans="1:7" x14ac:dyDescent="0.3">
      <c r="A3713" s="13"/>
      <c r="B3713" s="13"/>
      <c r="E3713" s="13"/>
      <c r="F3713" s="13"/>
      <c r="G3713" s="13"/>
    </row>
    <row r="3714" spans="1:7" x14ac:dyDescent="0.3">
      <c r="A3714" s="13"/>
      <c r="B3714" s="13"/>
      <c r="E3714" s="13"/>
      <c r="F3714" s="13"/>
      <c r="G3714" s="13"/>
    </row>
    <row r="3715" spans="1:7" x14ac:dyDescent="0.3">
      <c r="A3715" s="13"/>
      <c r="B3715" s="13"/>
      <c r="E3715" s="13"/>
      <c r="F3715" s="13"/>
      <c r="G3715" s="13"/>
    </row>
    <row r="3716" spans="1:7" x14ac:dyDescent="0.3">
      <c r="A3716" s="13"/>
      <c r="B3716" s="13"/>
      <c r="E3716" s="13"/>
      <c r="F3716" s="13"/>
      <c r="G3716" s="13"/>
    </row>
    <row r="3717" spans="1:7" x14ac:dyDescent="0.3">
      <c r="A3717" s="21"/>
      <c r="B3717" s="13"/>
      <c r="E3717" s="13"/>
      <c r="F3717" s="13"/>
      <c r="G3717" s="13"/>
    </row>
    <row r="3718" spans="1:7" x14ac:dyDescent="0.3">
      <c r="A3718" s="13"/>
      <c r="B3718" s="13"/>
      <c r="E3718" s="13"/>
      <c r="F3718" s="13"/>
      <c r="G3718" s="13"/>
    </row>
    <row r="3719" spans="1:7" x14ac:dyDescent="0.3">
      <c r="A3719" s="13"/>
      <c r="B3719" s="13"/>
      <c r="E3719" s="13"/>
      <c r="F3719" s="13"/>
      <c r="G3719" s="13"/>
    </row>
    <row r="3720" spans="1:7" x14ac:dyDescent="0.3">
      <c r="A3720" s="13"/>
      <c r="B3720" s="13"/>
      <c r="E3720" s="13"/>
      <c r="F3720" s="13"/>
      <c r="G3720" s="13"/>
    </row>
    <row r="3721" spans="1:7" x14ac:dyDescent="0.3">
      <c r="A3721" s="13"/>
      <c r="B3721" s="13"/>
      <c r="E3721" s="13"/>
      <c r="F3721" s="13"/>
      <c r="G3721" s="13"/>
    </row>
    <row r="3722" spans="1:7" x14ac:dyDescent="0.3">
      <c r="A3722" s="13"/>
      <c r="B3722" s="13"/>
      <c r="E3722" s="13"/>
      <c r="F3722" s="13"/>
      <c r="G3722" s="13"/>
    </row>
    <row r="3723" spans="1:7" x14ac:dyDescent="0.3">
      <c r="A3723" s="21"/>
      <c r="B3723" s="13"/>
      <c r="E3723" s="13"/>
      <c r="F3723" s="13"/>
      <c r="G3723" s="13"/>
    </row>
    <row r="3724" spans="1:7" x14ac:dyDescent="0.3">
      <c r="A3724" s="13"/>
      <c r="B3724" s="13"/>
      <c r="E3724" s="13"/>
      <c r="F3724" s="13"/>
      <c r="G3724" s="13"/>
    </row>
    <row r="3725" spans="1:7" x14ac:dyDescent="0.3">
      <c r="A3725" s="13"/>
      <c r="B3725" s="13"/>
      <c r="E3725" s="13"/>
      <c r="F3725" s="13"/>
      <c r="G3725" s="13"/>
    </row>
    <row r="3726" spans="1:7" x14ac:dyDescent="0.3">
      <c r="A3726" s="13"/>
      <c r="B3726" s="13"/>
      <c r="E3726" s="13"/>
      <c r="F3726" s="13"/>
      <c r="G3726" s="13"/>
    </row>
    <row r="3727" spans="1:7" x14ac:dyDescent="0.3">
      <c r="A3727" s="13"/>
      <c r="B3727" s="13"/>
      <c r="E3727" s="13"/>
      <c r="F3727" s="13"/>
      <c r="G3727" s="13"/>
    </row>
    <row r="3728" spans="1:7" x14ac:dyDescent="0.3">
      <c r="A3728" s="13"/>
      <c r="B3728" s="13"/>
      <c r="E3728" s="13"/>
      <c r="F3728" s="13"/>
      <c r="G3728" s="13"/>
    </row>
    <row r="3729" spans="1:7" x14ac:dyDescent="0.3">
      <c r="A3729" s="21"/>
      <c r="B3729" s="13"/>
      <c r="E3729" s="13"/>
      <c r="F3729" s="13"/>
      <c r="G3729" s="13"/>
    </row>
    <row r="3730" spans="1:7" x14ac:dyDescent="0.3">
      <c r="A3730" s="13"/>
      <c r="B3730" s="13"/>
      <c r="E3730" s="13"/>
      <c r="F3730" s="13"/>
      <c r="G3730" s="13"/>
    </row>
    <row r="3731" spans="1:7" x14ac:dyDescent="0.3">
      <c r="A3731" s="13"/>
      <c r="B3731" s="13"/>
      <c r="E3731" s="13"/>
      <c r="F3731" s="13"/>
      <c r="G3731" s="13"/>
    </row>
    <row r="3732" spans="1:7" x14ac:dyDescent="0.3">
      <c r="A3732" s="13"/>
      <c r="B3732" s="13"/>
      <c r="E3732" s="13"/>
      <c r="F3732" s="13"/>
      <c r="G3732" s="13"/>
    </row>
    <row r="3733" spans="1:7" x14ac:dyDescent="0.3">
      <c r="A3733" s="13"/>
      <c r="B3733" s="13"/>
      <c r="E3733" s="13"/>
      <c r="F3733" s="13"/>
      <c r="G3733" s="13"/>
    </row>
    <row r="3734" spans="1:7" x14ac:dyDescent="0.3">
      <c r="A3734" s="13"/>
      <c r="B3734" s="13"/>
      <c r="E3734" s="13"/>
      <c r="F3734" s="13"/>
      <c r="G3734" s="13"/>
    </row>
    <row r="3735" spans="1:7" x14ac:dyDescent="0.3">
      <c r="A3735" s="21"/>
      <c r="B3735" s="13"/>
      <c r="E3735" s="13"/>
      <c r="F3735" s="13"/>
      <c r="G3735" s="13"/>
    </row>
    <row r="3736" spans="1:7" x14ac:dyDescent="0.3">
      <c r="A3736" s="13"/>
      <c r="B3736" s="13"/>
      <c r="E3736" s="13"/>
      <c r="F3736" s="13"/>
      <c r="G3736" s="13"/>
    </row>
    <row r="3737" spans="1:7" x14ac:dyDescent="0.3">
      <c r="A3737" s="13"/>
      <c r="B3737" s="13"/>
      <c r="E3737" s="13"/>
      <c r="F3737" s="13"/>
      <c r="G3737" s="13"/>
    </row>
    <row r="3738" spans="1:7" x14ac:dyDescent="0.3">
      <c r="A3738" s="13"/>
      <c r="B3738" s="13"/>
      <c r="E3738" s="13"/>
      <c r="F3738" s="13"/>
      <c r="G3738" s="13"/>
    </row>
    <row r="3739" spans="1:7" x14ac:dyDescent="0.3">
      <c r="A3739" s="13"/>
      <c r="B3739" s="13"/>
      <c r="E3739" s="13"/>
      <c r="F3739" s="13"/>
      <c r="G3739" s="13"/>
    </row>
    <row r="3740" spans="1:7" x14ac:dyDescent="0.3">
      <c r="A3740" s="13"/>
      <c r="B3740" s="13"/>
      <c r="E3740" s="13"/>
      <c r="F3740" s="13"/>
      <c r="G3740" s="13"/>
    </row>
    <row r="3741" spans="1:7" x14ac:dyDescent="0.3">
      <c r="A3741" s="21"/>
      <c r="B3741" s="13"/>
      <c r="E3741" s="13"/>
      <c r="F3741" s="13"/>
      <c r="G3741" s="13"/>
    </row>
    <row r="3742" spans="1:7" x14ac:dyDescent="0.3">
      <c r="A3742" s="13"/>
      <c r="B3742" s="13"/>
      <c r="E3742" s="13"/>
      <c r="F3742" s="13"/>
      <c r="G3742" s="13"/>
    </row>
    <row r="3743" spans="1:7" x14ac:dyDescent="0.3">
      <c r="A3743" s="13"/>
      <c r="B3743" s="13"/>
      <c r="E3743" s="13"/>
      <c r="F3743" s="13"/>
      <c r="G3743" s="13"/>
    </row>
    <row r="3744" spans="1:7" x14ac:dyDescent="0.3">
      <c r="A3744" s="13"/>
      <c r="B3744" s="13"/>
      <c r="E3744" s="13"/>
      <c r="F3744" s="13"/>
      <c r="G3744" s="13"/>
    </row>
    <row r="3745" spans="1:7" x14ac:dyDescent="0.3">
      <c r="A3745" s="13"/>
      <c r="B3745" s="13"/>
      <c r="E3745" s="13"/>
      <c r="F3745" s="13"/>
      <c r="G3745" s="13"/>
    </row>
    <row r="3746" spans="1:7" x14ac:dyDescent="0.3">
      <c r="A3746" s="13"/>
      <c r="B3746" s="13"/>
      <c r="E3746" s="13"/>
      <c r="F3746" s="13"/>
      <c r="G3746" s="13"/>
    </row>
    <row r="3747" spans="1:7" x14ac:dyDescent="0.3">
      <c r="A3747" s="21"/>
      <c r="B3747" s="13"/>
      <c r="E3747" s="13"/>
      <c r="F3747" s="13"/>
      <c r="G3747" s="13"/>
    </row>
    <row r="3748" spans="1:7" x14ac:dyDescent="0.3">
      <c r="A3748" s="13"/>
      <c r="B3748" s="13"/>
      <c r="E3748" s="13"/>
      <c r="F3748" s="13"/>
      <c r="G3748" s="13"/>
    </row>
    <row r="3749" spans="1:7" x14ac:dyDescent="0.3">
      <c r="A3749" s="13"/>
      <c r="B3749" s="13"/>
      <c r="E3749" s="13"/>
      <c r="F3749" s="13"/>
      <c r="G3749" s="13"/>
    </row>
    <row r="3750" spans="1:7" x14ac:dyDescent="0.3">
      <c r="A3750" s="13"/>
      <c r="B3750" s="13"/>
      <c r="E3750" s="13"/>
      <c r="F3750" s="13"/>
      <c r="G3750" s="13"/>
    </row>
    <row r="3751" spans="1:7" x14ac:dyDescent="0.3">
      <c r="A3751" s="13"/>
      <c r="B3751" s="13"/>
      <c r="E3751" s="13"/>
      <c r="F3751" s="13"/>
      <c r="G3751" s="13"/>
    </row>
    <row r="3752" spans="1:7" x14ac:dyDescent="0.3">
      <c r="A3752" s="13"/>
      <c r="B3752" s="13"/>
      <c r="E3752" s="13"/>
      <c r="F3752" s="13"/>
      <c r="G3752" s="13"/>
    </row>
    <row r="3753" spans="1:7" x14ac:dyDescent="0.3">
      <c r="A3753" s="21"/>
      <c r="B3753" s="13"/>
      <c r="E3753" s="13"/>
      <c r="F3753" s="13"/>
      <c r="G3753" s="13"/>
    </row>
    <row r="3754" spans="1:7" x14ac:dyDescent="0.3">
      <c r="A3754" s="13"/>
      <c r="B3754" s="13"/>
      <c r="E3754" s="13"/>
      <c r="F3754" s="13"/>
      <c r="G3754" s="13"/>
    </row>
    <row r="3755" spans="1:7" x14ac:dyDescent="0.3">
      <c r="A3755" s="13"/>
      <c r="B3755" s="13"/>
      <c r="E3755" s="13"/>
      <c r="F3755" s="13"/>
      <c r="G3755" s="13"/>
    </row>
    <row r="3756" spans="1:7" x14ac:dyDescent="0.3">
      <c r="A3756" s="13"/>
      <c r="B3756" s="13"/>
      <c r="E3756" s="13"/>
      <c r="F3756" s="13"/>
      <c r="G3756" s="13"/>
    </row>
    <row r="3757" spans="1:7" x14ac:dyDescent="0.3">
      <c r="A3757" s="13"/>
      <c r="B3757" s="13"/>
      <c r="E3757" s="13"/>
      <c r="F3757" s="13"/>
      <c r="G3757" s="13"/>
    </row>
    <row r="3758" spans="1:7" x14ac:dyDescent="0.3">
      <c r="A3758" s="13"/>
      <c r="B3758" s="13"/>
      <c r="E3758" s="13"/>
      <c r="F3758" s="13"/>
      <c r="G3758" s="13"/>
    </row>
    <row r="3759" spans="1:7" x14ac:dyDescent="0.3">
      <c r="A3759" s="21"/>
      <c r="B3759" s="13"/>
      <c r="E3759" s="13"/>
      <c r="F3759" s="13"/>
      <c r="G3759" s="13"/>
    </row>
    <row r="3760" spans="1:7" x14ac:dyDescent="0.3">
      <c r="A3760" s="13"/>
      <c r="B3760" s="13"/>
      <c r="E3760" s="13"/>
      <c r="F3760" s="13"/>
      <c r="G3760" s="13"/>
    </row>
    <row r="3761" spans="1:7" x14ac:dyDescent="0.3">
      <c r="A3761" s="13"/>
      <c r="B3761" s="13"/>
      <c r="E3761" s="13"/>
      <c r="F3761" s="13"/>
      <c r="G3761" s="13"/>
    </row>
    <row r="3762" spans="1:7" x14ac:dyDescent="0.3">
      <c r="A3762" s="13"/>
      <c r="B3762" s="13"/>
      <c r="E3762" s="13"/>
      <c r="F3762" s="13"/>
      <c r="G3762" s="13"/>
    </row>
    <row r="3763" spans="1:7" x14ac:dyDescent="0.3">
      <c r="A3763" s="13"/>
      <c r="B3763" s="13"/>
      <c r="E3763" s="13"/>
      <c r="F3763" s="13"/>
      <c r="G3763" s="13"/>
    </row>
    <row r="3764" spans="1:7" x14ac:dyDescent="0.3">
      <c r="A3764" s="13"/>
      <c r="B3764" s="13"/>
      <c r="E3764" s="13"/>
      <c r="F3764" s="13"/>
      <c r="G3764" s="13"/>
    </row>
    <row r="3765" spans="1:7" x14ac:dyDescent="0.3">
      <c r="A3765" s="21"/>
      <c r="B3765" s="13"/>
      <c r="E3765" s="13"/>
      <c r="F3765" s="13"/>
      <c r="G3765" s="13"/>
    </row>
    <row r="3766" spans="1:7" x14ac:dyDescent="0.3">
      <c r="A3766" s="13"/>
      <c r="B3766" s="13"/>
      <c r="E3766" s="13"/>
      <c r="F3766" s="13"/>
      <c r="G3766" s="13"/>
    </row>
    <row r="3767" spans="1:7" x14ac:dyDescent="0.3">
      <c r="A3767" s="13"/>
      <c r="B3767" s="13"/>
      <c r="E3767" s="13"/>
      <c r="F3767" s="13"/>
      <c r="G3767" s="13"/>
    </row>
    <row r="3768" spans="1:7" x14ac:dyDescent="0.3">
      <c r="A3768" s="13"/>
      <c r="B3768" s="13"/>
      <c r="E3768" s="13"/>
      <c r="F3768" s="13"/>
      <c r="G3768" s="13"/>
    </row>
    <row r="3769" spans="1:7" x14ac:dyDescent="0.3">
      <c r="A3769" s="13"/>
      <c r="B3769" s="13"/>
      <c r="E3769" s="13"/>
      <c r="F3769" s="13"/>
      <c r="G3769" s="13"/>
    </row>
    <row r="3770" spans="1:7" x14ac:dyDescent="0.3">
      <c r="A3770" s="13"/>
      <c r="B3770" s="13"/>
      <c r="E3770" s="13"/>
      <c r="F3770" s="13"/>
      <c r="G3770" s="13"/>
    </row>
    <row r="3771" spans="1:7" x14ac:dyDescent="0.3">
      <c r="A3771" s="21"/>
      <c r="B3771" s="13"/>
      <c r="E3771" s="13"/>
      <c r="F3771" s="13"/>
      <c r="G3771" s="13"/>
    </row>
    <row r="3772" spans="1:7" x14ac:dyDescent="0.3">
      <c r="A3772" s="13"/>
      <c r="B3772" s="13"/>
      <c r="E3772" s="13"/>
      <c r="F3772" s="13"/>
      <c r="G3772" s="13"/>
    </row>
    <row r="3773" spans="1:7" x14ac:dyDescent="0.3">
      <c r="A3773" s="13"/>
      <c r="B3773" s="13"/>
      <c r="E3773" s="13"/>
      <c r="F3773" s="13"/>
      <c r="G3773" s="13"/>
    </row>
    <row r="3774" spans="1:7" x14ac:dyDescent="0.3">
      <c r="A3774" s="13"/>
      <c r="B3774" s="13"/>
      <c r="E3774" s="13"/>
      <c r="F3774" s="13"/>
      <c r="G3774" s="13"/>
    </row>
    <row r="3775" spans="1:7" x14ac:dyDescent="0.3">
      <c r="A3775" s="13"/>
      <c r="B3775" s="13"/>
      <c r="E3775" s="13"/>
      <c r="F3775" s="13"/>
      <c r="G3775" s="13"/>
    </row>
    <row r="3776" spans="1:7" x14ac:dyDescent="0.3">
      <c r="A3776" s="13"/>
      <c r="B3776" s="13"/>
      <c r="E3776" s="13"/>
      <c r="F3776" s="13"/>
      <c r="G3776" s="13"/>
    </row>
    <row r="3777" spans="1:7" x14ac:dyDescent="0.3">
      <c r="A3777" s="21"/>
      <c r="B3777" s="13"/>
      <c r="E3777" s="13"/>
      <c r="F3777" s="13"/>
      <c r="G3777" s="13"/>
    </row>
    <row r="3778" spans="1:7" x14ac:dyDescent="0.3">
      <c r="A3778" s="13"/>
      <c r="B3778" s="13"/>
      <c r="E3778" s="13"/>
      <c r="F3778" s="13"/>
      <c r="G3778" s="13"/>
    </row>
    <row r="3779" spans="1:7" x14ac:dyDescent="0.3">
      <c r="A3779" s="13"/>
      <c r="B3779" s="13"/>
      <c r="E3779" s="13"/>
      <c r="F3779" s="13"/>
      <c r="G3779" s="13"/>
    </row>
    <row r="3780" spans="1:7" x14ac:dyDescent="0.3">
      <c r="A3780" s="13"/>
      <c r="B3780" s="13"/>
      <c r="E3780" s="13"/>
      <c r="F3780" s="13"/>
      <c r="G3780" s="13"/>
    </row>
    <row r="3781" spans="1:7" x14ac:dyDescent="0.3">
      <c r="A3781" s="13"/>
      <c r="B3781" s="13"/>
      <c r="E3781" s="13"/>
      <c r="F3781" s="13"/>
      <c r="G3781" s="13"/>
    </row>
    <row r="3782" spans="1:7" x14ac:dyDescent="0.3">
      <c r="A3782" s="13"/>
      <c r="B3782" s="13"/>
      <c r="E3782" s="13"/>
      <c r="F3782" s="13"/>
      <c r="G3782" s="13"/>
    </row>
    <row r="3783" spans="1:7" x14ac:dyDescent="0.3">
      <c r="A3783" s="21"/>
      <c r="B3783" s="13"/>
      <c r="E3783" s="13"/>
      <c r="F3783" s="13"/>
      <c r="G3783" s="13"/>
    </row>
    <row r="3784" spans="1:7" x14ac:dyDescent="0.3">
      <c r="A3784" s="13"/>
      <c r="B3784" s="13"/>
      <c r="E3784" s="13"/>
      <c r="F3784" s="13"/>
      <c r="G3784" s="13"/>
    </row>
    <row r="3785" spans="1:7" x14ac:dyDescent="0.3">
      <c r="A3785" s="13"/>
      <c r="B3785" s="13"/>
      <c r="E3785" s="13"/>
      <c r="F3785" s="13"/>
      <c r="G3785" s="13"/>
    </row>
    <row r="3786" spans="1:7" x14ac:dyDescent="0.3">
      <c r="A3786" s="13"/>
      <c r="B3786" s="13"/>
      <c r="E3786" s="13"/>
      <c r="F3786" s="13"/>
      <c r="G3786" s="13"/>
    </row>
    <row r="3787" spans="1:7" x14ac:dyDescent="0.3">
      <c r="A3787" s="13"/>
      <c r="B3787" s="13"/>
      <c r="E3787" s="13"/>
      <c r="F3787" s="13"/>
      <c r="G3787" s="13"/>
    </row>
    <row r="3788" spans="1:7" x14ac:dyDescent="0.3">
      <c r="A3788" s="13"/>
      <c r="B3788" s="13"/>
      <c r="E3788" s="13"/>
      <c r="F3788" s="13"/>
      <c r="G3788" s="13"/>
    </row>
    <row r="3789" spans="1:7" x14ac:dyDescent="0.3">
      <c r="A3789" s="13"/>
      <c r="B3789" s="13"/>
      <c r="E3789" s="13"/>
      <c r="F3789" s="13"/>
      <c r="G3789" s="13"/>
    </row>
    <row r="3790" spans="1:7" x14ac:dyDescent="0.3">
      <c r="A3790" s="13"/>
      <c r="B3790" s="13"/>
      <c r="E3790" s="13"/>
      <c r="F3790" s="13"/>
      <c r="G3790" s="13"/>
    </row>
    <row r="3791" spans="1:7" x14ac:dyDescent="0.3">
      <c r="A3791" s="13"/>
      <c r="B3791" s="13"/>
      <c r="E3791" s="13"/>
      <c r="F3791" s="13"/>
      <c r="G3791" s="13"/>
    </row>
    <row r="3792" spans="1:7" x14ac:dyDescent="0.3">
      <c r="A3792" s="13"/>
      <c r="B3792" s="13"/>
      <c r="E3792" s="13"/>
      <c r="F3792" s="13"/>
      <c r="G3792" s="13"/>
    </row>
    <row r="3793" spans="1:7" x14ac:dyDescent="0.3">
      <c r="A3793" s="13"/>
      <c r="B3793" s="13"/>
      <c r="E3793" s="13"/>
      <c r="F3793" s="13"/>
      <c r="G3793" s="13"/>
    </row>
    <row r="3794" spans="1:7" x14ac:dyDescent="0.3">
      <c r="A3794" s="13"/>
      <c r="B3794" s="13"/>
      <c r="E3794" s="13"/>
      <c r="F3794" s="13"/>
      <c r="G3794" s="13"/>
    </row>
    <row r="3795" spans="1:7" x14ac:dyDescent="0.3">
      <c r="A3795" s="13"/>
      <c r="B3795" s="13"/>
      <c r="E3795" s="13"/>
      <c r="F3795" s="13"/>
      <c r="G3795" s="13"/>
    </row>
    <row r="3796" spans="1:7" x14ac:dyDescent="0.3">
      <c r="A3796" s="13"/>
      <c r="B3796" s="13"/>
      <c r="E3796" s="13"/>
      <c r="F3796" s="13"/>
      <c r="G3796" s="13"/>
    </row>
    <row r="3797" spans="1:7" x14ac:dyDescent="0.3">
      <c r="A3797" s="13"/>
      <c r="B3797" s="13"/>
      <c r="E3797" s="13"/>
      <c r="F3797" s="13"/>
      <c r="G3797" s="13"/>
    </row>
    <row r="3798" spans="1:7" x14ac:dyDescent="0.3">
      <c r="A3798" s="13"/>
      <c r="B3798" s="13"/>
      <c r="E3798" s="13"/>
      <c r="F3798" s="13"/>
      <c r="G3798" s="13"/>
    </row>
    <row r="3799" spans="1:7" x14ac:dyDescent="0.3">
      <c r="A3799" s="13"/>
      <c r="B3799" s="13"/>
      <c r="E3799" s="13"/>
      <c r="F3799" s="13"/>
      <c r="G3799" s="13"/>
    </row>
    <row r="3800" spans="1:7" x14ac:dyDescent="0.3">
      <c r="A3800" s="13"/>
      <c r="B3800" s="13"/>
      <c r="E3800" s="13"/>
      <c r="F3800" s="13"/>
      <c r="G3800" s="13"/>
    </row>
    <row r="3801" spans="1:7" x14ac:dyDescent="0.3">
      <c r="A3801" s="13"/>
      <c r="B3801" s="13"/>
      <c r="E3801" s="13"/>
      <c r="F3801" s="13"/>
      <c r="G3801" s="13"/>
    </row>
    <row r="3802" spans="1:7" x14ac:dyDescent="0.3">
      <c r="A3802" s="13"/>
      <c r="B3802" s="13"/>
      <c r="E3802" s="13"/>
      <c r="F3802" s="13"/>
      <c r="G3802" s="13"/>
    </row>
    <row r="3803" spans="1:7" x14ac:dyDescent="0.3">
      <c r="A3803" s="13"/>
      <c r="B3803" s="13"/>
      <c r="E3803" s="13"/>
      <c r="F3803" s="13"/>
      <c r="G3803" s="13"/>
    </row>
    <row r="3804" spans="1:7" x14ac:dyDescent="0.3">
      <c r="A3804" s="13"/>
      <c r="B3804" s="13"/>
      <c r="E3804" s="13"/>
      <c r="F3804" s="13"/>
      <c r="G3804" s="13"/>
    </row>
    <row r="3805" spans="1:7" x14ac:dyDescent="0.3">
      <c r="A3805" s="13"/>
      <c r="B3805" s="13"/>
      <c r="E3805" s="13"/>
      <c r="F3805" s="13"/>
      <c r="G3805" s="13"/>
    </row>
    <row r="3806" spans="1:7" x14ac:dyDescent="0.3">
      <c r="A3806" s="13"/>
      <c r="B3806" s="13"/>
      <c r="E3806" s="13"/>
      <c r="F3806" s="13"/>
      <c r="G3806" s="13"/>
    </row>
    <row r="3807" spans="1:7" x14ac:dyDescent="0.3">
      <c r="A3807" s="13"/>
      <c r="B3807" s="13"/>
      <c r="E3807" s="13"/>
      <c r="F3807" s="13"/>
      <c r="G3807" s="13"/>
    </row>
    <row r="3808" spans="1:7" x14ac:dyDescent="0.3">
      <c r="A3808" s="13"/>
      <c r="B3808" s="13"/>
      <c r="E3808" s="13"/>
      <c r="F3808" s="13"/>
      <c r="G3808" s="13"/>
    </row>
    <row r="3809" spans="1:7" x14ac:dyDescent="0.3">
      <c r="A3809" s="13"/>
      <c r="B3809" s="13"/>
      <c r="E3809" s="13"/>
      <c r="F3809" s="13"/>
      <c r="G3809" s="13"/>
    </row>
    <row r="3810" spans="1:7" x14ac:dyDescent="0.3">
      <c r="A3810" s="13"/>
      <c r="B3810" s="13"/>
      <c r="E3810" s="13"/>
      <c r="F3810" s="13"/>
      <c r="G3810" s="13"/>
    </row>
    <row r="3811" spans="1:7" x14ac:dyDescent="0.3">
      <c r="A3811" s="13"/>
      <c r="B3811" s="13"/>
      <c r="E3811" s="13"/>
      <c r="F3811" s="13"/>
      <c r="G3811" s="13"/>
    </row>
    <row r="3812" spans="1:7" x14ac:dyDescent="0.3">
      <c r="A3812" s="13"/>
      <c r="B3812" s="13"/>
      <c r="E3812" s="13"/>
      <c r="F3812" s="13"/>
      <c r="G3812" s="13"/>
    </row>
    <row r="3813" spans="1:7" x14ac:dyDescent="0.3">
      <c r="A3813" s="13"/>
      <c r="B3813" s="13"/>
      <c r="E3813" s="13"/>
      <c r="F3813" s="13"/>
      <c r="G3813" s="13"/>
    </row>
    <row r="3814" spans="1:7" x14ac:dyDescent="0.3">
      <c r="A3814" s="13"/>
      <c r="B3814" s="13"/>
      <c r="E3814" s="13"/>
      <c r="F3814" s="13"/>
      <c r="G3814" s="13"/>
    </row>
    <row r="3815" spans="1:7" x14ac:dyDescent="0.3">
      <c r="A3815" s="13"/>
      <c r="B3815" s="13"/>
      <c r="E3815" s="13"/>
      <c r="F3815" s="13"/>
      <c r="G3815" s="13"/>
    </row>
    <row r="3816" spans="1:7" x14ac:dyDescent="0.3">
      <c r="A3816" s="13"/>
      <c r="B3816" s="13"/>
      <c r="E3816" s="13"/>
      <c r="F3816" s="13"/>
      <c r="G3816" s="13"/>
    </row>
    <row r="3817" spans="1:7" x14ac:dyDescent="0.3">
      <c r="A3817" s="13"/>
      <c r="B3817" s="13"/>
      <c r="E3817" s="13"/>
      <c r="F3817" s="13"/>
      <c r="G3817" s="13"/>
    </row>
    <row r="3818" spans="1:7" x14ac:dyDescent="0.3">
      <c r="A3818" s="13"/>
      <c r="B3818" s="13"/>
      <c r="E3818" s="13"/>
      <c r="F3818" s="13"/>
      <c r="G3818" s="13"/>
    </row>
    <row r="3819" spans="1:7" x14ac:dyDescent="0.3">
      <c r="A3819" s="13"/>
      <c r="B3819" s="13"/>
      <c r="E3819" s="13"/>
      <c r="F3819" s="13"/>
      <c r="G3819" s="13"/>
    </row>
    <row r="3820" spans="1:7" x14ac:dyDescent="0.3">
      <c r="A3820" s="13"/>
      <c r="B3820" s="13"/>
      <c r="E3820" s="13"/>
      <c r="F3820" s="13"/>
      <c r="G3820" s="13"/>
    </row>
    <row r="3821" spans="1:7" x14ac:dyDescent="0.3">
      <c r="A3821" s="13"/>
      <c r="B3821" s="13"/>
      <c r="E3821" s="13"/>
      <c r="F3821" s="13"/>
      <c r="G3821" s="13"/>
    </row>
    <row r="3822" spans="1:7" x14ac:dyDescent="0.3">
      <c r="A3822" s="13"/>
      <c r="B3822" s="13"/>
      <c r="E3822" s="13"/>
      <c r="F3822" s="13"/>
      <c r="G3822" s="13"/>
    </row>
    <row r="3823" spans="1:7" x14ac:dyDescent="0.3">
      <c r="A3823" s="13"/>
      <c r="B3823" s="13"/>
      <c r="E3823" s="13"/>
      <c r="F3823" s="13"/>
      <c r="G3823" s="13"/>
    </row>
    <row r="3824" spans="1:7" x14ac:dyDescent="0.3">
      <c r="A3824" s="13"/>
      <c r="B3824" s="13"/>
      <c r="E3824" s="13"/>
      <c r="F3824" s="13"/>
      <c r="G3824" s="13"/>
    </row>
    <row r="3825" spans="1:7" x14ac:dyDescent="0.3">
      <c r="A3825" s="13"/>
      <c r="B3825" s="13"/>
      <c r="E3825" s="13"/>
      <c r="F3825" s="13"/>
      <c r="G3825" s="13"/>
    </row>
    <row r="3826" spans="1:7" x14ac:dyDescent="0.3">
      <c r="A3826" s="13"/>
      <c r="B3826" s="13"/>
      <c r="E3826" s="13"/>
      <c r="F3826" s="13"/>
      <c r="G3826" s="13"/>
    </row>
    <row r="3827" spans="1:7" x14ac:dyDescent="0.3">
      <c r="A3827" s="13"/>
      <c r="B3827" s="13"/>
      <c r="E3827" s="13"/>
      <c r="F3827" s="13"/>
      <c r="G3827" s="13"/>
    </row>
    <row r="3828" spans="1:7" x14ac:dyDescent="0.3">
      <c r="A3828" s="13"/>
      <c r="B3828" s="13"/>
      <c r="E3828" s="13"/>
      <c r="F3828" s="13"/>
      <c r="G3828" s="13"/>
    </row>
    <row r="3829" spans="1:7" x14ac:dyDescent="0.3">
      <c r="A3829" s="13"/>
      <c r="B3829" s="13"/>
      <c r="E3829" s="13"/>
      <c r="F3829" s="13"/>
      <c r="G3829" s="13"/>
    </row>
    <row r="3830" spans="1:7" x14ac:dyDescent="0.3">
      <c r="A3830" s="13"/>
      <c r="B3830" s="13"/>
      <c r="E3830" s="13"/>
      <c r="F3830" s="13"/>
      <c r="G3830" s="13"/>
    </row>
    <row r="3831" spans="1:7" x14ac:dyDescent="0.3">
      <c r="A3831" s="13"/>
      <c r="B3831" s="13"/>
      <c r="E3831" s="13"/>
      <c r="F3831" s="13"/>
      <c r="G3831" s="13"/>
    </row>
    <row r="3832" spans="1:7" x14ac:dyDescent="0.3">
      <c r="A3832" s="13"/>
      <c r="B3832" s="13"/>
      <c r="E3832" s="13"/>
      <c r="F3832" s="13"/>
      <c r="G3832" s="13"/>
    </row>
    <row r="3833" spans="1:7" x14ac:dyDescent="0.3">
      <c r="A3833" s="13"/>
      <c r="B3833" s="13"/>
      <c r="E3833" s="13"/>
      <c r="F3833" s="13"/>
      <c r="G3833" s="13"/>
    </row>
    <row r="3834" spans="1:7" x14ac:dyDescent="0.3">
      <c r="A3834" s="13"/>
      <c r="B3834" s="13"/>
      <c r="E3834" s="13"/>
      <c r="F3834" s="13"/>
      <c r="G3834" s="13"/>
    </row>
    <row r="3835" spans="1:7" x14ac:dyDescent="0.3">
      <c r="A3835" s="13"/>
      <c r="B3835" s="13"/>
      <c r="E3835" s="13"/>
      <c r="F3835" s="13"/>
      <c r="G3835" s="13"/>
    </row>
    <row r="3836" spans="1:7" x14ac:dyDescent="0.3">
      <c r="A3836" s="13"/>
      <c r="B3836" s="13"/>
      <c r="E3836" s="13"/>
      <c r="F3836" s="13"/>
      <c r="G3836" s="13"/>
    </row>
    <row r="3837" spans="1:7" x14ac:dyDescent="0.3">
      <c r="A3837" s="13"/>
      <c r="B3837" s="13"/>
      <c r="E3837" s="13"/>
      <c r="F3837" s="13"/>
      <c r="G3837" s="13"/>
    </row>
    <row r="3838" spans="1:7" x14ac:dyDescent="0.3">
      <c r="A3838" s="13"/>
      <c r="B3838" s="13"/>
      <c r="E3838" s="13"/>
      <c r="F3838" s="13"/>
      <c r="G3838" s="13"/>
    </row>
    <row r="3839" spans="1:7" x14ac:dyDescent="0.3">
      <c r="A3839" s="13"/>
      <c r="B3839" s="13"/>
      <c r="E3839" s="13"/>
      <c r="F3839" s="13"/>
      <c r="G3839" s="13"/>
    </row>
    <row r="3840" spans="1:7" x14ac:dyDescent="0.3">
      <c r="A3840" s="13"/>
      <c r="B3840" s="13"/>
      <c r="E3840" s="13"/>
      <c r="F3840" s="13"/>
      <c r="G3840" s="13"/>
    </row>
    <row r="3841" spans="1:7" x14ac:dyDescent="0.3">
      <c r="A3841" s="13"/>
      <c r="B3841" s="13"/>
      <c r="E3841" s="13"/>
      <c r="F3841" s="13"/>
      <c r="G3841" s="13"/>
    </row>
    <row r="3842" spans="1:7" x14ac:dyDescent="0.3">
      <c r="A3842" s="13"/>
      <c r="B3842" s="13"/>
      <c r="E3842" s="13"/>
      <c r="F3842" s="13"/>
      <c r="G3842" s="13"/>
    </row>
    <row r="3843" spans="1:7" x14ac:dyDescent="0.3">
      <c r="A3843" s="13"/>
      <c r="B3843" s="13"/>
      <c r="E3843" s="13"/>
      <c r="F3843" s="13"/>
      <c r="G3843" s="13"/>
    </row>
    <row r="3844" spans="1:7" x14ac:dyDescent="0.3">
      <c r="A3844" s="13"/>
      <c r="B3844" s="13"/>
      <c r="E3844" s="13"/>
      <c r="F3844" s="13"/>
      <c r="G3844" s="13"/>
    </row>
    <row r="3845" spans="1:7" x14ac:dyDescent="0.3">
      <c r="A3845" s="13"/>
      <c r="B3845" s="13"/>
      <c r="E3845" s="13"/>
      <c r="F3845" s="13"/>
      <c r="G3845" s="13"/>
    </row>
    <row r="3846" spans="1:7" x14ac:dyDescent="0.3">
      <c r="A3846" s="13"/>
      <c r="B3846" s="13"/>
      <c r="E3846" s="13"/>
      <c r="F3846" s="13"/>
      <c r="G3846" s="13"/>
    </row>
    <row r="3847" spans="1:7" x14ac:dyDescent="0.3">
      <c r="A3847" s="13"/>
      <c r="B3847" s="13"/>
      <c r="E3847" s="13"/>
      <c r="F3847" s="13"/>
      <c r="G3847" s="13"/>
    </row>
    <row r="3848" spans="1:7" x14ac:dyDescent="0.3">
      <c r="A3848" s="13"/>
      <c r="B3848" s="13"/>
      <c r="E3848" s="13"/>
      <c r="F3848" s="13"/>
      <c r="G3848" s="13"/>
    </row>
    <row r="3849" spans="1:7" x14ac:dyDescent="0.3">
      <c r="A3849" s="13"/>
      <c r="B3849" s="13"/>
      <c r="E3849" s="13"/>
      <c r="F3849" s="13"/>
      <c r="G3849" s="13"/>
    </row>
    <row r="3850" spans="1:7" x14ac:dyDescent="0.3">
      <c r="A3850" s="13"/>
      <c r="B3850" s="13"/>
      <c r="E3850" s="13"/>
      <c r="F3850" s="13"/>
      <c r="G3850" s="13"/>
    </row>
    <row r="3851" spans="1:7" x14ac:dyDescent="0.3">
      <c r="A3851" s="13"/>
      <c r="B3851" s="13"/>
      <c r="E3851" s="13"/>
      <c r="F3851" s="13"/>
      <c r="G3851" s="13"/>
    </row>
    <row r="3852" spans="1:7" x14ac:dyDescent="0.3">
      <c r="A3852" s="13"/>
      <c r="B3852" s="13"/>
      <c r="E3852" s="13"/>
      <c r="F3852" s="13"/>
      <c r="G3852" s="13"/>
    </row>
    <row r="3853" spans="1:7" x14ac:dyDescent="0.3">
      <c r="A3853" s="13"/>
      <c r="B3853" s="13"/>
      <c r="E3853" s="13"/>
      <c r="F3853" s="13"/>
      <c r="G3853" s="13"/>
    </row>
    <row r="3854" spans="1:7" x14ac:dyDescent="0.3">
      <c r="A3854" s="13"/>
      <c r="B3854" s="13"/>
      <c r="E3854" s="13"/>
      <c r="F3854" s="13"/>
      <c r="G3854" s="13"/>
    </row>
    <row r="3855" spans="1:7" x14ac:dyDescent="0.3">
      <c r="A3855" s="13"/>
      <c r="B3855" s="13"/>
      <c r="E3855" s="13"/>
      <c r="F3855" s="13"/>
      <c r="G3855" s="13"/>
    </row>
    <row r="3856" spans="1:7" x14ac:dyDescent="0.3">
      <c r="A3856" s="13"/>
      <c r="B3856" s="13"/>
      <c r="E3856" s="13"/>
      <c r="F3856" s="13"/>
      <c r="G3856" s="13"/>
    </row>
    <row r="3857" spans="1:7" x14ac:dyDescent="0.3">
      <c r="A3857" s="13"/>
      <c r="B3857" s="13"/>
      <c r="E3857" s="13"/>
      <c r="F3857" s="13"/>
      <c r="G3857" s="13"/>
    </row>
    <row r="3858" spans="1:7" x14ac:dyDescent="0.3">
      <c r="A3858" s="13"/>
      <c r="B3858" s="13"/>
      <c r="E3858" s="13"/>
      <c r="F3858" s="13"/>
      <c r="G3858" s="13"/>
    </row>
    <row r="3859" spans="1:7" x14ac:dyDescent="0.3">
      <c r="A3859" s="13"/>
      <c r="B3859" s="13"/>
      <c r="E3859" s="13"/>
      <c r="F3859" s="13"/>
      <c r="G3859" s="13"/>
    </row>
    <row r="3860" spans="1:7" x14ac:dyDescent="0.3">
      <c r="A3860" s="13"/>
      <c r="B3860" s="13"/>
      <c r="E3860" s="13"/>
      <c r="F3860" s="13"/>
      <c r="G3860" s="13"/>
    </row>
    <row r="3861" spans="1:7" x14ac:dyDescent="0.3">
      <c r="A3861" s="13"/>
      <c r="B3861" s="13"/>
      <c r="E3861" s="13"/>
      <c r="F3861" s="13"/>
      <c r="G3861" s="13"/>
    </row>
    <row r="3862" spans="1:7" x14ac:dyDescent="0.3">
      <c r="A3862" s="13"/>
      <c r="B3862" s="13"/>
      <c r="E3862" s="13"/>
      <c r="F3862" s="13"/>
      <c r="G3862" s="13"/>
    </row>
    <row r="3863" spans="1:7" x14ac:dyDescent="0.3">
      <c r="A3863" s="13"/>
      <c r="B3863" s="13"/>
      <c r="E3863" s="13"/>
      <c r="F3863" s="13"/>
      <c r="G3863" s="13"/>
    </row>
    <row r="3864" spans="1:7" x14ac:dyDescent="0.3">
      <c r="A3864" s="13"/>
      <c r="B3864" s="13"/>
      <c r="E3864" s="13"/>
      <c r="F3864" s="13"/>
      <c r="G3864" s="13"/>
    </row>
    <row r="3865" spans="1:7" x14ac:dyDescent="0.3">
      <c r="A3865" s="13"/>
      <c r="B3865" s="13"/>
      <c r="E3865" s="13"/>
      <c r="F3865" s="13"/>
      <c r="G3865" s="13"/>
    </row>
    <row r="3866" spans="1:7" x14ac:dyDescent="0.3">
      <c r="A3866" s="13"/>
      <c r="B3866" s="13"/>
      <c r="E3866" s="13"/>
      <c r="F3866" s="13"/>
      <c r="G3866" s="13"/>
    </row>
    <row r="3867" spans="1:7" x14ac:dyDescent="0.3">
      <c r="A3867" s="13"/>
      <c r="B3867" s="13"/>
      <c r="E3867" s="13"/>
      <c r="F3867" s="13"/>
      <c r="G3867" s="13"/>
    </row>
    <row r="3868" spans="1:7" x14ac:dyDescent="0.3">
      <c r="A3868" s="13"/>
      <c r="B3868" s="13"/>
      <c r="E3868" s="13"/>
      <c r="F3868" s="13"/>
      <c r="G3868" s="13"/>
    </row>
    <row r="3869" spans="1:7" x14ac:dyDescent="0.3">
      <c r="A3869" s="13"/>
      <c r="B3869" s="13"/>
      <c r="E3869" s="13"/>
      <c r="F3869" s="13"/>
      <c r="G3869" s="13"/>
    </row>
    <row r="3870" spans="1:7" x14ac:dyDescent="0.3">
      <c r="A3870" s="13"/>
      <c r="B3870" s="13"/>
      <c r="E3870" s="13"/>
      <c r="F3870" s="13"/>
      <c r="G3870" s="13"/>
    </row>
    <row r="3871" spans="1:7" x14ac:dyDescent="0.3">
      <c r="A3871" s="13"/>
      <c r="B3871" s="13"/>
      <c r="E3871" s="13"/>
      <c r="F3871" s="13"/>
      <c r="G3871" s="13"/>
    </row>
    <row r="3872" spans="1:7" x14ac:dyDescent="0.3">
      <c r="A3872" s="13"/>
      <c r="B3872" s="13"/>
      <c r="E3872" s="13"/>
      <c r="F3872" s="13"/>
      <c r="G3872" s="13"/>
    </row>
    <row r="3873" spans="1:7" x14ac:dyDescent="0.3">
      <c r="A3873" s="13"/>
      <c r="B3873" s="13"/>
      <c r="E3873" s="13"/>
      <c r="F3873" s="13"/>
      <c r="G3873" s="13"/>
    </row>
    <row r="3874" spans="1:7" x14ac:dyDescent="0.3">
      <c r="A3874" s="13"/>
      <c r="B3874" s="13"/>
      <c r="E3874" s="13"/>
      <c r="F3874" s="13"/>
      <c r="G3874" s="13"/>
    </row>
    <row r="3875" spans="1:7" x14ac:dyDescent="0.3">
      <c r="A3875" s="13"/>
      <c r="B3875" s="13"/>
      <c r="E3875" s="13"/>
      <c r="F3875" s="13"/>
      <c r="G3875" s="13"/>
    </row>
    <row r="3876" spans="1:7" x14ac:dyDescent="0.3">
      <c r="A3876" s="13"/>
      <c r="B3876" s="13"/>
      <c r="E3876" s="13"/>
      <c r="F3876" s="13"/>
      <c r="G3876" s="13"/>
    </row>
    <row r="3877" spans="1:7" x14ac:dyDescent="0.3">
      <c r="A3877" s="13"/>
      <c r="B3877" s="13"/>
      <c r="E3877" s="13"/>
      <c r="F3877" s="13"/>
      <c r="G3877" s="13"/>
    </row>
    <row r="3878" spans="1:7" x14ac:dyDescent="0.3">
      <c r="A3878" s="13"/>
      <c r="B3878" s="13"/>
      <c r="E3878" s="13"/>
      <c r="F3878" s="13"/>
      <c r="G3878" s="13"/>
    </row>
    <row r="3879" spans="1:7" x14ac:dyDescent="0.3">
      <c r="A3879" s="13"/>
      <c r="B3879" s="13"/>
      <c r="E3879" s="13"/>
      <c r="F3879" s="13"/>
      <c r="G3879" s="13"/>
    </row>
    <row r="3880" spans="1:7" x14ac:dyDescent="0.3">
      <c r="A3880" s="13"/>
      <c r="B3880" s="13"/>
      <c r="E3880" s="13"/>
      <c r="F3880" s="13"/>
      <c r="G3880" s="13"/>
    </row>
    <row r="3881" spans="1:7" x14ac:dyDescent="0.3">
      <c r="A3881" s="13"/>
      <c r="B3881" s="13"/>
      <c r="E3881" s="13"/>
      <c r="F3881" s="13"/>
      <c r="G3881" s="13"/>
    </row>
    <row r="3882" spans="1:7" x14ac:dyDescent="0.3">
      <c r="A3882" s="13"/>
      <c r="B3882" s="13"/>
      <c r="E3882" s="13"/>
      <c r="F3882" s="13"/>
      <c r="G3882" s="13"/>
    </row>
    <row r="3883" spans="1:7" x14ac:dyDescent="0.3">
      <c r="A3883" s="13"/>
      <c r="B3883" s="13"/>
      <c r="E3883" s="13"/>
      <c r="F3883" s="13"/>
      <c r="G3883" s="13"/>
    </row>
    <row r="3884" spans="1:7" x14ac:dyDescent="0.3">
      <c r="A3884" s="13"/>
      <c r="B3884" s="13"/>
      <c r="E3884" s="13"/>
      <c r="F3884" s="13"/>
      <c r="G3884" s="13"/>
    </row>
    <row r="3885" spans="1:7" x14ac:dyDescent="0.3">
      <c r="A3885" s="13"/>
      <c r="B3885" s="13"/>
      <c r="E3885" s="13"/>
      <c r="F3885" s="13"/>
      <c r="G3885" s="13"/>
    </row>
    <row r="3886" spans="1:7" x14ac:dyDescent="0.3">
      <c r="A3886" s="13"/>
      <c r="B3886" s="13"/>
      <c r="E3886" s="13"/>
      <c r="F3886" s="13"/>
      <c r="G3886" s="13"/>
    </row>
    <row r="3887" spans="1:7" x14ac:dyDescent="0.3">
      <c r="A3887" s="13"/>
      <c r="B3887" s="13"/>
      <c r="E3887" s="13"/>
      <c r="F3887" s="13"/>
      <c r="G3887" s="13"/>
    </row>
    <row r="3888" spans="1:7" x14ac:dyDescent="0.3">
      <c r="A3888" s="13"/>
      <c r="B3888" s="13"/>
      <c r="E3888" s="13"/>
      <c r="F3888" s="13"/>
      <c r="G3888" s="13"/>
    </row>
    <row r="3889" spans="1:7" x14ac:dyDescent="0.3">
      <c r="A3889" s="13"/>
      <c r="B3889" s="13"/>
      <c r="E3889" s="13"/>
      <c r="F3889" s="13"/>
      <c r="G3889" s="13"/>
    </row>
    <row r="3890" spans="1:7" x14ac:dyDescent="0.3">
      <c r="A3890" s="13"/>
      <c r="B3890" s="13"/>
      <c r="E3890" s="13"/>
      <c r="F3890" s="13"/>
      <c r="G3890" s="13"/>
    </row>
    <row r="3891" spans="1:7" x14ac:dyDescent="0.3">
      <c r="A3891" s="13"/>
      <c r="B3891" s="13"/>
      <c r="E3891" s="13"/>
      <c r="F3891" s="13"/>
      <c r="G3891" s="13"/>
    </row>
    <row r="3892" spans="1:7" x14ac:dyDescent="0.3">
      <c r="A3892" s="13"/>
      <c r="B3892" s="13"/>
      <c r="E3892" s="13"/>
      <c r="F3892" s="13"/>
      <c r="G3892" s="13"/>
    </row>
    <row r="3893" spans="1:7" x14ac:dyDescent="0.3">
      <c r="A3893" s="13"/>
      <c r="B3893" s="13"/>
      <c r="E3893" s="13"/>
      <c r="F3893" s="13"/>
      <c r="G3893" s="13"/>
    </row>
    <row r="3894" spans="1:7" x14ac:dyDescent="0.3">
      <c r="A3894" s="13"/>
      <c r="B3894" s="13"/>
      <c r="E3894" s="13"/>
      <c r="F3894" s="13"/>
      <c r="G3894" s="13"/>
    </row>
    <row r="3895" spans="1:7" x14ac:dyDescent="0.3">
      <c r="A3895" s="13"/>
      <c r="B3895" s="13"/>
      <c r="E3895" s="13"/>
      <c r="F3895" s="13"/>
      <c r="G3895" s="13"/>
    </row>
    <row r="3896" spans="1:7" x14ac:dyDescent="0.3">
      <c r="A3896" s="13"/>
      <c r="B3896" s="13"/>
      <c r="E3896" s="13"/>
      <c r="F3896" s="13"/>
      <c r="G3896" s="13"/>
    </row>
    <row r="3897" spans="1:7" x14ac:dyDescent="0.3">
      <c r="A3897" s="13"/>
      <c r="B3897" s="13"/>
      <c r="E3897" s="13"/>
      <c r="F3897" s="13"/>
      <c r="G3897" s="13"/>
    </row>
    <row r="3898" spans="1:7" x14ac:dyDescent="0.3">
      <c r="A3898" s="13"/>
      <c r="B3898" s="13"/>
      <c r="E3898" s="13"/>
      <c r="F3898" s="13"/>
      <c r="G3898" s="13"/>
    </row>
    <row r="3899" spans="1:7" x14ac:dyDescent="0.3">
      <c r="A3899" s="13"/>
      <c r="B3899" s="13"/>
      <c r="E3899" s="13"/>
      <c r="F3899" s="13"/>
      <c r="G3899" s="13"/>
    </row>
    <row r="3900" spans="1:7" x14ac:dyDescent="0.3">
      <c r="A3900" s="13"/>
      <c r="B3900" s="13"/>
      <c r="E3900" s="13"/>
      <c r="F3900" s="13"/>
      <c r="G3900" s="13"/>
    </row>
    <row r="3901" spans="1:7" x14ac:dyDescent="0.3">
      <c r="A3901" s="13"/>
      <c r="B3901" s="13"/>
      <c r="E3901" s="13"/>
      <c r="F3901" s="13"/>
      <c r="G3901" s="13"/>
    </row>
    <row r="3902" spans="1:7" x14ac:dyDescent="0.3">
      <c r="A3902" s="13"/>
      <c r="B3902" s="13"/>
      <c r="E3902" s="13"/>
      <c r="F3902" s="13"/>
      <c r="G3902" s="13"/>
    </row>
    <row r="3903" spans="1:7" x14ac:dyDescent="0.3">
      <c r="A3903" s="13"/>
      <c r="B3903" s="13"/>
      <c r="E3903" s="13"/>
      <c r="F3903" s="13"/>
      <c r="G3903" s="13"/>
    </row>
    <row r="3904" spans="1:7" x14ac:dyDescent="0.3">
      <c r="A3904" s="13"/>
      <c r="B3904" s="13"/>
      <c r="E3904" s="13"/>
      <c r="F3904" s="13"/>
      <c r="G3904" s="13"/>
    </row>
    <row r="3905" spans="1:7" x14ac:dyDescent="0.3">
      <c r="A3905" s="13"/>
      <c r="B3905" s="13"/>
      <c r="E3905" s="13"/>
      <c r="F3905" s="13"/>
      <c r="G3905" s="13"/>
    </row>
    <row r="3906" spans="1:7" x14ac:dyDescent="0.3">
      <c r="A3906" s="13"/>
      <c r="B3906" s="13"/>
      <c r="E3906" s="13"/>
      <c r="F3906" s="13"/>
      <c r="G3906" s="13"/>
    </row>
    <row r="3907" spans="1:7" x14ac:dyDescent="0.3">
      <c r="A3907" s="13"/>
      <c r="B3907" s="13"/>
      <c r="E3907" s="13"/>
      <c r="F3907" s="13"/>
      <c r="G3907" s="13"/>
    </row>
    <row r="3908" spans="1:7" x14ac:dyDescent="0.3">
      <c r="A3908" s="13"/>
      <c r="B3908" s="13"/>
      <c r="E3908" s="13"/>
      <c r="F3908" s="13"/>
      <c r="G3908" s="13"/>
    </row>
    <row r="3909" spans="1:7" x14ac:dyDescent="0.3">
      <c r="A3909" s="13"/>
      <c r="B3909" s="13"/>
      <c r="E3909" s="13"/>
      <c r="F3909" s="13"/>
      <c r="G3909" s="13"/>
    </row>
    <row r="3910" spans="1:7" x14ac:dyDescent="0.3">
      <c r="A3910" s="13"/>
      <c r="B3910" s="13"/>
      <c r="E3910" s="13"/>
      <c r="F3910" s="13"/>
      <c r="G3910" s="13"/>
    </row>
    <row r="3911" spans="1:7" x14ac:dyDescent="0.3">
      <c r="A3911" s="13"/>
      <c r="B3911" s="13"/>
      <c r="E3911" s="13"/>
      <c r="F3911" s="13"/>
      <c r="G3911" s="13"/>
    </row>
    <row r="3912" spans="1:7" x14ac:dyDescent="0.3">
      <c r="A3912" s="13"/>
      <c r="B3912" s="13"/>
      <c r="E3912" s="13"/>
      <c r="F3912" s="13"/>
      <c r="G3912" s="13"/>
    </row>
    <row r="3913" spans="1:7" x14ac:dyDescent="0.3">
      <c r="A3913" s="13"/>
      <c r="B3913" s="13"/>
      <c r="E3913" s="13"/>
      <c r="F3913" s="13"/>
      <c r="G3913" s="13"/>
    </row>
    <row r="3914" spans="1:7" x14ac:dyDescent="0.3">
      <c r="A3914" s="13"/>
      <c r="B3914" s="13"/>
      <c r="E3914" s="13"/>
      <c r="F3914" s="13"/>
      <c r="G3914" s="13"/>
    </row>
    <row r="3915" spans="1:7" x14ac:dyDescent="0.3">
      <c r="A3915" s="13"/>
      <c r="B3915" s="13"/>
      <c r="E3915" s="13"/>
      <c r="F3915" s="13"/>
      <c r="G3915" s="13"/>
    </row>
    <row r="3916" spans="1:7" x14ac:dyDescent="0.3">
      <c r="A3916" s="13"/>
      <c r="B3916" s="13"/>
      <c r="E3916" s="13"/>
      <c r="F3916" s="13"/>
      <c r="G3916" s="13"/>
    </row>
    <row r="3917" spans="1:7" x14ac:dyDescent="0.3">
      <c r="A3917" s="13"/>
      <c r="B3917" s="13"/>
      <c r="E3917" s="13"/>
      <c r="F3917" s="13"/>
      <c r="G3917" s="13"/>
    </row>
    <row r="3918" spans="1:7" x14ac:dyDescent="0.3">
      <c r="A3918" s="13"/>
      <c r="B3918" s="13"/>
      <c r="E3918" s="13"/>
      <c r="F3918" s="13"/>
      <c r="G3918" s="13"/>
    </row>
    <row r="3919" spans="1:7" x14ac:dyDescent="0.3">
      <c r="A3919" s="13"/>
      <c r="B3919" s="13"/>
      <c r="E3919" s="13"/>
      <c r="F3919" s="13"/>
      <c r="G3919" s="13"/>
    </row>
    <row r="3920" spans="1:7" x14ac:dyDescent="0.3">
      <c r="A3920" s="13"/>
      <c r="B3920" s="13"/>
      <c r="E3920" s="13"/>
      <c r="F3920" s="13"/>
      <c r="G3920" s="13"/>
    </row>
    <row r="3921" spans="1:7" x14ac:dyDescent="0.3">
      <c r="A3921" s="13"/>
      <c r="B3921" s="13"/>
      <c r="E3921" s="13"/>
      <c r="F3921" s="13"/>
      <c r="G3921" s="13"/>
    </row>
    <row r="3922" spans="1:7" x14ac:dyDescent="0.3">
      <c r="A3922" s="13"/>
      <c r="B3922" s="13"/>
      <c r="E3922" s="13"/>
      <c r="F3922" s="13"/>
      <c r="G3922" s="13"/>
    </row>
    <row r="3923" spans="1:7" x14ac:dyDescent="0.3">
      <c r="A3923" s="13"/>
      <c r="B3923" s="13"/>
      <c r="E3923" s="13"/>
      <c r="F3923" s="13"/>
      <c r="G3923" s="13"/>
    </row>
    <row r="3924" spans="1:7" x14ac:dyDescent="0.3">
      <c r="A3924" s="13"/>
      <c r="B3924" s="13"/>
      <c r="E3924" s="13"/>
      <c r="F3924" s="13"/>
      <c r="G3924" s="13"/>
    </row>
    <row r="3925" spans="1:7" x14ac:dyDescent="0.3">
      <c r="A3925" s="13"/>
      <c r="B3925" s="13"/>
      <c r="E3925" s="13"/>
      <c r="F3925" s="13"/>
      <c r="G3925" s="13"/>
    </row>
    <row r="3926" spans="1:7" x14ac:dyDescent="0.3">
      <c r="A3926" s="13"/>
      <c r="B3926" s="13"/>
      <c r="E3926" s="13"/>
      <c r="F3926" s="13"/>
      <c r="G3926" s="13"/>
    </row>
    <row r="3927" spans="1:7" x14ac:dyDescent="0.3">
      <c r="A3927" s="13"/>
      <c r="B3927" s="13"/>
      <c r="E3927" s="13"/>
      <c r="F3927" s="13"/>
      <c r="G3927" s="13"/>
    </row>
    <row r="3928" spans="1:7" x14ac:dyDescent="0.3">
      <c r="A3928" s="13"/>
      <c r="B3928" s="13"/>
      <c r="E3928" s="13"/>
      <c r="F3928" s="13"/>
      <c r="G3928" s="13"/>
    </row>
    <row r="3929" spans="1:7" x14ac:dyDescent="0.3">
      <c r="A3929" s="13"/>
      <c r="B3929" s="13"/>
      <c r="E3929" s="13"/>
      <c r="F3929" s="13"/>
      <c r="G3929" s="13"/>
    </row>
    <row r="3930" spans="1:7" x14ac:dyDescent="0.3">
      <c r="A3930" s="13"/>
      <c r="B3930" s="13"/>
      <c r="E3930" s="13"/>
      <c r="F3930" s="13"/>
      <c r="G3930" s="13"/>
    </row>
    <row r="3931" spans="1:7" x14ac:dyDescent="0.3">
      <c r="A3931" s="13"/>
      <c r="B3931" s="13"/>
      <c r="E3931" s="13"/>
      <c r="F3931" s="13"/>
      <c r="G3931" s="13"/>
    </row>
    <row r="3932" spans="1:7" x14ac:dyDescent="0.3">
      <c r="A3932" s="13"/>
      <c r="B3932" s="13"/>
      <c r="E3932" s="13"/>
      <c r="F3932" s="13"/>
      <c r="G3932" s="13"/>
    </row>
    <row r="3933" spans="1:7" x14ac:dyDescent="0.3">
      <c r="A3933" s="13"/>
      <c r="B3933" s="13"/>
      <c r="E3933" s="13"/>
      <c r="F3933" s="13"/>
      <c r="G3933" s="13"/>
    </row>
    <row r="3934" spans="1:7" x14ac:dyDescent="0.3">
      <c r="A3934" s="13"/>
      <c r="B3934" s="13"/>
      <c r="E3934" s="13"/>
      <c r="F3934" s="13"/>
      <c r="G3934" s="13"/>
    </row>
    <row r="3935" spans="1:7" x14ac:dyDescent="0.3">
      <c r="A3935" s="13"/>
      <c r="B3935" s="13"/>
      <c r="E3935" s="13"/>
      <c r="F3935" s="13"/>
      <c r="G3935" s="13"/>
    </row>
    <row r="3936" spans="1:7" x14ac:dyDescent="0.3">
      <c r="A3936" s="13"/>
      <c r="B3936" s="13"/>
      <c r="E3936" s="13"/>
      <c r="F3936" s="13"/>
      <c r="G3936" s="13"/>
    </row>
    <row r="3937" spans="1:7" x14ac:dyDescent="0.3">
      <c r="A3937" s="13"/>
      <c r="B3937" s="13"/>
      <c r="E3937" s="13"/>
      <c r="F3937" s="13"/>
      <c r="G3937" s="13"/>
    </row>
    <row r="3938" spans="1:7" x14ac:dyDescent="0.3">
      <c r="A3938" s="13"/>
      <c r="B3938" s="13"/>
      <c r="E3938" s="13"/>
      <c r="F3938" s="13"/>
      <c r="G3938" s="13"/>
    </row>
    <row r="3939" spans="1:7" x14ac:dyDescent="0.3">
      <c r="A3939" s="13"/>
      <c r="B3939" s="13"/>
      <c r="E3939" s="13"/>
      <c r="F3939" s="13"/>
      <c r="G3939" s="13"/>
    </row>
    <row r="3940" spans="1:7" x14ac:dyDescent="0.3">
      <c r="A3940" s="13"/>
      <c r="B3940" s="13"/>
      <c r="E3940" s="13"/>
      <c r="F3940" s="13"/>
      <c r="G3940" s="13"/>
    </row>
    <row r="3941" spans="1:7" x14ac:dyDescent="0.3">
      <c r="A3941" s="13"/>
      <c r="B3941" s="13"/>
      <c r="E3941" s="13"/>
      <c r="F3941" s="13"/>
      <c r="G3941" s="13"/>
    </row>
    <row r="3942" spans="1:7" x14ac:dyDescent="0.3">
      <c r="A3942" s="13"/>
      <c r="B3942" s="13"/>
      <c r="E3942" s="13"/>
      <c r="F3942" s="13"/>
      <c r="G3942" s="13"/>
    </row>
    <row r="3943" spans="1:7" x14ac:dyDescent="0.3">
      <c r="A3943" s="13"/>
      <c r="B3943" s="13"/>
      <c r="E3943" s="13"/>
      <c r="F3943" s="13"/>
      <c r="G3943" s="13"/>
    </row>
    <row r="3944" spans="1:7" x14ac:dyDescent="0.3">
      <c r="A3944" s="13"/>
      <c r="B3944" s="13"/>
      <c r="E3944" s="13"/>
      <c r="F3944" s="13"/>
      <c r="G3944" s="13"/>
    </row>
    <row r="3945" spans="1:7" x14ac:dyDescent="0.3">
      <c r="A3945" s="13"/>
      <c r="B3945" s="13"/>
      <c r="E3945" s="13"/>
      <c r="F3945" s="13"/>
      <c r="G3945" s="13"/>
    </row>
    <row r="3946" spans="1:7" x14ac:dyDescent="0.3">
      <c r="A3946" s="13"/>
      <c r="B3946" s="13"/>
      <c r="E3946" s="13"/>
      <c r="F3946" s="13"/>
      <c r="G3946" s="13"/>
    </row>
    <row r="3947" spans="1:7" x14ac:dyDescent="0.3">
      <c r="A3947" s="13"/>
      <c r="B3947" s="13"/>
      <c r="E3947" s="13"/>
      <c r="F3947" s="13"/>
      <c r="G3947" s="13"/>
    </row>
    <row r="3948" spans="1:7" x14ac:dyDescent="0.3">
      <c r="A3948" s="13"/>
      <c r="B3948" s="13"/>
      <c r="E3948" s="13"/>
      <c r="F3948" s="13"/>
      <c r="G3948" s="13"/>
    </row>
    <row r="3949" spans="1:7" x14ac:dyDescent="0.3">
      <c r="A3949" s="13"/>
      <c r="B3949" s="13"/>
      <c r="E3949" s="13"/>
      <c r="F3949" s="13"/>
      <c r="G3949" s="13"/>
    </row>
    <row r="3950" spans="1:7" x14ac:dyDescent="0.3">
      <c r="A3950" s="13"/>
      <c r="B3950" s="13"/>
      <c r="E3950" s="13"/>
      <c r="F3950" s="13"/>
      <c r="G3950" s="13"/>
    </row>
    <row r="3951" spans="1:7" x14ac:dyDescent="0.3">
      <c r="A3951" s="13"/>
      <c r="B3951" s="13"/>
      <c r="E3951" s="13"/>
      <c r="F3951" s="13"/>
      <c r="G3951" s="13"/>
    </row>
    <row r="3952" spans="1:7" x14ac:dyDescent="0.3">
      <c r="A3952" s="13"/>
      <c r="B3952" s="13"/>
      <c r="E3952" s="13"/>
      <c r="F3952" s="13"/>
      <c r="G3952" s="13"/>
    </row>
    <row r="3953" spans="1:7" x14ac:dyDescent="0.3">
      <c r="A3953" s="13"/>
      <c r="B3953" s="13"/>
      <c r="E3953" s="13"/>
      <c r="F3953" s="13"/>
      <c r="G3953" s="13"/>
    </row>
    <row r="3954" spans="1:7" x14ac:dyDescent="0.3">
      <c r="A3954" s="13"/>
      <c r="B3954" s="13"/>
      <c r="E3954" s="13"/>
      <c r="F3954" s="13"/>
      <c r="G3954" s="13"/>
    </row>
    <row r="3955" spans="1:7" x14ac:dyDescent="0.3">
      <c r="A3955" s="13"/>
      <c r="B3955" s="13"/>
      <c r="E3955" s="13"/>
      <c r="F3955" s="13"/>
      <c r="G3955" s="13"/>
    </row>
    <row r="3956" spans="1:7" x14ac:dyDescent="0.3">
      <c r="A3956" s="13"/>
      <c r="B3956" s="13"/>
      <c r="E3956" s="13"/>
      <c r="F3956" s="13"/>
      <c r="G3956" s="13"/>
    </row>
    <row r="3957" spans="1:7" x14ac:dyDescent="0.3">
      <c r="A3957" s="13"/>
      <c r="B3957" s="13"/>
      <c r="E3957" s="13"/>
      <c r="F3957" s="13"/>
      <c r="G3957" s="13"/>
    </row>
    <row r="3958" spans="1:7" x14ac:dyDescent="0.3">
      <c r="A3958" s="13"/>
      <c r="B3958" s="13"/>
      <c r="E3958" s="13"/>
      <c r="F3958" s="13"/>
      <c r="G3958" s="13"/>
    </row>
    <row r="3959" spans="1:7" x14ac:dyDescent="0.3">
      <c r="A3959" s="13"/>
      <c r="B3959" s="13"/>
      <c r="E3959" s="13"/>
      <c r="F3959" s="13"/>
      <c r="G3959" s="13"/>
    </row>
    <row r="3960" spans="1:7" x14ac:dyDescent="0.3">
      <c r="A3960" s="13"/>
      <c r="B3960" s="13"/>
      <c r="E3960" s="13"/>
      <c r="F3960" s="13"/>
      <c r="G3960" s="13"/>
    </row>
    <row r="3961" spans="1:7" x14ac:dyDescent="0.3">
      <c r="A3961" s="13"/>
      <c r="B3961" s="13"/>
      <c r="E3961" s="13"/>
      <c r="F3961" s="13"/>
      <c r="G3961" s="13"/>
    </row>
    <row r="3962" spans="1:7" x14ac:dyDescent="0.3">
      <c r="A3962" s="13"/>
      <c r="B3962" s="13"/>
      <c r="E3962" s="13"/>
      <c r="F3962" s="13"/>
      <c r="G3962" s="13"/>
    </row>
    <row r="3963" spans="1:7" x14ac:dyDescent="0.3">
      <c r="A3963" s="13"/>
      <c r="B3963" s="13"/>
      <c r="E3963" s="13"/>
      <c r="F3963" s="13"/>
      <c r="G3963" s="13"/>
    </row>
    <row r="3964" spans="1:7" x14ac:dyDescent="0.3">
      <c r="A3964" s="13"/>
      <c r="B3964" s="13"/>
      <c r="E3964" s="13"/>
      <c r="F3964" s="13"/>
      <c r="G3964" s="13"/>
    </row>
    <row r="3965" spans="1:7" x14ac:dyDescent="0.3">
      <c r="A3965" s="13"/>
      <c r="B3965" s="13"/>
      <c r="E3965" s="13"/>
      <c r="F3965" s="13"/>
      <c r="G3965" s="13"/>
    </row>
    <row r="3966" spans="1:7" x14ac:dyDescent="0.3">
      <c r="A3966" s="13"/>
      <c r="B3966" s="13"/>
      <c r="E3966" s="13"/>
      <c r="F3966" s="13"/>
      <c r="G3966" s="13"/>
    </row>
    <row r="3967" spans="1:7" x14ac:dyDescent="0.3">
      <c r="A3967" s="13"/>
      <c r="B3967" s="13"/>
      <c r="E3967" s="13"/>
      <c r="F3967" s="13"/>
      <c r="G3967" s="13"/>
    </row>
    <row r="3968" spans="1:7" x14ac:dyDescent="0.3">
      <c r="A3968" s="13"/>
      <c r="B3968" s="13"/>
      <c r="E3968" s="13"/>
      <c r="F3968" s="13"/>
      <c r="G3968" s="13"/>
    </row>
    <row r="3969" spans="1:7" x14ac:dyDescent="0.3">
      <c r="A3969" s="13"/>
      <c r="B3969" s="13"/>
      <c r="E3969" s="13"/>
      <c r="F3969" s="13"/>
      <c r="G3969" s="13"/>
    </row>
    <row r="3970" spans="1:7" x14ac:dyDescent="0.3">
      <c r="A3970" s="13"/>
      <c r="B3970" s="13"/>
      <c r="E3970" s="13"/>
      <c r="F3970" s="13"/>
      <c r="G3970" s="13"/>
    </row>
    <row r="3971" spans="1:7" x14ac:dyDescent="0.3">
      <c r="A3971" s="13"/>
      <c r="B3971" s="13"/>
      <c r="E3971" s="13"/>
      <c r="F3971" s="13"/>
      <c r="G3971" s="13"/>
    </row>
    <row r="3972" spans="1:7" x14ac:dyDescent="0.3">
      <c r="A3972" s="13"/>
      <c r="B3972" s="13"/>
      <c r="E3972" s="13"/>
      <c r="F3972" s="13"/>
      <c r="G3972" s="13"/>
    </row>
    <row r="3973" spans="1:7" x14ac:dyDescent="0.3">
      <c r="A3973" s="13"/>
      <c r="B3973" s="13"/>
      <c r="E3973" s="13"/>
      <c r="F3973" s="13"/>
      <c r="G3973" s="13"/>
    </row>
    <row r="3974" spans="1:7" x14ac:dyDescent="0.3">
      <c r="A3974" s="13"/>
      <c r="B3974" s="13"/>
      <c r="E3974" s="13"/>
      <c r="F3974" s="13"/>
      <c r="G3974" s="13"/>
    </row>
    <row r="3975" spans="1:7" x14ac:dyDescent="0.3">
      <c r="A3975" s="13"/>
      <c r="B3975" s="13"/>
      <c r="E3975" s="13"/>
      <c r="F3975" s="13"/>
      <c r="G3975" s="13"/>
    </row>
    <row r="3976" spans="1:7" x14ac:dyDescent="0.3">
      <c r="A3976" s="13"/>
      <c r="B3976" s="13"/>
      <c r="E3976" s="13"/>
      <c r="F3976" s="13"/>
      <c r="G3976" s="13"/>
    </row>
    <row r="3977" spans="1:7" x14ac:dyDescent="0.3">
      <c r="A3977" s="13"/>
      <c r="B3977" s="13"/>
      <c r="E3977" s="13"/>
      <c r="F3977" s="13"/>
      <c r="G3977" s="13"/>
    </row>
    <row r="3978" spans="1:7" x14ac:dyDescent="0.3">
      <c r="A3978" s="13"/>
      <c r="B3978" s="13"/>
      <c r="E3978" s="13"/>
      <c r="F3978" s="13"/>
      <c r="G3978" s="13"/>
    </row>
    <row r="3979" spans="1:7" x14ac:dyDescent="0.3">
      <c r="A3979" s="13"/>
      <c r="B3979" s="13"/>
      <c r="E3979" s="13"/>
      <c r="F3979" s="13"/>
      <c r="G3979" s="13"/>
    </row>
    <row r="3980" spans="1:7" x14ac:dyDescent="0.3">
      <c r="A3980" s="13"/>
      <c r="B3980" s="13"/>
      <c r="E3980" s="13"/>
      <c r="F3980" s="13"/>
      <c r="G3980" s="13"/>
    </row>
    <row r="3981" spans="1:7" x14ac:dyDescent="0.3">
      <c r="A3981" s="13"/>
      <c r="B3981" s="13"/>
      <c r="E3981" s="13"/>
      <c r="F3981" s="13"/>
      <c r="G3981" s="13"/>
    </row>
    <row r="3982" spans="1:7" x14ac:dyDescent="0.3">
      <c r="A3982" s="13"/>
      <c r="B3982" s="13"/>
      <c r="E3982" s="13"/>
      <c r="F3982" s="13"/>
      <c r="G3982" s="13"/>
    </row>
    <row r="3983" spans="1:7" x14ac:dyDescent="0.3">
      <c r="A3983" s="13"/>
      <c r="B3983" s="13"/>
      <c r="E3983" s="13"/>
      <c r="F3983" s="13"/>
      <c r="G3983" s="13"/>
    </row>
    <row r="3984" spans="1:7" x14ac:dyDescent="0.3">
      <c r="A3984" s="13"/>
      <c r="B3984" s="13"/>
      <c r="E3984" s="13"/>
      <c r="F3984" s="13"/>
      <c r="G3984" s="13"/>
    </row>
    <row r="3985" spans="1:7" x14ac:dyDescent="0.3">
      <c r="A3985" s="13"/>
      <c r="B3985" s="13"/>
      <c r="E3985" s="13"/>
      <c r="F3985" s="13"/>
      <c r="G3985" s="13"/>
    </row>
    <row r="3986" spans="1:7" x14ac:dyDescent="0.3">
      <c r="A3986" s="13"/>
      <c r="B3986" s="13"/>
      <c r="E3986" s="13"/>
      <c r="F3986" s="13"/>
      <c r="G3986" s="13"/>
    </row>
    <row r="3987" spans="1:7" x14ac:dyDescent="0.3">
      <c r="A3987" s="13"/>
      <c r="B3987" s="13"/>
      <c r="E3987" s="13"/>
      <c r="F3987" s="13"/>
      <c r="G3987" s="13"/>
    </row>
    <row r="3988" spans="1:7" x14ac:dyDescent="0.3">
      <c r="A3988" s="13"/>
      <c r="B3988" s="13"/>
      <c r="E3988" s="13"/>
      <c r="F3988" s="13"/>
      <c r="G3988" s="13"/>
    </row>
    <row r="3989" spans="1:7" x14ac:dyDescent="0.3">
      <c r="A3989" s="13"/>
      <c r="B3989" s="13"/>
      <c r="E3989" s="13"/>
      <c r="F3989" s="13"/>
      <c r="G3989" s="13"/>
    </row>
    <row r="3990" spans="1:7" x14ac:dyDescent="0.3">
      <c r="A3990" s="13"/>
      <c r="B3990" s="13"/>
      <c r="E3990" s="13"/>
      <c r="F3990" s="13"/>
      <c r="G3990" s="13"/>
    </row>
    <row r="3991" spans="1:7" x14ac:dyDescent="0.3">
      <c r="A3991" s="13"/>
      <c r="B3991" s="13"/>
      <c r="E3991" s="13"/>
      <c r="F3991" s="13"/>
      <c r="G3991" s="13"/>
    </row>
    <row r="3992" spans="1:7" x14ac:dyDescent="0.3">
      <c r="A3992" s="13"/>
      <c r="B3992" s="13"/>
      <c r="E3992" s="13"/>
      <c r="F3992" s="13"/>
      <c r="G3992" s="13"/>
    </row>
    <row r="3993" spans="1:7" x14ac:dyDescent="0.3">
      <c r="A3993" s="13"/>
      <c r="B3993" s="13"/>
      <c r="E3993" s="13"/>
      <c r="F3993" s="13"/>
      <c r="G3993" s="13"/>
    </row>
    <row r="3994" spans="1:7" x14ac:dyDescent="0.3">
      <c r="A3994" s="13"/>
      <c r="B3994" s="13"/>
      <c r="E3994" s="13"/>
      <c r="F3994" s="13"/>
      <c r="G3994" s="13"/>
    </row>
    <row r="3995" spans="1:7" x14ac:dyDescent="0.3">
      <c r="A3995" s="13"/>
      <c r="B3995" s="13"/>
      <c r="E3995" s="13"/>
      <c r="F3995" s="13"/>
      <c r="G3995" s="13"/>
    </row>
    <row r="3996" spans="1:7" x14ac:dyDescent="0.3">
      <c r="A3996" s="13"/>
      <c r="B3996" s="13"/>
      <c r="E3996" s="13"/>
      <c r="F3996" s="13"/>
      <c r="G3996" s="13"/>
    </row>
    <row r="3997" spans="1:7" x14ac:dyDescent="0.3">
      <c r="A3997" s="13"/>
      <c r="B3997" s="13"/>
      <c r="E3997" s="13"/>
      <c r="F3997" s="13"/>
      <c r="G3997" s="13"/>
    </row>
    <row r="3998" spans="1:7" x14ac:dyDescent="0.3">
      <c r="A3998" s="13"/>
      <c r="B3998" s="13"/>
      <c r="E3998" s="13"/>
      <c r="F3998" s="13"/>
      <c r="G3998" s="13"/>
    </row>
    <row r="3999" spans="1:7" x14ac:dyDescent="0.3">
      <c r="A3999" s="13"/>
      <c r="B3999" s="13"/>
      <c r="E3999" s="13"/>
      <c r="F3999" s="13"/>
      <c r="G3999" s="13"/>
    </row>
    <row r="4000" spans="1:7" x14ac:dyDescent="0.3">
      <c r="A4000" s="13"/>
      <c r="B4000" s="13"/>
      <c r="E4000" s="13"/>
      <c r="F4000" s="13"/>
      <c r="G4000" s="13"/>
    </row>
    <row r="4001" spans="1:7" x14ac:dyDescent="0.3">
      <c r="A4001" s="13"/>
      <c r="B4001" s="13"/>
      <c r="E4001" s="13"/>
      <c r="F4001" s="13"/>
      <c r="G4001" s="13"/>
    </row>
    <row r="4002" spans="1:7" x14ac:dyDescent="0.3">
      <c r="A4002" s="13"/>
      <c r="B4002" s="13"/>
      <c r="E4002" s="13"/>
      <c r="F4002" s="13"/>
      <c r="G4002" s="13"/>
    </row>
    <row r="4003" spans="1:7" x14ac:dyDescent="0.3">
      <c r="A4003" s="13"/>
      <c r="B4003" s="13"/>
      <c r="E4003" s="13"/>
      <c r="F4003" s="13"/>
      <c r="G4003" s="13"/>
    </row>
    <row r="4004" spans="1:7" x14ac:dyDescent="0.3">
      <c r="A4004" s="13"/>
      <c r="B4004" s="13"/>
      <c r="E4004" s="13"/>
      <c r="F4004" s="13"/>
      <c r="G4004" s="13"/>
    </row>
    <row r="4005" spans="1:7" x14ac:dyDescent="0.3">
      <c r="A4005" s="13"/>
      <c r="B4005" s="13"/>
      <c r="E4005" s="13"/>
      <c r="F4005" s="13"/>
      <c r="G4005" s="13"/>
    </row>
    <row r="4006" spans="1:7" x14ac:dyDescent="0.3">
      <c r="A4006" s="13"/>
      <c r="B4006" s="13"/>
      <c r="E4006" s="13"/>
      <c r="F4006" s="13"/>
      <c r="G4006" s="13"/>
    </row>
    <row r="4007" spans="1:7" x14ac:dyDescent="0.3">
      <c r="A4007" s="13"/>
      <c r="B4007" s="13"/>
      <c r="E4007" s="13"/>
      <c r="F4007" s="13"/>
      <c r="G4007" s="13"/>
    </row>
    <row r="4008" spans="1:7" x14ac:dyDescent="0.3">
      <c r="A4008" s="13"/>
      <c r="B4008" s="13"/>
      <c r="E4008" s="13"/>
      <c r="F4008" s="13"/>
      <c r="G4008" s="13"/>
    </row>
    <row r="4009" spans="1:7" x14ac:dyDescent="0.3">
      <c r="A4009" s="13"/>
      <c r="B4009" s="13"/>
      <c r="E4009" s="13"/>
      <c r="F4009" s="13"/>
      <c r="G4009" s="13"/>
    </row>
    <row r="4010" spans="1:7" x14ac:dyDescent="0.3">
      <c r="A4010" s="13"/>
      <c r="B4010" s="13"/>
      <c r="E4010" s="13"/>
      <c r="F4010" s="13"/>
      <c r="G4010" s="13"/>
    </row>
    <row r="4011" spans="1:7" x14ac:dyDescent="0.3">
      <c r="A4011" s="13"/>
      <c r="B4011" s="13"/>
      <c r="E4011" s="13"/>
      <c r="F4011" s="13"/>
      <c r="G4011" s="13"/>
    </row>
    <row r="4012" spans="1:7" x14ac:dyDescent="0.3">
      <c r="A4012" s="13"/>
      <c r="B4012" s="13"/>
      <c r="E4012" s="13"/>
      <c r="F4012" s="13"/>
      <c r="G4012" s="13"/>
    </row>
    <row r="4013" spans="1:7" x14ac:dyDescent="0.3">
      <c r="A4013" s="13"/>
      <c r="B4013" s="13"/>
      <c r="E4013" s="13"/>
      <c r="F4013" s="13"/>
      <c r="G4013" s="13"/>
    </row>
    <row r="4014" spans="1:7" x14ac:dyDescent="0.3">
      <c r="A4014" s="13"/>
      <c r="B4014" s="13"/>
      <c r="E4014" s="13"/>
      <c r="F4014" s="13"/>
      <c r="G4014" s="13"/>
    </row>
    <row r="4015" spans="1:7" x14ac:dyDescent="0.3">
      <c r="A4015" s="13"/>
      <c r="B4015" s="13"/>
      <c r="E4015" s="13"/>
      <c r="F4015" s="13"/>
      <c r="G4015" s="13"/>
    </row>
    <row r="4016" spans="1:7" x14ac:dyDescent="0.3">
      <c r="A4016" s="13"/>
      <c r="B4016" s="13"/>
      <c r="E4016" s="13"/>
      <c r="F4016" s="13"/>
      <c r="G4016" s="13"/>
    </row>
    <row r="4017" spans="1:7" x14ac:dyDescent="0.3">
      <c r="A4017" s="13"/>
      <c r="B4017" s="13"/>
      <c r="E4017" s="13"/>
      <c r="F4017" s="13"/>
      <c r="G4017" s="13"/>
    </row>
    <row r="4018" spans="1:7" x14ac:dyDescent="0.3">
      <c r="A4018" s="13"/>
      <c r="B4018" s="13"/>
      <c r="E4018" s="13"/>
      <c r="F4018" s="13"/>
      <c r="G4018" s="13"/>
    </row>
    <row r="4019" spans="1:7" x14ac:dyDescent="0.3">
      <c r="A4019" s="13"/>
      <c r="B4019" s="13"/>
      <c r="E4019" s="13"/>
      <c r="F4019" s="13"/>
      <c r="G4019" s="13"/>
    </row>
    <row r="4020" spans="1:7" x14ac:dyDescent="0.3">
      <c r="A4020" s="13"/>
      <c r="B4020" s="13"/>
      <c r="E4020" s="13"/>
      <c r="F4020" s="13"/>
      <c r="G4020" s="13"/>
    </row>
    <row r="4021" spans="1:7" x14ac:dyDescent="0.3">
      <c r="A4021" s="13"/>
      <c r="B4021" s="13"/>
      <c r="E4021" s="13"/>
      <c r="F4021" s="13"/>
      <c r="G4021" s="13"/>
    </row>
    <row r="4022" spans="1:7" x14ac:dyDescent="0.3">
      <c r="A4022" s="13"/>
      <c r="B4022" s="13"/>
      <c r="E4022" s="13"/>
      <c r="F4022" s="13"/>
      <c r="G4022" s="13"/>
    </row>
    <row r="4023" spans="1:7" x14ac:dyDescent="0.3">
      <c r="A4023" s="13"/>
      <c r="B4023" s="13"/>
      <c r="E4023" s="13"/>
      <c r="F4023" s="13"/>
      <c r="G4023" s="13"/>
    </row>
    <row r="4024" spans="1:7" x14ac:dyDescent="0.3">
      <c r="A4024" s="13"/>
      <c r="B4024" s="13"/>
      <c r="E4024" s="13"/>
      <c r="F4024" s="13"/>
      <c r="G4024" s="13"/>
    </row>
    <row r="4025" spans="1:7" x14ac:dyDescent="0.3">
      <c r="A4025" s="13"/>
      <c r="B4025" s="13"/>
      <c r="E4025" s="13"/>
      <c r="F4025" s="13"/>
      <c r="G4025" s="13"/>
    </row>
    <row r="4026" spans="1:7" x14ac:dyDescent="0.3">
      <c r="A4026" s="13"/>
      <c r="B4026" s="13"/>
      <c r="E4026" s="13"/>
      <c r="F4026" s="13"/>
      <c r="G4026" s="13"/>
    </row>
    <row r="4027" spans="1:7" x14ac:dyDescent="0.3">
      <c r="A4027" s="13"/>
      <c r="B4027" s="13"/>
      <c r="E4027" s="13"/>
      <c r="F4027" s="13"/>
      <c r="G4027" s="13"/>
    </row>
    <row r="4028" spans="1:7" x14ac:dyDescent="0.3">
      <c r="A4028" s="13"/>
      <c r="B4028" s="13"/>
      <c r="E4028" s="13"/>
      <c r="F4028" s="13"/>
      <c r="G4028" s="13"/>
    </row>
    <row r="4029" spans="1:7" x14ac:dyDescent="0.3">
      <c r="A4029" s="13"/>
      <c r="B4029" s="13"/>
      <c r="E4029" s="13"/>
      <c r="F4029" s="13"/>
      <c r="G4029" s="13"/>
    </row>
    <row r="4030" spans="1:7" x14ac:dyDescent="0.3">
      <c r="A4030" s="13"/>
      <c r="B4030" s="13"/>
      <c r="E4030" s="13"/>
      <c r="F4030" s="13"/>
      <c r="G4030" s="13"/>
    </row>
    <row r="4031" spans="1:7" x14ac:dyDescent="0.3">
      <c r="A4031" s="13"/>
      <c r="B4031" s="13"/>
      <c r="E4031" s="13"/>
      <c r="F4031" s="13"/>
      <c r="G4031" s="13"/>
    </row>
    <row r="4032" spans="1:7" x14ac:dyDescent="0.3">
      <c r="A4032" s="13"/>
      <c r="B4032" s="13"/>
      <c r="E4032" s="13"/>
      <c r="F4032" s="13"/>
      <c r="G4032" s="13"/>
    </row>
    <row r="4033" spans="1:7" x14ac:dyDescent="0.3">
      <c r="A4033" s="13"/>
      <c r="B4033" s="13"/>
      <c r="E4033" s="13"/>
      <c r="F4033" s="13"/>
      <c r="G4033" s="13"/>
    </row>
    <row r="4034" spans="1:7" x14ac:dyDescent="0.3">
      <c r="A4034" s="13"/>
      <c r="B4034" s="13"/>
      <c r="E4034" s="13"/>
      <c r="F4034" s="13"/>
      <c r="G4034" s="13"/>
    </row>
    <row r="4035" spans="1:7" x14ac:dyDescent="0.3">
      <c r="A4035" s="13"/>
      <c r="B4035" s="13"/>
      <c r="E4035" s="13"/>
      <c r="F4035" s="13"/>
      <c r="G4035" s="13"/>
    </row>
    <row r="4036" spans="1:7" x14ac:dyDescent="0.3">
      <c r="A4036" s="13"/>
      <c r="B4036" s="13"/>
      <c r="E4036" s="13"/>
      <c r="F4036" s="13"/>
      <c r="G4036" s="13"/>
    </row>
    <row r="4037" spans="1:7" x14ac:dyDescent="0.3">
      <c r="A4037" s="13"/>
      <c r="B4037" s="13"/>
      <c r="E4037" s="13"/>
      <c r="F4037" s="13"/>
      <c r="G4037" s="13"/>
    </row>
    <row r="4038" spans="1:7" x14ac:dyDescent="0.3">
      <c r="A4038" s="13"/>
      <c r="B4038" s="13"/>
      <c r="E4038" s="13"/>
      <c r="F4038" s="13"/>
      <c r="G4038" s="13"/>
    </row>
    <row r="4039" spans="1:7" x14ac:dyDescent="0.3">
      <c r="A4039" s="13"/>
      <c r="B4039" s="13"/>
      <c r="E4039" s="13"/>
      <c r="F4039" s="13"/>
      <c r="G4039" s="13"/>
    </row>
    <row r="4040" spans="1:7" x14ac:dyDescent="0.3">
      <c r="A4040" s="13"/>
      <c r="B4040" s="13"/>
      <c r="E4040" s="13"/>
      <c r="F4040" s="13"/>
      <c r="G4040" s="13"/>
    </row>
    <row r="4041" spans="1:7" x14ac:dyDescent="0.3">
      <c r="A4041" s="13"/>
      <c r="B4041" s="13"/>
      <c r="E4041" s="13"/>
      <c r="F4041" s="13"/>
      <c r="G4041" s="13"/>
    </row>
    <row r="4042" spans="1:7" x14ac:dyDescent="0.3">
      <c r="A4042" s="13"/>
      <c r="B4042" s="13"/>
      <c r="E4042" s="13"/>
      <c r="F4042" s="13"/>
      <c r="G4042" s="13"/>
    </row>
    <row r="4043" spans="1:7" x14ac:dyDescent="0.3">
      <c r="A4043" s="13"/>
      <c r="B4043" s="13"/>
      <c r="E4043" s="13"/>
      <c r="F4043" s="13"/>
      <c r="G4043" s="13"/>
    </row>
    <row r="4044" spans="1:7" x14ac:dyDescent="0.3">
      <c r="A4044" s="13"/>
      <c r="B4044" s="13"/>
      <c r="E4044" s="13"/>
      <c r="F4044" s="13"/>
      <c r="G4044" s="13"/>
    </row>
    <row r="4045" spans="1:7" x14ac:dyDescent="0.3">
      <c r="A4045" s="13"/>
      <c r="B4045" s="13"/>
      <c r="E4045" s="13"/>
      <c r="F4045" s="13"/>
      <c r="G4045" s="13"/>
    </row>
    <row r="4046" spans="1:7" x14ac:dyDescent="0.3">
      <c r="A4046" s="13"/>
      <c r="B4046" s="13"/>
      <c r="E4046" s="13"/>
      <c r="F4046" s="13"/>
      <c r="G4046" s="13"/>
    </row>
    <row r="4047" spans="1:7" x14ac:dyDescent="0.3">
      <c r="A4047" s="13"/>
      <c r="B4047" s="13"/>
      <c r="E4047" s="13"/>
      <c r="F4047" s="13"/>
      <c r="G4047" s="13"/>
    </row>
    <row r="4048" spans="1:7" x14ac:dyDescent="0.3">
      <c r="A4048" s="13"/>
      <c r="B4048" s="13"/>
      <c r="E4048" s="13"/>
      <c r="F4048" s="13"/>
      <c r="G4048" s="13"/>
    </row>
    <row r="4049" spans="1:7" x14ac:dyDescent="0.3">
      <c r="A4049" s="13"/>
      <c r="B4049" s="13"/>
      <c r="E4049" s="13"/>
      <c r="F4049" s="13"/>
      <c r="G4049" s="13"/>
    </row>
    <row r="4050" spans="1:7" x14ac:dyDescent="0.3">
      <c r="A4050" s="13"/>
      <c r="B4050" s="13"/>
      <c r="E4050" s="13"/>
      <c r="F4050" s="13"/>
      <c r="G4050" s="13"/>
    </row>
    <row r="4051" spans="1:7" x14ac:dyDescent="0.3">
      <c r="A4051" s="13"/>
      <c r="B4051" s="13"/>
      <c r="E4051" s="13"/>
      <c r="F4051" s="13"/>
      <c r="G4051" s="13"/>
    </row>
    <row r="4052" spans="1:7" x14ac:dyDescent="0.3">
      <c r="A4052" s="13"/>
      <c r="B4052" s="13"/>
      <c r="E4052" s="13"/>
      <c r="F4052" s="13"/>
      <c r="G4052" s="13"/>
    </row>
    <row r="4053" spans="1:7" x14ac:dyDescent="0.3">
      <c r="A4053" s="13"/>
      <c r="B4053" s="13"/>
      <c r="E4053" s="13"/>
      <c r="F4053" s="13"/>
      <c r="G4053" s="13"/>
    </row>
    <row r="4054" spans="1:7" x14ac:dyDescent="0.3">
      <c r="A4054" s="13"/>
      <c r="B4054" s="13"/>
      <c r="E4054" s="13"/>
      <c r="F4054" s="13"/>
      <c r="G4054" s="13"/>
    </row>
    <row r="4055" spans="1:7" x14ac:dyDescent="0.3">
      <c r="A4055" s="13"/>
      <c r="B4055" s="13"/>
      <c r="E4055" s="13"/>
      <c r="F4055" s="13"/>
      <c r="G4055" s="13"/>
    </row>
    <row r="4056" spans="1:7" x14ac:dyDescent="0.3">
      <c r="A4056" s="13"/>
      <c r="B4056" s="13"/>
      <c r="E4056" s="13"/>
      <c r="F4056" s="13"/>
      <c r="G4056" s="13"/>
    </row>
    <row r="4057" spans="1:7" x14ac:dyDescent="0.3">
      <c r="A4057" s="13"/>
      <c r="B4057" s="13"/>
      <c r="E4057" s="13"/>
      <c r="F4057" s="13"/>
      <c r="G4057" s="13"/>
    </row>
    <row r="4058" spans="1:7" x14ac:dyDescent="0.3">
      <c r="A4058" s="13"/>
      <c r="B4058" s="13"/>
      <c r="E4058" s="13"/>
      <c r="F4058" s="13"/>
      <c r="G4058" s="13"/>
    </row>
    <row r="4059" spans="1:7" x14ac:dyDescent="0.3">
      <c r="A4059" s="13"/>
      <c r="B4059" s="13"/>
      <c r="E4059" s="13"/>
      <c r="F4059" s="13"/>
      <c r="G4059" s="13"/>
    </row>
    <row r="4060" spans="1:7" x14ac:dyDescent="0.3">
      <c r="A4060" s="13"/>
      <c r="B4060" s="13"/>
      <c r="E4060" s="13"/>
      <c r="F4060" s="13"/>
      <c r="G4060" s="13"/>
    </row>
    <row r="4061" spans="1:7" x14ac:dyDescent="0.3">
      <c r="A4061" s="13"/>
      <c r="B4061" s="13"/>
      <c r="E4061" s="13"/>
      <c r="F4061" s="13"/>
      <c r="G4061" s="13"/>
    </row>
    <row r="4062" spans="1:7" x14ac:dyDescent="0.3">
      <c r="A4062" s="13"/>
      <c r="B4062" s="13"/>
      <c r="E4062" s="13"/>
      <c r="F4062" s="13"/>
      <c r="G4062" s="13"/>
    </row>
    <row r="4063" spans="1:7" x14ac:dyDescent="0.3">
      <c r="A4063" s="13"/>
      <c r="B4063" s="13"/>
      <c r="E4063" s="13"/>
      <c r="F4063" s="13"/>
      <c r="G4063" s="13"/>
    </row>
    <row r="4064" spans="1:7" x14ac:dyDescent="0.3">
      <c r="A4064" s="13"/>
      <c r="B4064" s="13"/>
      <c r="E4064" s="13"/>
      <c r="F4064" s="13"/>
      <c r="G4064" s="13"/>
    </row>
    <row r="4065" spans="1:7" x14ac:dyDescent="0.3">
      <c r="A4065" s="13"/>
      <c r="B4065" s="13"/>
      <c r="E4065" s="13"/>
      <c r="F4065" s="13"/>
      <c r="G4065" s="13"/>
    </row>
    <row r="4066" spans="1:7" x14ac:dyDescent="0.3">
      <c r="A4066" s="13"/>
      <c r="B4066" s="13"/>
      <c r="E4066" s="13"/>
      <c r="F4066" s="13"/>
      <c r="G4066" s="13"/>
    </row>
    <row r="4067" spans="1:7" x14ac:dyDescent="0.3">
      <c r="A4067" s="13"/>
      <c r="B4067" s="13"/>
      <c r="E4067" s="13"/>
      <c r="F4067" s="13"/>
      <c r="G4067" s="13"/>
    </row>
    <row r="4068" spans="1:7" x14ac:dyDescent="0.3">
      <c r="A4068" s="13"/>
      <c r="B4068" s="13"/>
      <c r="E4068" s="13"/>
      <c r="F4068" s="13"/>
      <c r="G4068" s="13"/>
    </row>
    <row r="4069" spans="1:7" x14ac:dyDescent="0.3">
      <c r="A4069" s="13"/>
      <c r="B4069" s="13"/>
      <c r="E4069" s="13"/>
      <c r="F4069" s="13"/>
      <c r="G4069" s="13"/>
    </row>
    <row r="4070" spans="1:7" x14ac:dyDescent="0.3">
      <c r="A4070" s="13"/>
      <c r="B4070" s="13"/>
      <c r="E4070" s="13"/>
      <c r="F4070" s="13"/>
      <c r="G4070" s="13"/>
    </row>
    <row r="4071" spans="1:7" x14ac:dyDescent="0.3">
      <c r="A4071" s="13"/>
      <c r="B4071" s="13"/>
      <c r="E4071" s="13"/>
      <c r="F4071" s="13"/>
      <c r="G4071" s="13"/>
    </row>
    <row r="4072" spans="1:7" x14ac:dyDescent="0.3">
      <c r="A4072" s="13"/>
      <c r="B4072" s="13"/>
      <c r="E4072" s="13"/>
      <c r="F4072" s="13"/>
      <c r="G4072" s="13"/>
    </row>
    <row r="4073" spans="1:7" x14ac:dyDescent="0.3">
      <c r="A4073" s="13"/>
      <c r="B4073" s="13"/>
      <c r="E4073" s="13"/>
      <c r="F4073" s="13"/>
      <c r="G4073" s="13"/>
    </row>
    <row r="4074" spans="1:7" x14ac:dyDescent="0.3">
      <c r="A4074" s="13"/>
      <c r="B4074" s="13"/>
      <c r="E4074" s="13"/>
      <c r="F4074" s="13"/>
      <c r="G4074" s="13"/>
    </row>
    <row r="4075" spans="1:7" x14ac:dyDescent="0.3">
      <c r="A4075" s="13"/>
      <c r="B4075" s="13"/>
      <c r="E4075" s="13"/>
      <c r="F4075" s="13"/>
      <c r="G4075" s="13"/>
    </row>
    <row r="4076" spans="1:7" x14ac:dyDescent="0.3">
      <c r="A4076" s="13"/>
      <c r="B4076" s="13"/>
      <c r="E4076" s="13"/>
      <c r="F4076" s="13"/>
      <c r="G4076" s="13"/>
    </row>
    <row r="4077" spans="1:7" x14ac:dyDescent="0.3">
      <c r="A4077" s="13"/>
      <c r="B4077" s="13"/>
      <c r="E4077" s="13"/>
      <c r="F4077" s="13"/>
      <c r="G4077" s="13"/>
    </row>
    <row r="4078" spans="1:7" x14ac:dyDescent="0.3">
      <c r="A4078" s="13"/>
      <c r="B4078" s="13"/>
      <c r="E4078" s="13"/>
      <c r="F4078" s="13"/>
      <c r="G4078" s="13"/>
    </row>
    <row r="4079" spans="1:7" x14ac:dyDescent="0.3">
      <c r="A4079" s="13"/>
      <c r="B4079" s="13"/>
      <c r="E4079" s="13"/>
      <c r="F4079" s="13"/>
      <c r="G4079" s="13"/>
    </row>
    <row r="4080" spans="1:7" x14ac:dyDescent="0.3">
      <c r="A4080" s="13"/>
      <c r="B4080" s="13"/>
      <c r="E4080" s="13"/>
      <c r="F4080" s="13"/>
      <c r="G4080" s="13"/>
    </row>
    <row r="4081" spans="1:7" x14ac:dyDescent="0.3">
      <c r="A4081" s="13"/>
      <c r="B4081" s="13"/>
      <c r="E4081" s="13"/>
      <c r="F4081" s="13"/>
      <c r="G4081" s="13"/>
    </row>
    <row r="4082" spans="1:7" x14ac:dyDescent="0.3">
      <c r="A4082" s="13"/>
      <c r="B4082" s="13"/>
      <c r="E4082" s="13"/>
      <c r="F4082" s="13"/>
      <c r="G4082" s="13"/>
    </row>
    <row r="4083" spans="1:7" x14ac:dyDescent="0.3">
      <c r="A4083" s="13"/>
      <c r="B4083" s="13"/>
      <c r="E4083" s="13"/>
      <c r="F4083" s="13"/>
      <c r="G4083" s="13"/>
    </row>
    <row r="4084" spans="1:7" x14ac:dyDescent="0.3">
      <c r="A4084" s="13"/>
      <c r="B4084" s="13"/>
      <c r="E4084" s="13"/>
      <c r="F4084" s="13"/>
      <c r="G4084" s="13"/>
    </row>
    <row r="4085" spans="1:7" x14ac:dyDescent="0.3">
      <c r="A4085" s="13"/>
      <c r="B4085" s="13"/>
      <c r="E4085" s="13"/>
      <c r="F4085" s="13"/>
      <c r="G4085" s="13"/>
    </row>
    <row r="4086" spans="1:7" x14ac:dyDescent="0.3">
      <c r="A4086" s="13"/>
      <c r="B4086" s="13"/>
      <c r="E4086" s="13"/>
      <c r="F4086" s="13"/>
      <c r="G4086" s="13"/>
    </row>
    <row r="4087" spans="1:7" x14ac:dyDescent="0.3">
      <c r="A4087" s="13"/>
      <c r="B4087" s="13"/>
      <c r="E4087" s="13"/>
      <c r="F4087" s="13"/>
      <c r="G4087" s="13"/>
    </row>
    <row r="4088" spans="1:7" x14ac:dyDescent="0.3">
      <c r="A4088" s="13"/>
      <c r="B4088" s="13"/>
      <c r="E4088" s="13"/>
      <c r="F4088" s="13"/>
      <c r="G4088" s="13"/>
    </row>
    <row r="4089" spans="1:7" x14ac:dyDescent="0.3">
      <c r="A4089" s="13"/>
      <c r="B4089" s="13"/>
      <c r="E4089" s="13"/>
      <c r="F4089" s="13"/>
      <c r="G4089" s="13"/>
    </row>
    <row r="4090" spans="1:7" x14ac:dyDescent="0.3">
      <c r="A4090" s="13"/>
      <c r="B4090" s="13"/>
      <c r="E4090" s="13"/>
      <c r="F4090" s="13"/>
      <c r="G4090" s="13"/>
    </row>
    <row r="4091" spans="1:7" x14ac:dyDescent="0.3">
      <c r="A4091" s="13"/>
      <c r="B4091" s="13"/>
      <c r="E4091" s="13"/>
      <c r="F4091" s="13"/>
      <c r="G4091" s="13"/>
    </row>
    <row r="4092" spans="1:7" x14ac:dyDescent="0.3">
      <c r="A4092" s="13"/>
      <c r="B4092" s="13"/>
      <c r="E4092" s="13"/>
      <c r="F4092" s="13"/>
      <c r="G4092" s="13"/>
    </row>
    <row r="4093" spans="1:7" x14ac:dyDescent="0.3">
      <c r="A4093" s="13"/>
      <c r="B4093" s="13"/>
      <c r="E4093" s="13"/>
      <c r="F4093" s="13"/>
      <c r="G4093" s="13"/>
    </row>
    <row r="4094" spans="1:7" x14ac:dyDescent="0.3">
      <c r="A4094" s="13"/>
      <c r="B4094" s="13"/>
      <c r="E4094" s="13"/>
      <c r="F4094" s="13"/>
      <c r="G4094" s="13"/>
    </row>
    <row r="4095" spans="1:7" x14ac:dyDescent="0.3">
      <c r="A4095" s="13"/>
      <c r="B4095" s="13"/>
      <c r="E4095" s="13"/>
      <c r="F4095" s="13"/>
      <c r="G4095" s="13"/>
    </row>
    <row r="4096" spans="1:7" x14ac:dyDescent="0.3">
      <c r="A4096" s="13"/>
      <c r="B4096" s="13"/>
      <c r="E4096" s="13"/>
      <c r="F4096" s="13"/>
      <c r="G4096" s="13"/>
    </row>
    <row r="4097" spans="1:7" x14ac:dyDescent="0.3">
      <c r="A4097" s="13"/>
      <c r="B4097" s="13"/>
      <c r="E4097" s="13"/>
      <c r="F4097" s="13"/>
      <c r="G4097" s="13"/>
    </row>
    <row r="4098" spans="1:7" x14ac:dyDescent="0.3">
      <c r="A4098" s="13"/>
      <c r="B4098" s="13"/>
      <c r="E4098" s="13"/>
      <c r="F4098" s="13"/>
      <c r="G4098" s="13"/>
    </row>
    <row r="4099" spans="1:7" x14ac:dyDescent="0.3">
      <c r="A4099" s="13"/>
      <c r="B4099" s="13"/>
      <c r="E4099" s="13"/>
      <c r="F4099" s="13"/>
      <c r="G4099" s="13"/>
    </row>
    <row r="4100" spans="1:7" x14ac:dyDescent="0.3">
      <c r="A4100" s="13"/>
      <c r="B4100" s="13"/>
      <c r="E4100" s="13"/>
      <c r="F4100" s="13"/>
      <c r="G4100" s="13"/>
    </row>
    <row r="4101" spans="1:7" x14ac:dyDescent="0.3">
      <c r="A4101" s="13"/>
      <c r="B4101" s="13"/>
      <c r="E4101" s="13"/>
      <c r="F4101" s="13"/>
      <c r="G4101" s="13"/>
    </row>
    <row r="4102" spans="1:7" x14ac:dyDescent="0.3">
      <c r="A4102" s="13"/>
      <c r="B4102" s="13"/>
      <c r="E4102" s="13"/>
      <c r="F4102" s="13"/>
      <c r="G4102" s="13"/>
    </row>
    <row r="4103" spans="1:7" x14ac:dyDescent="0.3">
      <c r="A4103" s="13"/>
      <c r="B4103" s="13"/>
      <c r="E4103" s="13"/>
      <c r="F4103" s="13"/>
      <c r="G4103" s="13"/>
    </row>
    <row r="4104" spans="1:7" x14ac:dyDescent="0.3">
      <c r="A4104" s="13"/>
      <c r="B4104" s="13"/>
      <c r="E4104" s="13"/>
      <c r="F4104" s="13"/>
      <c r="G4104" s="13"/>
    </row>
    <row r="4105" spans="1:7" x14ac:dyDescent="0.3">
      <c r="A4105" s="13"/>
      <c r="B4105" s="13"/>
      <c r="E4105" s="13"/>
      <c r="F4105" s="13"/>
      <c r="G4105" s="13"/>
    </row>
    <row r="4106" spans="1:7" x14ac:dyDescent="0.3">
      <c r="A4106" s="13"/>
      <c r="B4106" s="13"/>
      <c r="E4106" s="13"/>
      <c r="F4106" s="13"/>
      <c r="G4106" s="13"/>
    </row>
    <row r="4107" spans="1:7" x14ac:dyDescent="0.3">
      <c r="A4107" s="13"/>
      <c r="B4107" s="13"/>
      <c r="E4107" s="13"/>
      <c r="F4107" s="13"/>
      <c r="G4107" s="13"/>
    </row>
    <row r="4108" spans="1:7" x14ac:dyDescent="0.3">
      <c r="A4108" s="13"/>
      <c r="B4108" s="13"/>
      <c r="E4108" s="13"/>
      <c r="F4108" s="13"/>
      <c r="G4108" s="13"/>
    </row>
    <row r="4109" spans="1:7" x14ac:dyDescent="0.3">
      <c r="A4109" s="13"/>
      <c r="B4109" s="13"/>
      <c r="E4109" s="13"/>
      <c r="F4109" s="13"/>
      <c r="G4109" s="13"/>
    </row>
    <row r="4110" spans="1:7" x14ac:dyDescent="0.3">
      <c r="A4110" s="13"/>
      <c r="B4110" s="13"/>
      <c r="E4110" s="13"/>
      <c r="F4110" s="13"/>
      <c r="G4110" s="13"/>
    </row>
    <row r="4111" spans="1:7" x14ac:dyDescent="0.3">
      <c r="A4111" s="13"/>
      <c r="B4111" s="13"/>
      <c r="E4111" s="13"/>
      <c r="F4111" s="13"/>
      <c r="G4111" s="13"/>
    </row>
    <row r="4112" spans="1:7" x14ac:dyDescent="0.3">
      <c r="A4112" s="13"/>
      <c r="B4112" s="13"/>
      <c r="E4112" s="13"/>
      <c r="F4112" s="13"/>
      <c r="G4112" s="13"/>
    </row>
    <row r="4113" spans="1:7" x14ac:dyDescent="0.3">
      <c r="A4113" s="13"/>
      <c r="B4113" s="13"/>
      <c r="E4113" s="13"/>
      <c r="F4113" s="13"/>
      <c r="G4113" s="13"/>
    </row>
    <row r="4114" spans="1:7" x14ac:dyDescent="0.3">
      <c r="A4114" s="13"/>
      <c r="B4114" s="13"/>
      <c r="E4114" s="13"/>
      <c r="F4114" s="13"/>
      <c r="G4114" s="13"/>
    </row>
    <row r="4115" spans="1:7" x14ac:dyDescent="0.3">
      <c r="A4115" s="13"/>
      <c r="B4115" s="13"/>
      <c r="E4115" s="13"/>
      <c r="F4115" s="13"/>
      <c r="G4115" s="13"/>
    </row>
    <row r="4116" spans="1:7" x14ac:dyDescent="0.3">
      <c r="A4116" s="13"/>
      <c r="B4116" s="13"/>
      <c r="E4116" s="13"/>
      <c r="F4116" s="13"/>
      <c r="G4116" s="13"/>
    </row>
    <row r="4117" spans="1:7" x14ac:dyDescent="0.3">
      <c r="A4117" s="13"/>
      <c r="B4117" s="13"/>
      <c r="E4117" s="13"/>
      <c r="F4117" s="13"/>
      <c r="G4117" s="13"/>
    </row>
    <row r="4118" spans="1:7" x14ac:dyDescent="0.3">
      <c r="A4118" s="13"/>
      <c r="B4118" s="13"/>
      <c r="E4118" s="13"/>
      <c r="F4118" s="13"/>
      <c r="G4118" s="13"/>
    </row>
    <row r="4119" spans="1:7" x14ac:dyDescent="0.3">
      <c r="A4119" s="13"/>
      <c r="B4119" s="13"/>
      <c r="E4119" s="13"/>
      <c r="F4119" s="13"/>
      <c r="G4119" s="13"/>
    </row>
    <row r="4120" spans="1:7" x14ac:dyDescent="0.3">
      <c r="A4120" s="13"/>
      <c r="B4120" s="13"/>
      <c r="E4120" s="13"/>
      <c r="F4120" s="13"/>
      <c r="G4120" s="13"/>
    </row>
    <row r="4121" spans="1:7" x14ac:dyDescent="0.3">
      <c r="A4121" s="13"/>
      <c r="B4121" s="13"/>
      <c r="E4121" s="13"/>
      <c r="F4121" s="13"/>
      <c r="G4121" s="13"/>
    </row>
    <row r="4122" spans="1:7" x14ac:dyDescent="0.3">
      <c r="A4122" s="13"/>
      <c r="B4122" s="13"/>
      <c r="E4122" s="13"/>
      <c r="F4122" s="13"/>
      <c r="G4122" s="13"/>
    </row>
    <row r="4123" spans="1:7" x14ac:dyDescent="0.3">
      <c r="A4123" s="13"/>
      <c r="B4123" s="13"/>
      <c r="E4123" s="13"/>
      <c r="F4123" s="13"/>
      <c r="G4123" s="13"/>
    </row>
    <row r="4124" spans="1:7" x14ac:dyDescent="0.3">
      <c r="A4124" s="13"/>
      <c r="B4124" s="13"/>
      <c r="E4124" s="13"/>
      <c r="F4124" s="13"/>
      <c r="G4124" s="13"/>
    </row>
    <row r="4125" spans="1:7" x14ac:dyDescent="0.3">
      <c r="A4125" s="13"/>
      <c r="B4125" s="13"/>
      <c r="E4125" s="13"/>
      <c r="F4125" s="13"/>
      <c r="G4125" s="13"/>
    </row>
    <row r="4126" spans="1:7" x14ac:dyDescent="0.3">
      <c r="A4126" s="13"/>
      <c r="B4126" s="13"/>
      <c r="E4126" s="13"/>
      <c r="F4126" s="13"/>
      <c r="G4126" s="13"/>
    </row>
    <row r="4127" spans="1:7" x14ac:dyDescent="0.3">
      <c r="A4127" s="13"/>
      <c r="B4127" s="13"/>
      <c r="E4127" s="13"/>
      <c r="F4127" s="13"/>
      <c r="G4127" s="13"/>
    </row>
    <row r="4128" spans="1:7" x14ac:dyDescent="0.3">
      <c r="A4128" s="13"/>
      <c r="B4128" s="13"/>
      <c r="E4128" s="13"/>
      <c r="F4128" s="13"/>
      <c r="G4128" s="13"/>
    </row>
    <row r="4129" spans="1:7" x14ac:dyDescent="0.3">
      <c r="A4129" s="13"/>
      <c r="B4129" s="13"/>
      <c r="E4129" s="13"/>
      <c r="F4129" s="13"/>
      <c r="G4129" s="13"/>
    </row>
    <row r="4130" spans="1:7" x14ac:dyDescent="0.3">
      <c r="A4130" s="13"/>
      <c r="B4130" s="13"/>
      <c r="E4130" s="13"/>
      <c r="F4130" s="13"/>
      <c r="G4130" s="13"/>
    </row>
    <row r="4131" spans="1:7" x14ac:dyDescent="0.3">
      <c r="A4131" s="13"/>
      <c r="B4131" s="13"/>
      <c r="E4131" s="13"/>
      <c r="F4131" s="13"/>
      <c r="G4131" s="13"/>
    </row>
    <row r="4132" spans="1:7" x14ac:dyDescent="0.3">
      <c r="A4132" s="13"/>
      <c r="B4132" s="13"/>
      <c r="E4132" s="13"/>
      <c r="F4132" s="13"/>
      <c r="G4132" s="13"/>
    </row>
    <row r="4133" spans="1:7" x14ac:dyDescent="0.3">
      <c r="A4133" s="13"/>
      <c r="B4133" s="13"/>
      <c r="E4133" s="13"/>
      <c r="F4133" s="13"/>
      <c r="G4133" s="13"/>
    </row>
    <row r="4134" spans="1:7" x14ac:dyDescent="0.3">
      <c r="A4134" s="13"/>
      <c r="B4134" s="13"/>
      <c r="E4134" s="13"/>
      <c r="F4134" s="13"/>
      <c r="G4134" s="13"/>
    </row>
    <row r="4135" spans="1:7" x14ac:dyDescent="0.3">
      <c r="A4135" s="13"/>
      <c r="B4135" s="13"/>
      <c r="E4135" s="13"/>
      <c r="F4135" s="13"/>
      <c r="G4135" s="13"/>
    </row>
    <row r="4136" spans="1:7" x14ac:dyDescent="0.3">
      <c r="A4136" s="13"/>
      <c r="B4136" s="13"/>
      <c r="E4136" s="13"/>
      <c r="F4136" s="13"/>
      <c r="G4136" s="13"/>
    </row>
    <row r="4137" spans="1:7" x14ac:dyDescent="0.3">
      <c r="A4137" s="13"/>
      <c r="B4137" s="13"/>
      <c r="E4137" s="13"/>
      <c r="F4137" s="13"/>
      <c r="G4137" s="13"/>
    </row>
    <row r="4138" spans="1:7" x14ac:dyDescent="0.3">
      <c r="A4138" s="13"/>
      <c r="B4138" s="13"/>
      <c r="E4138" s="13"/>
      <c r="F4138" s="13"/>
      <c r="G4138" s="13"/>
    </row>
    <row r="4139" spans="1:7" x14ac:dyDescent="0.3">
      <c r="A4139" s="13"/>
      <c r="B4139" s="13"/>
      <c r="E4139" s="13"/>
      <c r="F4139" s="13"/>
      <c r="G4139" s="13"/>
    </row>
    <row r="4140" spans="1:7" x14ac:dyDescent="0.3">
      <c r="A4140" s="13"/>
      <c r="B4140" s="13"/>
      <c r="E4140" s="13"/>
      <c r="F4140" s="13"/>
      <c r="G4140" s="13"/>
    </row>
    <row r="4141" spans="1:7" x14ac:dyDescent="0.3">
      <c r="A4141" s="13"/>
      <c r="B4141" s="13"/>
      <c r="E4141" s="13"/>
      <c r="F4141" s="13"/>
      <c r="G4141" s="13"/>
    </row>
    <row r="4142" spans="1:7" x14ac:dyDescent="0.3">
      <c r="A4142" s="13"/>
      <c r="B4142" s="13"/>
      <c r="E4142" s="13"/>
      <c r="F4142" s="13"/>
      <c r="G4142" s="13"/>
    </row>
    <row r="4143" spans="1:7" x14ac:dyDescent="0.3">
      <c r="A4143" s="13"/>
      <c r="B4143" s="13"/>
      <c r="E4143" s="13"/>
      <c r="F4143" s="13"/>
      <c r="G4143" s="13"/>
    </row>
    <row r="4144" spans="1:7" x14ac:dyDescent="0.3">
      <c r="A4144" s="13"/>
      <c r="B4144" s="13"/>
      <c r="E4144" s="13"/>
      <c r="F4144" s="13"/>
      <c r="G4144" s="13"/>
    </row>
    <row r="4145" spans="1:7" x14ac:dyDescent="0.3">
      <c r="A4145" s="13"/>
      <c r="B4145" s="13"/>
      <c r="E4145" s="13"/>
      <c r="F4145" s="13"/>
      <c r="G4145" s="13"/>
    </row>
    <row r="4146" spans="1:7" x14ac:dyDescent="0.3">
      <c r="A4146" s="13"/>
      <c r="B4146" s="13"/>
      <c r="E4146" s="13"/>
      <c r="F4146" s="13"/>
      <c r="G4146" s="13"/>
    </row>
    <row r="4147" spans="1:7" x14ac:dyDescent="0.3">
      <c r="A4147" s="13"/>
      <c r="B4147" s="13"/>
      <c r="E4147" s="13"/>
      <c r="F4147" s="13"/>
      <c r="G4147" s="13"/>
    </row>
    <row r="4148" spans="1:7" x14ac:dyDescent="0.3">
      <c r="A4148" s="13"/>
      <c r="B4148" s="13"/>
      <c r="E4148" s="13"/>
      <c r="F4148" s="13"/>
      <c r="G4148" s="13"/>
    </row>
    <row r="4149" spans="1:7" x14ac:dyDescent="0.3">
      <c r="A4149" s="13"/>
      <c r="B4149" s="13"/>
      <c r="E4149" s="13"/>
      <c r="F4149" s="13"/>
      <c r="G4149" s="13"/>
    </row>
    <row r="4150" spans="1:7" x14ac:dyDescent="0.3">
      <c r="A4150" s="13"/>
      <c r="B4150" s="13"/>
      <c r="E4150" s="13"/>
      <c r="F4150" s="13"/>
      <c r="G4150" s="13"/>
    </row>
    <row r="4151" spans="1:7" x14ac:dyDescent="0.3">
      <c r="A4151" s="13"/>
      <c r="B4151" s="13"/>
      <c r="E4151" s="13"/>
      <c r="F4151" s="13"/>
      <c r="G4151" s="13"/>
    </row>
    <row r="4152" spans="1:7" x14ac:dyDescent="0.3">
      <c r="A4152" s="13"/>
      <c r="B4152" s="13"/>
      <c r="E4152" s="13"/>
      <c r="F4152" s="13"/>
      <c r="G4152" s="13"/>
    </row>
    <row r="4153" spans="1:7" x14ac:dyDescent="0.3">
      <c r="A4153" s="13"/>
      <c r="B4153" s="13"/>
      <c r="E4153" s="13"/>
      <c r="F4153" s="13"/>
      <c r="G4153" s="13"/>
    </row>
    <row r="4154" spans="1:7" x14ac:dyDescent="0.3">
      <c r="A4154" s="13"/>
      <c r="B4154" s="13"/>
      <c r="E4154" s="13"/>
      <c r="F4154" s="13"/>
      <c r="G4154" s="13"/>
    </row>
    <row r="4155" spans="1:7" x14ac:dyDescent="0.3">
      <c r="A4155" s="13"/>
      <c r="B4155" s="13"/>
      <c r="E4155" s="13"/>
      <c r="F4155" s="13"/>
      <c r="G4155" s="13"/>
    </row>
    <row r="4156" spans="1:7" x14ac:dyDescent="0.3">
      <c r="A4156" s="13"/>
      <c r="B4156" s="13"/>
      <c r="E4156" s="13"/>
      <c r="F4156" s="13"/>
      <c r="G4156" s="13"/>
    </row>
    <row r="4157" spans="1:7" x14ac:dyDescent="0.3">
      <c r="A4157" s="13"/>
      <c r="B4157" s="13"/>
      <c r="E4157" s="13"/>
      <c r="F4157" s="13"/>
      <c r="G4157" s="13"/>
    </row>
    <row r="4158" spans="1:7" x14ac:dyDescent="0.3">
      <c r="A4158" s="13"/>
      <c r="B4158" s="13"/>
      <c r="E4158" s="13"/>
      <c r="F4158" s="13"/>
      <c r="G4158" s="13"/>
    </row>
    <row r="4159" spans="1:7" x14ac:dyDescent="0.3">
      <c r="A4159" s="13"/>
      <c r="B4159" s="13"/>
      <c r="E4159" s="13"/>
      <c r="F4159" s="13"/>
      <c r="G4159" s="13"/>
    </row>
    <row r="4160" spans="1:7" x14ac:dyDescent="0.3">
      <c r="A4160" s="13"/>
      <c r="B4160" s="13"/>
      <c r="E4160" s="13"/>
      <c r="F4160" s="13"/>
      <c r="G4160" s="13"/>
    </row>
    <row r="4161" spans="1:7" x14ac:dyDescent="0.3">
      <c r="A4161" s="13"/>
      <c r="B4161" s="13"/>
      <c r="E4161" s="13"/>
      <c r="F4161" s="13"/>
      <c r="G4161" s="13"/>
    </row>
    <row r="4162" spans="1:7" x14ac:dyDescent="0.3">
      <c r="A4162" s="13"/>
      <c r="B4162" s="13"/>
      <c r="E4162" s="13"/>
      <c r="F4162" s="13"/>
      <c r="G4162" s="13"/>
    </row>
    <row r="4163" spans="1:7" x14ac:dyDescent="0.3">
      <c r="A4163" s="13"/>
      <c r="B4163" s="13"/>
      <c r="E4163" s="13"/>
      <c r="F4163" s="13"/>
      <c r="G4163" s="13"/>
    </row>
    <row r="4164" spans="1:7" x14ac:dyDescent="0.3">
      <c r="A4164" s="13"/>
      <c r="B4164" s="13"/>
      <c r="E4164" s="13"/>
      <c r="F4164" s="13"/>
      <c r="G4164" s="13"/>
    </row>
    <row r="4165" spans="1:7" x14ac:dyDescent="0.3">
      <c r="A4165" s="13"/>
      <c r="B4165" s="13"/>
      <c r="E4165" s="13"/>
      <c r="F4165" s="13"/>
      <c r="G4165" s="13"/>
    </row>
    <row r="4166" spans="1:7" x14ac:dyDescent="0.3">
      <c r="A4166" s="13"/>
      <c r="B4166" s="13"/>
      <c r="E4166" s="13"/>
      <c r="F4166" s="13"/>
      <c r="G4166" s="13"/>
    </row>
    <row r="4167" spans="1:7" x14ac:dyDescent="0.3">
      <c r="A4167" s="13"/>
      <c r="B4167" s="13"/>
      <c r="E4167" s="13"/>
      <c r="F4167" s="13"/>
      <c r="G4167" s="13"/>
    </row>
    <row r="4168" spans="1:7" x14ac:dyDescent="0.3">
      <c r="A4168" s="13"/>
      <c r="B4168" s="13"/>
      <c r="E4168" s="13"/>
      <c r="F4168" s="13"/>
      <c r="G4168" s="13"/>
    </row>
    <row r="4169" spans="1:7" x14ac:dyDescent="0.3">
      <c r="A4169" s="13"/>
      <c r="B4169" s="13"/>
      <c r="E4169" s="13"/>
      <c r="F4169" s="13"/>
      <c r="G4169" s="13"/>
    </row>
    <row r="4170" spans="1:7" x14ac:dyDescent="0.3">
      <c r="A4170" s="13"/>
      <c r="B4170" s="13"/>
      <c r="E4170" s="13"/>
      <c r="F4170" s="13"/>
      <c r="G4170" s="13"/>
    </row>
    <row r="4171" spans="1:7" x14ac:dyDescent="0.3">
      <c r="A4171" s="13"/>
      <c r="B4171" s="13"/>
      <c r="E4171" s="13"/>
      <c r="F4171" s="13"/>
      <c r="G4171" s="13"/>
    </row>
    <row r="4172" spans="1:7" x14ac:dyDescent="0.3">
      <c r="A4172" s="13"/>
      <c r="B4172" s="13"/>
      <c r="E4172" s="13"/>
      <c r="F4172" s="13"/>
      <c r="G4172" s="13"/>
    </row>
    <row r="4173" spans="1:7" x14ac:dyDescent="0.3">
      <c r="A4173" s="13"/>
      <c r="B4173" s="13"/>
      <c r="E4173" s="13"/>
      <c r="F4173" s="13"/>
      <c r="G4173" s="13"/>
    </row>
    <row r="4174" spans="1:7" x14ac:dyDescent="0.3">
      <c r="A4174" s="13"/>
      <c r="B4174" s="13"/>
      <c r="E4174" s="13"/>
      <c r="F4174" s="13"/>
      <c r="G4174" s="13"/>
    </row>
    <row r="4175" spans="1:7" x14ac:dyDescent="0.3">
      <c r="A4175" s="13"/>
      <c r="B4175" s="13"/>
      <c r="E4175" s="13"/>
      <c r="F4175" s="13"/>
      <c r="G4175" s="13"/>
    </row>
    <row r="4176" spans="1:7" x14ac:dyDescent="0.3">
      <c r="A4176" s="13"/>
      <c r="B4176" s="13"/>
      <c r="E4176" s="13"/>
      <c r="F4176" s="13"/>
      <c r="G4176" s="13"/>
    </row>
    <row r="4177" spans="1:7" x14ac:dyDescent="0.3">
      <c r="A4177" s="13"/>
      <c r="B4177" s="13"/>
      <c r="E4177" s="13"/>
      <c r="F4177" s="13"/>
      <c r="G4177" s="13"/>
    </row>
    <row r="4178" spans="1:7" x14ac:dyDescent="0.3">
      <c r="A4178" s="13"/>
      <c r="B4178" s="13"/>
      <c r="E4178" s="13"/>
      <c r="F4178" s="13"/>
      <c r="G4178" s="13"/>
    </row>
    <row r="4179" spans="1:7" x14ac:dyDescent="0.3">
      <c r="A4179" s="13"/>
      <c r="B4179" s="13"/>
      <c r="E4179" s="13"/>
      <c r="F4179" s="13"/>
      <c r="G4179" s="13"/>
    </row>
    <row r="4180" spans="1:7" x14ac:dyDescent="0.3">
      <c r="A4180" s="13"/>
      <c r="B4180" s="13"/>
      <c r="E4180" s="13"/>
      <c r="F4180" s="13"/>
      <c r="G4180" s="13"/>
    </row>
    <row r="4181" spans="1:7" x14ac:dyDescent="0.3">
      <c r="A4181" s="13"/>
      <c r="B4181" s="13"/>
      <c r="E4181" s="13"/>
      <c r="F4181" s="13"/>
      <c r="G4181" s="13"/>
    </row>
    <row r="4182" spans="1:7" x14ac:dyDescent="0.3">
      <c r="A4182" s="13"/>
      <c r="B4182" s="13"/>
      <c r="E4182" s="13"/>
      <c r="F4182" s="13"/>
      <c r="G4182" s="13"/>
    </row>
    <row r="4183" spans="1:7" x14ac:dyDescent="0.3">
      <c r="A4183" s="13"/>
      <c r="B4183" s="13"/>
      <c r="E4183" s="13"/>
      <c r="F4183" s="13"/>
      <c r="G4183" s="13"/>
    </row>
    <row r="4184" spans="1:7" x14ac:dyDescent="0.3">
      <c r="A4184" s="13"/>
      <c r="B4184" s="13"/>
      <c r="E4184" s="13"/>
      <c r="F4184" s="13"/>
      <c r="G4184" s="13"/>
    </row>
    <row r="4185" spans="1:7" x14ac:dyDescent="0.3">
      <c r="A4185" s="13"/>
      <c r="B4185" s="13"/>
      <c r="E4185" s="13"/>
      <c r="F4185" s="13"/>
      <c r="G4185" s="13"/>
    </row>
    <row r="4186" spans="1:7" x14ac:dyDescent="0.3">
      <c r="A4186" s="13"/>
      <c r="B4186" s="13"/>
      <c r="E4186" s="13"/>
      <c r="F4186" s="13"/>
      <c r="G4186" s="13"/>
    </row>
    <row r="4187" spans="1:7" x14ac:dyDescent="0.3">
      <c r="A4187" s="13"/>
      <c r="B4187" s="13"/>
      <c r="E4187" s="13"/>
      <c r="F4187" s="13"/>
      <c r="G4187" s="13"/>
    </row>
    <row r="4188" spans="1:7" x14ac:dyDescent="0.3">
      <c r="A4188" s="13"/>
      <c r="B4188" s="13"/>
      <c r="E4188" s="13"/>
      <c r="F4188" s="13"/>
      <c r="G4188" s="13"/>
    </row>
    <row r="4189" spans="1:7" x14ac:dyDescent="0.3">
      <c r="A4189" s="13"/>
      <c r="B4189" s="13"/>
      <c r="E4189" s="13"/>
      <c r="F4189" s="13"/>
      <c r="G4189" s="13"/>
    </row>
    <row r="4190" spans="1:7" x14ac:dyDescent="0.3">
      <c r="A4190" s="13"/>
      <c r="B4190" s="13"/>
      <c r="E4190" s="13"/>
      <c r="F4190" s="13"/>
      <c r="G4190" s="13"/>
    </row>
    <row r="4191" spans="1:7" x14ac:dyDescent="0.3">
      <c r="A4191" s="13"/>
      <c r="B4191" s="13"/>
      <c r="E4191" s="13"/>
      <c r="F4191" s="13"/>
      <c r="G4191" s="13"/>
    </row>
    <row r="4192" spans="1:7" x14ac:dyDescent="0.3">
      <c r="A4192" s="13"/>
      <c r="B4192" s="13"/>
      <c r="E4192" s="13"/>
      <c r="F4192" s="13"/>
      <c r="G4192" s="13"/>
    </row>
    <row r="4193" spans="1:7" x14ac:dyDescent="0.3">
      <c r="A4193" s="13"/>
      <c r="B4193" s="13"/>
      <c r="E4193" s="13"/>
      <c r="F4193" s="13"/>
      <c r="G4193" s="13"/>
    </row>
    <row r="4194" spans="1:7" x14ac:dyDescent="0.3">
      <c r="A4194" s="13"/>
      <c r="B4194" s="13"/>
      <c r="E4194" s="13"/>
      <c r="F4194" s="13"/>
      <c r="G4194" s="13"/>
    </row>
    <row r="4195" spans="1:7" x14ac:dyDescent="0.3">
      <c r="A4195" s="13"/>
      <c r="B4195" s="13"/>
      <c r="E4195" s="13"/>
      <c r="F4195" s="13"/>
      <c r="G4195" s="13"/>
    </row>
    <row r="4196" spans="1:7" x14ac:dyDescent="0.3">
      <c r="A4196" s="13"/>
      <c r="B4196" s="13"/>
      <c r="E4196" s="13"/>
      <c r="F4196" s="13"/>
      <c r="G4196" s="13"/>
    </row>
    <row r="4197" spans="1:7" x14ac:dyDescent="0.3">
      <c r="A4197" s="13"/>
      <c r="B4197" s="13"/>
      <c r="E4197" s="13"/>
      <c r="F4197" s="13"/>
      <c r="G4197" s="13"/>
    </row>
    <row r="4198" spans="1:7" x14ac:dyDescent="0.3">
      <c r="A4198" s="13"/>
      <c r="B4198" s="13"/>
      <c r="E4198" s="13"/>
      <c r="F4198" s="13"/>
      <c r="G4198" s="13"/>
    </row>
    <row r="4199" spans="1:7" x14ac:dyDescent="0.3">
      <c r="A4199" s="13"/>
      <c r="B4199" s="13"/>
      <c r="E4199" s="13"/>
      <c r="F4199" s="13"/>
      <c r="G4199" s="13"/>
    </row>
    <row r="4200" spans="1:7" x14ac:dyDescent="0.3">
      <c r="A4200" s="13"/>
      <c r="B4200" s="13"/>
      <c r="E4200" s="13"/>
      <c r="F4200" s="13"/>
      <c r="G4200" s="13"/>
    </row>
    <row r="4201" spans="1:7" x14ac:dyDescent="0.3">
      <c r="A4201" s="13"/>
      <c r="B4201" s="13"/>
      <c r="E4201" s="13"/>
      <c r="F4201" s="13"/>
      <c r="G4201" s="13"/>
    </row>
    <row r="4202" spans="1:7" x14ac:dyDescent="0.3">
      <c r="A4202" s="13"/>
      <c r="B4202" s="13"/>
      <c r="E4202" s="13"/>
      <c r="F4202" s="13"/>
      <c r="G4202" s="13"/>
    </row>
    <row r="4203" spans="1:7" x14ac:dyDescent="0.3">
      <c r="A4203" s="13"/>
      <c r="B4203" s="13"/>
      <c r="E4203" s="13"/>
      <c r="F4203" s="13"/>
      <c r="G4203" s="13"/>
    </row>
    <row r="4204" spans="1:7" x14ac:dyDescent="0.3">
      <c r="A4204" s="13"/>
      <c r="B4204" s="13"/>
      <c r="E4204" s="13"/>
      <c r="F4204" s="13"/>
      <c r="G4204" s="13"/>
    </row>
    <row r="4205" spans="1:7" x14ac:dyDescent="0.3">
      <c r="A4205" s="13"/>
      <c r="B4205" s="13"/>
      <c r="E4205" s="13"/>
      <c r="F4205" s="13"/>
      <c r="G4205" s="13"/>
    </row>
    <row r="4206" spans="1:7" x14ac:dyDescent="0.3">
      <c r="A4206" s="13"/>
      <c r="B4206" s="13"/>
      <c r="E4206" s="13"/>
      <c r="F4206" s="13"/>
      <c r="G4206" s="13"/>
    </row>
    <row r="4207" spans="1:7" x14ac:dyDescent="0.3">
      <c r="A4207" s="13"/>
      <c r="B4207" s="13"/>
      <c r="E4207" s="13"/>
      <c r="F4207" s="13"/>
      <c r="G4207" s="13"/>
    </row>
    <row r="4208" spans="1:7" x14ac:dyDescent="0.3">
      <c r="A4208" s="13"/>
      <c r="B4208" s="13"/>
      <c r="E4208" s="13"/>
      <c r="F4208" s="13"/>
      <c r="G4208" s="13"/>
    </row>
    <row r="4209" spans="1:7" x14ac:dyDescent="0.3">
      <c r="A4209" s="13"/>
      <c r="B4209" s="13"/>
      <c r="E4209" s="13"/>
      <c r="F4209" s="13"/>
      <c r="G4209" s="13"/>
    </row>
    <row r="4210" spans="1:7" x14ac:dyDescent="0.3">
      <c r="A4210" s="13"/>
      <c r="B4210" s="13"/>
      <c r="E4210" s="13"/>
      <c r="F4210" s="13"/>
      <c r="G4210" s="13"/>
    </row>
    <row r="4211" spans="1:7" x14ac:dyDescent="0.3">
      <c r="A4211" s="13"/>
      <c r="B4211" s="13"/>
      <c r="E4211" s="13"/>
      <c r="F4211" s="13"/>
      <c r="G4211" s="13"/>
    </row>
    <row r="4212" spans="1:7" x14ac:dyDescent="0.3">
      <c r="A4212" s="13"/>
      <c r="B4212" s="13"/>
      <c r="E4212" s="13"/>
      <c r="F4212" s="13"/>
      <c r="G4212" s="13"/>
    </row>
    <row r="4213" spans="1:7" x14ac:dyDescent="0.3">
      <c r="A4213" s="13"/>
      <c r="B4213" s="13"/>
      <c r="E4213" s="13"/>
      <c r="F4213" s="13"/>
      <c r="G4213" s="13"/>
    </row>
    <row r="4214" spans="1:7" x14ac:dyDescent="0.3">
      <c r="A4214" s="13"/>
      <c r="B4214" s="13"/>
      <c r="E4214" s="13"/>
      <c r="F4214" s="13"/>
      <c r="G4214" s="13"/>
    </row>
    <row r="4215" spans="1:7" x14ac:dyDescent="0.3">
      <c r="A4215" s="13"/>
      <c r="B4215" s="13"/>
      <c r="E4215" s="13"/>
      <c r="F4215" s="13"/>
      <c r="G4215" s="13"/>
    </row>
    <row r="4216" spans="1:7" x14ac:dyDescent="0.3">
      <c r="A4216" s="13"/>
      <c r="B4216" s="13"/>
      <c r="E4216" s="13"/>
      <c r="F4216" s="13"/>
      <c r="G4216" s="13"/>
    </row>
    <row r="4217" spans="1:7" x14ac:dyDescent="0.3">
      <c r="A4217" s="13"/>
      <c r="B4217" s="13"/>
      <c r="E4217" s="13"/>
      <c r="F4217" s="13"/>
      <c r="G4217" s="13"/>
    </row>
    <row r="4218" spans="1:7" x14ac:dyDescent="0.3">
      <c r="A4218" s="13"/>
      <c r="B4218" s="13"/>
      <c r="E4218" s="13"/>
      <c r="F4218" s="13"/>
      <c r="G4218" s="13"/>
    </row>
    <row r="4219" spans="1:7" x14ac:dyDescent="0.3">
      <c r="A4219" s="13"/>
      <c r="B4219" s="13"/>
      <c r="E4219" s="13"/>
      <c r="F4219" s="13"/>
      <c r="G4219" s="13"/>
    </row>
    <row r="4220" spans="1:7" x14ac:dyDescent="0.3">
      <c r="A4220" s="13"/>
      <c r="B4220" s="13"/>
      <c r="E4220" s="13"/>
      <c r="F4220" s="13"/>
      <c r="G4220" s="13"/>
    </row>
    <row r="4221" spans="1:7" x14ac:dyDescent="0.3">
      <c r="A4221" s="13"/>
      <c r="B4221" s="13"/>
      <c r="E4221" s="13"/>
      <c r="F4221" s="13"/>
      <c r="G4221" s="13"/>
    </row>
    <row r="4222" spans="1:7" x14ac:dyDescent="0.3">
      <c r="A4222" s="13"/>
      <c r="B4222" s="13"/>
      <c r="E4222" s="13"/>
      <c r="F4222" s="13"/>
      <c r="G4222" s="13"/>
    </row>
    <row r="4223" spans="1:7" x14ac:dyDescent="0.3">
      <c r="A4223" s="13"/>
      <c r="B4223" s="13"/>
      <c r="E4223" s="13"/>
      <c r="F4223" s="13"/>
      <c r="G4223" s="13"/>
    </row>
    <row r="4224" spans="1:7" x14ac:dyDescent="0.3">
      <c r="A4224" s="13"/>
      <c r="B4224" s="13"/>
      <c r="E4224" s="13"/>
      <c r="F4224" s="13"/>
      <c r="G4224" s="13"/>
    </row>
    <row r="4225" spans="1:7" x14ac:dyDescent="0.3">
      <c r="A4225" s="13"/>
      <c r="B4225" s="13"/>
      <c r="E4225" s="13"/>
      <c r="F4225" s="13"/>
      <c r="G4225" s="13"/>
    </row>
    <row r="4226" spans="1:7" x14ac:dyDescent="0.3">
      <c r="A4226" s="13"/>
      <c r="B4226" s="13"/>
      <c r="E4226" s="13"/>
      <c r="F4226" s="13"/>
      <c r="G4226" s="13"/>
    </row>
    <row r="4227" spans="1:7" x14ac:dyDescent="0.3">
      <c r="A4227" s="13"/>
      <c r="B4227" s="13"/>
      <c r="E4227" s="13"/>
      <c r="F4227" s="13"/>
      <c r="G4227" s="13"/>
    </row>
    <row r="4228" spans="1:7" x14ac:dyDescent="0.3">
      <c r="A4228" s="13"/>
      <c r="B4228" s="13"/>
      <c r="E4228" s="13"/>
      <c r="F4228" s="13"/>
      <c r="G4228" s="13"/>
    </row>
    <row r="4229" spans="1:7" x14ac:dyDescent="0.3">
      <c r="A4229" s="13"/>
      <c r="B4229" s="13"/>
      <c r="E4229" s="13"/>
      <c r="F4229" s="13"/>
      <c r="G4229" s="13"/>
    </row>
    <row r="4230" spans="1:7" x14ac:dyDescent="0.3">
      <c r="A4230" s="13"/>
      <c r="B4230" s="13"/>
      <c r="E4230" s="13"/>
      <c r="F4230" s="13"/>
      <c r="G4230" s="13"/>
    </row>
    <row r="4231" spans="1:7" x14ac:dyDescent="0.3">
      <c r="A4231" s="13"/>
      <c r="B4231" s="13"/>
      <c r="E4231" s="13"/>
      <c r="F4231" s="13"/>
      <c r="G4231" s="13"/>
    </row>
    <row r="4232" spans="1:7" x14ac:dyDescent="0.3">
      <c r="A4232" s="13"/>
      <c r="B4232" s="13"/>
      <c r="E4232" s="13"/>
      <c r="F4232" s="13"/>
      <c r="G4232" s="13"/>
    </row>
    <row r="4233" spans="1:7" x14ac:dyDescent="0.3">
      <c r="A4233" s="13"/>
      <c r="B4233" s="13"/>
      <c r="E4233" s="13"/>
      <c r="F4233" s="13"/>
      <c r="G4233" s="13"/>
    </row>
    <row r="4234" spans="1:7" x14ac:dyDescent="0.3">
      <c r="A4234" s="13"/>
      <c r="B4234" s="13"/>
      <c r="E4234" s="13"/>
      <c r="F4234" s="13"/>
      <c r="G4234" s="13"/>
    </row>
    <row r="4235" spans="1:7" x14ac:dyDescent="0.3">
      <c r="A4235" s="13"/>
      <c r="B4235" s="13"/>
      <c r="E4235" s="13"/>
      <c r="F4235" s="13"/>
      <c r="G4235" s="13"/>
    </row>
    <row r="4236" spans="1:7" x14ac:dyDescent="0.3">
      <c r="A4236" s="13"/>
      <c r="B4236" s="13"/>
      <c r="E4236" s="13"/>
      <c r="F4236" s="13"/>
      <c r="G4236" s="13"/>
    </row>
    <row r="4237" spans="1:7" x14ac:dyDescent="0.3">
      <c r="A4237" s="13"/>
      <c r="B4237" s="13"/>
      <c r="E4237" s="13"/>
      <c r="F4237" s="13"/>
      <c r="G4237" s="13"/>
    </row>
    <row r="4238" spans="1:7" x14ac:dyDescent="0.3">
      <c r="A4238" s="13"/>
      <c r="B4238" s="13"/>
      <c r="E4238" s="13"/>
      <c r="F4238" s="13"/>
      <c r="G4238" s="13"/>
    </row>
    <row r="4239" spans="1:7" x14ac:dyDescent="0.3">
      <c r="A4239" s="13"/>
      <c r="B4239" s="13"/>
      <c r="E4239" s="13"/>
      <c r="F4239" s="13"/>
      <c r="G4239" s="13"/>
    </row>
    <row r="4240" spans="1:7" x14ac:dyDescent="0.3">
      <c r="A4240" s="13"/>
      <c r="B4240" s="13"/>
      <c r="E4240" s="13"/>
      <c r="F4240" s="13"/>
      <c r="G4240" s="13"/>
    </row>
    <row r="4241" spans="1:7" x14ac:dyDescent="0.3">
      <c r="A4241" s="13"/>
      <c r="B4241" s="13"/>
      <c r="E4241" s="13"/>
      <c r="F4241" s="13"/>
      <c r="G4241" s="13"/>
    </row>
    <row r="4242" spans="1:7" x14ac:dyDescent="0.3">
      <c r="A4242" s="13"/>
      <c r="B4242" s="13"/>
      <c r="E4242" s="13"/>
      <c r="F4242" s="13"/>
      <c r="G4242" s="13"/>
    </row>
    <row r="4243" spans="1:7" x14ac:dyDescent="0.3">
      <c r="A4243" s="13"/>
      <c r="B4243" s="13"/>
      <c r="E4243" s="13"/>
      <c r="F4243" s="13"/>
      <c r="G4243" s="13"/>
    </row>
    <row r="4244" spans="1:7" x14ac:dyDescent="0.3">
      <c r="A4244" s="13"/>
      <c r="B4244" s="13"/>
      <c r="E4244" s="13"/>
      <c r="F4244" s="13"/>
      <c r="G4244" s="13"/>
    </row>
    <row r="4245" spans="1:7" x14ac:dyDescent="0.3">
      <c r="A4245" s="13"/>
      <c r="B4245" s="13"/>
      <c r="E4245" s="13"/>
      <c r="F4245" s="13"/>
      <c r="G4245" s="13"/>
    </row>
    <row r="4246" spans="1:7" x14ac:dyDescent="0.3">
      <c r="A4246" s="13"/>
      <c r="B4246" s="13"/>
      <c r="E4246" s="13"/>
      <c r="F4246" s="13"/>
      <c r="G4246" s="13"/>
    </row>
    <row r="4247" spans="1:7" x14ac:dyDescent="0.3">
      <c r="A4247" s="13"/>
      <c r="B4247" s="13"/>
      <c r="E4247" s="13"/>
      <c r="F4247" s="13"/>
      <c r="G4247" s="13"/>
    </row>
    <row r="4248" spans="1:7" x14ac:dyDescent="0.3">
      <c r="A4248" s="13"/>
      <c r="B4248" s="13"/>
      <c r="E4248" s="13"/>
      <c r="F4248" s="13"/>
      <c r="G4248" s="13"/>
    </row>
    <row r="4249" spans="1:7" x14ac:dyDescent="0.3">
      <c r="A4249" s="13"/>
      <c r="B4249" s="13"/>
      <c r="E4249" s="13"/>
      <c r="F4249" s="13"/>
      <c r="G4249" s="13"/>
    </row>
    <row r="4250" spans="1:7" x14ac:dyDescent="0.3">
      <c r="A4250" s="13"/>
      <c r="B4250" s="13"/>
      <c r="E4250" s="13"/>
      <c r="F4250" s="13"/>
      <c r="G4250" s="13"/>
    </row>
    <row r="4251" spans="1:7" x14ac:dyDescent="0.3">
      <c r="A4251" s="13"/>
      <c r="B4251" s="13"/>
      <c r="E4251" s="13"/>
      <c r="F4251" s="13"/>
      <c r="G4251" s="13"/>
    </row>
    <row r="4252" spans="1:7" x14ac:dyDescent="0.3">
      <c r="A4252" s="13"/>
      <c r="B4252" s="13"/>
      <c r="E4252" s="13"/>
      <c r="F4252" s="13"/>
      <c r="G4252" s="13"/>
    </row>
    <row r="4253" spans="1:7" x14ac:dyDescent="0.3">
      <c r="A4253" s="13"/>
      <c r="B4253" s="13"/>
      <c r="E4253" s="13"/>
      <c r="F4253" s="13"/>
      <c r="G4253" s="13"/>
    </row>
    <row r="4254" spans="1:7" x14ac:dyDescent="0.3">
      <c r="A4254" s="13"/>
      <c r="B4254" s="13"/>
      <c r="E4254" s="13"/>
      <c r="F4254" s="13"/>
      <c r="G4254" s="13"/>
    </row>
    <row r="4255" spans="1:7" x14ac:dyDescent="0.3">
      <c r="A4255" s="13"/>
      <c r="B4255" s="13"/>
      <c r="E4255" s="13"/>
      <c r="F4255" s="13"/>
      <c r="G4255" s="13"/>
    </row>
    <row r="4256" spans="1:7" x14ac:dyDescent="0.3">
      <c r="A4256" s="13"/>
      <c r="B4256" s="13"/>
      <c r="E4256" s="13"/>
      <c r="F4256" s="13"/>
      <c r="G4256" s="13"/>
    </row>
    <row r="4257" spans="1:7" x14ac:dyDescent="0.3">
      <c r="A4257" s="13"/>
      <c r="B4257" s="13"/>
      <c r="E4257" s="13"/>
      <c r="F4257" s="13"/>
      <c r="G4257" s="13"/>
    </row>
    <row r="4258" spans="1:7" x14ac:dyDescent="0.3">
      <c r="A4258" s="13"/>
      <c r="B4258" s="13"/>
      <c r="E4258" s="13"/>
      <c r="F4258" s="13"/>
      <c r="G4258" s="13"/>
    </row>
    <row r="4259" spans="1:7" x14ac:dyDescent="0.3">
      <c r="A4259" s="13"/>
      <c r="B4259" s="13"/>
      <c r="E4259" s="13"/>
      <c r="F4259" s="13"/>
      <c r="G4259" s="13"/>
    </row>
    <row r="4260" spans="1:7" x14ac:dyDescent="0.3">
      <c r="A4260" s="13"/>
      <c r="B4260" s="13"/>
      <c r="E4260" s="13"/>
      <c r="F4260" s="13"/>
      <c r="G4260" s="13"/>
    </row>
    <row r="4261" spans="1:7" x14ac:dyDescent="0.3">
      <c r="A4261" s="13"/>
      <c r="B4261" s="13"/>
      <c r="E4261" s="13"/>
      <c r="F4261" s="13"/>
      <c r="G4261" s="13"/>
    </row>
    <row r="4262" spans="1:7" x14ac:dyDescent="0.3">
      <c r="A4262" s="13"/>
      <c r="B4262" s="13"/>
      <c r="E4262" s="13"/>
      <c r="F4262" s="13"/>
      <c r="G4262" s="13"/>
    </row>
    <row r="4263" spans="1:7" x14ac:dyDescent="0.3">
      <c r="A4263" s="13"/>
      <c r="B4263" s="13"/>
      <c r="E4263" s="13"/>
      <c r="F4263" s="13"/>
      <c r="G4263" s="13"/>
    </row>
    <row r="4264" spans="1:7" x14ac:dyDescent="0.3">
      <c r="A4264" s="13"/>
      <c r="B4264" s="13"/>
      <c r="E4264" s="13"/>
      <c r="F4264" s="13"/>
      <c r="G4264" s="13"/>
    </row>
    <row r="4265" spans="1:7" x14ac:dyDescent="0.3">
      <c r="A4265" s="13"/>
      <c r="B4265" s="13"/>
      <c r="E4265" s="13"/>
      <c r="F4265" s="13"/>
      <c r="G4265" s="13"/>
    </row>
    <row r="4266" spans="1:7" x14ac:dyDescent="0.3">
      <c r="A4266" s="13"/>
      <c r="B4266" s="13"/>
      <c r="E4266" s="13"/>
      <c r="F4266" s="13"/>
      <c r="G4266" s="13"/>
    </row>
    <row r="4267" spans="1:7" x14ac:dyDescent="0.3">
      <c r="A4267" s="13"/>
      <c r="B4267" s="13"/>
      <c r="E4267" s="13"/>
      <c r="F4267" s="13"/>
      <c r="G4267" s="13"/>
    </row>
    <row r="4268" spans="1:7" x14ac:dyDescent="0.3">
      <c r="A4268" s="13"/>
      <c r="B4268" s="13"/>
      <c r="E4268" s="13"/>
      <c r="F4268" s="13"/>
      <c r="G4268" s="13"/>
    </row>
    <row r="4269" spans="1:7" x14ac:dyDescent="0.3">
      <c r="A4269" s="13"/>
      <c r="B4269" s="13"/>
      <c r="E4269" s="13"/>
      <c r="F4269" s="13"/>
      <c r="G4269" s="13"/>
    </row>
    <row r="4270" spans="1:7" x14ac:dyDescent="0.3">
      <c r="A4270" s="13"/>
      <c r="B4270" s="13"/>
      <c r="E4270" s="13"/>
      <c r="F4270" s="13"/>
      <c r="G4270" s="13"/>
    </row>
    <row r="4271" spans="1:7" x14ac:dyDescent="0.3">
      <c r="A4271" s="13"/>
      <c r="B4271" s="13"/>
      <c r="E4271" s="13"/>
      <c r="F4271" s="13"/>
      <c r="G4271" s="13"/>
    </row>
    <row r="4272" spans="1:7" x14ac:dyDescent="0.3">
      <c r="A4272" s="13"/>
      <c r="B4272" s="13"/>
      <c r="E4272" s="13"/>
      <c r="F4272" s="13"/>
      <c r="G4272" s="13"/>
    </row>
    <row r="4273" spans="1:7" x14ac:dyDescent="0.3">
      <c r="A4273" s="13"/>
      <c r="B4273" s="13"/>
      <c r="E4273" s="13"/>
      <c r="F4273" s="13"/>
      <c r="G4273" s="13"/>
    </row>
    <row r="4274" spans="1:7" x14ac:dyDescent="0.3">
      <c r="A4274" s="13"/>
      <c r="B4274" s="13"/>
      <c r="E4274" s="13"/>
      <c r="F4274" s="13"/>
      <c r="G4274" s="13"/>
    </row>
    <row r="4275" spans="1:7" x14ac:dyDescent="0.3">
      <c r="A4275" s="13"/>
      <c r="B4275" s="13"/>
      <c r="E4275" s="13"/>
      <c r="F4275" s="13"/>
      <c r="G4275" s="13"/>
    </row>
    <row r="4276" spans="1:7" x14ac:dyDescent="0.3">
      <c r="A4276" s="13"/>
      <c r="B4276" s="13"/>
      <c r="E4276" s="13"/>
      <c r="F4276" s="13"/>
      <c r="G4276" s="13"/>
    </row>
    <row r="4277" spans="1:7" x14ac:dyDescent="0.3">
      <c r="A4277" s="13"/>
      <c r="B4277" s="13"/>
      <c r="E4277" s="13"/>
      <c r="F4277" s="13"/>
      <c r="G4277" s="13"/>
    </row>
    <row r="4278" spans="1:7" x14ac:dyDescent="0.3">
      <c r="A4278" s="13"/>
      <c r="B4278" s="13"/>
      <c r="E4278" s="13"/>
      <c r="F4278" s="13"/>
      <c r="G4278" s="13"/>
    </row>
    <row r="4279" spans="1:7" x14ac:dyDescent="0.3">
      <c r="A4279" s="13"/>
      <c r="B4279" s="13"/>
      <c r="E4279" s="13"/>
      <c r="F4279" s="13"/>
      <c r="G4279" s="13"/>
    </row>
    <row r="4280" spans="1:7" x14ac:dyDescent="0.3">
      <c r="A4280" s="13"/>
      <c r="B4280" s="13"/>
      <c r="E4280" s="13"/>
      <c r="F4280" s="13"/>
      <c r="G4280" s="13"/>
    </row>
    <row r="4281" spans="1:7" x14ac:dyDescent="0.3">
      <c r="A4281" s="13"/>
      <c r="B4281" s="13"/>
      <c r="E4281" s="13"/>
      <c r="F4281" s="13"/>
      <c r="G4281" s="13"/>
    </row>
    <row r="4282" spans="1:7" x14ac:dyDescent="0.3">
      <c r="A4282" s="13"/>
      <c r="B4282" s="13"/>
      <c r="E4282" s="13"/>
      <c r="F4282" s="13"/>
      <c r="G4282" s="13"/>
    </row>
    <row r="4283" spans="1:7" x14ac:dyDescent="0.3">
      <c r="A4283" s="13"/>
      <c r="B4283" s="13"/>
      <c r="E4283" s="13"/>
      <c r="F4283" s="13"/>
      <c r="G4283" s="13"/>
    </row>
    <row r="4284" spans="1:7" x14ac:dyDescent="0.3">
      <c r="A4284" s="13"/>
      <c r="B4284" s="13"/>
      <c r="E4284" s="13"/>
      <c r="F4284" s="13"/>
      <c r="G4284" s="13"/>
    </row>
    <row r="4285" spans="1:7" x14ac:dyDescent="0.3">
      <c r="A4285" s="13"/>
      <c r="B4285" s="13"/>
      <c r="E4285" s="13"/>
      <c r="F4285" s="13"/>
      <c r="G4285" s="13"/>
    </row>
    <row r="4286" spans="1:7" x14ac:dyDescent="0.3">
      <c r="A4286" s="13"/>
      <c r="B4286" s="13"/>
      <c r="E4286" s="13"/>
      <c r="F4286" s="13"/>
      <c r="G4286" s="13"/>
    </row>
    <row r="4287" spans="1:7" x14ac:dyDescent="0.3">
      <c r="A4287" s="13"/>
      <c r="B4287" s="13"/>
      <c r="E4287" s="13"/>
      <c r="F4287" s="13"/>
      <c r="G4287" s="13"/>
    </row>
    <row r="4288" spans="1:7" x14ac:dyDescent="0.3">
      <c r="A4288" s="13"/>
      <c r="B4288" s="13"/>
      <c r="E4288" s="13"/>
      <c r="F4288" s="13"/>
      <c r="G4288" s="13"/>
    </row>
    <row r="4289" spans="1:7" x14ac:dyDescent="0.3">
      <c r="A4289" s="13"/>
      <c r="B4289" s="13"/>
      <c r="E4289" s="13"/>
      <c r="F4289" s="13"/>
      <c r="G4289" s="13"/>
    </row>
    <row r="4290" spans="1:7" x14ac:dyDescent="0.3">
      <c r="A4290" s="13"/>
      <c r="B4290" s="13"/>
      <c r="E4290" s="13"/>
      <c r="F4290" s="13"/>
      <c r="G4290" s="13"/>
    </row>
    <row r="4291" spans="1:7" x14ac:dyDescent="0.3">
      <c r="A4291" s="13"/>
      <c r="B4291" s="13"/>
      <c r="E4291" s="13"/>
      <c r="F4291" s="13"/>
      <c r="G4291" s="13"/>
    </row>
    <row r="4292" spans="1:7" x14ac:dyDescent="0.3">
      <c r="A4292" s="13"/>
      <c r="B4292" s="13"/>
      <c r="E4292" s="13"/>
      <c r="F4292" s="13"/>
      <c r="G4292" s="13"/>
    </row>
    <row r="4293" spans="1:7" x14ac:dyDescent="0.3">
      <c r="A4293" s="13"/>
      <c r="B4293" s="13"/>
      <c r="E4293" s="13"/>
      <c r="F4293" s="13"/>
      <c r="G4293" s="13"/>
    </row>
    <row r="4294" spans="1:7" x14ac:dyDescent="0.3">
      <c r="A4294" s="13"/>
      <c r="B4294" s="13"/>
      <c r="E4294" s="13"/>
      <c r="F4294" s="13"/>
      <c r="G4294" s="13"/>
    </row>
    <row r="4295" spans="1:7" x14ac:dyDescent="0.3">
      <c r="A4295" s="13"/>
      <c r="B4295" s="13"/>
      <c r="E4295" s="13"/>
      <c r="F4295" s="13"/>
      <c r="G4295" s="13"/>
    </row>
    <row r="4296" spans="1:7" x14ac:dyDescent="0.3">
      <c r="A4296" s="13"/>
      <c r="B4296" s="13"/>
      <c r="E4296" s="13"/>
      <c r="F4296" s="13"/>
      <c r="G4296" s="13"/>
    </row>
    <row r="4297" spans="1:7" x14ac:dyDescent="0.3">
      <c r="A4297" s="13"/>
      <c r="B4297" s="13"/>
      <c r="E4297" s="13"/>
      <c r="F4297" s="13"/>
      <c r="G4297" s="13"/>
    </row>
    <row r="4298" spans="1:7" x14ac:dyDescent="0.3">
      <c r="A4298" s="13"/>
      <c r="B4298" s="13"/>
      <c r="E4298" s="13"/>
      <c r="F4298" s="13"/>
      <c r="G4298" s="13"/>
    </row>
    <row r="4299" spans="1:7" x14ac:dyDescent="0.3">
      <c r="A4299" s="13"/>
      <c r="B4299" s="13"/>
      <c r="E4299" s="13"/>
      <c r="F4299" s="13"/>
      <c r="G4299" s="13"/>
    </row>
    <row r="4300" spans="1:7" x14ac:dyDescent="0.3">
      <c r="A4300" s="13"/>
      <c r="B4300" s="13"/>
      <c r="E4300" s="13"/>
      <c r="F4300" s="13"/>
      <c r="G4300" s="13"/>
    </row>
    <row r="4301" spans="1:7" x14ac:dyDescent="0.3">
      <c r="A4301" s="13"/>
      <c r="B4301" s="13"/>
      <c r="E4301" s="13"/>
      <c r="F4301" s="13"/>
      <c r="G4301" s="13"/>
    </row>
    <row r="4302" spans="1:7" x14ac:dyDescent="0.3">
      <c r="A4302" s="13"/>
      <c r="B4302" s="13"/>
      <c r="E4302" s="13"/>
      <c r="F4302" s="13"/>
      <c r="G4302" s="13"/>
    </row>
    <row r="4303" spans="1:7" x14ac:dyDescent="0.3">
      <c r="A4303" s="13"/>
      <c r="B4303" s="13"/>
      <c r="E4303" s="13"/>
      <c r="F4303" s="13"/>
      <c r="G4303" s="13"/>
    </row>
    <row r="4304" spans="1:7" x14ac:dyDescent="0.3">
      <c r="A4304" s="13"/>
      <c r="B4304" s="13"/>
      <c r="E4304" s="13"/>
      <c r="F4304" s="13"/>
      <c r="G4304" s="13"/>
    </row>
    <row r="4305" spans="1:7" x14ac:dyDescent="0.3">
      <c r="A4305" s="13"/>
      <c r="B4305" s="13"/>
      <c r="E4305" s="13"/>
      <c r="F4305" s="13"/>
      <c r="G4305" s="13"/>
    </row>
    <row r="4306" spans="1:7" x14ac:dyDescent="0.3">
      <c r="A4306" s="13"/>
      <c r="B4306" s="13"/>
      <c r="E4306" s="13"/>
      <c r="F4306" s="13"/>
      <c r="G4306" s="13"/>
    </row>
    <row r="4307" spans="1:7" x14ac:dyDescent="0.3">
      <c r="A4307" s="13"/>
      <c r="B4307" s="13"/>
      <c r="E4307" s="13"/>
      <c r="F4307" s="13"/>
      <c r="G4307" s="13"/>
    </row>
    <row r="4308" spans="1:7" x14ac:dyDescent="0.3">
      <c r="A4308" s="13"/>
      <c r="B4308" s="13"/>
      <c r="E4308" s="13"/>
      <c r="F4308" s="13"/>
      <c r="G4308" s="13"/>
    </row>
    <row r="4309" spans="1:7" x14ac:dyDescent="0.3">
      <c r="A4309" s="13"/>
      <c r="B4309" s="13"/>
      <c r="E4309" s="13"/>
      <c r="F4309" s="13"/>
      <c r="G4309" s="13"/>
    </row>
    <row r="4310" spans="1:7" x14ac:dyDescent="0.3">
      <c r="A4310" s="13"/>
      <c r="B4310" s="13"/>
      <c r="E4310" s="13"/>
      <c r="F4310" s="13"/>
      <c r="G4310" s="13"/>
    </row>
    <row r="4311" spans="1:7" x14ac:dyDescent="0.3">
      <c r="A4311" s="13"/>
      <c r="B4311" s="13"/>
      <c r="E4311" s="13"/>
      <c r="F4311" s="13"/>
      <c r="G4311" s="13"/>
    </row>
    <row r="4312" spans="1:7" x14ac:dyDescent="0.3">
      <c r="A4312" s="13"/>
      <c r="B4312" s="13"/>
      <c r="E4312" s="13"/>
      <c r="F4312" s="13"/>
      <c r="G4312" s="13"/>
    </row>
    <row r="4313" spans="1:7" x14ac:dyDescent="0.3">
      <c r="A4313" s="13"/>
      <c r="B4313" s="13"/>
      <c r="E4313" s="13"/>
      <c r="F4313" s="13"/>
      <c r="G4313" s="13"/>
    </row>
    <row r="4314" spans="1:7" x14ac:dyDescent="0.3">
      <c r="A4314" s="13"/>
      <c r="B4314" s="13"/>
      <c r="E4314" s="13"/>
      <c r="F4314" s="13"/>
      <c r="G4314" s="13"/>
    </row>
    <row r="4315" spans="1:7" x14ac:dyDescent="0.3">
      <c r="A4315" s="13"/>
      <c r="B4315" s="13"/>
      <c r="E4315" s="13"/>
      <c r="F4315" s="13"/>
      <c r="G4315" s="13"/>
    </row>
    <row r="4316" spans="1:7" x14ac:dyDescent="0.3">
      <c r="A4316" s="13"/>
      <c r="B4316" s="13"/>
      <c r="E4316" s="13"/>
      <c r="F4316" s="13"/>
      <c r="G4316" s="13"/>
    </row>
    <row r="4317" spans="1:7" x14ac:dyDescent="0.3">
      <c r="A4317" s="13"/>
      <c r="B4317" s="13"/>
      <c r="E4317" s="13"/>
      <c r="F4317" s="13"/>
      <c r="G4317" s="13"/>
    </row>
    <row r="4318" spans="1:7" x14ac:dyDescent="0.3">
      <c r="A4318" s="13"/>
      <c r="B4318" s="13"/>
      <c r="E4318" s="13"/>
      <c r="F4318" s="13"/>
      <c r="G4318" s="13"/>
    </row>
    <row r="4319" spans="1:7" x14ac:dyDescent="0.3">
      <c r="A4319" s="13"/>
      <c r="B4319" s="13"/>
      <c r="E4319" s="13"/>
      <c r="F4319" s="13"/>
      <c r="G4319" s="13"/>
    </row>
    <row r="4320" spans="1:7" x14ac:dyDescent="0.3">
      <c r="A4320" s="13"/>
      <c r="B4320" s="13"/>
      <c r="E4320" s="13"/>
      <c r="F4320" s="13"/>
      <c r="G4320" s="13"/>
    </row>
    <row r="4321" spans="1:7" x14ac:dyDescent="0.3">
      <c r="A4321" s="13"/>
      <c r="B4321" s="13"/>
      <c r="E4321" s="13"/>
      <c r="F4321" s="13"/>
      <c r="G4321" s="13"/>
    </row>
    <row r="4322" spans="1:7" x14ac:dyDescent="0.3">
      <c r="A4322" s="13"/>
      <c r="B4322" s="13"/>
      <c r="E4322" s="13"/>
      <c r="F4322" s="13"/>
      <c r="G4322" s="13"/>
    </row>
    <row r="4323" spans="1:7" x14ac:dyDescent="0.3">
      <c r="A4323" s="13"/>
      <c r="B4323" s="13"/>
      <c r="E4323" s="13"/>
      <c r="F4323" s="13"/>
      <c r="G4323" s="13"/>
    </row>
    <row r="4324" spans="1:7" x14ac:dyDescent="0.3">
      <c r="A4324" s="13"/>
      <c r="B4324" s="13"/>
      <c r="E4324" s="13"/>
      <c r="F4324" s="13"/>
      <c r="G4324" s="13"/>
    </row>
    <row r="4325" spans="1:7" x14ac:dyDescent="0.3">
      <c r="A4325" s="13"/>
      <c r="B4325" s="13"/>
      <c r="E4325" s="13"/>
      <c r="F4325" s="13"/>
      <c r="G4325" s="13"/>
    </row>
    <row r="4326" spans="1:7" x14ac:dyDescent="0.3">
      <c r="A4326" s="13"/>
      <c r="B4326" s="13"/>
      <c r="E4326" s="13"/>
      <c r="F4326" s="13"/>
      <c r="G4326" s="13"/>
    </row>
    <row r="4327" spans="1:7" x14ac:dyDescent="0.3">
      <c r="A4327" s="13"/>
      <c r="B4327" s="13"/>
      <c r="E4327" s="13"/>
      <c r="F4327" s="13"/>
      <c r="G4327" s="13"/>
    </row>
    <row r="4328" spans="1:7" x14ac:dyDescent="0.3">
      <c r="A4328" s="13"/>
      <c r="B4328" s="13"/>
      <c r="E4328" s="13"/>
      <c r="F4328" s="13"/>
      <c r="G4328" s="13"/>
    </row>
    <row r="4329" spans="1:7" x14ac:dyDescent="0.3">
      <c r="A4329" s="13"/>
      <c r="B4329" s="13"/>
      <c r="E4329" s="13"/>
      <c r="F4329" s="13"/>
      <c r="G4329" s="13"/>
    </row>
    <row r="4330" spans="1:7" x14ac:dyDescent="0.3">
      <c r="A4330" s="13"/>
      <c r="B4330" s="13"/>
      <c r="E4330" s="13"/>
      <c r="F4330" s="13"/>
      <c r="G4330" s="13"/>
    </row>
    <row r="4331" spans="1:7" x14ac:dyDescent="0.3">
      <c r="A4331" s="13"/>
      <c r="B4331" s="13"/>
      <c r="E4331" s="13"/>
      <c r="F4331" s="13"/>
      <c r="G4331" s="13"/>
    </row>
    <row r="4332" spans="1:7" x14ac:dyDescent="0.3">
      <c r="A4332" s="13"/>
      <c r="B4332" s="13"/>
      <c r="E4332" s="13"/>
      <c r="F4332" s="13"/>
      <c r="G4332" s="13"/>
    </row>
    <row r="4333" spans="1:7" x14ac:dyDescent="0.3">
      <c r="A4333" s="13"/>
      <c r="B4333" s="13"/>
      <c r="E4333" s="13"/>
      <c r="F4333" s="13"/>
      <c r="G4333" s="13"/>
    </row>
    <row r="4334" spans="1:7" x14ac:dyDescent="0.3">
      <c r="A4334" s="13"/>
      <c r="B4334" s="13"/>
      <c r="E4334" s="13"/>
      <c r="F4334" s="13"/>
      <c r="G4334" s="13"/>
    </row>
    <row r="4335" spans="1:7" x14ac:dyDescent="0.3">
      <c r="A4335" s="13"/>
      <c r="B4335" s="13"/>
      <c r="E4335" s="13"/>
      <c r="F4335" s="13"/>
      <c r="G4335" s="13"/>
    </row>
    <row r="4336" spans="1:7" x14ac:dyDescent="0.3">
      <c r="A4336" s="13"/>
      <c r="B4336" s="13"/>
      <c r="E4336" s="13"/>
      <c r="F4336" s="13"/>
      <c r="G4336" s="13"/>
    </row>
    <row r="4337" spans="1:7" x14ac:dyDescent="0.3">
      <c r="A4337" s="13"/>
      <c r="B4337" s="13"/>
      <c r="E4337" s="13"/>
      <c r="F4337" s="13"/>
      <c r="G4337" s="13"/>
    </row>
    <row r="4338" spans="1:7" x14ac:dyDescent="0.3">
      <c r="A4338" s="13"/>
      <c r="B4338" s="13"/>
      <c r="E4338" s="13"/>
      <c r="F4338" s="13"/>
      <c r="G4338" s="13"/>
    </row>
    <row r="4339" spans="1:7" x14ac:dyDescent="0.3">
      <c r="A4339" s="13"/>
      <c r="B4339" s="13"/>
      <c r="E4339" s="13"/>
      <c r="F4339" s="13"/>
      <c r="G4339" s="13"/>
    </row>
    <row r="4340" spans="1:7" x14ac:dyDescent="0.3">
      <c r="A4340" s="13"/>
      <c r="B4340" s="13"/>
      <c r="E4340" s="13"/>
      <c r="F4340" s="13"/>
      <c r="G4340" s="13"/>
    </row>
    <row r="4341" spans="1:7" x14ac:dyDescent="0.3">
      <c r="A4341" s="13"/>
      <c r="B4341" s="13"/>
      <c r="E4341" s="13"/>
      <c r="F4341" s="13"/>
      <c r="G4341" s="13"/>
    </row>
    <row r="4342" spans="1:7" x14ac:dyDescent="0.3">
      <c r="A4342" s="13"/>
      <c r="B4342" s="13"/>
      <c r="E4342" s="13"/>
      <c r="F4342" s="13"/>
      <c r="G4342" s="13"/>
    </row>
    <row r="4343" spans="1:7" x14ac:dyDescent="0.3">
      <c r="A4343" s="13"/>
      <c r="B4343" s="13"/>
      <c r="E4343" s="13"/>
      <c r="F4343" s="13"/>
      <c r="G4343" s="13"/>
    </row>
    <row r="4344" spans="1:7" x14ac:dyDescent="0.3">
      <c r="A4344" s="13"/>
      <c r="B4344" s="13"/>
      <c r="E4344" s="13"/>
      <c r="F4344" s="13"/>
      <c r="G4344" s="13"/>
    </row>
    <row r="4345" spans="1:7" x14ac:dyDescent="0.3">
      <c r="A4345" s="13"/>
      <c r="B4345" s="13"/>
      <c r="E4345" s="13"/>
      <c r="F4345" s="13"/>
      <c r="G4345" s="13"/>
    </row>
    <row r="4346" spans="1:7" x14ac:dyDescent="0.3">
      <c r="A4346" s="13"/>
      <c r="B4346" s="13"/>
      <c r="E4346" s="13"/>
      <c r="F4346" s="13"/>
      <c r="G4346" s="13"/>
    </row>
    <row r="4347" spans="1:7" x14ac:dyDescent="0.3">
      <c r="A4347" s="13"/>
      <c r="B4347" s="13"/>
      <c r="E4347" s="13"/>
      <c r="F4347" s="13"/>
      <c r="G4347" s="13"/>
    </row>
    <row r="4348" spans="1:7" x14ac:dyDescent="0.3">
      <c r="A4348" s="13"/>
      <c r="B4348" s="13"/>
      <c r="E4348" s="13"/>
      <c r="F4348" s="13"/>
      <c r="G4348" s="13"/>
    </row>
    <row r="4349" spans="1:7" x14ac:dyDescent="0.3">
      <c r="A4349" s="13"/>
      <c r="B4349" s="13"/>
      <c r="E4349" s="13"/>
      <c r="F4349" s="13"/>
      <c r="G4349" s="13"/>
    </row>
    <row r="4350" spans="1:7" x14ac:dyDescent="0.3">
      <c r="A4350" s="13"/>
      <c r="B4350" s="13"/>
      <c r="E4350" s="13"/>
      <c r="F4350" s="13"/>
      <c r="G4350" s="13"/>
    </row>
    <row r="4351" spans="1:7" x14ac:dyDescent="0.3">
      <c r="A4351" s="13"/>
      <c r="B4351" s="13"/>
      <c r="E4351" s="13"/>
      <c r="F4351" s="13"/>
      <c r="G4351" s="13"/>
    </row>
    <row r="4352" spans="1:7" x14ac:dyDescent="0.3">
      <c r="A4352" s="13"/>
      <c r="B4352" s="13"/>
      <c r="E4352" s="13"/>
      <c r="F4352" s="13"/>
      <c r="G4352" s="13"/>
    </row>
    <row r="4353" spans="1:7" x14ac:dyDescent="0.3">
      <c r="A4353" s="13"/>
      <c r="B4353" s="13"/>
      <c r="E4353" s="13"/>
      <c r="F4353" s="13"/>
      <c r="G4353" s="13"/>
    </row>
    <row r="4354" spans="1:7" x14ac:dyDescent="0.3">
      <c r="A4354" s="13"/>
      <c r="B4354" s="13"/>
      <c r="E4354" s="13"/>
      <c r="F4354" s="13"/>
      <c r="G4354" s="13"/>
    </row>
    <row r="4355" spans="1:7" x14ac:dyDescent="0.3">
      <c r="A4355" s="13"/>
      <c r="B4355" s="13"/>
      <c r="E4355" s="13"/>
      <c r="F4355" s="13"/>
      <c r="G4355" s="13"/>
    </row>
    <row r="4356" spans="1:7" x14ac:dyDescent="0.3">
      <c r="A4356" s="13"/>
      <c r="B4356" s="13"/>
      <c r="E4356" s="13"/>
      <c r="F4356" s="13"/>
      <c r="G4356" s="13"/>
    </row>
    <row r="4357" spans="1:7" x14ac:dyDescent="0.3">
      <c r="A4357" s="13"/>
      <c r="B4357" s="13"/>
      <c r="E4357" s="13"/>
      <c r="F4357" s="13"/>
      <c r="G4357" s="13"/>
    </row>
    <row r="4358" spans="1:7" x14ac:dyDescent="0.3">
      <c r="A4358" s="13"/>
      <c r="B4358" s="13"/>
      <c r="E4358" s="13"/>
      <c r="F4358" s="13"/>
      <c r="G4358" s="13"/>
    </row>
    <row r="4359" spans="1:7" x14ac:dyDescent="0.3">
      <c r="A4359" s="13"/>
      <c r="B4359" s="13"/>
      <c r="E4359" s="13"/>
      <c r="F4359" s="13"/>
      <c r="G4359" s="13"/>
    </row>
    <row r="4360" spans="1:7" x14ac:dyDescent="0.3">
      <c r="A4360" s="13"/>
      <c r="B4360" s="13"/>
      <c r="E4360" s="13"/>
      <c r="F4360" s="13"/>
      <c r="G4360" s="13"/>
    </row>
    <row r="4361" spans="1:7" x14ac:dyDescent="0.3">
      <c r="A4361" s="13"/>
      <c r="B4361" s="13"/>
      <c r="E4361" s="13"/>
      <c r="F4361" s="13"/>
      <c r="G4361" s="13"/>
    </row>
    <row r="4362" spans="1:7" x14ac:dyDescent="0.3">
      <c r="A4362" s="13"/>
      <c r="B4362" s="13"/>
      <c r="E4362" s="13"/>
      <c r="F4362" s="13"/>
      <c r="G4362" s="13"/>
    </row>
    <row r="4363" spans="1:7" x14ac:dyDescent="0.3">
      <c r="A4363" s="13"/>
      <c r="B4363" s="13"/>
      <c r="E4363" s="13"/>
      <c r="F4363" s="13"/>
      <c r="G4363" s="13"/>
    </row>
    <row r="4364" spans="1:7" x14ac:dyDescent="0.3">
      <c r="A4364" s="13"/>
      <c r="B4364" s="13"/>
      <c r="E4364" s="13"/>
      <c r="F4364" s="13"/>
      <c r="G4364" s="13"/>
    </row>
    <row r="4365" spans="1:7" x14ac:dyDescent="0.3">
      <c r="A4365" s="13"/>
      <c r="B4365" s="13"/>
      <c r="E4365" s="13"/>
      <c r="F4365" s="13"/>
      <c r="G4365" s="13"/>
    </row>
    <row r="4366" spans="1:7" x14ac:dyDescent="0.3">
      <c r="A4366" s="13"/>
      <c r="B4366" s="13"/>
      <c r="E4366" s="13"/>
      <c r="F4366" s="13"/>
      <c r="G4366" s="13"/>
    </row>
    <row r="4367" spans="1:7" x14ac:dyDescent="0.3">
      <c r="A4367" s="13"/>
      <c r="B4367" s="13"/>
      <c r="E4367" s="13"/>
      <c r="F4367" s="13"/>
      <c r="G4367" s="13"/>
    </row>
    <row r="4368" spans="1:7" x14ac:dyDescent="0.3">
      <c r="A4368" s="13"/>
      <c r="B4368" s="13"/>
      <c r="E4368" s="13"/>
      <c r="F4368" s="13"/>
      <c r="G4368" s="13"/>
    </row>
    <row r="4369" spans="1:7" x14ac:dyDescent="0.3">
      <c r="A4369" s="13"/>
      <c r="B4369" s="13"/>
      <c r="E4369" s="13"/>
      <c r="F4369" s="13"/>
      <c r="G4369" s="13"/>
    </row>
    <row r="4370" spans="1:7" x14ac:dyDescent="0.3">
      <c r="A4370" s="13"/>
      <c r="B4370" s="13"/>
      <c r="E4370" s="13"/>
      <c r="F4370" s="13"/>
      <c r="G4370" s="13"/>
    </row>
    <row r="4371" spans="1:7" x14ac:dyDescent="0.3">
      <c r="A4371" s="13"/>
      <c r="B4371" s="13"/>
      <c r="E4371" s="13"/>
      <c r="F4371" s="13"/>
      <c r="G4371" s="13"/>
    </row>
    <row r="4372" spans="1:7" x14ac:dyDescent="0.3">
      <c r="A4372" s="13"/>
      <c r="B4372" s="13"/>
      <c r="E4372" s="13"/>
      <c r="F4372" s="13"/>
      <c r="G4372" s="13"/>
    </row>
    <row r="4373" spans="1:7" x14ac:dyDescent="0.3">
      <c r="A4373" s="13"/>
      <c r="B4373" s="13"/>
      <c r="E4373" s="13"/>
      <c r="F4373" s="13"/>
      <c r="G4373" s="13"/>
    </row>
    <row r="4374" spans="1:7" x14ac:dyDescent="0.3">
      <c r="A4374" s="13"/>
      <c r="B4374" s="13"/>
      <c r="E4374" s="13"/>
      <c r="F4374" s="13"/>
      <c r="G4374" s="13"/>
    </row>
    <row r="4375" spans="1:7" x14ac:dyDescent="0.3">
      <c r="A4375" s="13"/>
      <c r="B4375" s="13"/>
      <c r="E4375" s="13"/>
      <c r="F4375" s="13"/>
      <c r="G4375" s="13"/>
    </row>
    <row r="4376" spans="1:7" x14ac:dyDescent="0.3">
      <c r="A4376" s="13"/>
      <c r="B4376" s="13"/>
      <c r="E4376" s="13"/>
      <c r="F4376" s="13"/>
      <c r="G4376" s="13"/>
    </row>
    <row r="4377" spans="1:7" x14ac:dyDescent="0.3">
      <c r="A4377" s="13"/>
      <c r="B4377" s="13"/>
      <c r="E4377" s="13"/>
      <c r="F4377" s="13"/>
      <c r="G4377" s="13"/>
    </row>
    <row r="4378" spans="1:7" x14ac:dyDescent="0.3">
      <c r="A4378" s="13"/>
      <c r="B4378" s="13"/>
      <c r="E4378" s="13"/>
      <c r="F4378" s="13"/>
      <c r="G4378" s="13"/>
    </row>
    <row r="4379" spans="1:7" x14ac:dyDescent="0.3">
      <c r="A4379" s="13"/>
      <c r="B4379" s="13"/>
      <c r="E4379" s="13"/>
      <c r="F4379" s="13"/>
      <c r="G4379" s="13"/>
    </row>
    <row r="4380" spans="1:7" x14ac:dyDescent="0.3">
      <c r="A4380" s="13"/>
      <c r="B4380" s="13"/>
      <c r="E4380" s="13"/>
      <c r="F4380" s="13"/>
      <c r="G4380" s="13"/>
    </row>
    <row r="4381" spans="1:7" x14ac:dyDescent="0.3">
      <c r="A4381" s="13"/>
      <c r="B4381" s="13"/>
      <c r="E4381" s="13"/>
      <c r="F4381" s="13"/>
      <c r="G4381" s="13"/>
    </row>
    <row r="4382" spans="1:7" x14ac:dyDescent="0.3">
      <c r="A4382" s="13"/>
      <c r="B4382" s="13"/>
      <c r="E4382" s="13"/>
      <c r="F4382" s="13"/>
      <c r="G4382" s="13"/>
    </row>
    <row r="4383" spans="1:7" x14ac:dyDescent="0.3">
      <c r="A4383" s="13"/>
      <c r="B4383" s="13"/>
      <c r="E4383" s="13"/>
      <c r="F4383" s="13"/>
      <c r="G4383" s="13"/>
    </row>
    <row r="4384" spans="1:7" x14ac:dyDescent="0.3">
      <c r="A4384" s="13"/>
      <c r="B4384" s="13"/>
      <c r="E4384" s="13"/>
      <c r="F4384" s="13"/>
      <c r="G4384" s="13"/>
    </row>
    <row r="4385" spans="1:7" x14ac:dyDescent="0.3">
      <c r="A4385" s="13"/>
      <c r="B4385" s="13"/>
      <c r="E4385" s="13"/>
      <c r="F4385" s="13"/>
      <c r="G4385" s="13"/>
    </row>
    <row r="4386" spans="1:7" x14ac:dyDescent="0.3">
      <c r="A4386" s="13"/>
      <c r="B4386" s="13"/>
      <c r="E4386" s="13"/>
      <c r="F4386" s="13"/>
      <c r="G4386" s="13"/>
    </row>
    <row r="4387" spans="1:7" x14ac:dyDescent="0.3">
      <c r="A4387" s="13"/>
      <c r="B4387" s="13"/>
      <c r="E4387" s="13"/>
      <c r="F4387" s="13"/>
      <c r="G4387" s="13"/>
    </row>
    <row r="4388" spans="1:7" x14ac:dyDescent="0.3">
      <c r="A4388" s="13"/>
      <c r="B4388" s="13"/>
      <c r="E4388" s="13"/>
      <c r="F4388" s="13"/>
      <c r="G4388" s="13"/>
    </row>
    <row r="4389" spans="1:7" x14ac:dyDescent="0.3">
      <c r="A4389" s="13"/>
      <c r="B4389" s="13"/>
      <c r="E4389" s="13"/>
      <c r="F4389" s="13"/>
      <c r="G4389" s="13"/>
    </row>
    <row r="4390" spans="1:7" x14ac:dyDescent="0.3">
      <c r="A4390" s="13"/>
      <c r="B4390" s="13"/>
      <c r="E4390" s="13"/>
      <c r="F4390" s="13"/>
      <c r="G4390" s="13"/>
    </row>
    <row r="4391" spans="1:7" x14ac:dyDescent="0.3">
      <c r="A4391" s="13"/>
      <c r="B4391" s="13"/>
      <c r="E4391" s="13"/>
      <c r="F4391" s="13"/>
      <c r="G4391" s="13"/>
    </row>
    <row r="4392" spans="1:7" x14ac:dyDescent="0.3">
      <c r="A4392" s="13"/>
      <c r="B4392" s="13"/>
      <c r="E4392" s="13"/>
      <c r="F4392" s="13"/>
      <c r="G4392" s="13"/>
    </row>
    <row r="4393" spans="1:7" x14ac:dyDescent="0.3">
      <c r="A4393" s="13"/>
      <c r="B4393" s="13"/>
      <c r="E4393" s="13"/>
      <c r="F4393" s="13"/>
      <c r="G4393" s="13"/>
    </row>
    <row r="4394" spans="1:7" x14ac:dyDescent="0.3">
      <c r="A4394" s="13"/>
      <c r="B4394" s="13"/>
      <c r="E4394" s="13"/>
      <c r="F4394" s="13"/>
      <c r="G4394" s="13"/>
    </row>
    <row r="4395" spans="1:7" x14ac:dyDescent="0.3">
      <c r="A4395" s="13"/>
      <c r="B4395" s="13"/>
      <c r="E4395" s="13"/>
      <c r="F4395" s="13"/>
      <c r="G4395" s="13"/>
    </row>
    <row r="4396" spans="1:7" x14ac:dyDescent="0.3">
      <c r="A4396" s="13"/>
      <c r="B4396" s="13"/>
      <c r="E4396" s="13"/>
      <c r="F4396" s="13"/>
      <c r="G4396" s="13"/>
    </row>
    <row r="4397" spans="1:7" x14ac:dyDescent="0.3">
      <c r="A4397" s="13"/>
      <c r="B4397" s="13"/>
      <c r="E4397" s="13"/>
      <c r="F4397" s="13"/>
      <c r="G4397" s="13"/>
    </row>
    <row r="4398" spans="1:7" x14ac:dyDescent="0.3">
      <c r="A4398" s="13"/>
      <c r="B4398" s="13"/>
      <c r="E4398" s="13"/>
      <c r="F4398" s="13"/>
      <c r="G4398" s="13"/>
    </row>
    <row r="4399" spans="1:7" x14ac:dyDescent="0.3">
      <c r="A4399" s="13"/>
      <c r="B4399" s="13"/>
      <c r="E4399" s="13"/>
      <c r="F4399" s="13"/>
      <c r="G4399" s="13"/>
    </row>
    <row r="4400" spans="1:7" x14ac:dyDescent="0.3">
      <c r="A4400" s="13"/>
      <c r="B4400" s="13"/>
      <c r="E4400" s="13"/>
      <c r="F4400" s="13"/>
      <c r="G4400" s="13"/>
    </row>
    <row r="4401" spans="1:7" x14ac:dyDescent="0.3">
      <c r="A4401" s="13"/>
      <c r="B4401" s="13"/>
      <c r="E4401" s="13"/>
      <c r="F4401" s="13"/>
      <c r="G4401" s="13"/>
    </row>
    <row r="4402" spans="1:7" x14ac:dyDescent="0.3">
      <c r="A4402" s="13"/>
      <c r="B4402" s="13"/>
      <c r="E4402" s="13"/>
      <c r="F4402" s="13"/>
      <c r="G4402" s="13"/>
    </row>
    <row r="4403" spans="1:7" x14ac:dyDescent="0.3">
      <c r="A4403" s="13"/>
      <c r="B4403" s="13"/>
      <c r="E4403" s="13"/>
      <c r="F4403" s="13"/>
      <c r="G4403" s="13"/>
    </row>
    <row r="4404" spans="1:7" x14ac:dyDescent="0.3">
      <c r="A4404" s="13"/>
      <c r="B4404" s="13"/>
      <c r="E4404" s="13"/>
      <c r="F4404" s="13"/>
      <c r="G4404" s="13"/>
    </row>
    <row r="4405" spans="1:7" x14ac:dyDescent="0.3">
      <c r="A4405" s="13"/>
      <c r="B4405" s="13"/>
      <c r="E4405" s="13"/>
      <c r="F4405" s="13"/>
      <c r="G4405" s="13"/>
    </row>
    <row r="4406" spans="1:7" x14ac:dyDescent="0.3">
      <c r="A4406" s="13"/>
      <c r="B4406" s="13"/>
      <c r="E4406" s="13"/>
      <c r="F4406" s="13"/>
      <c r="G4406" s="13"/>
    </row>
    <row r="4407" spans="1:7" x14ac:dyDescent="0.3">
      <c r="A4407" s="13"/>
      <c r="B4407" s="13"/>
      <c r="E4407" s="13"/>
      <c r="F4407" s="13"/>
      <c r="G4407" s="13"/>
    </row>
    <row r="4408" spans="1:7" x14ac:dyDescent="0.3">
      <c r="A4408" s="13"/>
      <c r="B4408" s="13"/>
      <c r="E4408" s="13"/>
      <c r="F4408" s="13"/>
      <c r="G4408" s="13"/>
    </row>
    <row r="4409" spans="1:7" x14ac:dyDescent="0.3">
      <c r="A4409" s="13"/>
      <c r="B4409" s="13"/>
      <c r="E4409" s="13"/>
      <c r="F4409" s="13"/>
      <c r="G4409" s="13"/>
    </row>
    <row r="4410" spans="1:7" x14ac:dyDescent="0.3">
      <c r="A4410" s="13"/>
      <c r="B4410" s="13"/>
      <c r="E4410" s="13"/>
      <c r="F4410" s="13"/>
      <c r="G4410" s="13"/>
    </row>
    <row r="4411" spans="1:7" x14ac:dyDescent="0.3">
      <c r="A4411" s="13"/>
      <c r="B4411" s="13"/>
      <c r="E4411" s="13"/>
      <c r="F4411" s="13"/>
      <c r="G4411" s="13"/>
    </row>
    <row r="4412" spans="1:7" x14ac:dyDescent="0.3">
      <c r="A4412" s="13"/>
      <c r="B4412" s="13"/>
      <c r="E4412" s="13"/>
      <c r="F4412" s="13"/>
      <c r="G4412" s="13"/>
    </row>
    <row r="4413" spans="1:7" x14ac:dyDescent="0.3">
      <c r="A4413" s="13"/>
      <c r="B4413" s="13"/>
      <c r="E4413" s="13"/>
      <c r="F4413" s="13"/>
      <c r="G4413" s="13"/>
    </row>
    <row r="4414" spans="1:7" x14ac:dyDescent="0.3">
      <c r="A4414" s="13"/>
      <c r="B4414" s="13"/>
      <c r="E4414" s="13"/>
      <c r="F4414" s="13"/>
      <c r="G4414" s="13"/>
    </row>
    <row r="4415" spans="1:7" x14ac:dyDescent="0.3">
      <c r="A4415" s="13"/>
      <c r="B4415" s="13"/>
      <c r="E4415" s="13"/>
      <c r="F4415" s="13"/>
      <c r="G4415" s="13"/>
    </row>
    <row r="4416" spans="1:7" x14ac:dyDescent="0.3">
      <c r="A4416" s="13"/>
      <c r="B4416" s="13"/>
      <c r="E4416" s="13"/>
      <c r="F4416" s="13"/>
      <c r="G4416" s="13"/>
    </row>
    <row r="4417" spans="1:7" x14ac:dyDescent="0.3">
      <c r="A4417" s="13"/>
      <c r="B4417" s="13"/>
      <c r="E4417" s="13"/>
      <c r="F4417" s="13"/>
      <c r="G4417" s="13"/>
    </row>
    <row r="4418" spans="1:7" x14ac:dyDescent="0.3">
      <c r="A4418" s="13"/>
      <c r="B4418" s="13"/>
      <c r="E4418" s="13"/>
      <c r="F4418" s="13"/>
      <c r="G4418" s="13"/>
    </row>
    <row r="4419" spans="1:7" x14ac:dyDescent="0.3">
      <c r="A4419" s="13"/>
      <c r="B4419" s="13"/>
      <c r="E4419" s="13"/>
      <c r="F4419" s="13"/>
      <c r="G4419" s="13"/>
    </row>
    <row r="4420" spans="1:7" x14ac:dyDescent="0.3">
      <c r="A4420" s="13"/>
      <c r="B4420" s="13"/>
      <c r="E4420" s="13"/>
      <c r="F4420" s="13"/>
      <c r="G4420" s="13"/>
    </row>
    <row r="4421" spans="1:7" x14ac:dyDescent="0.3">
      <c r="A4421" s="13"/>
      <c r="B4421" s="13"/>
      <c r="E4421" s="13"/>
      <c r="F4421" s="13"/>
      <c r="G4421" s="13"/>
    </row>
    <row r="4422" spans="1:7" x14ac:dyDescent="0.3">
      <c r="A4422" s="13"/>
      <c r="B4422" s="13"/>
      <c r="E4422" s="13"/>
      <c r="F4422" s="13"/>
      <c r="G4422" s="13"/>
    </row>
    <row r="4423" spans="1:7" x14ac:dyDescent="0.3">
      <c r="A4423" s="13"/>
      <c r="B4423" s="13"/>
      <c r="E4423" s="13"/>
      <c r="F4423" s="13"/>
      <c r="G4423" s="13"/>
    </row>
    <row r="4424" spans="1:7" x14ac:dyDescent="0.3">
      <c r="A4424" s="13"/>
      <c r="B4424" s="13"/>
      <c r="E4424" s="13"/>
      <c r="F4424" s="13"/>
      <c r="G4424" s="13"/>
    </row>
    <row r="4425" spans="1:7" x14ac:dyDescent="0.3">
      <c r="A4425" s="13"/>
      <c r="B4425" s="13"/>
      <c r="E4425" s="13"/>
      <c r="F4425" s="13"/>
      <c r="G4425" s="13"/>
    </row>
    <row r="4426" spans="1:7" x14ac:dyDescent="0.3">
      <c r="A4426" s="13"/>
      <c r="B4426" s="13"/>
      <c r="E4426" s="13"/>
      <c r="F4426" s="13"/>
      <c r="G4426" s="13"/>
    </row>
    <row r="4427" spans="1:7" x14ac:dyDescent="0.3">
      <c r="A4427" s="13"/>
      <c r="B4427" s="13"/>
      <c r="E4427" s="13"/>
      <c r="F4427" s="13"/>
      <c r="G4427" s="13"/>
    </row>
    <row r="4428" spans="1:7" x14ac:dyDescent="0.3">
      <c r="A4428" s="13"/>
      <c r="B4428" s="13"/>
      <c r="E4428" s="13"/>
      <c r="F4428" s="13"/>
      <c r="G4428" s="13"/>
    </row>
    <row r="4429" spans="1:7" x14ac:dyDescent="0.3">
      <c r="A4429" s="13"/>
      <c r="B4429" s="13"/>
      <c r="E4429" s="13"/>
      <c r="F4429" s="13"/>
      <c r="G4429" s="13"/>
    </row>
    <row r="4430" spans="1:7" x14ac:dyDescent="0.3">
      <c r="A4430" s="13"/>
      <c r="B4430" s="13"/>
      <c r="E4430" s="13"/>
      <c r="F4430" s="13"/>
      <c r="G4430" s="13"/>
    </row>
    <row r="4431" spans="1:7" x14ac:dyDescent="0.3">
      <c r="A4431" s="13"/>
      <c r="B4431" s="13"/>
      <c r="E4431" s="13"/>
      <c r="F4431" s="13"/>
      <c r="G4431" s="13"/>
    </row>
    <row r="4432" spans="1:7" x14ac:dyDescent="0.3">
      <c r="A4432" s="13"/>
      <c r="B4432" s="13"/>
      <c r="E4432" s="13"/>
      <c r="F4432" s="13"/>
      <c r="G4432" s="13"/>
    </row>
    <row r="4433" spans="1:7" x14ac:dyDescent="0.3">
      <c r="A4433" s="13"/>
      <c r="B4433" s="13"/>
      <c r="E4433" s="13"/>
      <c r="F4433" s="13"/>
      <c r="G4433" s="13"/>
    </row>
    <row r="4434" spans="1:7" x14ac:dyDescent="0.3">
      <c r="A4434" s="13"/>
      <c r="B4434" s="13"/>
      <c r="E4434" s="13"/>
      <c r="F4434" s="13"/>
      <c r="G4434" s="13"/>
    </row>
    <row r="4435" spans="1:7" x14ac:dyDescent="0.3">
      <c r="A4435" s="13"/>
      <c r="B4435" s="13"/>
      <c r="E4435" s="13"/>
      <c r="F4435" s="13"/>
      <c r="G4435" s="13"/>
    </row>
    <row r="4436" spans="1:7" x14ac:dyDescent="0.3">
      <c r="A4436" s="13"/>
      <c r="B4436" s="13"/>
      <c r="E4436" s="13"/>
      <c r="F4436" s="13"/>
      <c r="G4436" s="13"/>
    </row>
    <row r="4437" spans="1:7" x14ac:dyDescent="0.3">
      <c r="A4437" s="13"/>
      <c r="B4437" s="13"/>
      <c r="E4437" s="13"/>
      <c r="F4437" s="13"/>
      <c r="G4437" s="13"/>
    </row>
    <row r="4438" spans="1:7" x14ac:dyDescent="0.3">
      <c r="A4438" s="13"/>
      <c r="B4438" s="13"/>
      <c r="E4438" s="13"/>
      <c r="F4438" s="13"/>
      <c r="G4438" s="13"/>
    </row>
    <row r="4439" spans="1:7" x14ac:dyDescent="0.3">
      <c r="A4439" s="13"/>
      <c r="B4439" s="13"/>
      <c r="E4439" s="13"/>
      <c r="F4439" s="13"/>
      <c r="G4439" s="13"/>
    </row>
    <row r="4440" spans="1:7" x14ac:dyDescent="0.3">
      <c r="A4440" s="13"/>
      <c r="B4440" s="13"/>
      <c r="E4440" s="13"/>
      <c r="F4440" s="13"/>
      <c r="G4440" s="13"/>
    </row>
    <row r="4441" spans="1:7" x14ac:dyDescent="0.3">
      <c r="A4441" s="13"/>
      <c r="B4441" s="13"/>
      <c r="E4441" s="13"/>
      <c r="F4441" s="13"/>
      <c r="G4441" s="13"/>
    </row>
    <row r="4442" spans="1:7" x14ac:dyDescent="0.3">
      <c r="A4442" s="13"/>
      <c r="B4442" s="13"/>
      <c r="E4442" s="13"/>
      <c r="F4442" s="13"/>
      <c r="G4442" s="13"/>
    </row>
    <row r="4443" spans="1:7" x14ac:dyDescent="0.3">
      <c r="A4443" s="13"/>
      <c r="B4443" s="13"/>
      <c r="E4443" s="13"/>
      <c r="F4443" s="13"/>
      <c r="G4443" s="13"/>
    </row>
    <row r="4444" spans="1:7" x14ac:dyDescent="0.3">
      <c r="A4444" s="13"/>
      <c r="B4444" s="13"/>
      <c r="E4444" s="13"/>
      <c r="F4444" s="13"/>
      <c r="G4444" s="13"/>
    </row>
    <row r="4445" spans="1:7" x14ac:dyDescent="0.3">
      <c r="A4445" s="13"/>
      <c r="B4445" s="13"/>
      <c r="E4445" s="13"/>
      <c r="F4445" s="13"/>
      <c r="G4445" s="13"/>
    </row>
    <row r="4446" spans="1:7" x14ac:dyDescent="0.3">
      <c r="A4446" s="13"/>
      <c r="B4446" s="13"/>
      <c r="E4446" s="13"/>
      <c r="F4446" s="13"/>
      <c r="G4446" s="13"/>
    </row>
    <row r="4447" spans="1:7" x14ac:dyDescent="0.3">
      <c r="A4447" s="13"/>
      <c r="B4447" s="13"/>
      <c r="E4447" s="13"/>
      <c r="F4447" s="13"/>
      <c r="G4447" s="13"/>
    </row>
    <row r="4448" spans="1:7" x14ac:dyDescent="0.3">
      <c r="A4448" s="13"/>
      <c r="B4448" s="13"/>
      <c r="E4448" s="13"/>
      <c r="F4448" s="13"/>
      <c r="G4448" s="13"/>
    </row>
    <row r="4449" spans="1:7" x14ac:dyDescent="0.3">
      <c r="A4449" s="13"/>
      <c r="B4449" s="13"/>
      <c r="E4449" s="13"/>
      <c r="F4449" s="13"/>
      <c r="G4449" s="13"/>
    </row>
    <row r="4450" spans="1:7" x14ac:dyDescent="0.3">
      <c r="A4450" s="13"/>
      <c r="B4450" s="13"/>
      <c r="E4450" s="13"/>
      <c r="F4450" s="13"/>
      <c r="G4450" s="13"/>
    </row>
    <row r="4451" spans="1:7" x14ac:dyDescent="0.3">
      <c r="A4451" s="13"/>
      <c r="B4451" s="13"/>
      <c r="E4451" s="13"/>
      <c r="F4451" s="13"/>
      <c r="G4451" s="13"/>
    </row>
    <row r="4452" spans="1:7" x14ac:dyDescent="0.3">
      <c r="A4452" s="13"/>
      <c r="B4452" s="13"/>
      <c r="E4452" s="13"/>
      <c r="F4452" s="13"/>
      <c r="G4452" s="13"/>
    </row>
    <row r="4453" spans="1:7" x14ac:dyDescent="0.3">
      <c r="A4453" s="13"/>
      <c r="B4453" s="13"/>
      <c r="E4453" s="13"/>
      <c r="F4453" s="13"/>
      <c r="G4453" s="13"/>
    </row>
    <row r="4454" spans="1:7" x14ac:dyDescent="0.3">
      <c r="A4454" s="13"/>
      <c r="B4454" s="13"/>
      <c r="E4454" s="13"/>
      <c r="F4454" s="13"/>
      <c r="G4454" s="13"/>
    </row>
    <row r="4455" spans="1:7" x14ac:dyDescent="0.3">
      <c r="A4455" s="13"/>
      <c r="B4455" s="13"/>
      <c r="E4455" s="13"/>
      <c r="F4455" s="13"/>
      <c r="G4455" s="13"/>
    </row>
    <row r="4456" spans="1:7" x14ac:dyDescent="0.3">
      <c r="A4456" s="13"/>
      <c r="B4456" s="13"/>
      <c r="E4456" s="13"/>
      <c r="F4456" s="13"/>
      <c r="G4456" s="13"/>
    </row>
    <row r="4457" spans="1:7" x14ac:dyDescent="0.3">
      <c r="A4457" s="13"/>
      <c r="B4457" s="13"/>
      <c r="E4457" s="13"/>
      <c r="F4457" s="13"/>
      <c r="G4457" s="13"/>
    </row>
    <row r="4458" spans="1:7" x14ac:dyDescent="0.3">
      <c r="A4458" s="13"/>
      <c r="B4458" s="13"/>
      <c r="E4458" s="13"/>
      <c r="F4458" s="13"/>
      <c r="G4458" s="13"/>
    </row>
    <row r="4459" spans="1:7" x14ac:dyDescent="0.3">
      <c r="A4459" s="13"/>
      <c r="B4459" s="13"/>
      <c r="E4459" s="13"/>
      <c r="F4459" s="13"/>
      <c r="G4459" s="13"/>
    </row>
    <row r="4460" spans="1:7" x14ac:dyDescent="0.3">
      <c r="A4460" s="13"/>
      <c r="B4460" s="13"/>
      <c r="E4460" s="13"/>
      <c r="F4460" s="13"/>
      <c r="G4460" s="13"/>
    </row>
    <row r="4461" spans="1:7" x14ac:dyDescent="0.3">
      <c r="A4461" s="13"/>
      <c r="B4461" s="13"/>
      <c r="E4461" s="13"/>
      <c r="F4461" s="13"/>
      <c r="G4461" s="13"/>
    </row>
    <row r="4462" spans="1:7" x14ac:dyDescent="0.3">
      <c r="A4462" s="13"/>
      <c r="B4462" s="13"/>
      <c r="E4462" s="13"/>
      <c r="F4462" s="13"/>
      <c r="G4462" s="13"/>
    </row>
    <row r="4463" spans="1:7" x14ac:dyDescent="0.3">
      <c r="A4463" s="13"/>
      <c r="B4463" s="13"/>
      <c r="E4463" s="13"/>
      <c r="F4463" s="13"/>
      <c r="G4463" s="13"/>
    </row>
    <row r="4464" spans="1:7" x14ac:dyDescent="0.3">
      <c r="A4464" s="13"/>
      <c r="B4464" s="13"/>
      <c r="E4464" s="13"/>
      <c r="F4464" s="13"/>
      <c r="G4464" s="13"/>
    </row>
    <row r="4465" spans="1:7" x14ac:dyDescent="0.3">
      <c r="A4465" s="13"/>
      <c r="B4465" s="13"/>
      <c r="E4465" s="13"/>
      <c r="F4465" s="13"/>
      <c r="G4465" s="13"/>
    </row>
    <row r="4466" spans="1:7" x14ac:dyDescent="0.3">
      <c r="A4466" s="13"/>
      <c r="B4466" s="13"/>
      <c r="E4466" s="13"/>
      <c r="F4466" s="13"/>
      <c r="G4466" s="13"/>
    </row>
    <row r="4467" spans="1:7" x14ac:dyDescent="0.3">
      <c r="A4467" s="13"/>
      <c r="B4467" s="13"/>
      <c r="E4467" s="13"/>
      <c r="F4467" s="13"/>
      <c r="G4467" s="13"/>
    </row>
    <row r="4468" spans="1:7" x14ac:dyDescent="0.3">
      <c r="A4468" s="13"/>
      <c r="B4468" s="13"/>
      <c r="E4468" s="13"/>
      <c r="F4468" s="13"/>
      <c r="G4468" s="13"/>
    </row>
    <row r="4469" spans="1:7" x14ac:dyDescent="0.3">
      <c r="A4469" s="13"/>
      <c r="B4469" s="13"/>
      <c r="E4469" s="13"/>
      <c r="F4469" s="13"/>
      <c r="G4469" s="13"/>
    </row>
    <row r="4470" spans="1:7" x14ac:dyDescent="0.3">
      <c r="A4470" s="13"/>
      <c r="B4470" s="13"/>
      <c r="E4470" s="13"/>
      <c r="F4470" s="13"/>
      <c r="G4470" s="13"/>
    </row>
    <row r="4471" spans="1:7" x14ac:dyDescent="0.3">
      <c r="A4471" s="13"/>
      <c r="B4471" s="13"/>
      <c r="E4471" s="13"/>
      <c r="F4471" s="13"/>
      <c r="G4471" s="13"/>
    </row>
    <row r="4472" spans="1:7" x14ac:dyDescent="0.3">
      <c r="A4472" s="13"/>
      <c r="B4472" s="13"/>
      <c r="E4472" s="13"/>
      <c r="F4472" s="13"/>
      <c r="G4472" s="13"/>
    </row>
    <row r="4473" spans="1:7" x14ac:dyDescent="0.3">
      <c r="A4473" s="13"/>
      <c r="B4473" s="13"/>
      <c r="E4473" s="13"/>
      <c r="F4473" s="13"/>
      <c r="G4473" s="13"/>
    </row>
    <row r="4474" spans="1:7" x14ac:dyDescent="0.3">
      <c r="A4474" s="13"/>
      <c r="B4474" s="13"/>
      <c r="E4474" s="13"/>
      <c r="F4474" s="13"/>
      <c r="G4474" s="13"/>
    </row>
    <row r="4475" spans="1:7" x14ac:dyDescent="0.3">
      <c r="A4475" s="13"/>
      <c r="B4475" s="13"/>
      <c r="E4475" s="13"/>
      <c r="F4475" s="13"/>
      <c r="G4475" s="13"/>
    </row>
    <row r="4476" spans="1:7" x14ac:dyDescent="0.3">
      <c r="A4476" s="13"/>
      <c r="B4476" s="13"/>
      <c r="E4476" s="13"/>
      <c r="F4476" s="13"/>
      <c r="G4476" s="13"/>
    </row>
    <row r="4477" spans="1:7" x14ac:dyDescent="0.3">
      <c r="A4477" s="13"/>
      <c r="B4477" s="13"/>
      <c r="E4477" s="13"/>
      <c r="F4477" s="13"/>
      <c r="G4477" s="13"/>
    </row>
    <row r="4478" spans="1:7" x14ac:dyDescent="0.3">
      <c r="A4478" s="13"/>
      <c r="B4478" s="13"/>
      <c r="E4478" s="13"/>
      <c r="F4478" s="13"/>
      <c r="G4478" s="13"/>
    </row>
    <row r="4479" spans="1:7" x14ac:dyDescent="0.3">
      <c r="A4479" s="13"/>
      <c r="B4479" s="13"/>
      <c r="E4479" s="13"/>
      <c r="F4479" s="13"/>
      <c r="G4479" s="13"/>
    </row>
    <row r="4480" spans="1:7" x14ac:dyDescent="0.3">
      <c r="A4480" s="13"/>
      <c r="B4480" s="13"/>
      <c r="E4480" s="13"/>
      <c r="F4480" s="13"/>
      <c r="G4480" s="13"/>
    </row>
    <row r="4481" spans="1:7" x14ac:dyDescent="0.3">
      <c r="A4481" s="13"/>
      <c r="B4481" s="13"/>
      <c r="E4481" s="13"/>
      <c r="F4481" s="13"/>
      <c r="G4481" s="13"/>
    </row>
    <row r="4482" spans="1:7" x14ac:dyDescent="0.3">
      <c r="A4482" s="13"/>
      <c r="B4482" s="13"/>
      <c r="E4482" s="13"/>
      <c r="F4482" s="13"/>
      <c r="G4482" s="13"/>
    </row>
    <row r="4483" spans="1:7" x14ac:dyDescent="0.3">
      <c r="A4483" s="13"/>
      <c r="B4483" s="13"/>
      <c r="E4483" s="13"/>
      <c r="F4483" s="13"/>
      <c r="G4483" s="13"/>
    </row>
    <row r="4484" spans="1:7" x14ac:dyDescent="0.3">
      <c r="A4484" s="13"/>
      <c r="B4484" s="13"/>
      <c r="E4484" s="13"/>
      <c r="F4484" s="13"/>
      <c r="G4484" s="13"/>
    </row>
    <row r="4485" spans="1:7" x14ac:dyDescent="0.3">
      <c r="A4485" s="13"/>
      <c r="B4485" s="13"/>
      <c r="E4485" s="13"/>
      <c r="F4485" s="13"/>
      <c r="G4485" s="13"/>
    </row>
    <row r="4486" spans="1:7" x14ac:dyDescent="0.3">
      <c r="A4486" s="13"/>
      <c r="B4486" s="13"/>
      <c r="E4486" s="13"/>
      <c r="F4486" s="13"/>
      <c r="G4486" s="13"/>
    </row>
    <row r="4487" spans="1:7" x14ac:dyDescent="0.3">
      <c r="A4487" s="13"/>
      <c r="B4487" s="13"/>
      <c r="E4487" s="13"/>
      <c r="F4487" s="13"/>
      <c r="G4487" s="13"/>
    </row>
    <row r="4488" spans="1:7" x14ac:dyDescent="0.3">
      <c r="A4488" s="13"/>
      <c r="B4488" s="13"/>
      <c r="E4488" s="13"/>
      <c r="F4488" s="13"/>
      <c r="G4488" s="13"/>
    </row>
    <row r="4489" spans="1:7" x14ac:dyDescent="0.3">
      <c r="A4489" s="13"/>
      <c r="B4489" s="13"/>
      <c r="E4489" s="13"/>
      <c r="F4489" s="13"/>
      <c r="G4489" s="13"/>
    </row>
    <row r="4490" spans="1:7" x14ac:dyDescent="0.3">
      <c r="A4490" s="13"/>
      <c r="B4490" s="13"/>
      <c r="E4490" s="13"/>
      <c r="F4490" s="13"/>
      <c r="G4490" s="13"/>
    </row>
    <row r="4491" spans="1:7" x14ac:dyDescent="0.3">
      <c r="A4491" s="13"/>
      <c r="B4491" s="13"/>
      <c r="E4491" s="13"/>
      <c r="F4491" s="13"/>
      <c r="G4491" s="13"/>
    </row>
    <row r="4492" spans="1:7" x14ac:dyDescent="0.3">
      <c r="A4492" s="13"/>
      <c r="B4492" s="13"/>
      <c r="E4492" s="13"/>
      <c r="F4492" s="13"/>
      <c r="G4492" s="13"/>
    </row>
    <row r="4493" spans="1:7" x14ac:dyDescent="0.3">
      <c r="A4493" s="13"/>
      <c r="B4493" s="13"/>
      <c r="E4493" s="13"/>
      <c r="F4493" s="13"/>
      <c r="G4493" s="13"/>
    </row>
    <row r="4494" spans="1:7" x14ac:dyDescent="0.3">
      <c r="A4494" s="13"/>
      <c r="B4494" s="13"/>
      <c r="E4494" s="13"/>
      <c r="F4494" s="13"/>
      <c r="G4494" s="13"/>
    </row>
    <row r="4495" spans="1:7" x14ac:dyDescent="0.3">
      <c r="A4495" s="13"/>
      <c r="B4495" s="13"/>
      <c r="E4495" s="13"/>
      <c r="F4495" s="13"/>
      <c r="G4495" s="13"/>
    </row>
    <row r="4496" spans="1:7" x14ac:dyDescent="0.3">
      <c r="A4496" s="13"/>
      <c r="B4496" s="13"/>
      <c r="E4496" s="13"/>
      <c r="F4496" s="13"/>
      <c r="G4496" s="13"/>
    </row>
    <row r="4497" spans="1:7" x14ac:dyDescent="0.3">
      <c r="A4497" s="13"/>
      <c r="B4497" s="13"/>
      <c r="E4497" s="13"/>
      <c r="F4497" s="13"/>
      <c r="G4497" s="13"/>
    </row>
    <row r="4498" spans="1:7" x14ac:dyDescent="0.3">
      <c r="A4498" s="13"/>
      <c r="B4498" s="13"/>
      <c r="E4498" s="13"/>
      <c r="F4498" s="13"/>
      <c r="G4498" s="13"/>
    </row>
    <row r="4499" spans="1:7" x14ac:dyDescent="0.3">
      <c r="A4499" s="13"/>
      <c r="B4499" s="13"/>
      <c r="E4499" s="13"/>
      <c r="F4499" s="13"/>
      <c r="G4499" s="13"/>
    </row>
    <row r="4500" spans="1:7" x14ac:dyDescent="0.3">
      <c r="A4500" s="13"/>
      <c r="B4500" s="13"/>
      <c r="E4500" s="13"/>
      <c r="F4500" s="13"/>
      <c r="G4500" s="13"/>
    </row>
    <row r="4501" spans="1:7" x14ac:dyDescent="0.3">
      <c r="A4501" s="13"/>
      <c r="B4501" s="13"/>
      <c r="E4501" s="13"/>
      <c r="F4501" s="13"/>
      <c r="G4501" s="13"/>
    </row>
    <row r="4502" spans="1:7" x14ac:dyDescent="0.3">
      <c r="A4502" s="13"/>
      <c r="B4502" s="13"/>
      <c r="E4502" s="13"/>
      <c r="F4502" s="13"/>
      <c r="G4502" s="13"/>
    </row>
    <row r="4503" spans="1:7" x14ac:dyDescent="0.3">
      <c r="A4503" s="13"/>
      <c r="B4503" s="13"/>
      <c r="E4503" s="13"/>
      <c r="F4503" s="13"/>
      <c r="G4503" s="13"/>
    </row>
    <row r="4504" spans="1:7" x14ac:dyDescent="0.3">
      <c r="A4504" s="13"/>
      <c r="B4504" s="13"/>
      <c r="E4504" s="13"/>
      <c r="F4504" s="13"/>
      <c r="G4504" s="13"/>
    </row>
    <row r="4505" spans="1:7" x14ac:dyDescent="0.3">
      <c r="A4505" s="13"/>
      <c r="B4505" s="13"/>
      <c r="E4505" s="13"/>
      <c r="F4505" s="13"/>
      <c r="G4505" s="13"/>
    </row>
    <row r="4506" spans="1:7" x14ac:dyDescent="0.3">
      <c r="A4506" s="13"/>
      <c r="B4506" s="13"/>
      <c r="E4506" s="13"/>
      <c r="F4506" s="13"/>
      <c r="G4506" s="13"/>
    </row>
    <row r="4507" spans="1:7" x14ac:dyDescent="0.3">
      <c r="A4507" s="13"/>
      <c r="B4507" s="13"/>
      <c r="E4507" s="13"/>
      <c r="F4507" s="13"/>
      <c r="G4507" s="13"/>
    </row>
    <row r="4508" spans="1:7" x14ac:dyDescent="0.3">
      <c r="A4508" s="13"/>
      <c r="B4508" s="13"/>
      <c r="E4508" s="13"/>
      <c r="F4508" s="13"/>
      <c r="G4508" s="13"/>
    </row>
    <row r="4509" spans="1:7" x14ac:dyDescent="0.3">
      <c r="A4509" s="13"/>
      <c r="B4509" s="13"/>
      <c r="E4509" s="13"/>
      <c r="F4509" s="13"/>
      <c r="G4509" s="13"/>
    </row>
    <row r="4510" spans="1:7" x14ac:dyDescent="0.3">
      <c r="A4510" s="13"/>
      <c r="B4510" s="13"/>
      <c r="E4510" s="13"/>
      <c r="F4510" s="13"/>
      <c r="G4510" s="13"/>
    </row>
    <row r="4511" spans="1:7" x14ac:dyDescent="0.3">
      <c r="A4511" s="13"/>
      <c r="B4511" s="13"/>
      <c r="E4511" s="13"/>
      <c r="F4511" s="13"/>
      <c r="G4511" s="13"/>
    </row>
    <row r="4512" spans="1:7" x14ac:dyDescent="0.3">
      <c r="A4512" s="13"/>
      <c r="B4512" s="13"/>
      <c r="E4512" s="13"/>
      <c r="F4512" s="13"/>
      <c r="G4512" s="13"/>
    </row>
    <row r="4513" spans="1:7" x14ac:dyDescent="0.3">
      <c r="A4513" s="13"/>
      <c r="B4513" s="13"/>
      <c r="E4513" s="13"/>
      <c r="F4513" s="13"/>
      <c r="G4513" s="13"/>
    </row>
    <row r="4514" spans="1:7" x14ac:dyDescent="0.3">
      <c r="A4514" s="13"/>
      <c r="B4514" s="13"/>
      <c r="E4514" s="13"/>
      <c r="F4514" s="13"/>
      <c r="G4514" s="13"/>
    </row>
    <row r="4515" spans="1:7" x14ac:dyDescent="0.3">
      <c r="A4515" s="13"/>
      <c r="B4515" s="13"/>
      <c r="E4515" s="13"/>
      <c r="F4515" s="13"/>
      <c r="G4515" s="13"/>
    </row>
    <row r="4516" spans="1:7" x14ac:dyDescent="0.3">
      <c r="A4516" s="13"/>
      <c r="B4516" s="13"/>
      <c r="E4516" s="13"/>
      <c r="F4516" s="13"/>
      <c r="G4516" s="13"/>
    </row>
    <row r="4517" spans="1:7" x14ac:dyDescent="0.3">
      <c r="A4517" s="13"/>
      <c r="B4517" s="13"/>
      <c r="E4517" s="13"/>
      <c r="F4517" s="13"/>
      <c r="G4517" s="13"/>
    </row>
    <row r="4518" spans="1:7" x14ac:dyDescent="0.3">
      <c r="A4518" s="13"/>
      <c r="B4518" s="13"/>
      <c r="E4518" s="13"/>
      <c r="F4518" s="13"/>
      <c r="G4518" s="13"/>
    </row>
    <row r="4519" spans="1:7" x14ac:dyDescent="0.3">
      <c r="A4519" s="13"/>
      <c r="B4519" s="13"/>
      <c r="E4519" s="13"/>
      <c r="F4519" s="13"/>
      <c r="G4519" s="13"/>
    </row>
    <row r="4520" spans="1:7" x14ac:dyDescent="0.3">
      <c r="A4520" s="13"/>
      <c r="B4520" s="13"/>
      <c r="E4520" s="13"/>
      <c r="F4520" s="13"/>
      <c r="G4520" s="13"/>
    </row>
    <row r="4521" spans="1:7" x14ac:dyDescent="0.3">
      <c r="A4521" s="13"/>
      <c r="B4521" s="13"/>
      <c r="E4521" s="13"/>
      <c r="F4521" s="13"/>
      <c r="G4521" s="13"/>
    </row>
    <row r="4522" spans="1:7" x14ac:dyDescent="0.3">
      <c r="A4522" s="13"/>
      <c r="B4522" s="13"/>
      <c r="E4522" s="13"/>
      <c r="F4522" s="13"/>
      <c r="G4522" s="13"/>
    </row>
    <row r="4523" spans="1:7" x14ac:dyDescent="0.3">
      <c r="A4523" s="13"/>
      <c r="B4523" s="13"/>
      <c r="E4523" s="13"/>
      <c r="F4523" s="13"/>
      <c r="G4523" s="13"/>
    </row>
    <row r="4524" spans="1:7" x14ac:dyDescent="0.3">
      <c r="A4524" s="13"/>
      <c r="B4524" s="13"/>
      <c r="E4524" s="13"/>
      <c r="F4524" s="13"/>
      <c r="G4524" s="13"/>
    </row>
    <row r="4525" spans="1:7" x14ac:dyDescent="0.3">
      <c r="A4525" s="13"/>
      <c r="B4525" s="13"/>
      <c r="E4525" s="13"/>
      <c r="F4525" s="13"/>
      <c r="G4525" s="13"/>
    </row>
    <row r="4526" spans="1:7" x14ac:dyDescent="0.3">
      <c r="A4526" s="13"/>
      <c r="B4526" s="13"/>
      <c r="E4526" s="13"/>
      <c r="F4526" s="13"/>
      <c r="G4526" s="13"/>
    </row>
    <row r="4527" spans="1:7" x14ac:dyDescent="0.3">
      <c r="A4527" s="13"/>
      <c r="B4527" s="13"/>
      <c r="E4527" s="13"/>
      <c r="F4527" s="13"/>
      <c r="G4527" s="13"/>
    </row>
    <row r="4528" spans="1:7" x14ac:dyDescent="0.3">
      <c r="A4528" s="13"/>
      <c r="B4528" s="13"/>
      <c r="E4528" s="13"/>
      <c r="F4528" s="13"/>
      <c r="G4528" s="13"/>
    </row>
    <row r="4529" spans="1:7" x14ac:dyDescent="0.3">
      <c r="A4529" s="13"/>
      <c r="B4529" s="13"/>
      <c r="E4529" s="13"/>
      <c r="F4529" s="13"/>
      <c r="G4529" s="13"/>
    </row>
    <row r="4530" spans="1:7" x14ac:dyDescent="0.3">
      <c r="A4530" s="13"/>
      <c r="B4530" s="13"/>
      <c r="E4530" s="13"/>
      <c r="F4530" s="13"/>
      <c r="G4530" s="13"/>
    </row>
    <row r="4531" spans="1:7" x14ac:dyDescent="0.3">
      <c r="A4531" s="13"/>
      <c r="B4531" s="13"/>
      <c r="E4531" s="13"/>
      <c r="F4531" s="13"/>
      <c r="G4531" s="13"/>
    </row>
    <row r="4532" spans="1:7" x14ac:dyDescent="0.3">
      <c r="A4532" s="13"/>
      <c r="B4532" s="13"/>
      <c r="E4532" s="13"/>
      <c r="F4532" s="13"/>
      <c r="G4532" s="13"/>
    </row>
    <row r="4533" spans="1:7" x14ac:dyDescent="0.3">
      <c r="A4533" s="13"/>
      <c r="B4533" s="13"/>
      <c r="E4533" s="13"/>
      <c r="F4533" s="13"/>
      <c r="G4533" s="13"/>
    </row>
    <row r="4534" spans="1:7" x14ac:dyDescent="0.3">
      <c r="A4534" s="13"/>
      <c r="B4534" s="13"/>
      <c r="E4534" s="13"/>
      <c r="F4534" s="13"/>
      <c r="G4534" s="13"/>
    </row>
    <row r="4535" spans="1:7" x14ac:dyDescent="0.3">
      <c r="A4535" s="13"/>
      <c r="B4535" s="13"/>
      <c r="E4535" s="13"/>
      <c r="F4535" s="13"/>
      <c r="G4535" s="13"/>
    </row>
    <row r="4536" spans="1:7" x14ac:dyDescent="0.3">
      <c r="A4536" s="13"/>
      <c r="B4536" s="13"/>
      <c r="E4536" s="13"/>
      <c r="F4536" s="13"/>
      <c r="G4536" s="13"/>
    </row>
    <row r="4537" spans="1:7" x14ac:dyDescent="0.3">
      <c r="A4537" s="13"/>
      <c r="B4537" s="13"/>
      <c r="E4537" s="13"/>
      <c r="F4537" s="13"/>
      <c r="G4537" s="13"/>
    </row>
    <row r="4538" spans="1:7" x14ac:dyDescent="0.3">
      <c r="A4538" s="13"/>
      <c r="B4538" s="13"/>
      <c r="E4538" s="13"/>
      <c r="F4538" s="13"/>
      <c r="G4538" s="13"/>
    </row>
    <row r="4539" spans="1:7" x14ac:dyDescent="0.3">
      <c r="A4539" s="13"/>
      <c r="B4539" s="13"/>
      <c r="E4539" s="13"/>
      <c r="F4539" s="13"/>
      <c r="G4539" s="13"/>
    </row>
    <row r="4540" spans="1:7" x14ac:dyDescent="0.3">
      <c r="A4540" s="13"/>
      <c r="B4540" s="13"/>
      <c r="E4540" s="13"/>
      <c r="F4540" s="13"/>
      <c r="G4540" s="13"/>
    </row>
    <row r="4541" spans="1:7" x14ac:dyDescent="0.3">
      <c r="A4541" s="13"/>
      <c r="B4541" s="13"/>
      <c r="E4541" s="13"/>
      <c r="F4541" s="13"/>
      <c r="G4541" s="13"/>
    </row>
    <row r="4542" spans="1:7" x14ac:dyDescent="0.3">
      <c r="A4542" s="13"/>
      <c r="B4542" s="13"/>
      <c r="E4542" s="13"/>
      <c r="F4542" s="13"/>
      <c r="G4542" s="13"/>
    </row>
    <row r="4543" spans="1:7" x14ac:dyDescent="0.3">
      <c r="A4543" s="13"/>
      <c r="B4543" s="13"/>
      <c r="E4543" s="13"/>
      <c r="F4543" s="13"/>
      <c r="G4543" s="13"/>
    </row>
    <row r="4544" spans="1:7" x14ac:dyDescent="0.3">
      <c r="A4544" s="13"/>
      <c r="B4544" s="13"/>
      <c r="E4544" s="13"/>
      <c r="F4544" s="13"/>
      <c r="G4544" s="13"/>
    </row>
    <row r="4545" spans="1:7" x14ac:dyDescent="0.3">
      <c r="A4545" s="13"/>
      <c r="B4545" s="13"/>
      <c r="E4545" s="13"/>
      <c r="F4545" s="13"/>
      <c r="G4545" s="13"/>
    </row>
    <row r="4546" spans="1:7" x14ac:dyDescent="0.3">
      <c r="A4546" s="13"/>
      <c r="B4546" s="13"/>
      <c r="E4546" s="13"/>
      <c r="F4546" s="13"/>
      <c r="G4546" s="13"/>
    </row>
    <row r="4547" spans="1:7" x14ac:dyDescent="0.3">
      <c r="A4547" s="13"/>
      <c r="B4547" s="13"/>
      <c r="E4547" s="13"/>
      <c r="F4547" s="13"/>
      <c r="G4547" s="13"/>
    </row>
    <row r="4548" spans="1:7" x14ac:dyDescent="0.3">
      <c r="A4548" s="13"/>
      <c r="B4548" s="13"/>
      <c r="E4548" s="13"/>
      <c r="F4548" s="13"/>
      <c r="G4548" s="13"/>
    </row>
    <row r="4549" spans="1:7" x14ac:dyDescent="0.3">
      <c r="A4549" s="13"/>
      <c r="B4549" s="13"/>
      <c r="E4549" s="13"/>
      <c r="F4549" s="13"/>
      <c r="G4549" s="13"/>
    </row>
    <row r="4550" spans="1:7" x14ac:dyDescent="0.3">
      <c r="A4550" s="13"/>
      <c r="B4550" s="13"/>
      <c r="E4550" s="13"/>
      <c r="F4550" s="13"/>
      <c r="G4550" s="13"/>
    </row>
    <row r="4551" spans="1:7" x14ac:dyDescent="0.3">
      <c r="A4551" s="13"/>
      <c r="B4551" s="13"/>
      <c r="E4551" s="13"/>
      <c r="F4551" s="13"/>
      <c r="G4551" s="13"/>
    </row>
    <row r="4552" spans="1:7" x14ac:dyDescent="0.3">
      <c r="A4552" s="13"/>
      <c r="B4552" s="13"/>
      <c r="E4552" s="13"/>
      <c r="F4552" s="13"/>
      <c r="G4552" s="13"/>
    </row>
    <row r="4553" spans="1:7" x14ac:dyDescent="0.3">
      <c r="A4553" s="13"/>
      <c r="B4553" s="13"/>
      <c r="E4553" s="13"/>
      <c r="F4553" s="13"/>
      <c r="G4553" s="13"/>
    </row>
    <row r="4554" spans="1:7" x14ac:dyDescent="0.3">
      <c r="A4554" s="13"/>
      <c r="B4554" s="13"/>
      <c r="E4554" s="13"/>
      <c r="F4554" s="13"/>
      <c r="G4554" s="13"/>
    </row>
    <row r="4555" spans="1:7" x14ac:dyDescent="0.3">
      <c r="A4555" s="13"/>
      <c r="B4555" s="13"/>
      <c r="E4555" s="13"/>
      <c r="F4555" s="13"/>
      <c r="G4555" s="13"/>
    </row>
    <row r="4556" spans="1:7" x14ac:dyDescent="0.3">
      <c r="A4556" s="13"/>
      <c r="B4556" s="13"/>
      <c r="E4556" s="13"/>
      <c r="F4556" s="13"/>
      <c r="G4556" s="13"/>
    </row>
    <row r="4557" spans="1:7" x14ac:dyDescent="0.3">
      <c r="A4557" s="13"/>
      <c r="B4557" s="13"/>
      <c r="E4557" s="13"/>
      <c r="F4557" s="13"/>
      <c r="G4557" s="13"/>
    </row>
    <row r="4558" spans="1:7" x14ac:dyDescent="0.3">
      <c r="A4558" s="13"/>
      <c r="B4558" s="13"/>
      <c r="E4558" s="13"/>
      <c r="F4558" s="13"/>
      <c r="G4558" s="13"/>
    </row>
    <row r="4559" spans="1:7" x14ac:dyDescent="0.3">
      <c r="A4559" s="13"/>
      <c r="B4559" s="13"/>
      <c r="E4559" s="13"/>
      <c r="F4559" s="13"/>
      <c r="G4559" s="13"/>
    </row>
    <row r="4560" spans="1:7" x14ac:dyDescent="0.3">
      <c r="A4560" s="13"/>
      <c r="B4560" s="13"/>
      <c r="E4560" s="13"/>
      <c r="F4560" s="13"/>
      <c r="G4560" s="13"/>
    </row>
    <row r="4561" spans="1:7" x14ac:dyDescent="0.3">
      <c r="A4561" s="13"/>
      <c r="B4561" s="13"/>
      <c r="E4561" s="13"/>
      <c r="F4561" s="13"/>
      <c r="G4561" s="13"/>
    </row>
    <row r="4562" spans="1:7" x14ac:dyDescent="0.3">
      <c r="A4562" s="13"/>
      <c r="B4562" s="13"/>
      <c r="E4562" s="13"/>
      <c r="F4562" s="13"/>
      <c r="G4562" s="13"/>
    </row>
    <row r="4563" spans="1:7" x14ac:dyDescent="0.3">
      <c r="A4563" s="13"/>
      <c r="B4563" s="13"/>
      <c r="E4563" s="13"/>
      <c r="F4563" s="13"/>
      <c r="G4563" s="13"/>
    </row>
    <row r="4564" spans="1:7" x14ac:dyDescent="0.3">
      <c r="A4564" s="13"/>
      <c r="B4564" s="13"/>
      <c r="E4564" s="13"/>
      <c r="F4564" s="13"/>
      <c r="G4564" s="13"/>
    </row>
    <row r="4565" spans="1:7" x14ac:dyDescent="0.3">
      <c r="A4565" s="13"/>
      <c r="B4565" s="13"/>
      <c r="E4565" s="13"/>
      <c r="F4565" s="13"/>
      <c r="G4565" s="13"/>
    </row>
    <row r="4566" spans="1:7" x14ac:dyDescent="0.3">
      <c r="A4566" s="13"/>
      <c r="B4566" s="13"/>
      <c r="E4566" s="13"/>
      <c r="F4566" s="13"/>
      <c r="G4566" s="13"/>
    </row>
    <row r="4567" spans="1:7" x14ac:dyDescent="0.3">
      <c r="A4567" s="13"/>
      <c r="B4567" s="13"/>
      <c r="E4567" s="13"/>
      <c r="F4567" s="13"/>
      <c r="G4567" s="13"/>
    </row>
    <row r="4568" spans="1:7" x14ac:dyDescent="0.3">
      <c r="A4568" s="13"/>
      <c r="B4568" s="13"/>
      <c r="E4568" s="13"/>
      <c r="F4568" s="13"/>
      <c r="G4568" s="13"/>
    </row>
    <row r="4569" spans="1:7" x14ac:dyDescent="0.3">
      <c r="A4569" s="13"/>
      <c r="B4569" s="13"/>
      <c r="E4569" s="13"/>
      <c r="F4569" s="13"/>
      <c r="G4569" s="13"/>
    </row>
    <row r="4570" spans="1:7" x14ac:dyDescent="0.3">
      <c r="A4570" s="13"/>
      <c r="B4570" s="13"/>
      <c r="E4570" s="13"/>
      <c r="F4570" s="13"/>
      <c r="G4570" s="13"/>
    </row>
    <row r="4571" spans="1:7" x14ac:dyDescent="0.3">
      <c r="A4571" s="13"/>
      <c r="B4571" s="13"/>
      <c r="E4571" s="13"/>
      <c r="F4571" s="13"/>
      <c r="G4571" s="13"/>
    </row>
    <row r="4572" spans="1:7" x14ac:dyDescent="0.3">
      <c r="A4572" s="13"/>
      <c r="B4572" s="13"/>
      <c r="E4572" s="13"/>
      <c r="F4572" s="13"/>
      <c r="G4572" s="13"/>
    </row>
    <row r="4573" spans="1:7" x14ac:dyDescent="0.3">
      <c r="A4573" s="13"/>
      <c r="B4573" s="13"/>
      <c r="E4573" s="13"/>
      <c r="F4573" s="13"/>
      <c r="G4573" s="13"/>
    </row>
    <row r="4574" spans="1:7" x14ac:dyDescent="0.3">
      <c r="A4574" s="13"/>
      <c r="B4574" s="13"/>
      <c r="E4574" s="13"/>
      <c r="F4574" s="13"/>
      <c r="G4574" s="13"/>
    </row>
    <row r="4575" spans="1:7" x14ac:dyDescent="0.3">
      <c r="A4575" s="13"/>
      <c r="B4575" s="13"/>
      <c r="E4575" s="13"/>
      <c r="F4575" s="13"/>
      <c r="G4575" s="13"/>
    </row>
    <row r="4576" spans="1:7" x14ac:dyDescent="0.3">
      <c r="A4576" s="13"/>
      <c r="B4576" s="13"/>
      <c r="E4576" s="13"/>
      <c r="F4576" s="13"/>
      <c r="G4576" s="13"/>
    </row>
    <row r="4577" spans="1:7" x14ac:dyDescent="0.3">
      <c r="A4577" s="13"/>
      <c r="B4577" s="13"/>
      <c r="E4577" s="13"/>
      <c r="F4577" s="13"/>
      <c r="G4577" s="13"/>
    </row>
    <row r="4578" spans="1:7" x14ac:dyDescent="0.3">
      <c r="A4578" s="13"/>
      <c r="B4578" s="13"/>
      <c r="E4578" s="13"/>
      <c r="F4578" s="13"/>
      <c r="G4578" s="13"/>
    </row>
    <row r="4579" spans="1:7" x14ac:dyDescent="0.3">
      <c r="A4579" s="13"/>
      <c r="B4579" s="13"/>
      <c r="E4579" s="13"/>
      <c r="F4579" s="13"/>
      <c r="G4579" s="13"/>
    </row>
    <row r="4580" spans="1:7" x14ac:dyDescent="0.3">
      <c r="A4580" s="13"/>
      <c r="B4580" s="13"/>
      <c r="E4580" s="13"/>
      <c r="F4580" s="13"/>
      <c r="G4580" s="13"/>
    </row>
    <row r="4581" spans="1:7" x14ac:dyDescent="0.3">
      <c r="A4581" s="13"/>
      <c r="B4581" s="13"/>
      <c r="E4581" s="13"/>
      <c r="F4581" s="13"/>
      <c r="G4581" s="13"/>
    </row>
    <row r="4582" spans="1:7" x14ac:dyDescent="0.3">
      <c r="A4582" s="13"/>
      <c r="B4582" s="13"/>
      <c r="E4582" s="13"/>
      <c r="F4582" s="13"/>
      <c r="G4582" s="13"/>
    </row>
    <row r="4583" spans="1:7" x14ac:dyDescent="0.3">
      <c r="A4583" s="13"/>
      <c r="B4583" s="13"/>
      <c r="E4583" s="13"/>
      <c r="F4583" s="13"/>
      <c r="G4583" s="13"/>
    </row>
    <row r="4584" spans="1:7" x14ac:dyDescent="0.3">
      <c r="A4584" s="13"/>
      <c r="B4584" s="13"/>
      <c r="E4584" s="13"/>
      <c r="F4584" s="13"/>
      <c r="G4584" s="13"/>
    </row>
    <row r="4585" spans="1:7" x14ac:dyDescent="0.3">
      <c r="A4585" s="13"/>
      <c r="B4585" s="13"/>
      <c r="E4585" s="13"/>
      <c r="F4585" s="13"/>
      <c r="G4585" s="13"/>
    </row>
    <row r="4586" spans="1:7" x14ac:dyDescent="0.3">
      <c r="A4586" s="13"/>
      <c r="B4586" s="13"/>
      <c r="E4586" s="13"/>
      <c r="F4586" s="13"/>
      <c r="G4586" s="13"/>
    </row>
    <row r="4587" spans="1:7" x14ac:dyDescent="0.3">
      <c r="A4587" s="13"/>
      <c r="B4587" s="13"/>
      <c r="E4587" s="13"/>
      <c r="F4587" s="13"/>
      <c r="G4587" s="13"/>
    </row>
    <row r="4588" spans="1:7" x14ac:dyDescent="0.3">
      <c r="A4588" s="13"/>
      <c r="B4588" s="13"/>
      <c r="E4588" s="13"/>
      <c r="F4588" s="13"/>
      <c r="G4588" s="13"/>
    </row>
    <row r="4589" spans="1:7" x14ac:dyDescent="0.3">
      <c r="A4589" s="13"/>
      <c r="B4589" s="13"/>
      <c r="E4589" s="13"/>
      <c r="F4589" s="13"/>
      <c r="G4589" s="13"/>
    </row>
    <row r="4590" spans="1:7" x14ac:dyDescent="0.3">
      <c r="A4590" s="13"/>
      <c r="B4590" s="13"/>
      <c r="E4590" s="13"/>
      <c r="F4590" s="13"/>
      <c r="G4590" s="13"/>
    </row>
    <row r="4591" spans="1:7" x14ac:dyDescent="0.3">
      <c r="A4591" s="13"/>
      <c r="B4591" s="13"/>
      <c r="E4591" s="13"/>
      <c r="F4591" s="13"/>
      <c r="G4591" s="13"/>
    </row>
    <row r="4592" spans="1:7" x14ac:dyDescent="0.3">
      <c r="A4592" s="13"/>
      <c r="B4592" s="13"/>
      <c r="E4592" s="13"/>
      <c r="F4592" s="13"/>
      <c r="G4592" s="13"/>
    </row>
    <row r="4593" spans="1:7" x14ac:dyDescent="0.3">
      <c r="A4593" s="13"/>
      <c r="B4593" s="13"/>
      <c r="E4593" s="13"/>
      <c r="F4593" s="13"/>
      <c r="G4593" s="13"/>
    </row>
    <row r="4594" spans="1:7" x14ac:dyDescent="0.3">
      <c r="A4594" s="13"/>
      <c r="B4594" s="13"/>
      <c r="E4594" s="13"/>
      <c r="F4594" s="13"/>
      <c r="G4594" s="13"/>
    </row>
    <row r="4595" spans="1:7" x14ac:dyDescent="0.3">
      <c r="A4595" s="13"/>
      <c r="B4595" s="13"/>
      <c r="E4595" s="13"/>
      <c r="F4595" s="13"/>
      <c r="G4595" s="13"/>
    </row>
    <row r="4596" spans="1:7" x14ac:dyDescent="0.3">
      <c r="A4596" s="13"/>
      <c r="B4596" s="13"/>
      <c r="E4596" s="13"/>
      <c r="F4596" s="13"/>
      <c r="G4596" s="13"/>
    </row>
    <row r="4597" spans="1:7" x14ac:dyDescent="0.3">
      <c r="A4597" s="13"/>
      <c r="B4597" s="13"/>
      <c r="E4597" s="13"/>
      <c r="F4597" s="13"/>
      <c r="G4597" s="13"/>
    </row>
    <row r="4598" spans="1:7" x14ac:dyDescent="0.3">
      <c r="A4598" s="13"/>
      <c r="B4598" s="13"/>
      <c r="E4598" s="13"/>
      <c r="F4598" s="13"/>
      <c r="G4598" s="13"/>
    </row>
    <row r="4599" spans="1:7" x14ac:dyDescent="0.3">
      <c r="A4599" s="13"/>
      <c r="B4599" s="13"/>
      <c r="E4599" s="13"/>
      <c r="F4599" s="13"/>
      <c r="G4599" s="13"/>
    </row>
    <row r="4600" spans="1:7" x14ac:dyDescent="0.3">
      <c r="A4600" s="13"/>
      <c r="B4600" s="13"/>
      <c r="E4600" s="13"/>
      <c r="F4600" s="13"/>
      <c r="G4600" s="13"/>
    </row>
    <row r="4601" spans="1:7" x14ac:dyDescent="0.3">
      <c r="A4601" s="13"/>
      <c r="B4601" s="13"/>
      <c r="E4601" s="13"/>
      <c r="F4601" s="13"/>
      <c r="G4601" s="13"/>
    </row>
    <row r="4602" spans="1:7" x14ac:dyDescent="0.3">
      <c r="A4602" s="13"/>
      <c r="B4602" s="13"/>
      <c r="E4602" s="13"/>
      <c r="F4602" s="13"/>
      <c r="G4602" s="13"/>
    </row>
    <row r="4603" spans="1:7" x14ac:dyDescent="0.3">
      <c r="A4603" s="13"/>
      <c r="B4603" s="13"/>
      <c r="E4603" s="13"/>
      <c r="F4603" s="13"/>
      <c r="G4603" s="13"/>
    </row>
    <row r="4604" spans="1:7" x14ac:dyDescent="0.3">
      <c r="A4604" s="13"/>
      <c r="B4604" s="13"/>
      <c r="E4604" s="13"/>
      <c r="F4604" s="13"/>
      <c r="G4604" s="13"/>
    </row>
    <row r="4605" spans="1:7" x14ac:dyDescent="0.3">
      <c r="A4605" s="13"/>
      <c r="B4605" s="13"/>
      <c r="E4605" s="13"/>
      <c r="F4605" s="13"/>
      <c r="G4605" s="13"/>
    </row>
    <row r="4606" spans="1:7" x14ac:dyDescent="0.3">
      <c r="A4606" s="13"/>
      <c r="B4606" s="13"/>
      <c r="E4606" s="13"/>
      <c r="F4606" s="13"/>
      <c r="G4606" s="13"/>
    </row>
    <row r="4607" spans="1:7" x14ac:dyDescent="0.3">
      <c r="A4607" s="13"/>
      <c r="B4607" s="13"/>
      <c r="E4607" s="13"/>
      <c r="F4607" s="13"/>
      <c r="G4607" s="13"/>
    </row>
    <row r="4608" spans="1:7" x14ac:dyDescent="0.3">
      <c r="A4608" s="13"/>
      <c r="B4608" s="13"/>
      <c r="E4608" s="13"/>
      <c r="F4608" s="13"/>
      <c r="G4608" s="13"/>
    </row>
    <row r="4609" spans="1:7" x14ac:dyDescent="0.3">
      <c r="A4609" s="13"/>
      <c r="B4609" s="13"/>
      <c r="E4609" s="13"/>
      <c r="F4609" s="13"/>
      <c r="G4609" s="13"/>
    </row>
    <row r="4610" spans="1:7" x14ac:dyDescent="0.3">
      <c r="A4610" s="13"/>
      <c r="B4610" s="13"/>
      <c r="E4610" s="13"/>
      <c r="F4610" s="13"/>
      <c r="G4610" s="13"/>
    </row>
    <row r="4611" spans="1:7" x14ac:dyDescent="0.3">
      <c r="A4611" s="13"/>
      <c r="B4611" s="13"/>
      <c r="E4611" s="13"/>
      <c r="F4611" s="13"/>
      <c r="G4611" s="13"/>
    </row>
    <row r="4612" spans="1:7" x14ac:dyDescent="0.3">
      <c r="A4612" s="13"/>
      <c r="B4612" s="13"/>
      <c r="E4612" s="13"/>
      <c r="F4612" s="13"/>
      <c r="G4612" s="13"/>
    </row>
    <row r="4613" spans="1:7" x14ac:dyDescent="0.3">
      <c r="A4613" s="13"/>
      <c r="B4613" s="13"/>
      <c r="E4613" s="13"/>
      <c r="F4613" s="13"/>
      <c r="G4613" s="13"/>
    </row>
    <row r="4614" spans="1:7" x14ac:dyDescent="0.3">
      <c r="A4614" s="13"/>
      <c r="B4614" s="13"/>
      <c r="E4614" s="13"/>
      <c r="F4614" s="13"/>
      <c r="G4614" s="13"/>
    </row>
    <row r="4615" spans="1:7" x14ac:dyDescent="0.3">
      <c r="A4615" s="13"/>
      <c r="B4615" s="13"/>
      <c r="E4615" s="13"/>
      <c r="F4615" s="13"/>
      <c r="G4615" s="13"/>
    </row>
    <row r="4616" spans="1:7" x14ac:dyDescent="0.3">
      <c r="A4616" s="13"/>
      <c r="B4616" s="13"/>
      <c r="E4616" s="13"/>
      <c r="F4616" s="13"/>
      <c r="G4616" s="13"/>
    </row>
    <row r="4617" spans="1:7" x14ac:dyDescent="0.3">
      <c r="A4617" s="13"/>
      <c r="B4617" s="13"/>
      <c r="E4617" s="13"/>
      <c r="F4617" s="13"/>
      <c r="G4617" s="13"/>
    </row>
    <row r="4618" spans="1:7" x14ac:dyDescent="0.3">
      <c r="A4618" s="13"/>
      <c r="B4618" s="13"/>
      <c r="E4618" s="13"/>
      <c r="F4618" s="13"/>
      <c r="G4618" s="13"/>
    </row>
    <row r="4619" spans="1:7" x14ac:dyDescent="0.3">
      <c r="A4619" s="13"/>
      <c r="B4619" s="13"/>
      <c r="E4619" s="13"/>
      <c r="F4619" s="13"/>
      <c r="G4619" s="13"/>
    </row>
    <row r="4620" spans="1:7" x14ac:dyDescent="0.3">
      <c r="A4620" s="13"/>
      <c r="B4620" s="13"/>
      <c r="E4620" s="13"/>
      <c r="F4620" s="13"/>
      <c r="G4620" s="13"/>
    </row>
    <row r="4621" spans="1:7" x14ac:dyDescent="0.3">
      <c r="A4621" s="13"/>
      <c r="B4621" s="13"/>
      <c r="E4621" s="13"/>
      <c r="F4621" s="13"/>
      <c r="G4621" s="13"/>
    </row>
    <row r="4622" spans="1:7" x14ac:dyDescent="0.3">
      <c r="A4622" s="13"/>
      <c r="B4622" s="13"/>
      <c r="E4622" s="13"/>
      <c r="F4622" s="13"/>
      <c r="G4622" s="13"/>
    </row>
    <row r="4623" spans="1:7" x14ac:dyDescent="0.3">
      <c r="A4623" s="13"/>
      <c r="B4623" s="13"/>
      <c r="E4623" s="13"/>
      <c r="F4623" s="13"/>
      <c r="G4623" s="13"/>
    </row>
    <row r="4624" spans="1:7" x14ac:dyDescent="0.3">
      <c r="A4624" s="13"/>
      <c r="B4624" s="13"/>
      <c r="E4624" s="13"/>
      <c r="F4624" s="13"/>
      <c r="G4624" s="13"/>
    </row>
    <row r="4625" spans="1:7" x14ac:dyDescent="0.3">
      <c r="A4625" s="13"/>
      <c r="B4625" s="13"/>
      <c r="E4625" s="13"/>
      <c r="F4625" s="13"/>
      <c r="G4625" s="13"/>
    </row>
    <row r="4626" spans="1:7" x14ac:dyDescent="0.3">
      <c r="A4626" s="13"/>
      <c r="B4626" s="13"/>
      <c r="E4626" s="13"/>
      <c r="F4626" s="13"/>
      <c r="G4626" s="13"/>
    </row>
    <row r="4627" spans="1:7" x14ac:dyDescent="0.3">
      <c r="A4627" s="13"/>
      <c r="B4627" s="13"/>
      <c r="E4627" s="13"/>
      <c r="F4627" s="13"/>
      <c r="G4627" s="13"/>
    </row>
    <row r="4628" spans="1:7" x14ac:dyDescent="0.3">
      <c r="A4628" s="13"/>
      <c r="B4628" s="13"/>
      <c r="E4628" s="13"/>
      <c r="F4628" s="13"/>
      <c r="G4628" s="13"/>
    </row>
    <row r="4629" spans="1:7" x14ac:dyDescent="0.3">
      <c r="A4629" s="13"/>
      <c r="B4629" s="13"/>
      <c r="E4629" s="13"/>
      <c r="F4629" s="13"/>
      <c r="G4629" s="13"/>
    </row>
    <row r="4630" spans="1:7" x14ac:dyDescent="0.3">
      <c r="A4630" s="13"/>
      <c r="B4630" s="13"/>
      <c r="E4630" s="13"/>
      <c r="F4630" s="13"/>
      <c r="G4630" s="13"/>
    </row>
    <row r="4631" spans="1:7" x14ac:dyDescent="0.3">
      <c r="A4631" s="13"/>
      <c r="B4631" s="13"/>
      <c r="E4631" s="13"/>
      <c r="F4631" s="13"/>
      <c r="G4631" s="13"/>
    </row>
    <row r="4632" spans="1:7" x14ac:dyDescent="0.3">
      <c r="A4632" s="13"/>
      <c r="B4632" s="13"/>
      <c r="E4632" s="13"/>
      <c r="F4632" s="13"/>
      <c r="G4632" s="13"/>
    </row>
    <row r="4633" spans="1:7" x14ac:dyDescent="0.3">
      <c r="A4633" s="13"/>
      <c r="B4633" s="13"/>
      <c r="E4633" s="13"/>
      <c r="F4633" s="13"/>
      <c r="G4633" s="13"/>
    </row>
    <row r="4634" spans="1:7" x14ac:dyDescent="0.3">
      <c r="A4634" s="13"/>
      <c r="B4634" s="13"/>
      <c r="E4634" s="13"/>
      <c r="F4634" s="13"/>
      <c r="G4634" s="13"/>
    </row>
    <row r="4635" spans="1:7" x14ac:dyDescent="0.3">
      <c r="A4635" s="13"/>
      <c r="B4635" s="13"/>
      <c r="E4635" s="13"/>
      <c r="F4635" s="13"/>
      <c r="G4635" s="13"/>
    </row>
    <row r="4636" spans="1:7" x14ac:dyDescent="0.3">
      <c r="A4636" s="13"/>
      <c r="B4636" s="13"/>
      <c r="E4636" s="13"/>
      <c r="F4636" s="13"/>
      <c r="G4636" s="13"/>
    </row>
    <row r="4637" spans="1:7" x14ac:dyDescent="0.3">
      <c r="A4637" s="13"/>
      <c r="B4637" s="13"/>
      <c r="E4637" s="13"/>
      <c r="F4637" s="13"/>
      <c r="G4637" s="13"/>
    </row>
    <row r="4638" spans="1:7" x14ac:dyDescent="0.3">
      <c r="A4638" s="13"/>
      <c r="B4638" s="13"/>
      <c r="E4638" s="13"/>
      <c r="F4638" s="13"/>
      <c r="G4638" s="13"/>
    </row>
    <row r="4639" spans="1:7" x14ac:dyDescent="0.3">
      <c r="A4639" s="13"/>
      <c r="B4639" s="13"/>
      <c r="E4639" s="13"/>
      <c r="F4639" s="13"/>
      <c r="G4639" s="13"/>
    </row>
    <row r="4640" spans="1:7" x14ac:dyDescent="0.3">
      <c r="A4640" s="13"/>
      <c r="B4640" s="13"/>
      <c r="E4640" s="13"/>
      <c r="F4640" s="13"/>
      <c r="G4640" s="13"/>
    </row>
    <row r="4641" spans="1:7" x14ac:dyDescent="0.3">
      <c r="A4641" s="13"/>
      <c r="B4641" s="13"/>
      <c r="E4641" s="13"/>
      <c r="F4641" s="13"/>
      <c r="G4641" s="13"/>
    </row>
    <row r="4642" spans="1:7" x14ac:dyDescent="0.3">
      <c r="A4642" s="13"/>
      <c r="B4642" s="13"/>
      <c r="E4642" s="13"/>
      <c r="F4642" s="13"/>
      <c r="G4642" s="13"/>
    </row>
    <row r="4643" spans="1:7" x14ac:dyDescent="0.3">
      <c r="A4643" s="13"/>
      <c r="B4643" s="13"/>
      <c r="E4643" s="13"/>
      <c r="F4643" s="13"/>
      <c r="G4643" s="13"/>
    </row>
    <row r="4644" spans="1:7" x14ac:dyDescent="0.3">
      <c r="A4644" s="13"/>
      <c r="B4644" s="13"/>
      <c r="E4644" s="13"/>
      <c r="F4644" s="13"/>
      <c r="G4644" s="13"/>
    </row>
    <row r="4645" spans="1:7" x14ac:dyDescent="0.3">
      <c r="A4645" s="13"/>
      <c r="B4645" s="13"/>
      <c r="E4645" s="13"/>
      <c r="F4645" s="13"/>
      <c r="G4645" s="13"/>
    </row>
    <row r="4646" spans="1:7" x14ac:dyDescent="0.3">
      <c r="A4646" s="13"/>
      <c r="B4646" s="13"/>
      <c r="E4646" s="13"/>
      <c r="F4646" s="13"/>
      <c r="G4646" s="13"/>
    </row>
    <row r="4647" spans="1:7" x14ac:dyDescent="0.3">
      <c r="A4647" s="13"/>
      <c r="B4647" s="13"/>
      <c r="E4647" s="13"/>
      <c r="F4647" s="13"/>
      <c r="G4647" s="13"/>
    </row>
    <row r="4648" spans="1:7" x14ac:dyDescent="0.3">
      <c r="A4648" s="13"/>
      <c r="B4648" s="13"/>
      <c r="E4648" s="13"/>
      <c r="F4648" s="13"/>
      <c r="G4648" s="13"/>
    </row>
    <row r="4649" spans="1:7" x14ac:dyDescent="0.3">
      <c r="A4649" s="13"/>
      <c r="B4649" s="13"/>
      <c r="E4649" s="13"/>
      <c r="F4649" s="13"/>
      <c r="G4649" s="13"/>
    </row>
    <row r="4650" spans="1:7" x14ac:dyDescent="0.3">
      <c r="A4650" s="13"/>
      <c r="B4650" s="13"/>
      <c r="E4650" s="13"/>
      <c r="F4650" s="13"/>
      <c r="G4650" s="13"/>
    </row>
    <row r="4651" spans="1:7" x14ac:dyDescent="0.3">
      <c r="A4651" s="13"/>
      <c r="B4651" s="13"/>
      <c r="E4651" s="13"/>
      <c r="F4651" s="13"/>
      <c r="G4651" s="13"/>
    </row>
    <row r="4652" spans="1:7" x14ac:dyDescent="0.3">
      <c r="A4652" s="13"/>
      <c r="B4652" s="13"/>
      <c r="E4652" s="13"/>
      <c r="F4652" s="13"/>
      <c r="G4652" s="13"/>
    </row>
    <row r="4653" spans="1:7" x14ac:dyDescent="0.3">
      <c r="A4653" s="13"/>
      <c r="B4653" s="13"/>
      <c r="E4653" s="13"/>
      <c r="F4653" s="13"/>
      <c r="G4653" s="13"/>
    </row>
    <row r="4654" spans="1:7" x14ac:dyDescent="0.3">
      <c r="A4654" s="13"/>
      <c r="B4654" s="13"/>
      <c r="E4654" s="13"/>
      <c r="F4654" s="13"/>
      <c r="G4654" s="13"/>
    </row>
    <row r="4655" spans="1:7" x14ac:dyDescent="0.3">
      <c r="A4655" s="13"/>
      <c r="B4655" s="13"/>
      <c r="E4655" s="13"/>
      <c r="F4655" s="13"/>
      <c r="G4655" s="13"/>
    </row>
    <row r="4656" spans="1:7" x14ac:dyDescent="0.3">
      <c r="A4656" s="13"/>
      <c r="B4656" s="13"/>
      <c r="E4656" s="13"/>
      <c r="F4656" s="13"/>
      <c r="G4656" s="13"/>
    </row>
    <row r="4657" spans="1:7" x14ac:dyDescent="0.3">
      <c r="A4657" s="13"/>
      <c r="B4657" s="13"/>
      <c r="E4657" s="13"/>
      <c r="F4657" s="13"/>
      <c r="G4657" s="13"/>
    </row>
    <row r="4658" spans="1:7" x14ac:dyDescent="0.3">
      <c r="A4658" s="13"/>
      <c r="B4658" s="13"/>
      <c r="E4658" s="13"/>
      <c r="F4658" s="13"/>
      <c r="G4658" s="13"/>
    </row>
    <row r="4659" spans="1:7" x14ac:dyDescent="0.3">
      <c r="A4659" s="13"/>
      <c r="B4659" s="13"/>
      <c r="E4659" s="13"/>
      <c r="F4659" s="13"/>
      <c r="G4659" s="13"/>
    </row>
    <row r="4660" spans="1:7" x14ac:dyDescent="0.3">
      <c r="A4660" s="13"/>
      <c r="B4660" s="13"/>
      <c r="E4660" s="13"/>
      <c r="F4660" s="13"/>
      <c r="G4660" s="13"/>
    </row>
    <row r="4661" spans="1:7" x14ac:dyDescent="0.3">
      <c r="A4661" s="13"/>
      <c r="B4661" s="13"/>
      <c r="E4661" s="13"/>
      <c r="F4661" s="13"/>
      <c r="G4661" s="13"/>
    </row>
    <row r="4662" spans="1:7" x14ac:dyDescent="0.3">
      <c r="A4662" s="13"/>
      <c r="B4662" s="13"/>
      <c r="E4662" s="13"/>
      <c r="F4662" s="13"/>
      <c r="G4662" s="13"/>
    </row>
    <row r="4663" spans="1:7" x14ac:dyDescent="0.3">
      <c r="A4663" s="13"/>
      <c r="B4663" s="13"/>
      <c r="E4663" s="13"/>
      <c r="F4663" s="13"/>
      <c r="G4663" s="13"/>
    </row>
    <row r="4664" spans="1:7" x14ac:dyDescent="0.3">
      <c r="A4664" s="13"/>
      <c r="B4664" s="13"/>
      <c r="E4664" s="13"/>
      <c r="F4664" s="13"/>
      <c r="G4664" s="13"/>
    </row>
    <row r="4665" spans="1:7" x14ac:dyDescent="0.3">
      <c r="A4665" s="13"/>
      <c r="B4665" s="13"/>
      <c r="E4665" s="13"/>
      <c r="F4665" s="13"/>
      <c r="G4665" s="13"/>
    </row>
    <row r="4666" spans="1:7" x14ac:dyDescent="0.3">
      <c r="A4666" s="13"/>
      <c r="B4666" s="13"/>
      <c r="E4666" s="13"/>
      <c r="F4666" s="13"/>
      <c r="G4666" s="13"/>
    </row>
    <row r="4667" spans="1:7" x14ac:dyDescent="0.3">
      <c r="A4667" s="13"/>
      <c r="B4667" s="13"/>
      <c r="E4667" s="13"/>
      <c r="F4667" s="13"/>
      <c r="G4667" s="13"/>
    </row>
    <row r="4668" spans="1:7" x14ac:dyDescent="0.3">
      <c r="A4668" s="13"/>
      <c r="B4668" s="13"/>
      <c r="E4668" s="13"/>
      <c r="F4668" s="13"/>
      <c r="G4668" s="13"/>
    </row>
    <row r="4669" spans="1:7" x14ac:dyDescent="0.3">
      <c r="A4669" s="13"/>
      <c r="B4669" s="13"/>
      <c r="E4669" s="13"/>
      <c r="F4669" s="13"/>
      <c r="G4669" s="13"/>
    </row>
    <row r="4670" spans="1:7" x14ac:dyDescent="0.3">
      <c r="A4670" s="13"/>
      <c r="B4670" s="13"/>
      <c r="E4670" s="13"/>
      <c r="F4670" s="13"/>
      <c r="G4670" s="13"/>
    </row>
    <row r="4671" spans="1:7" x14ac:dyDescent="0.3">
      <c r="A4671" s="13"/>
      <c r="B4671" s="13"/>
      <c r="E4671" s="13"/>
      <c r="F4671" s="13"/>
      <c r="G4671" s="13"/>
    </row>
    <row r="4672" spans="1:7" x14ac:dyDescent="0.3">
      <c r="A4672" s="13"/>
      <c r="B4672" s="13"/>
      <c r="E4672" s="13"/>
      <c r="F4672" s="13"/>
      <c r="G4672" s="13"/>
    </row>
    <row r="4673" spans="1:7" x14ac:dyDescent="0.3">
      <c r="A4673" s="13"/>
      <c r="B4673" s="13"/>
      <c r="E4673" s="13"/>
      <c r="F4673" s="13"/>
      <c r="G4673" s="13"/>
    </row>
    <row r="4674" spans="1:7" x14ac:dyDescent="0.3">
      <c r="A4674" s="13"/>
      <c r="B4674" s="13"/>
      <c r="E4674" s="13"/>
      <c r="F4674" s="13"/>
      <c r="G4674" s="13"/>
    </row>
    <row r="4675" spans="1:7" x14ac:dyDescent="0.3">
      <c r="A4675" s="13"/>
      <c r="B4675" s="13"/>
      <c r="E4675" s="13"/>
      <c r="F4675" s="13"/>
      <c r="G4675" s="13"/>
    </row>
    <row r="4676" spans="1:7" x14ac:dyDescent="0.3">
      <c r="A4676" s="13"/>
      <c r="B4676" s="13"/>
      <c r="E4676" s="13"/>
      <c r="F4676" s="13"/>
      <c r="G4676" s="13"/>
    </row>
    <row r="4677" spans="1:7" x14ac:dyDescent="0.3">
      <c r="A4677" s="13"/>
      <c r="B4677" s="13"/>
      <c r="E4677" s="13"/>
      <c r="F4677" s="13"/>
      <c r="G4677" s="13"/>
    </row>
    <row r="4678" spans="1:7" x14ac:dyDescent="0.3">
      <c r="A4678" s="13"/>
      <c r="B4678" s="13"/>
      <c r="E4678" s="13"/>
      <c r="F4678" s="13"/>
      <c r="G4678" s="13"/>
    </row>
    <row r="4679" spans="1:7" x14ac:dyDescent="0.3">
      <c r="A4679" s="13"/>
      <c r="B4679" s="13"/>
      <c r="E4679" s="13"/>
      <c r="F4679" s="13"/>
      <c r="G4679" s="13"/>
    </row>
    <row r="4680" spans="1:7" x14ac:dyDescent="0.3">
      <c r="A4680" s="13"/>
      <c r="B4680" s="13"/>
      <c r="E4680" s="13"/>
      <c r="F4680" s="13"/>
      <c r="G4680" s="13"/>
    </row>
    <row r="4681" spans="1:7" x14ac:dyDescent="0.3">
      <c r="A4681" s="13"/>
      <c r="B4681" s="13"/>
      <c r="E4681" s="13"/>
      <c r="F4681" s="13"/>
      <c r="G4681" s="13"/>
    </row>
    <row r="4682" spans="1:7" x14ac:dyDescent="0.3">
      <c r="A4682" s="13"/>
      <c r="B4682" s="13"/>
      <c r="E4682" s="13"/>
      <c r="F4682" s="13"/>
      <c r="G4682" s="13"/>
    </row>
    <row r="4683" spans="1:7" x14ac:dyDescent="0.3">
      <c r="A4683" s="13"/>
      <c r="B4683" s="13"/>
      <c r="E4683" s="13"/>
      <c r="F4683" s="13"/>
      <c r="G4683" s="13"/>
    </row>
    <row r="4684" spans="1:7" x14ac:dyDescent="0.3">
      <c r="A4684" s="13"/>
      <c r="B4684" s="13"/>
      <c r="E4684" s="13"/>
      <c r="F4684" s="13"/>
      <c r="G4684" s="13"/>
    </row>
    <row r="4685" spans="1:7" x14ac:dyDescent="0.3">
      <c r="A4685" s="13"/>
      <c r="B4685" s="13"/>
      <c r="E4685" s="13"/>
      <c r="F4685" s="13"/>
      <c r="G4685" s="13"/>
    </row>
    <row r="4686" spans="1:7" x14ac:dyDescent="0.3">
      <c r="A4686" s="13"/>
      <c r="B4686" s="13"/>
      <c r="E4686" s="13"/>
      <c r="F4686" s="13"/>
      <c r="G4686" s="13"/>
    </row>
    <row r="4687" spans="1:7" x14ac:dyDescent="0.3">
      <c r="A4687" s="13"/>
      <c r="B4687" s="13"/>
      <c r="E4687" s="13"/>
      <c r="F4687" s="13"/>
      <c r="G4687" s="13"/>
    </row>
    <row r="4688" spans="1:7" x14ac:dyDescent="0.3">
      <c r="A4688" s="13"/>
      <c r="B4688" s="13"/>
      <c r="E4688" s="13"/>
      <c r="F4688" s="13"/>
      <c r="G4688" s="13"/>
    </row>
    <row r="4689" spans="1:7" x14ac:dyDescent="0.3">
      <c r="A4689" s="13"/>
      <c r="B4689" s="13"/>
      <c r="E4689" s="13"/>
      <c r="F4689" s="13"/>
      <c r="G4689" s="13"/>
    </row>
    <row r="4690" spans="1:7" x14ac:dyDescent="0.3">
      <c r="A4690" s="13"/>
      <c r="B4690" s="13"/>
      <c r="E4690" s="13"/>
      <c r="F4690" s="13"/>
      <c r="G4690" s="13"/>
    </row>
    <row r="4691" spans="1:7" x14ac:dyDescent="0.3">
      <c r="A4691" s="13"/>
      <c r="B4691" s="13"/>
      <c r="E4691" s="13"/>
      <c r="F4691" s="13"/>
      <c r="G4691" s="13"/>
    </row>
    <row r="4692" spans="1:7" x14ac:dyDescent="0.3">
      <c r="A4692" s="13"/>
      <c r="B4692" s="13"/>
      <c r="E4692" s="13"/>
      <c r="F4692" s="13"/>
      <c r="G4692" s="13"/>
    </row>
    <row r="4693" spans="1:7" x14ac:dyDescent="0.3">
      <c r="A4693" s="13"/>
      <c r="B4693" s="13"/>
      <c r="E4693" s="13"/>
      <c r="F4693" s="13"/>
      <c r="G4693" s="13"/>
    </row>
    <row r="4694" spans="1:7" x14ac:dyDescent="0.3">
      <c r="A4694" s="13"/>
      <c r="B4694" s="13"/>
      <c r="E4694" s="13"/>
      <c r="F4694" s="13"/>
      <c r="G4694" s="13"/>
    </row>
    <row r="4695" spans="1:7" x14ac:dyDescent="0.3">
      <c r="A4695" s="13"/>
      <c r="B4695" s="13"/>
      <c r="E4695" s="13"/>
      <c r="F4695" s="13"/>
      <c r="G4695" s="13"/>
    </row>
    <row r="4696" spans="1:7" x14ac:dyDescent="0.3">
      <c r="A4696" s="13"/>
      <c r="B4696" s="13"/>
      <c r="E4696" s="13"/>
      <c r="F4696" s="13"/>
      <c r="G4696" s="13"/>
    </row>
    <row r="4697" spans="1:7" x14ac:dyDescent="0.3">
      <c r="A4697" s="13"/>
      <c r="B4697" s="13"/>
      <c r="E4697" s="13"/>
      <c r="F4697" s="13"/>
      <c r="G4697" s="13"/>
    </row>
    <row r="4698" spans="1:7" x14ac:dyDescent="0.3">
      <c r="A4698" s="13"/>
      <c r="B4698" s="13"/>
      <c r="E4698" s="13"/>
      <c r="F4698" s="13"/>
      <c r="G4698" s="13"/>
    </row>
    <row r="4699" spans="1:7" x14ac:dyDescent="0.3">
      <c r="A4699" s="13"/>
      <c r="B4699" s="13"/>
      <c r="E4699" s="13"/>
      <c r="F4699" s="13"/>
      <c r="G4699" s="13"/>
    </row>
    <row r="4700" spans="1:7" x14ac:dyDescent="0.3">
      <c r="A4700" s="13"/>
      <c r="B4700" s="13"/>
      <c r="E4700" s="13"/>
      <c r="F4700" s="13"/>
      <c r="G4700" s="13"/>
    </row>
    <row r="4701" spans="1:7" x14ac:dyDescent="0.3">
      <c r="A4701" s="13"/>
      <c r="B4701" s="13"/>
      <c r="E4701" s="13"/>
      <c r="F4701" s="13"/>
      <c r="G4701" s="13"/>
    </row>
    <row r="4702" spans="1:7" x14ac:dyDescent="0.3">
      <c r="A4702" s="13"/>
      <c r="B4702" s="13"/>
      <c r="E4702" s="13"/>
      <c r="F4702" s="13"/>
      <c r="G4702" s="13"/>
    </row>
    <row r="4703" spans="1:7" x14ac:dyDescent="0.3">
      <c r="A4703" s="13"/>
      <c r="B4703" s="13"/>
      <c r="E4703" s="13"/>
      <c r="F4703" s="13"/>
      <c r="G4703" s="13"/>
    </row>
    <row r="4704" spans="1:7" x14ac:dyDescent="0.3">
      <c r="A4704" s="13"/>
      <c r="B4704" s="13"/>
      <c r="E4704" s="13"/>
      <c r="F4704" s="13"/>
      <c r="G4704" s="13"/>
    </row>
    <row r="4705" spans="1:7" x14ac:dyDescent="0.3">
      <c r="A4705" s="13"/>
      <c r="B4705" s="13"/>
      <c r="E4705" s="13"/>
      <c r="F4705" s="13"/>
      <c r="G4705" s="13"/>
    </row>
    <row r="4706" spans="1:7" x14ac:dyDescent="0.3">
      <c r="A4706" s="13"/>
      <c r="B4706" s="13"/>
      <c r="E4706" s="13"/>
      <c r="F4706" s="13"/>
      <c r="G4706" s="13"/>
    </row>
    <row r="4707" spans="1:7" x14ac:dyDescent="0.3">
      <c r="A4707" s="13"/>
      <c r="B4707" s="13"/>
      <c r="E4707" s="13"/>
      <c r="F4707" s="13"/>
      <c r="G4707" s="13"/>
    </row>
    <row r="4708" spans="1:7" x14ac:dyDescent="0.3">
      <c r="A4708" s="13"/>
      <c r="B4708" s="13"/>
      <c r="E4708" s="13"/>
      <c r="F4708" s="13"/>
      <c r="G4708" s="13"/>
    </row>
    <row r="4709" spans="1:7" x14ac:dyDescent="0.3">
      <c r="A4709" s="13"/>
      <c r="B4709" s="13"/>
      <c r="E4709" s="13"/>
      <c r="F4709" s="13"/>
      <c r="G4709" s="13"/>
    </row>
    <row r="4710" spans="1:7" x14ac:dyDescent="0.3">
      <c r="A4710" s="13"/>
      <c r="B4710" s="13"/>
      <c r="E4710" s="13"/>
      <c r="F4710" s="13"/>
      <c r="G4710" s="13"/>
    </row>
    <row r="4711" spans="1:7" x14ac:dyDescent="0.3">
      <c r="A4711" s="13"/>
      <c r="B4711" s="13"/>
      <c r="E4711" s="13"/>
      <c r="F4711" s="13"/>
      <c r="G4711" s="13"/>
    </row>
    <row r="4712" spans="1:7" x14ac:dyDescent="0.3">
      <c r="A4712" s="13"/>
      <c r="B4712" s="13"/>
      <c r="E4712" s="13"/>
      <c r="F4712" s="13"/>
      <c r="G4712" s="13"/>
    </row>
    <row r="4713" spans="1:7" x14ac:dyDescent="0.3">
      <c r="A4713" s="13"/>
      <c r="B4713" s="13"/>
      <c r="E4713" s="13"/>
      <c r="F4713" s="13"/>
      <c r="G4713" s="13"/>
    </row>
    <row r="4714" spans="1:7" x14ac:dyDescent="0.3">
      <c r="A4714" s="13"/>
      <c r="B4714" s="13"/>
      <c r="E4714" s="13"/>
      <c r="F4714" s="13"/>
      <c r="G4714" s="13"/>
    </row>
    <row r="4715" spans="1:7" x14ac:dyDescent="0.3">
      <c r="A4715" s="13"/>
      <c r="B4715" s="13"/>
      <c r="E4715" s="13"/>
      <c r="F4715" s="13"/>
      <c r="G4715" s="13"/>
    </row>
    <row r="4716" spans="1:7" x14ac:dyDescent="0.3">
      <c r="A4716" s="13"/>
      <c r="B4716" s="13"/>
      <c r="E4716" s="13"/>
      <c r="F4716" s="13"/>
      <c r="G4716" s="13"/>
    </row>
    <row r="4717" spans="1:7" x14ac:dyDescent="0.3">
      <c r="A4717" s="13"/>
      <c r="B4717" s="13"/>
      <c r="E4717" s="13"/>
      <c r="F4717" s="13"/>
      <c r="G4717" s="13"/>
    </row>
    <row r="4718" spans="1:7" x14ac:dyDescent="0.3">
      <c r="A4718" s="13"/>
      <c r="B4718" s="13"/>
      <c r="E4718" s="13"/>
      <c r="F4718" s="13"/>
      <c r="G4718" s="13"/>
    </row>
    <row r="4719" spans="1:7" x14ac:dyDescent="0.3">
      <c r="A4719" s="13"/>
      <c r="B4719" s="13"/>
      <c r="E4719" s="13"/>
      <c r="F4719" s="13"/>
      <c r="G4719" s="13"/>
    </row>
    <row r="4720" spans="1:7" x14ac:dyDescent="0.3">
      <c r="A4720" s="13"/>
      <c r="B4720" s="13"/>
      <c r="E4720" s="13"/>
      <c r="F4720" s="13"/>
      <c r="G4720" s="13"/>
    </row>
    <row r="4721" spans="1:7" x14ac:dyDescent="0.3">
      <c r="A4721" s="13"/>
      <c r="B4721" s="13"/>
      <c r="E4721" s="13"/>
      <c r="F4721" s="13"/>
      <c r="G4721" s="13"/>
    </row>
    <row r="4722" spans="1:7" x14ac:dyDescent="0.3">
      <c r="A4722" s="13"/>
      <c r="B4722" s="13"/>
      <c r="E4722" s="13"/>
      <c r="F4722" s="13"/>
      <c r="G4722" s="13"/>
    </row>
    <row r="4723" spans="1:7" x14ac:dyDescent="0.3">
      <c r="A4723" s="13"/>
      <c r="B4723" s="13"/>
      <c r="E4723" s="13"/>
      <c r="F4723" s="13"/>
      <c r="G4723" s="13"/>
    </row>
    <row r="4724" spans="1:7" x14ac:dyDescent="0.3">
      <c r="A4724" s="13"/>
      <c r="B4724" s="13"/>
      <c r="E4724" s="13"/>
      <c r="F4724" s="13"/>
      <c r="G4724" s="13"/>
    </row>
    <row r="4725" spans="1:7" x14ac:dyDescent="0.3">
      <c r="A4725" s="13"/>
      <c r="B4725" s="13"/>
      <c r="E4725" s="13"/>
      <c r="F4725" s="13"/>
      <c r="G4725" s="13"/>
    </row>
    <row r="4726" spans="1:7" x14ac:dyDescent="0.3">
      <c r="A4726" s="13"/>
      <c r="B4726" s="13"/>
      <c r="E4726" s="13"/>
      <c r="F4726" s="13"/>
      <c r="G4726" s="13"/>
    </row>
    <row r="4727" spans="1:7" x14ac:dyDescent="0.3">
      <c r="A4727" s="13"/>
      <c r="B4727" s="13"/>
      <c r="E4727" s="13"/>
      <c r="F4727" s="13"/>
      <c r="G4727" s="13"/>
    </row>
    <row r="4728" spans="1:7" x14ac:dyDescent="0.3">
      <c r="A4728" s="13"/>
      <c r="B4728" s="13"/>
      <c r="E4728" s="13"/>
      <c r="F4728" s="13"/>
      <c r="G4728" s="13"/>
    </row>
    <row r="4729" spans="1:7" x14ac:dyDescent="0.3">
      <c r="A4729" s="13"/>
      <c r="B4729" s="13"/>
      <c r="E4729" s="13"/>
      <c r="F4729" s="13"/>
      <c r="G4729" s="13"/>
    </row>
    <row r="4730" spans="1:7" x14ac:dyDescent="0.3">
      <c r="A4730" s="13"/>
      <c r="B4730" s="13"/>
      <c r="E4730" s="13"/>
      <c r="F4730" s="13"/>
      <c r="G4730" s="13"/>
    </row>
    <row r="4731" spans="1:7" x14ac:dyDescent="0.3">
      <c r="A4731" s="13"/>
      <c r="B4731" s="13"/>
      <c r="E4731" s="13"/>
      <c r="F4731" s="13"/>
      <c r="G4731" s="13"/>
    </row>
    <row r="4732" spans="1:7" x14ac:dyDescent="0.3">
      <c r="A4732" s="13"/>
      <c r="B4732" s="13"/>
      <c r="E4732" s="13"/>
      <c r="F4732" s="13"/>
      <c r="G4732" s="13"/>
    </row>
    <row r="4733" spans="1:7" x14ac:dyDescent="0.3">
      <c r="A4733" s="13"/>
      <c r="B4733" s="13"/>
      <c r="E4733" s="13"/>
      <c r="F4733" s="13"/>
      <c r="G4733" s="13"/>
    </row>
    <row r="4734" spans="1:7" x14ac:dyDescent="0.3">
      <c r="A4734" s="13"/>
      <c r="B4734" s="13"/>
      <c r="E4734" s="13"/>
      <c r="F4734" s="13"/>
      <c r="G4734" s="13"/>
    </row>
    <row r="4735" spans="1:7" x14ac:dyDescent="0.3">
      <c r="A4735" s="13"/>
      <c r="B4735" s="13"/>
      <c r="E4735" s="13"/>
      <c r="F4735" s="13"/>
      <c r="G4735" s="13"/>
    </row>
    <row r="4736" spans="1:7" x14ac:dyDescent="0.3">
      <c r="A4736" s="13"/>
      <c r="B4736" s="13"/>
      <c r="E4736" s="13"/>
      <c r="F4736" s="13"/>
      <c r="G4736" s="13"/>
    </row>
    <row r="4737" spans="1:7" x14ac:dyDescent="0.3">
      <c r="A4737" s="13"/>
      <c r="B4737" s="13"/>
      <c r="E4737" s="13"/>
      <c r="F4737" s="13"/>
      <c r="G4737" s="13"/>
    </row>
    <row r="4738" spans="1:7" x14ac:dyDescent="0.3">
      <c r="A4738" s="13"/>
      <c r="B4738" s="13"/>
      <c r="E4738" s="13"/>
      <c r="F4738" s="13"/>
      <c r="G4738" s="13"/>
    </row>
    <row r="4739" spans="1:7" x14ac:dyDescent="0.3">
      <c r="A4739" s="13"/>
      <c r="B4739" s="13"/>
      <c r="E4739" s="13"/>
      <c r="F4739" s="13"/>
      <c r="G4739" s="13"/>
    </row>
    <row r="4740" spans="1:7" x14ac:dyDescent="0.3">
      <c r="A4740" s="13"/>
      <c r="B4740" s="13"/>
      <c r="E4740" s="13"/>
      <c r="F4740" s="13"/>
      <c r="G4740" s="13"/>
    </row>
    <row r="4741" spans="1:7" x14ac:dyDescent="0.3">
      <c r="A4741" s="13"/>
      <c r="B4741" s="13"/>
      <c r="E4741" s="13"/>
      <c r="F4741" s="13"/>
      <c r="G4741" s="13"/>
    </row>
    <row r="4742" spans="1:7" x14ac:dyDescent="0.3">
      <c r="A4742" s="13"/>
      <c r="B4742" s="13"/>
      <c r="E4742" s="13"/>
      <c r="F4742" s="13"/>
      <c r="G4742" s="13"/>
    </row>
    <row r="4743" spans="1:7" x14ac:dyDescent="0.3">
      <c r="A4743" s="13"/>
      <c r="B4743" s="13"/>
      <c r="E4743" s="13"/>
      <c r="F4743" s="13"/>
      <c r="G4743" s="13"/>
    </row>
    <row r="4744" spans="1:7" x14ac:dyDescent="0.3">
      <c r="A4744" s="13"/>
      <c r="B4744" s="13"/>
      <c r="E4744" s="13"/>
      <c r="F4744" s="13"/>
      <c r="G4744" s="13"/>
    </row>
    <row r="4745" spans="1:7" x14ac:dyDescent="0.3">
      <c r="A4745" s="13"/>
      <c r="B4745" s="13"/>
      <c r="E4745" s="13"/>
      <c r="F4745" s="13"/>
      <c r="G4745" s="13"/>
    </row>
    <row r="4746" spans="1:7" x14ac:dyDescent="0.3">
      <c r="A4746" s="13"/>
      <c r="B4746" s="13"/>
      <c r="E4746" s="13"/>
      <c r="F4746" s="13"/>
      <c r="G4746" s="13"/>
    </row>
    <row r="4747" spans="1:7" x14ac:dyDescent="0.3">
      <c r="A4747" s="13"/>
      <c r="B4747" s="13"/>
      <c r="E4747" s="13"/>
      <c r="F4747" s="13"/>
      <c r="G4747" s="13"/>
    </row>
    <row r="4748" spans="1:7" x14ac:dyDescent="0.3">
      <c r="A4748" s="13"/>
      <c r="B4748" s="13"/>
      <c r="E4748" s="13"/>
      <c r="F4748" s="13"/>
      <c r="G4748" s="13"/>
    </row>
    <row r="4749" spans="1:7" x14ac:dyDescent="0.3">
      <c r="A4749" s="13"/>
      <c r="B4749" s="13"/>
      <c r="E4749" s="13"/>
      <c r="F4749" s="13"/>
      <c r="G4749" s="13"/>
    </row>
    <row r="4750" spans="1:7" x14ac:dyDescent="0.3">
      <c r="A4750" s="13"/>
      <c r="B4750" s="13"/>
      <c r="E4750" s="13"/>
      <c r="F4750" s="13"/>
      <c r="G4750" s="13"/>
    </row>
    <row r="4751" spans="1:7" x14ac:dyDescent="0.3">
      <c r="A4751" s="13"/>
      <c r="B4751" s="13"/>
      <c r="E4751" s="13"/>
      <c r="F4751" s="13"/>
      <c r="G4751" s="13"/>
    </row>
    <row r="4752" spans="1:7" x14ac:dyDescent="0.3">
      <c r="A4752" s="13"/>
      <c r="B4752" s="13"/>
      <c r="E4752" s="13"/>
      <c r="F4752" s="13"/>
      <c r="G4752" s="13"/>
    </row>
    <row r="4753" spans="1:7" x14ac:dyDescent="0.3">
      <c r="A4753" s="13"/>
      <c r="B4753" s="13"/>
      <c r="E4753" s="13"/>
      <c r="F4753" s="13"/>
      <c r="G4753" s="13"/>
    </row>
    <row r="4754" spans="1:7" x14ac:dyDescent="0.3">
      <c r="A4754" s="13"/>
      <c r="B4754" s="13"/>
      <c r="E4754" s="13"/>
      <c r="F4754" s="13"/>
      <c r="G4754" s="13"/>
    </row>
    <row r="4755" spans="1:7" x14ac:dyDescent="0.3">
      <c r="A4755" s="13"/>
      <c r="B4755" s="13"/>
      <c r="E4755" s="13"/>
      <c r="F4755" s="13"/>
      <c r="G4755" s="13"/>
    </row>
    <row r="4756" spans="1:7" x14ac:dyDescent="0.3">
      <c r="A4756" s="13"/>
      <c r="B4756" s="13"/>
      <c r="E4756" s="13"/>
      <c r="F4756" s="13"/>
      <c r="G4756" s="13"/>
    </row>
    <row r="4757" spans="1:7" x14ac:dyDescent="0.3">
      <c r="A4757" s="13"/>
      <c r="B4757" s="13"/>
      <c r="E4757" s="13"/>
      <c r="F4757" s="13"/>
      <c r="G4757" s="13"/>
    </row>
    <row r="4758" spans="1:7" x14ac:dyDescent="0.3">
      <c r="A4758" s="13"/>
      <c r="B4758" s="13"/>
      <c r="E4758" s="13"/>
      <c r="F4758" s="13"/>
      <c r="G4758" s="13"/>
    </row>
    <row r="4759" spans="1:7" x14ac:dyDescent="0.3">
      <c r="A4759" s="13"/>
      <c r="B4759" s="13"/>
      <c r="E4759" s="13"/>
      <c r="F4759" s="13"/>
      <c r="G4759" s="13"/>
    </row>
    <row r="4760" spans="1:7" x14ac:dyDescent="0.3">
      <c r="A4760" s="13"/>
      <c r="B4760" s="13"/>
      <c r="E4760" s="13"/>
      <c r="F4760" s="13"/>
      <c r="G4760" s="13"/>
    </row>
    <row r="4761" spans="1:7" x14ac:dyDescent="0.3">
      <c r="A4761" s="13"/>
      <c r="B4761" s="13"/>
      <c r="E4761" s="13"/>
      <c r="F4761" s="13"/>
      <c r="G4761" s="13"/>
    </row>
    <row r="4762" spans="1:7" x14ac:dyDescent="0.3">
      <c r="A4762" s="13"/>
      <c r="B4762" s="13"/>
      <c r="E4762" s="13"/>
      <c r="F4762" s="13"/>
      <c r="G4762" s="13"/>
    </row>
    <row r="4763" spans="1:7" x14ac:dyDescent="0.3">
      <c r="A4763" s="13"/>
      <c r="B4763" s="13"/>
      <c r="E4763" s="13"/>
      <c r="F4763" s="13"/>
      <c r="G4763" s="13"/>
    </row>
    <row r="4764" spans="1:7" x14ac:dyDescent="0.3">
      <c r="A4764" s="13"/>
      <c r="B4764" s="13"/>
      <c r="E4764" s="13"/>
      <c r="F4764" s="13"/>
      <c r="G4764" s="13"/>
    </row>
    <row r="4765" spans="1:7" x14ac:dyDescent="0.3">
      <c r="A4765" s="13"/>
      <c r="B4765" s="13"/>
      <c r="E4765" s="13"/>
      <c r="F4765" s="13"/>
      <c r="G4765" s="13"/>
    </row>
    <row r="4766" spans="1:7" x14ac:dyDescent="0.3">
      <c r="A4766" s="13"/>
      <c r="B4766" s="13"/>
      <c r="E4766" s="13"/>
      <c r="F4766" s="13"/>
      <c r="G4766" s="13"/>
    </row>
  </sheetData>
  <mergeCells count="4549">
    <mergeCell ref="G3:G8"/>
    <mergeCell ref="E3423:E3428"/>
    <mergeCell ref="A867:A872"/>
    <mergeCell ref="E3417:E3422"/>
    <mergeCell ref="B2661:B2666"/>
    <mergeCell ref="F2427:F2432"/>
    <mergeCell ref="E2391:E2396"/>
    <mergeCell ref="H2829:H2834"/>
    <mergeCell ref="E1605:E1610"/>
    <mergeCell ref="B2619:B2624"/>
    <mergeCell ref="E3873:E3878"/>
    <mergeCell ref="G2121:G2126"/>
    <mergeCell ref="B1479:B1484"/>
    <mergeCell ref="A1173:A1178"/>
    <mergeCell ref="G1335:G1340"/>
    <mergeCell ref="G3183:G3188"/>
    <mergeCell ref="F1299:F1304"/>
    <mergeCell ref="B957:B962"/>
    <mergeCell ref="G3603:G3608"/>
    <mergeCell ref="F2145:F2150"/>
    <mergeCell ref="E2691:E2696"/>
    <mergeCell ref="F357:F362"/>
    <mergeCell ref="A1167:A1172"/>
    <mergeCell ref="F2781:F2786"/>
    <mergeCell ref="G3639:G3644"/>
    <mergeCell ref="A141:A146"/>
    <mergeCell ref="F627:F632"/>
    <mergeCell ref="H87:H92"/>
    <mergeCell ref="G2421:G2426"/>
    <mergeCell ref="B1263:B1268"/>
    <mergeCell ref="H543:H548"/>
    <mergeCell ref="F1599:F1604"/>
    <mergeCell ref="E219:E224"/>
    <mergeCell ref="F4557:F4562"/>
    <mergeCell ref="E3219:E3224"/>
    <mergeCell ref="A1437:A1442"/>
    <mergeCell ref="F1371:F1376"/>
    <mergeCell ref="E3705:E3710"/>
    <mergeCell ref="F2859:F2864"/>
    <mergeCell ref="F2853:F2858"/>
    <mergeCell ref="G4653:G4658"/>
    <mergeCell ref="F1827:F1832"/>
    <mergeCell ref="A2961:A2966"/>
    <mergeCell ref="E1005:E1010"/>
    <mergeCell ref="F3831:F3836"/>
    <mergeCell ref="E663:E668"/>
    <mergeCell ref="F189:F194"/>
    <mergeCell ref="G1467:G1472"/>
    <mergeCell ref="H3249:H3254"/>
    <mergeCell ref="E2151:E2156"/>
    <mergeCell ref="F645:F650"/>
    <mergeCell ref="H1041:H1046"/>
    <mergeCell ref="G735:G740"/>
    <mergeCell ref="F3159:F3164"/>
    <mergeCell ref="B1863:B1868"/>
    <mergeCell ref="F2127:F2132"/>
    <mergeCell ref="E2337:E2342"/>
    <mergeCell ref="A4197:A4202"/>
    <mergeCell ref="E1305:E1310"/>
    <mergeCell ref="E4605:E4610"/>
    <mergeCell ref="F4131:F4136"/>
    <mergeCell ref="E963:E968"/>
    <mergeCell ref="E2451:E2456"/>
    <mergeCell ref="F4245:F4250"/>
    <mergeCell ref="E4761:E4766"/>
    <mergeCell ref="F3429:F3434"/>
    <mergeCell ref="B363:B368"/>
    <mergeCell ref="G2067:G2072"/>
    <mergeCell ref="B909:B914"/>
    <mergeCell ref="A1755:A1760"/>
    <mergeCell ref="G255:G260"/>
    <mergeCell ref="B1845:B1850"/>
    <mergeCell ref="G411:G416"/>
    <mergeCell ref="B3333:B3338"/>
    <mergeCell ref="E1287:E1292"/>
    <mergeCell ref="E945:E950"/>
    <mergeCell ref="G4527:G4532"/>
    <mergeCell ref="B4395:B4400"/>
    <mergeCell ref="B3369:B3374"/>
    <mergeCell ref="B663:B668"/>
    <mergeCell ref="B3363:B3368"/>
    <mergeCell ref="F1071:F1076"/>
    <mergeCell ref="E2469:E2474"/>
    <mergeCell ref="F2559:F2564"/>
    <mergeCell ref="G3855:G3860"/>
    <mergeCell ref="G711:G716"/>
    <mergeCell ref="G2823:G2828"/>
    <mergeCell ref="A3687:A3692"/>
    <mergeCell ref="G1035:G1040"/>
    <mergeCell ref="E4179:E4184"/>
    <mergeCell ref="B4449:B4454"/>
    <mergeCell ref="E4173:E4178"/>
    <mergeCell ref="F4299:F4304"/>
    <mergeCell ref="A441:A446"/>
    <mergeCell ref="A435:A440"/>
    <mergeCell ref="F3081:F3086"/>
    <mergeCell ref="A69:A74"/>
    <mergeCell ref="H2175:H2180"/>
    <mergeCell ref="B2895:B2900"/>
    <mergeCell ref="B4665:B4670"/>
    <mergeCell ref="F1773:F1778"/>
    <mergeCell ref="G4599:G4604"/>
    <mergeCell ref="G3573:G3578"/>
    <mergeCell ref="G867:G872"/>
    <mergeCell ref="A3369:A3374"/>
    <mergeCell ref="A1215:A1220"/>
    <mergeCell ref="H21:H26"/>
    <mergeCell ref="B3009:B3014"/>
    <mergeCell ref="F4197:F4202"/>
    <mergeCell ref="A2187:A2192"/>
    <mergeCell ref="H993:H998"/>
    <mergeCell ref="H1503:H1508"/>
    <mergeCell ref="A2181:A2186"/>
    <mergeCell ref="F1527:F1532"/>
    <mergeCell ref="G3837:G3842"/>
    <mergeCell ref="A369:A374"/>
    <mergeCell ref="A3669:A3674"/>
    <mergeCell ref="H1107:H1112"/>
    <mergeCell ref="F3015:F3020"/>
    <mergeCell ref="H2475:H2480"/>
    <mergeCell ref="A4641:A4646"/>
    <mergeCell ref="B3309:B3314"/>
    <mergeCell ref="F4497:F4502"/>
    <mergeCell ref="H2931:H2936"/>
    <mergeCell ref="G1767:G1772"/>
    <mergeCell ref="A2487:A2492"/>
    <mergeCell ref="H1293:H1298"/>
    <mergeCell ref="B609:B614"/>
    <mergeCell ref="H3:H8"/>
    <mergeCell ref="A3825:A3830"/>
    <mergeCell ref="F2391:F2396"/>
    <mergeCell ref="E2079:E2084"/>
    <mergeCell ref="E3015:E3020"/>
    <mergeCell ref="F3873:F3878"/>
    <mergeCell ref="F573:F578"/>
    <mergeCell ref="G663:G668"/>
    <mergeCell ref="E3051:E3056"/>
    <mergeCell ref="H2457:H2462"/>
    <mergeCell ref="E897:E902"/>
    <mergeCell ref="G777:G782"/>
    <mergeCell ref="E4539:E4544"/>
    <mergeCell ref="B141:B146"/>
    <mergeCell ref="F2691:F2696"/>
    <mergeCell ref="B135:B140"/>
    <mergeCell ref="H303:H308"/>
    <mergeCell ref="E1353:E1358"/>
    <mergeCell ref="G1749:G1754"/>
    <mergeCell ref="B1623:B1628"/>
    <mergeCell ref="A2469:A2474"/>
    <mergeCell ref="F4173:F4178"/>
    <mergeCell ref="G963:G968"/>
    <mergeCell ref="A801:A806"/>
    <mergeCell ref="E3351:E3356"/>
    <mergeCell ref="H1389:H1394"/>
    <mergeCell ref="G1077:G1082"/>
    <mergeCell ref="G567:G572"/>
    <mergeCell ref="E165:E170"/>
    <mergeCell ref="B435:B440"/>
    <mergeCell ref="B4077:B4082"/>
    <mergeCell ref="F255:F260"/>
    <mergeCell ref="B105:B110"/>
    <mergeCell ref="G39:G44"/>
    <mergeCell ref="H1335:H1340"/>
    <mergeCell ref="E579:E584"/>
    <mergeCell ref="H2709:H2714"/>
    <mergeCell ref="B2961:B2966"/>
    <mergeCell ref="H2823:H2828"/>
    <mergeCell ref="E2061:E2066"/>
    <mergeCell ref="B843:B848"/>
    <mergeCell ref="E423:E428"/>
    <mergeCell ref="E4065:E4070"/>
    <mergeCell ref="B405:B410"/>
    <mergeCell ref="G339:G344"/>
    <mergeCell ref="E879:E884"/>
    <mergeCell ref="G1827:G1832"/>
    <mergeCell ref="B4329:B4334"/>
    <mergeCell ref="E2361:E2366"/>
    <mergeCell ref="E1851:E1856"/>
    <mergeCell ref="B2079:B2084"/>
    <mergeCell ref="G2127:G2132"/>
    <mergeCell ref="G1095:G1100"/>
    <mergeCell ref="E1779:E1784"/>
    <mergeCell ref="F1305:F1310"/>
    <mergeCell ref="F273:F278"/>
    <mergeCell ref="F3573:F3578"/>
    <mergeCell ref="E2751:E2756"/>
    <mergeCell ref="E1965:E1970"/>
    <mergeCell ref="B1923:B1928"/>
    <mergeCell ref="G2049:G2054"/>
    <mergeCell ref="H1203:H1208"/>
    <mergeCell ref="F1227:F1232"/>
    <mergeCell ref="G3537:G3542"/>
    <mergeCell ref="A117:A122"/>
    <mergeCell ref="B2937:B2942"/>
    <mergeCell ref="G2283:G2288"/>
    <mergeCell ref="A3147:A3152"/>
    <mergeCell ref="A2115:A2120"/>
    <mergeCell ref="B4425:B4430"/>
    <mergeCell ref="F4761:F4766"/>
    <mergeCell ref="F3729:F3734"/>
    <mergeCell ref="A3603:A3608"/>
    <mergeCell ref="H2067:H2072"/>
    <mergeCell ref="A3597:A3602"/>
    <mergeCell ref="H1035:H1040"/>
    <mergeCell ref="F1575:F1580"/>
    <mergeCell ref="H2403:H2408"/>
    <mergeCell ref="H2409:H2414"/>
    <mergeCell ref="A417:A422"/>
    <mergeCell ref="F1287:F1292"/>
    <mergeCell ref="F3057:F3062"/>
    <mergeCell ref="A2415:A2420"/>
    <mergeCell ref="E123:E128"/>
    <mergeCell ref="B537:B542"/>
    <mergeCell ref="F1401:F1406"/>
    <mergeCell ref="F4029:F4034"/>
    <mergeCell ref="E4365:E4370"/>
    <mergeCell ref="A3525:A3530"/>
    <mergeCell ref="A915:A920"/>
    <mergeCell ref="A1101:A1106"/>
    <mergeCell ref="A1455:A1460"/>
    <mergeCell ref="G1479:G1484"/>
    <mergeCell ref="A3969:A3974"/>
    <mergeCell ref="H1407:H1412"/>
    <mergeCell ref="H2775:H2780"/>
    <mergeCell ref="G495:G500"/>
    <mergeCell ref="B369:B374"/>
    <mergeCell ref="B2637:B2642"/>
    <mergeCell ref="G1983:G1988"/>
    <mergeCell ref="A2847:A2852"/>
    <mergeCell ref="A1815:A1820"/>
    <mergeCell ref="B4641:B4646"/>
    <mergeCell ref="G4497:G4502"/>
    <mergeCell ref="G3045:G3050"/>
    <mergeCell ref="G3465:G3470"/>
    <mergeCell ref="A4329:A4334"/>
    <mergeCell ref="A3303:A3308"/>
    <mergeCell ref="B1455:B1460"/>
    <mergeCell ref="H735:H740"/>
    <mergeCell ref="H3135:H3140"/>
    <mergeCell ref="A1143:A1148"/>
    <mergeCell ref="G795:G800"/>
    <mergeCell ref="B2607:B2612"/>
    <mergeCell ref="E645:E650"/>
    <mergeCell ref="F915:F920"/>
    <mergeCell ref="B795:B800"/>
    <mergeCell ref="B4095:B4100"/>
    <mergeCell ref="A4425:A4430"/>
    <mergeCell ref="H1059:H1064"/>
    <mergeCell ref="H2547:H2552"/>
    <mergeCell ref="G3939:G3944"/>
    <mergeCell ref="F171:F176"/>
    <mergeCell ref="F2019:F2024"/>
    <mergeCell ref="A825:A830"/>
    <mergeCell ref="A861:A866"/>
    <mergeCell ref="B4125:B4130"/>
    <mergeCell ref="F1233:F1238"/>
    <mergeCell ref="F4533:F4538"/>
    <mergeCell ref="G1659:G1664"/>
    <mergeCell ref="H1749:H1754"/>
    <mergeCell ref="E51:E56"/>
    <mergeCell ref="F2289:F2294"/>
    <mergeCell ref="G927:G932"/>
    <mergeCell ref="E525:E530"/>
    <mergeCell ref="E4167:E4172"/>
    <mergeCell ref="F3351:F3356"/>
    <mergeCell ref="F2319:F2324"/>
    <mergeCell ref="E2013:E2018"/>
    <mergeCell ref="A3129:A3134"/>
    <mergeCell ref="H3267:H3272"/>
    <mergeCell ref="F3807:F3812"/>
    <mergeCell ref="F3801:F3806"/>
    <mergeCell ref="H2049:H2054"/>
    <mergeCell ref="B1881:B1886"/>
    <mergeCell ref="H1017:H1022"/>
    <mergeCell ref="G1227:G1232"/>
    <mergeCell ref="G195:G200"/>
    <mergeCell ref="E4467:E4472"/>
    <mergeCell ref="B69:B74"/>
    <mergeCell ref="G2715:G2720"/>
    <mergeCell ref="G2709:G2714"/>
    <mergeCell ref="E3249:E3254"/>
    <mergeCell ref="G4197:G4202"/>
    <mergeCell ref="E207:E212"/>
    <mergeCell ref="F1503:F1508"/>
    <mergeCell ref="H2451:H2456"/>
    <mergeCell ref="F4515:F4520"/>
    <mergeCell ref="A4617:A4622"/>
    <mergeCell ref="B1065:B1070"/>
    <mergeCell ref="G999:G1004"/>
    <mergeCell ref="F1329:F1334"/>
    <mergeCell ref="E1539:E1544"/>
    <mergeCell ref="E507:E512"/>
    <mergeCell ref="E3807:E3812"/>
    <mergeCell ref="B3957:B3962"/>
    <mergeCell ref="B3525:B3530"/>
    <mergeCell ref="E1989:E1994"/>
    <mergeCell ref="H1095:H1100"/>
    <mergeCell ref="G273:G278"/>
    <mergeCell ref="E4113:E4118"/>
    <mergeCell ref="E807:E812"/>
    <mergeCell ref="E4449:E4454"/>
    <mergeCell ref="E4107:E4112"/>
    <mergeCell ref="F897:F902"/>
    <mergeCell ref="B3825:B3830"/>
    <mergeCell ref="F933:F938"/>
    <mergeCell ref="F4233:F4238"/>
    <mergeCell ref="E2925:E2930"/>
    <mergeCell ref="B639:B644"/>
    <mergeCell ref="B4281:B4286"/>
    <mergeCell ref="E1893:E1898"/>
    <mergeCell ref="E4407:E4412"/>
    <mergeCell ref="E3381:E3386"/>
    <mergeCell ref="E3285:E3290"/>
    <mergeCell ref="G3165:G3170"/>
    <mergeCell ref="F4389:F4394"/>
    <mergeCell ref="A4263:A4268"/>
    <mergeCell ref="A3231:A3236"/>
    <mergeCell ref="E939:E944"/>
    <mergeCell ref="H1695:H1700"/>
    <mergeCell ref="B1383:B1388"/>
    <mergeCell ref="F1203:F1208"/>
    <mergeCell ref="G4029:G4034"/>
    <mergeCell ref="A1593:A1598"/>
    <mergeCell ref="A1077:A1082"/>
    <mergeCell ref="B2871:B2876"/>
    <mergeCell ref="H2151:H2156"/>
    <mergeCell ref="F2685:F2690"/>
    <mergeCell ref="A2049:A2054"/>
    <mergeCell ref="F4689:F4694"/>
    <mergeCell ref="F1029:F1034"/>
    <mergeCell ref="A3531:A3536"/>
    <mergeCell ref="E1239:E1244"/>
    <mergeCell ref="H969:H974"/>
    <mergeCell ref="H963:H968"/>
    <mergeCell ref="H2349:H2354"/>
    <mergeCell ref="B2181:B2186"/>
    <mergeCell ref="G1011:G1016"/>
    <mergeCell ref="G4227:G4232"/>
    <mergeCell ref="G1527:G1532"/>
    <mergeCell ref="F4035:F4040"/>
    <mergeCell ref="B4269:B4274"/>
    <mergeCell ref="G4125:G4130"/>
    <mergeCell ref="B2115:B2120"/>
    <mergeCell ref="E1521:E1526"/>
    <mergeCell ref="A2931:A2936"/>
    <mergeCell ref="B1083:B1088"/>
    <mergeCell ref="H1251:H1256"/>
    <mergeCell ref="A777:A782"/>
    <mergeCell ref="G3729:G3734"/>
    <mergeCell ref="B3597:B3602"/>
    <mergeCell ref="B2571:B2576"/>
    <mergeCell ref="G2943:G2948"/>
    <mergeCell ref="B2565:B2570"/>
    <mergeCell ref="G1911:G1916"/>
    <mergeCell ref="G543:G548"/>
    <mergeCell ref="A2775:A2780"/>
    <mergeCell ref="A1749:A1754"/>
    <mergeCell ref="G3057:G3062"/>
    <mergeCell ref="A843:A848"/>
    <mergeCell ref="F4749:F4754"/>
    <mergeCell ref="B3453:B3458"/>
    <mergeCell ref="G171:G176"/>
    <mergeCell ref="B4005:B4010"/>
    <mergeCell ref="A3:A8"/>
    <mergeCell ref="G1233:G1238"/>
    <mergeCell ref="E2553:E2558"/>
    <mergeCell ref="F1707:F1712"/>
    <mergeCell ref="B267:B272"/>
    <mergeCell ref="G3501:G3506"/>
    <mergeCell ref="E4041:E4046"/>
    <mergeCell ref="E4035:E4040"/>
    <mergeCell ref="B3279:B3284"/>
    <mergeCell ref="E3009:E3014"/>
    <mergeCell ref="G2319:G2324"/>
    <mergeCell ref="F429:F434"/>
    <mergeCell ref="G1287:G1292"/>
    <mergeCell ref="A303:A308"/>
    <mergeCell ref="E2853:E2858"/>
    <mergeCell ref="E1827:E1832"/>
    <mergeCell ref="F981:F986"/>
    <mergeCell ref="F1917:F1922"/>
    <mergeCell ref="G3801:G3806"/>
    <mergeCell ref="E4341:E4346"/>
    <mergeCell ref="F2979:F2984"/>
    <mergeCell ref="E1641:E1646"/>
    <mergeCell ref="F4467:F4472"/>
    <mergeCell ref="A1389:A1394"/>
    <mergeCell ref="F735:F740"/>
    <mergeCell ref="F3435:F3440"/>
    <mergeCell ref="A603:A608"/>
    <mergeCell ref="F1281:F1286"/>
    <mergeCell ref="B45:B50"/>
    <mergeCell ref="H2997:H3002"/>
    <mergeCell ref="G2685:G2690"/>
    <mergeCell ref="A3891:A3896"/>
    <mergeCell ref="B2043:B2048"/>
    <mergeCell ref="E81:E86"/>
    <mergeCell ref="F1863:F1868"/>
    <mergeCell ref="G4689:G4694"/>
    <mergeCell ref="G3663:G3668"/>
    <mergeCell ref="A1491:A1496"/>
    <mergeCell ref="G3657:G3662"/>
    <mergeCell ref="B3531:B3536"/>
    <mergeCell ref="A4005:A4010"/>
    <mergeCell ref="B2499:B2504"/>
    <mergeCell ref="F207:F212"/>
    <mergeCell ref="G1503:G1508"/>
    <mergeCell ref="A705:A710"/>
    <mergeCell ref="H2811:H2816"/>
    <mergeCell ref="H3297:H3302"/>
    <mergeCell ref="F1689:F1694"/>
    <mergeCell ref="G1959:G1964"/>
    <mergeCell ref="A2823:A2828"/>
    <mergeCell ref="E867:E872"/>
    <mergeCell ref="B4617:B4622"/>
    <mergeCell ref="F2661:F2666"/>
    <mergeCell ref="G3957:G3962"/>
    <mergeCell ref="B2799:B2804"/>
    <mergeCell ref="F507:F512"/>
    <mergeCell ref="H1455:H1460"/>
    <mergeCell ref="E2985:E2990"/>
    <mergeCell ref="F1989:F1994"/>
    <mergeCell ref="F1479:F1484"/>
    <mergeCell ref="E4623:E4628"/>
    <mergeCell ref="A4323:A4328"/>
    <mergeCell ref="A1617:A1622"/>
    <mergeCell ref="A591:A596"/>
    <mergeCell ref="E1437:E1442"/>
    <mergeCell ref="B681:B686"/>
    <mergeCell ref="H423:H428"/>
    <mergeCell ref="G2385:G2390"/>
    <mergeCell ref="A3105:A3110"/>
    <mergeCell ref="H1911:H1916"/>
    <mergeCell ref="B1743:B1748"/>
    <mergeCell ref="G4389:G4394"/>
    <mergeCell ref="A405:A410"/>
    <mergeCell ref="G3357:G3362"/>
    <mergeCell ref="B3231:B3236"/>
    <mergeCell ref="B525:B530"/>
    <mergeCell ref="B2199:B2204"/>
    <mergeCell ref="A4077:A4082"/>
    <mergeCell ref="G1203:G1208"/>
    <mergeCell ref="E2331:E2336"/>
    <mergeCell ref="B561:B566"/>
    <mergeCell ref="E1173:E1178"/>
    <mergeCell ref="E1167:E1172"/>
    <mergeCell ref="F807:F812"/>
    <mergeCell ref="F4449:F4454"/>
    <mergeCell ref="B3153:B3158"/>
    <mergeCell ref="E2253:E2258"/>
    <mergeCell ref="E441:E446"/>
    <mergeCell ref="E3741:E3746"/>
    <mergeCell ref="E435:E440"/>
    <mergeCell ref="F1893:F1898"/>
    <mergeCell ref="A2871:A2876"/>
    <mergeCell ref="A4503:A4508"/>
    <mergeCell ref="A3987:A3992"/>
    <mergeCell ref="F3333:F3338"/>
    <mergeCell ref="H129:H134"/>
    <mergeCell ref="A4023:A4028"/>
    <mergeCell ref="H1155:H1160"/>
    <mergeCell ref="F4395:F4400"/>
    <mergeCell ref="B471:B476"/>
    <mergeCell ref="F663:F668"/>
    <mergeCell ref="A1317:A1322"/>
    <mergeCell ref="H123:H128"/>
    <mergeCell ref="H2643:H2648"/>
    <mergeCell ref="A2805:A2810"/>
    <mergeCell ref="H1611:H1616"/>
    <mergeCell ref="B1443:B1448"/>
    <mergeCell ref="F777:F782"/>
    <mergeCell ref="E3687:E3692"/>
    <mergeCell ref="A4287:A4292"/>
    <mergeCell ref="H3093:H3098"/>
    <mergeCell ref="B225:B230"/>
    <mergeCell ref="E141:E146"/>
    <mergeCell ref="H195:H200"/>
    <mergeCell ref="H1677:H1682"/>
    <mergeCell ref="F2217:F2222"/>
    <mergeCell ref="G3075:G3080"/>
    <mergeCell ref="H3165:H3170"/>
    <mergeCell ref="G969:G974"/>
    <mergeCell ref="A1689:A1694"/>
    <mergeCell ref="H495:H500"/>
    <mergeCell ref="F3735:F3740"/>
    <mergeCell ref="G3825:G3830"/>
    <mergeCell ref="B1815:B1820"/>
    <mergeCell ref="A4755:A4760"/>
    <mergeCell ref="A4239:A4244"/>
    <mergeCell ref="F1221:F1226"/>
    <mergeCell ref="A1095:A1100"/>
    <mergeCell ref="E915:E920"/>
    <mergeCell ref="F435:F440"/>
    <mergeCell ref="E2913:E2918"/>
    <mergeCell ref="B627:B632"/>
    <mergeCell ref="E4401:E4406"/>
    <mergeCell ref="A849:A854"/>
    <mergeCell ref="E3369:E3374"/>
    <mergeCell ref="F4665:F4670"/>
    <mergeCell ref="F2553:F2558"/>
    <mergeCell ref="F1521:F1526"/>
    <mergeCell ref="E1215:E1220"/>
    <mergeCell ref="F3009:F3014"/>
    <mergeCell ref="G1647:G1652"/>
    <mergeCell ref="E2187:E2192"/>
    <mergeCell ref="B4569:B4574"/>
    <mergeCell ref="G4161:G4166"/>
    <mergeCell ref="E4701:E4706"/>
    <mergeCell ref="E969:E974"/>
    <mergeCell ref="E3669:E3674"/>
    <mergeCell ref="E1515:E1520"/>
    <mergeCell ref="F3309:F3314"/>
    <mergeCell ref="G1947:G1952"/>
    <mergeCell ref="E2487:E2492"/>
    <mergeCell ref="F609:F614"/>
    <mergeCell ref="G3435:G3440"/>
    <mergeCell ref="G729:G734"/>
    <mergeCell ref="E3969:E3974"/>
    <mergeCell ref="F4095:F4100"/>
    <mergeCell ref="G4719:G4724"/>
    <mergeCell ref="A1251:A1256"/>
    <mergeCell ref="A4551:A4556"/>
    <mergeCell ref="H3357:H3362"/>
    <mergeCell ref="F3891:F3896"/>
    <mergeCell ref="A3765:A3770"/>
    <mergeCell ref="A2733:A2738"/>
    <mergeCell ref="H171:H176"/>
    <mergeCell ref="H1539:H1544"/>
    <mergeCell ref="B2859:B2864"/>
    <mergeCell ref="G1863:G1868"/>
    <mergeCell ref="G831:G836"/>
    <mergeCell ref="B705:B710"/>
    <mergeCell ref="A3819:A3824"/>
    <mergeCell ref="H2625:H2630"/>
    <mergeCell ref="B1677:B1682"/>
    <mergeCell ref="H471:H476"/>
    <mergeCell ref="G4317:G4322"/>
    <mergeCell ref="G657:G662"/>
    <mergeCell ref="B3159:B3164"/>
    <mergeCell ref="E1197:E1202"/>
    <mergeCell ref="G2661:G2666"/>
    <mergeCell ref="H2925:H2930"/>
    <mergeCell ref="G2619:G2624"/>
    <mergeCell ref="B1977:B1982"/>
    <mergeCell ref="A2451:A2456"/>
    <mergeCell ref="B4245:B4250"/>
    <mergeCell ref="G957:G962"/>
    <mergeCell ref="F1167:F1172"/>
    <mergeCell ref="A1269:A1274"/>
    <mergeCell ref="B4545:B4550"/>
    <mergeCell ref="F2253:F2258"/>
    <mergeCell ref="G4395:G4400"/>
    <mergeCell ref="B3429:B3434"/>
    <mergeCell ref="B1317:B1322"/>
    <mergeCell ref="B285:B290"/>
    <mergeCell ref="G3363:G3368"/>
    <mergeCell ref="E3903:E3908"/>
    <mergeCell ref="A1359:A1364"/>
    <mergeCell ref="G2145:G2150"/>
    <mergeCell ref="F2619:F2624"/>
    <mergeCell ref="A1983:A1988"/>
    <mergeCell ref="A1977:A1982"/>
    <mergeCell ref="A951:A956"/>
    <mergeCell ref="A3465:A3470"/>
    <mergeCell ref="G4449:G4454"/>
    <mergeCell ref="B1617:B1622"/>
    <mergeCell ref="A2433:A2438"/>
    <mergeCell ref="F1437:F1442"/>
    <mergeCell ref="F405:F410"/>
    <mergeCell ref="B2073:B2078"/>
    <mergeCell ref="A1017:A1022"/>
    <mergeCell ref="F909:F914"/>
    <mergeCell ref="G3735:G3740"/>
    <mergeCell ref="B657:B662"/>
    <mergeCell ref="F1845:F1850"/>
    <mergeCell ref="E1221:E1226"/>
    <mergeCell ref="G1155:G1160"/>
    <mergeCell ref="E4059:E4064"/>
    <mergeCell ref="A1503:A1508"/>
    <mergeCell ref="B3297:B3302"/>
    <mergeCell ref="G2643:G2648"/>
    <mergeCell ref="G1611:G1616"/>
    <mergeCell ref="G1269:G1274"/>
    <mergeCell ref="G4665:G4670"/>
    <mergeCell ref="G1521:G1526"/>
    <mergeCell ref="A2685:A2690"/>
    <mergeCell ref="F2187:F2192"/>
    <mergeCell ref="F2181:F2186"/>
    <mergeCell ref="E1875:E1880"/>
    <mergeCell ref="H3129:H3134"/>
    <mergeCell ref="E843:E848"/>
    <mergeCell ref="F3669:F3674"/>
    <mergeCell ref="F369:F374"/>
    <mergeCell ref="F2637:F2642"/>
    <mergeCell ref="E2847:E2852"/>
    <mergeCell ref="F4641:F4646"/>
    <mergeCell ref="H879:H884"/>
    <mergeCell ref="E4329:E4334"/>
    <mergeCell ref="E3303:E3308"/>
    <mergeCell ref="F1455:F1460"/>
    <mergeCell ref="G1545:G1550"/>
    <mergeCell ref="E1143:E1148"/>
    <mergeCell ref="F3969:F3974"/>
    <mergeCell ref="F2937:F2942"/>
    <mergeCell ref="E3147:E3152"/>
    <mergeCell ref="H1185:H1190"/>
    <mergeCell ref="B1017:B1022"/>
    <mergeCell ref="G3063:G3068"/>
    <mergeCell ref="E3603:E3608"/>
    <mergeCell ref="G909:G914"/>
    <mergeCell ref="E3597:E3602"/>
    <mergeCell ref="G1845:G1850"/>
    <mergeCell ref="H2703:H2708"/>
    <mergeCell ref="A1677:A1682"/>
    <mergeCell ref="G3333:G3338"/>
    <mergeCell ref="B201:B206"/>
    <mergeCell ref="G135:G140"/>
    <mergeCell ref="G2247:G2252"/>
    <mergeCell ref="E1455:E1460"/>
    <mergeCell ref="B237:B242"/>
    <mergeCell ref="E4311:E4316"/>
    <mergeCell ref="H1887:H1892"/>
    <mergeCell ref="F795:F800"/>
    <mergeCell ref="G1221:G1226"/>
    <mergeCell ref="B3723:B3728"/>
    <mergeCell ref="E1761:E1766"/>
    <mergeCell ref="A4053:A4058"/>
    <mergeCell ref="B4143:B4148"/>
    <mergeCell ref="G435:G440"/>
    <mergeCell ref="E1755:E1760"/>
    <mergeCell ref="A2385:A2390"/>
    <mergeCell ref="E3243:E3248"/>
    <mergeCell ref="F1881:F1886"/>
    <mergeCell ref="A3867:A3872"/>
    <mergeCell ref="F3369:F3374"/>
    <mergeCell ref="G363:G368"/>
    <mergeCell ref="G357:G362"/>
    <mergeCell ref="G1881:G1886"/>
    <mergeCell ref="B3471:B3476"/>
    <mergeCell ref="G2301:G2306"/>
    <mergeCell ref="A3165:A3170"/>
    <mergeCell ref="H897:H902"/>
    <mergeCell ref="H1239:H1244"/>
    <mergeCell ref="A279:A284"/>
    <mergeCell ref="H2385:H2390"/>
    <mergeCell ref="F141:F146"/>
    <mergeCell ref="F135:F140"/>
    <mergeCell ref="A123:A128"/>
    <mergeCell ref="B2433:B2438"/>
    <mergeCell ref="B1401:B1406"/>
    <mergeCell ref="G405:G410"/>
    <mergeCell ref="G1773:G1778"/>
    <mergeCell ref="A1611:A1616"/>
    <mergeCell ref="A3099:A3104"/>
    <mergeCell ref="A3093:A3098"/>
    <mergeCell ref="H531:H536"/>
    <mergeCell ref="B219:B224"/>
    <mergeCell ref="F3771:F3776"/>
    <mergeCell ref="F1065:F1070"/>
    <mergeCell ref="G3891:G3896"/>
    <mergeCell ref="A423:A428"/>
    <mergeCell ref="G2859:G2864"/>
    <mergeCell ref="B2733:B2738"/>
    <mergeCell ref="B1701:B1706"/>
    <mergeCell ref="G705:G710"/>
    <mergeCell ref="A1911:A1916"/>
    <mergeCell ref="B3705:B3710"/>
    <mergeCell ref="F3525:F3530"/>
    <mergeCell ref="A3399:A3404"/>
    <mergeCell ref="A2367:A2372"/>
    <mergeCell ref="H831:H836"/>
    <mergeCell ref="B519:B524"/>
    <mergeCell ref="H2313:H2318"/>
    <mergeCell ref="E1557:E1562"/>
    <mergeCell ref="H3291:H3296"/>
    <mergeCell ref="B3633:B3638"/>
    <mergeCell ref="F3825:F3830"/>
    <mergeCell ref="H3285:H3290"/>
    <mergeCell ref="A2667:A2672"/>
    <mergeCell ref="E4695:E4700"/>
    <mergeCell ref="E2475:E2480"/>
    <mergeCell ref="F1143:F1148"/>
    <mergeCell ref="G2937:G2942"/>
    <mergeCell ref="F4269:F4274"/>
    <mergeCell ref="E2589:E2594"/>
    <mergeCell ref="F2115:F2120"/>
    <mergeCell ref="F4383:F4388"/>
    <mergeCell ref="H357:H362"/>
    <mergeCell ref="H2031:H2036"/>
    <mergeCell ref="F3597:F3602"/>
    <mergeCell ref="F2571:F2576"/>
    <mergeCell ref="E2775:E2780"/>
    <mergeCell ref="A2007:A2012"/>
    <mergeCell ref="H813:H818"/>
    <mergeCell ref="E4263:E4268"/>
    <mergeCell ref="H2301:H2306"/>
    <mergeCell ref="F2415:F2420"/>
    <mergeCell ref="F4683:F4688"/>
    <mergeCell ref="H3363:H3368"/>
    <mergeCell ref="G1473:G1478"/>
    <mergeCell ref="H2331:H2336"/>
    <mergeCell ref="F2871:F2876"/>
    <mergeCell ref="B951:B956"/>
    <mergeCell ref="H1113:H1118"/>
    <mergeCell ref="B945:B950"/>
    <mergeCell ref="A639:A644"/>
    <mergeCell ref="G4347:G4352"/>
    <mergeCell ref="F4071:F4076"/>
    <mergeCell ref="A4479:A4484"/>
    <mergeCell ref="E375:E380"/>
    <mergeCell ref="B4461:B4466"/>
    <mergeCell ref="E3:E8"/>
    <mergeCell ref="A927:A932"/>
    <mergeCell ref="B3747:B3752"/>
    <mergeCell ref="A3441:A3446"/>
    <mergeCell ref="H2247:H2252"/>
    <mergeCell ref="F3279:F3284"/>
    <mergeCell ref="A4413:A4418"/>
    <mergeCell ref="E2121:E2126"/>
    <mergeCell ref="H3219:H3224"/>
    <mergeCell ref="B2535:B2540"/>
    <mergeCell ref="A4407:A4412"/>
    <mergeCell ref="E303:E308"/>
    <mergeCell ref="B3315:B3320"/>
    <mergeCell ref="B2289:B2294"/>
    <mergeCell ref="A4713:A4718"/>
    <mergeCell ref="B3867:B3872"/>
    <mergeCell ref="E2415:E2420"/>
    <mergeCell ref="E1389:E1394"/>
    <mergeCell ref="E603:E608"/>
    <mergeCell ref="E2871:E2876"/>
    <mergeCell ref="G2811:G2816"/>
    <mergeCell ref="E4359:E4364"/>
    <mergeCell ref="B2589:B2594"/>
    <mergeCell ref="E3843:E3848"/>
    <mergeCell ref="E1689:E1694"/>
    <mergeCell ref="F843:F848"/>
    <mergeCell ref="G2637:G2642"/>
    <mergeCell ref="F1815:F1820"/>
    <mergeCell ref="G4641:G4646"/>
    <mergeCell ref="E1503:E1508"/>
    <mergeCell ref="F3303:F3308"/>
    <mergeCell ref="H57:H62"/>
    <mergeCell ref="A267:A272"/>
    <mergeCell ref="E3759:E3764"/>
    <mergeCell ref="B2061:B2066"/>
    <mergeCell ref="F4617:F4622"/>
    <mergeCell ref="G1065:G1070"/>
    <mergeCell ref="G4707:G4712"/>
    <mergeCell ref="A3459:A3464"/>
    <mergeCell ref="G33:G38"/>
    <mergeCell ref="E4305:E4310"/>
    <mergeCell ref="H2859:H2864"/>
    <mergeCell ref="A2727:A2732"/>
    <mergeCell ref="G489:G494"/>
    <mergeCell ref="B4179:B4184"/>
    <mergeCell ref="B879:B884"/>
    <mergeCell ref="G3525:G3530"/>
    <mergeCell ref="G3519:G3524"/>
    <mergeCell ref="G3003:G3008"/>
    <mergeCell ref="B2367:B2372"/>
    <mergeCell ref="B2361:B2366"/>
    <mergeCell ref="G333:G338"/>
    <mergeCell ref="G3975:G3980"/>
    <mergeCell ref="A1539:A1544"/>
    <mergeCell ref="A171:A176"/>
    <mergeCell ref="H3159:H3164"/>
    <mergeCell ref="G1821:G1826"/>
    <mergeCell ref="A3027:A3032"/>
    <mergeCell ref="B1179:B1184"/>
    <mergeCell ref="B4479:B4484"/>
    <mergeCell ref="A1653:A1658"/>
    <mergeCell ref="H459:H464"/>
    <mergeCell ref="B3447:B3452"/>
    <mergeCell ref="G2793:G2798"/>
    <mergeCell ref="A3885:A3890"/>
    <mergeCell ref="F3231:F3236"/>
    <mergeCell ref="A1179:A1184"/>
    <mergeCell ref="G1383:G1388"/>
    <mergeCell ref="H1473:H1478"/>
    <mergeCell ref="E1035:E1040"/>
    <mergeCell ref="E4191:E4196"/>
    <mergeCell ref="A2703:A2708"/>
    <mergeCell ref="E3891:E3896"/>
    <mergeCell ref="A3639:A3644"/>
    <mergeCell ref="F2043:F2048"/>
    <mergeCell ref="H291:H296"/>
    <mergeCell ref="H2991:H2996"/>
    <mergeCell ref="E4005:E4010"/>
    <mergeCell ref="F3531:F3536"/>
    <mergeCell ref="A453:A458"/>
    <mergeCell ref="F3099:F3104"/>
    <mergeCell ref="H2559:H2564"/>
    <mergeCell ref="A1941:A1946"/>
    <mergeCell ref="H747:H752"/>
    <mergeCell ref="E1335:E1340"/>
    <mergeCell ref="B1605:B1610"/>
    <mergeCell ref="B579:B584"/>
    <mergeCell ref="H741:H746"/>
    <mergeCell ref="H1773:H1778"/>
    <mergeCell ref="E2823:E2828"/>
    <mergeCell ref="A3939:A3944"/>
    <mergeCell ref="A3141:A3146"/>
    <mergeCell ref="B1635:B1640"/>
    <mergeCell ref="A471:A476"/>
    <mergeCell ref="A4113:A4118"/>
    <mergeCell ref="H2919:H2924"/>
    <mergeCell ref="B63:B68"/>
    <mergeCell ref="E1317:E1322"/>
    <mergeCell ref="G3297:G3302"/>
    <mergeCell ref="F471:F476"/>
    <mergeCell ref="E3837:E3842"/>
    <mergeCell ref="G2265:G2270"/>
    <mergeCell ref="B3399:B3404"/>
    <mergeCell ref="E2805:E2810"/>
    <mergeCell ref="G4269:G4274"/>
    <mergeCell ref="F3957:F3962"/>
    <mergeCell ref="F2931:F2936"/>
    <mergeCell ref="G1083:G1088"/>
    <mergeCell ref="H1173:H1178"/>
    <mergeCell ref="E1617:E1622"/>
    <mergeCell ref="G3597:G3602"/>
    <mergeCell ref="G2571:G2576"/>
    <mergeCell ref="B861:B866"/>
    <mergeCell ref="G2565:G2570"/>
    <mergeCell ref="B3699:B3704"/>
    <mergeCell ref="E3105:E3110"/>
    <mergeCell ref="F2775:F2780"/>
    <mergeCell ref="F681:F686"/>
    <mergeCell ref="F1743:F1748"/>
    <mergeCell ref="F597:F602"/>
    <mergeCell ref="F3297:F3302"/>
    <mergeCell ref="G105:G110"/>
    <mergeCell ref="H99:H104"/>
    <mergeCell ref="E369:E374"/>
    <mergeCell ref="H1587:H1592"/>
    <mergeCell ref="B1419:B1424"/>
    <mergeCell ref="F3651:F3656"/>
    <mergeCell ref="B2907:B2912"/>
    <mergeCell ref="E4755:E4760"/>
    <mergeCell ref="H2793:H2798"/>
    <mergeCell ref="E1095:E1100"/>
    <mergeCell ref="H1761:H1766"/>
    <mergeCell ref="E2031:E2036"/>
    <mergeCell ref="H2787:H2792"/>
    <mergeCell ref="G1449:G1454"/>
    <mergeCell ref="B4113:B4118"/>
    <mergeCell ref="A2313:A2318"/>
    <mergeCell ref="B807:B812"/>
    <mergeCell ref="B4107:B4112"/>
    <mergeCell ref="H975:H980"/>
    <mergeCell ref="G3453:G3458"/>
    <mergeCell ref="B2295:B2300"/>
    <mergeCell ref="F3:F8"/>
    <mergeCell ref="A3285:A3290"/>
    <mergeCell ref="B4563:B4568"/>
    <mergeCell ref="G267:G272"/>
    <mergeCell ref="G3909:G3914"/>
    <mergeCell ref="A105:A110"/>
    <mergeCell ref="A99:A104"/>
    <mergeCell ref="A1587:A1592"/>
    <mergeCell ref="H393:H398"/>
    <mergeCell ref="B4749:B4754"/>
    <mergeCell ref="B4407:B4412"/>
    <mergeCell ref="B3381:B3386"/>
    <mergeCell ref="B2595:B2600"/>
    <mergeCell ref="F303:F308"/>
    <mergeCell ref="A3585:A3590"/>
    <mergeCell ref="A3069:A3074"/>
    <mergeCell ref="H1875:H1880"/>
    <mergeCell ref="G4209:G4214"/>
    <mergeCell ref="E4665:E4670"/>
    <mergeCell ref="A1113:A1118"/>
    <mergeCell ref="F3759:F3764"/>
    <mergeCell ref="A81:A86"/>
    <mergeCell ref="F2727:F2732"/>
    <mergeCell ref="A2601:A2606"/>
    <mergeCell ref="A2595:A2600"/>
    <mergeCell ref="A1569:A1574"/>
    <mergeCell ref="H33:H38"/>
    <mergeCell ref="H375:H380"/>
    <mergeCell ref="A3567:A3572"/>
    <mergeCell ref="G693:G698"/>
    <mergeCell ref="A1413:A1418"/>
    <mergeCell ref="A3681:A3686"/>
    <mergeCell ref="H2487:H2492"/>
    <mergeCell ref="G3885:G3890"/>
    <mergeCell ref="B1539:B1544"/>
    <mergeCell ref="H333:H338"/>
    <mergeCell ref="H675:H680"/>
    <mergeCell ref="B507:B512"/>
    <mergeCell ref="G3153:G3158"/>
    <mergeCell ref="B3027:B3032"/>
    <mergeCell ref="B1995:B2000"/>
    <mergeCell ref="A4041:A4046"/>
    <mergeCell ref="E1749:E1754"/>
    <mergeCell ref="A1887:A1892"/>
    <mergeCell ref="H693:H698"/>
    <mergeCell ref="H849:H854"/>
    <mergeCell ref="B3681:B3686"/>
    <mergeCell ref="F1389:F1394"/>
    <mergeCell ref="H2961:H2966"/>
    <mergeCell ref="F1383:F1388"/>
    <mergeCell ref="E4551:E4556"/>
    <mergeCell ref="G3225:G3230"/>
    <mergeCell ref="G2199:G2204"/>
    <mergeCell ref="E3765:E3770"/>
    <mergeCell ref="E2739:E2744"/>
    <mergeCell ref="B147:B152"/>
    <mergeCell ref="E2733:E2738"/>
    <mergeCell ref="F2403:F2408"/>
    <mergeCell ref="G981:G986"/>
    <mergeCell ref="A813:A818"/>
    <mergeCell ref="G2043:G2048"/>
    <mergeCell ref="F2517:F2522"/>
    <mergeCell ref="F1491:F1496"/>
    <mergeCell ref="A2301:A2306"/>
    <mergeCell ref="G4311:G4316"/>
    <mergeCell ref="F4005:F4010"/>
    <mergeCell ref="B453:B458"/>
    <mergeCell ref="G2499:G2504"/>
    <mergeCell ref="E3819:E3824"/>
    <mergeCell ref="A2331:A2336"/>
    <mergeCell ref="F1335:F1340"/>
    <mergeCell ref="A4341:A4346"/>
    <mergeCell ref="E2049:E2054"/>
    <mergeCell ref="E1017:E1022"/>
    <mergeCell ref="F3843:F3848"/>
    <mergeCell ref="E3537:E3542"/>
    <mergeCell ref="E3531:E3536"/>
    <mergeCell ref="B1245:B1250"/>
    <mergeCell ref="F657:F662"/>
    <mergeCell ref="E351:E356"/>
    <mergeCell ref="G747:G752"/>
    <mergeCell ref="E4503:E4508"/>
    <mergeCell ref="E495:E500"/>
    <mergeCell ref="F2805:F2810"/>
    <mergeCell ref="F2799:F2804"/>
    <mergeCell ref="E1983:E1988"/>
    <mergeCell ref="E1977:E1982"/>
    <mergeCell ref="G2925:G2930"/>
    <mergeCell ref="E3465:E3470"/>
    <mergeCell ref="F4323:F4328"/>
    <mergeCell ref="H51:H56"/>
    <mergeCell ref="E2433:E2438"/>
    <mergeCell ref="F1617:F1622"/>
    <mergeCell ref="G681:G686"/>
    <mergeCell ref="H2565:H2570"/>
    <mergeCell ref="E279:E284"/>
    <mergeCell ref="E795:E800"/>
    <mergeCell ref="G1743:G1748"/>
    <mergeCell ref="F2073:F2078"/>
    <mergeCell ref="G2163:G2168"/>
    <mergeCell ref="H3261:H3266"/>
    <mergeCell ref="G1809:G1814"/>
    <mergeCell ref="E2349:E2354"/>
    <mergeCell ref="G4281:G4286"/>
    <mergeCell ref="F4125:F4130"/>
    <mergeCell ref="F69:F74"/>
    <mergeCell ref="H1287:H1292"/>
    <mergeCell ref="H855:H860"/>
    <mergeCell ref="H2343:H2348"/>
    <mergeCell ref="H1311:H1316"/>
    <mergeCell ref="H2337:H2342"/>
    <mergeCell ref="E99:E104"/>
    <mergeCell ref="H951:H956"/>
    <mergeCell ref="H1977:H1982"/>
    <mergeCell ref="H417:H422"/>
    <mergeCell ref="G627:G632"/>
    <mergeCell ref="H3453:H3458"/>
    <mergeCell ref="B2769:B2774"/>
    <mergeCell ref="A3615:A3620"/>
    <mergeCell ref="F2961:F2966"/>
    <mergeCell ref="H2421:H2426"/>
    <mergeCell ref="E4497:E4502"/>
    <mergeCell ref="B3741:B3746"/>
    <mergeCell ref="B99:B104"/>
    <mergeCell ref="G3081:G3086"/>
    <mergeCell ref="B1587:B1592"/>
    <mergeCell ref="E2841:E2846"/>
    <mergeCell ref="B555:B560"/>
    <mergeCell ref="G4569:G4574"/>
    <mergeCell ref="G3195:G3200"/>
    <mergeCell ref="B3069:B3074"/>
    <mergeCell ref="B2559:B2564"/>
    <mergeCell ref="B2553:B2558"/>
    <mergeCell ref="E591:E596"/>
    <mergeCell ref="A2247:A2252"/>
    <mergeCell ref="H2721:H2726"/>
    <mergeCell ref="B4041:B4046"/>
    <mergeCell ref="B855:B860"/>
    <mergeCell ref="A3333:A3338"/>
    <mergeCell ref="B2853:B2858"/>
    <mergeCell ref="G1683:G1688"/>
    <mergeCell ref="F4203:F4208"/>
    <mergeCell ref="F2673:F2678"/>
    <mergeCell ref="A1515:A1520"/>
    <mergeCell ref="B4341:B4346"/>
    <mergeCell ref="F1017:F1022"/>
    <mergeCell ref="B81:B86"/>
    <mergeCell ref="G2727:G2732"/>
    <mergeCell ref="B1569:B1574"/>
    <mergeCell ref="F963:F968"/>
    <mergeCell ref="F4119:F4124"/>
    <mergeCell ref="B1563:B1568"/>
    <mergeCell ref="A1773:A1778"/>
    <mergeCell ref="A747:A752"/>
    <mergeCell ref="A741:A746"/>
    <mergeCell ref="B3567:B3572"/>
    <mergeCell ref="F3387:F3392"/>
    <mergeCell ref="G4245:G4250"/>
    <mergeCell ref="A2229:A2234"/>
    <mergeCell ref="B381:B386"/>
    <mergeCell ref="B4023:B4028"/>
    <mergeCell ref="F201:F206"/>
    <mergeCell ref="G3027:G3032"/>
    <mergeCell ref="F3687:F3692"/>
    <mergeCell ref="A2529:A2534"/>
    <mergeCell ref="E4197:E4202"/>
    <mergeCell ref="B1167:B1172"/>
    <mergeCell ref="B1281:B1286"/>
    <mergeCell ref="A3519:A3524"/>
    <mergeCell ref="E705:E710"/>
    <mergeCell ref="E195:E200"/>
    <mergeCell ref="F2499:F2504"/>
    <mergeCell ref="A3633:A3638"/>
    <mergeCell ref="E2709:E2714"/>
    <mergeCell ref="E3165:E3170"/>
    <mergeCell ref="F1317:F1322"/>
    <mergeCell ref="E1011:E1016"/>
    <mergeCell ref="F285:F290"/>
    <mergeCell ref="H711:H716"/>
    <mergeCell ref="H2199:H2204"/>
    <mergeCell ref="F2733:F2738"/>
    <mergeCell ref="B1437:B1442"/>
    <mergeCell ref="F1701:F1706"/>
    <mergeCell ref="G1371:G1376"/>
    <mergeCell ref="E1911:E1916"/>
    <mergeCell ref="E543:E548"/>
    <mergeCell ref="F3705:F3710"/>
    <mergeCell ref="E3399:E3404"/>
    <mergeCell ref="E2025:E2030"/>
    <mergeCell ref="F3819:F3824"/>
    <mergeCell ref="G609:G614"/>
    <mergeCell ref="A1473:A1478"/>
    <mergeCell ref="H1467:H1472"/>
    <mergeCell ref="F3033:F3038"/>
    <mergeCell ref="B3267:B3272"/>
    <mergeCell ref="A1929:A1934"/>
    <mergeCell ref="G3159:G3164"/>
    <mergeCell ref="H1149:H1154"/>
    <mergeCell ref="H3153:H3158"/>
    <mergeCell ref="H2121:H2126"/>
    <mergeCell ref="H1449:H1454"/>
    <mergeCell ref="H2439:H2444"/>
    <mergeCell ref="H2265:H2270"/>
    <mergeCell ref="A3327:A3332"/>
    <mergeCell ref="A1953:A1958"/>
    <mergeCell ref="A3753:A3758"/>
    <mergeCell ref="H3465:H3470"/>
    <mergeCell ref="A2475:A2480"/>
    <mergeCell ref="A4731:A4736"/>
    <mergeCell ref="H3195:H3200"/>
    <mergeCell ref="B1215:B1220"/>
    <mergeCell ref="A2061:A2066"/>
    <mergeCell ref="B2151:B2156"/>
    <mergeCell ref="A4575:A4580"/>
    <mergeCell ref="A3549:A3554"/>
    <mergeCell ref="H2355:H2360"/>
    <mergeCell ref="B2697:B2702"/>
    <mergeCell ref="E1251:E1256"/>
    <mergeCell ref="A1875:A1880"/>
    <mergeCell ref="B4701:B4706"/>
    <mergeCell ref="B3669:B3674"/>
    <mergeCell ref="B1515:B1520"/>
    <mergeCell ref="A2361:A2366"/>
    <mergeCell ref="B2451:B2456"/>
    <mergeCell ref="E4257:E4262"/>
    <mergeCell ref="E1551:E1556"/>
    <mergeCell ref="G4611:G4616"/>
    <mergeCell ref="B3975:B3980"/>
    <mergeCell ref="B3969:B3974"/>
    <mergeCell ref="F1677:F1682"/>
    <mergeCell ref="G3471:G3476"/>
    <mergeCell ref="E4011:E4016"/>
    <mergeCell ref="G3429:G3434"/>
    <mergeCell ref="A3261:A3266"/>
    <mergeCell ref="E4557:E4562"/>
    <mergeCell ref="E1311:E1316"/>
    <mergeCell ref="E3825:E3830"/>
    <mergeCell ref="F1977:F1982"/>
    <mergeCell ref="F2433:F2438"/>
    <mergeCell ref="E1611:E1616"/>
    <mergeCell ref="E4713:E4718"/>
    <mergeCell ref="B3615:B3620"/>
    <mergeCell ref="A2157:A2162"/>
    <mergeCell ref="A789:A794"/>
    <mergeCell ref="B3609:B3614"/>
    <mergeCell ref="F1659:F1664"/>
    <mergeCell ref="G1929:G1934"/>
    <mergeCell ref="B1797:B1802"/>
    <mergeCell ref="A1761:A1766"/>
    <mergeCell ref="H1077:H1082"/>
    <mergeCell ref="G4443:G4448"/>
    <mergeCell ref="A975:A980"/>
    <mergeCell ref="A4275:A4280"/>
    <mergeCell ref="H3081:H3086"/>
    <mergeCell ref="A3243:A3248"/>
    <mergeCell ref="E951:E956"/>
    <mergeCell ref="A1089:A1094"/>
    <mergeCell ref="F951:F956"/>
    <mergeCell ref="F945:F950"/>
    <mergeCell ref="E4125:E4130"/>
    <mergeCell ref="E3099:E3104"/>
    <mergeCell ref="A1905:A1910"/>
    <mergeCell ref="E3093:E3098"/>
    <mergeCell ref="F4551:F4556"/>
    <mergeCell ref="E1725:E1730"/>
    <mergeCell ref="A2841:A2846"/>
    <mergeCell ref="F4545:F4550"/>
    <mergeCell ref="A3393:A3398"/>
    <mergeCell ref="E4479:E4484"/>
    <mergeCell ref="G4545:G4550"/>
    <mergeCell ref="A4701:A4706"/>
    <mergeCell ref="F4503:F4508"/>
    <mergeCell ref="E1953:E1958"/>
    <mergeCell ref="B1197:B1202"/>
    <mergeCell ref="H3213:H3218"/>
    <mergeCell ref="G201:G206"/>
    <mergeCell ref="G3417:G3422"/>
    <mergeCell ref="F3747:F3752"/>
    <mergeCell ref="E3957:E3962"/>
    <mergeCell ref="E3441:E3446"/>
    <mergeCell ref="A375:A380"/>
    <mergeCell ref="H1995:H2000"/>
    <mergeCell ref="A2889:A2894"/>
    <mergeCell ref="G3873:G3878"/>
    <mergeCell ref="A489:A494"/>
    <mergeCell ref="B4683:B4688"/>
    <mergeCell ref="B15:B20"/>
    <mergeCell ref="F2565:F2570"/>
    <mergeCell ref="G2655:G2660"/>
    <mergeCell ref="B1497:B1502"/>
    <mergeCell ref="G4143:G4148"/>
    <mergeCell ref="A675:A680"/>
    <mergeCell ref="A3975:A3980"/>
    <mergeCell ref="A333:A338"/>
    <mergeCell ref="H2781:H2786"/>
    <mergeCell ref="B2469:B2474"/>
    <mergeCell ref="F3315:F3320"/>
    <mergeCell ref="G4173:G4178"/>
    <mergeCell ref="H627:H632"/>
    <mergeCell ref="A519:A524"/>
    <mergeCell ref="G285:G290"/>
    <mergeCell ref="F495:F500"/>
    <mergeCell ref="E639:E644"/>
    <mergeCell ref="G309:G314"/>
    <mergeCell ref="F123:F128"/>
    <mergeCell ref="F1605:F1610"/>
    <mergeCell ref="F579:F584"/>
    <mergeCell ref="A4377:A4382"/>
    <mergeCell ref="H2697:H2702"/>
    <mergeCell ref="E3939:E3944"/>
    <mergeCell ref="F3093:F3098"/>
    <mergeCell ref="A15:A20"/>
    <mergeCell ref="G219:G224"/>
    <mergeCell ref="A51:A56"/>
    <mergeCell ref="H309:H314"/>
    <mergeCell ref="F423:F428"/>
    <mergeCell ref="G1701:G1706"/>
    <mergeCell ref="A4677:A4682"/>
    <mergeCell ref="E2385:E2390"/>
    <mergeCell ref="F1911:F1916"/>
    <mergeCell ref="A2565:A2570"/>
    <mergeCell ref="F879:F884"/>
    <mergeCell ref="G3705:G3710"/>
    <mergeCell ref="F4179:F4184"/>
    <mergeCell ref="H339:H344"/>
    <mergeCell ref="A3021:A3026"/>
    <mergeCell ref="H1827:H1832"/>
    <mergeCell ref="F2367:F2372"/>
    <mergeCell ref="A315:A320"/>
    <mergeCell ref="H2853:H2858"/>
    <mergeCell ref="F2361:F2366"/>
    <mergeCell ref="H609:H614"/>
    <mergeCell ref="E171:E176"/>
    <mergeCell ref="B441:B446"/>
    <mergeCell ref="G2001:G2006"/>
    <mergeCell ref="E2685:E2690"/>
    <mergeCell ref="F219:F224"/>
    <mergeCell ref="A2721:A2726"/>
    <mergeCell ref="B3999:B4004"/>
    <mergeCell ref="A4209:A4214"/>
    <mergeCell ref="B1329:B1334"/>
    <mergeCell ref="A4659:A4664"/>
    <mergeCell ref="E2367:E2372"/>
    <mergeCell ref="H2097:H2102"/>
    <mergeCell ref="F861:F866"/>
    <mergeCell ref="F519:F524"/>
    <mergeCell ref="B1143:B1148"/>
    <mergeCell ref="G645:G650"/>
    <mergeCell ref="A3477:A3482"/>
    <mergeCell ref="E1185:E1190"/>
    <mergeCell ref="E3885:E3890"/>
    <mergeCell ref="E1179:E1184"/>
    <mergeCell ref="H285:H290"/>
    <mergeCell ref="B3261:B3266"/>
    <mergeCell ref="E2667:E2672"/>
    <mergeCell ref="H2397:H2402"/>
    <mergeCell ref="G4131:G4136"/>
    <mergeCell ref="E2703:E2708"/>
    <mergeCell ref="E3639:E3644"/>
    <mergeCell ref="F2793:F2798"/>
    <mergeCell ref="G945:G950"/>
    <mergeCell ref="E1485:E1490"/>
    <mergeCell ref="E453:E458"/>
    <mergeCell ref="G2433:G2438"/>
    <mergeCell ref="E3753:E3758"/>
    <mergeCell ref="F543:F548"/>
    <mergeCell ref="G2427:G2432"/>
    <mergeCell ref="G1401:G1406"/>
    <mergeCell ref="A4635:A4640"/>
    <mergeCell ref="E231:E236"/>
    <mergeCell ref="B1761:B1766"/>
    <mergeCell ref="G1101:G1106"/>
    <mergeCell ref="A1449:A1454"/>
    <mergeCell ref="H255:H260"/>
    <mergeCell ref="B3243:B3248"/>
    <mergeCell ref="G2589:G2594"/>
    <mergeCell ref="B2211:B2216"/>
    <mergeCell ref="A2421:A2426"/>
    <mergeCell ref="B4731:B4736"/>
    <mergeCell ref="B4725:B4730"/>
    <mergeCell ref="G4071:G4076"/>
    <mergeCell ref="A3909:A3914"/>
    <mergeCell ref="A3903:A3908"/>
    <mergeCell ref="B1029:B1034"/>
    <mergeCell ref="A723:A728"/>
    <mergeCell ref="B243:B248"/>
    <mergeCell ref="B3543:B3548"/>
    <mergeCell ref="A717:A722"/>
    <mergeCell ref="A3237:A3242"/>
    <mergeCell ref="E2967:E2972"/>
    <mergeCell ref="E1941:E1946"/>
    <mergeCell ref="E1653:E1658"/>
    <mergeCell ref="F4479:F4484"/>
    <mergeCell ref="F1179:F1184"/>
    <mergeCell ref="F3447:F3452"/>
    <mergeCell ref="A3321:A3326"/>
    <mergeCell ref="E3141:E3146"/>
    <mergeCell ref="E3657:E3662"/>
    <mergeCell ref="H2127:H2132"/>
    <mergeCell ref="A2589:A2594"/>
    <mergeCell ref="B375:B380"/>
    <mergeCell ref="H537:H542"/>
    <mergeCell ref="F2925:F2930"/>
    <mergeCell ref="E2619:E2624"/>
    <mergeCell ref="G3015:G3020"/>
    <mergeCell ref="G1047:G1052"/>
    <mergeCell ref="F4413:F4418"/>
    <mergeCell ref="B1857:B1862"/>
    <mergeCell ref="B489:B494"/>
    <mergeCell ref="F4407:F4412"/>
    <mergeCell ref="E3591:E3596"/>
    <mergeCell ref="A4191:A4196"/>
    <mergeCell ref="E957:E962"/>
    <mergeCell ref="E3585:E3590"/>
    <mergeCell ref="H1623:H1628"/>
    <mergeCell ref="B675:B680"/>
    <mergeCell ref="A1149:A1154"/>
    <mergeCell ref="H3111:H3116"/>
    <mergeCell ref="F3225:F3230"/>
    <mergeCell ref="G1347:G1352"/>
    <mergeCell ref="G3315:G3320"/>
    <mergeCell ref="G2289:G2294"/>
    <mergeCell ref="B2157:B2162"/>
    <mergeCell ref="A2121:A2126"/>
    <mergeCell ref="G3771:G3776"/>
    <mergeCell ref="H909:H914"/>
    <mergeCell ref="E471:E476"/>
    <mergeCell ref="B741:B746"/>
    <mergeCell ref="B4383:B4388"/>
    <mergeCell ref="G1419:G1424"/>
    <mergeCell ref="G2355:G2360"/>
    <mergeCell ref="A3075:A3080"/>
    <mergeCell ref="E2595:E2600"/>
    <mergeCell ref="H1701:H1706"/>
    <mergeCell ref="B4677:B4682"/>
    <mergeCell ref="G879:G884"/>
    <mergeCell ref="E3567:E3572"/>
    <mergeCell ref="F1353:F1358"/>
    <mergeCell ref="B3021:B3026"/>
    <mergeCell ref="E1413:E1418"/>
    <mergeCell ref="A1131:A1136"/>
    <mergeCell ref="G2361:G2366"/>
    <mergeCell ref="G1329:G1334"/>
    <mergeCell ref="E4749:E4754"/>
    <mergeCell ref="F1539:F1544"/>
    <mergeCell ref="F165:F170"/>
    <mergeCell ref="F1653:F1658"/>
    <mergeCell ref="F2589:F2594"/>
    <mergeCell ref="G3447:G3452"/>
    <mergeCell ref="E3987:E3992"/>
    <mergeCell ref="F3141:F3146"/>
    <mergeCell ref="A1431:A1436"/>
    <mergeCell ref="F2625:F2630"/>
    <mergeCell ref="H237:H242"/>
    <mergeCell ref="A1467:A1472"/>
    <mergeCell ref="E2313:E2318"/>
    <mergeCell ref="F4113:F4118"/>
    <mergeCell ref="B1557:B1562"/>
    <mergeCell ref="F4107:F4112"/>
    <mergeCell ref="A249:A254"/>
    <mergeCell ref="E657:E662"/>
    <mergeCell ref="F1953:F1958"/>
    <mergeCell ref="F927:F932"/>
    <mergeCell ref="G3747:G3752"/>
    <mergeCell ref="B4659:B4664"/>
    <mergeCell ref="G4005:G4010"/>
    <mergeCell ref="G861:G866"/>
    <mergeCell ref="A3837:A3842"/>
    <mergeCell ref="E1545:E1550"/>
    <mergeCell ref="B1989:B1994"/>
    <mergeCell ref="H1269:H1274"/>
    <mergeCell ref="F147:F152"/>
    <mergeCell ref="E357:E362"/>
    <mergeCell ref="F1635:F1640"/>
    <mergeCell ref="A4137:A4142"/>
    <mergeCell ref="E1845:E1850"/>
    <mergeCell ref="A2769:A2774"/>
    <mergeCell ref="H1575:H1580"/>
    <mergeCell ref="E813:E818"/>
    <mergeCell ref="F3639:F3644"/>
    <mergeCell ref="G1761:G1766"/>
    <mergeCell ref="H3057:H3062"/>
    <mergeCell ref="E2301:E2306"/>
    <mergeCell ref="B2889:B2894"/>
    <mergeCell ref="F453:F458"/>
    <mergeCell ref="H1401:H1406"/>
    <mergeCell ref="B4377:B4382"/>
    <mergeCell ref="G1605:G1610"/>
    <mergeCell ref="G579:G584"/>
    <mergeCell ref="E2145:E2150"/>
    <mergeCell ref="G573:G578"/>
    <mergeCell ref="F1935:F1940"/>
    <mergeCell ref="E1113:E1118"/>
    <mergeCell ref="E4413:E4418"/>
    <mergeCell ref="F3939:F3944"/>
    <mergeCell ref="E177:E182"/>
    <mergeCell ref="B3:B8"/>
    <mergeCell ref="A2427:A2432"/>
    <mergeCell ref="E2247:E2252"/>
    <mergeCell ref="B2517:B2522"/>
    <mergeCell ref="F4041:F4046"/>
    <mergeCell ref="B117:B122"/>
    <mergeCell ref="F309:F314"/>
    <mergeCell ref="H2289:H2294"/>
    <mergeCell ref="A177:A182"/>
    <mergeCell ref="H2283:H2288"/>
    <mergeCell ref="F2823:F2828"/>
    <mergeCell ref="A1665:A1670"/>
    <mergeCell ref="A3513:A3518"/>
    <mergeCell ref="E3333:E3338"/>
    <mergeCell ref="B3603:B3608"/>
    <mergeCell ref="B303:B308"/>
    <mergeCell ref="H2739:H2744"/>
    <mergeCell ref="G1917:G1922"/>
    <mergeCell ref="H585:H590"/>
    <mergeCell ref="B417:B422"/>
    <mergeCell ref="H69:H74"/>
    <mergeCell ref="B2421:B2426"/>
    <mergeCell ref="A2751:A2756"/>
    <mergeCell ref="H1557:H1562"/>
    <mergeCell ref="B2415:B2420"/>
    <mergeCell ref="B1389:B1394"/>
    <mergeCell ref="G1245:G1250"/>
    <mergeCell ref="H2583:H2588"/>
    <mergeCell ref="E3633:E3638"/>
    <mergeCell ref="B3903:B3908"/>
    <mergeCell ref="B603:B608"/>
    <mergeCell ref="G2217:G2222"/>
    <mergeCell ref="G4107:G4112"/>
    <mergeCell ref="E2127:E2132"/>
    <mergeCell ref="E4647:E4652"/>
    <mergeCell ref="E3615:E3620"/>
    <mergeCell ref="B3885:B3890"/>
    <mergeCell ref="F63:F68"/>
    <mergeCell ref="F2769:F2774"/>
    <mergeCell ref="G4563:G4568"/>
    <mergeCell ref="F99:F104"/>
    <mergeCell ref="F3741:F3746"/>
    <mergeCell ref="A909:A914"/>
    <mergeCell ref="G1893:G1898"/>
    <mergeCell ref="F1587:F1592"/>
    <mergeCell ref="B2703:B2708"/>
    <mergeCell ref="A3177:A3182"/>
    <mergeCell ref="H1983:H1988"/>
    <mergeCell ref="G4407:G4412"/>
    <mergeCell ref="G3381:G3386"/>
    <mergeCell ref="A1365:A1370"/>
    <mergeCell ref="G3375:G3380"/>
    <mergeCell ref="F3585:F3590"/>
    <mergeCell ref="F4341:F4346"/>
    <mergeCell ref="G4431:G4436"/>
    <mergeCell ref="B717:B722"/>
    <mergeCell ref="B4359:B4364"/>
    <mergeCell ref="H369:H374"/>
    <mergeCell ref="B2721:B2726"/>
    <mergeCell ref="B2205:B2210"/>
    <mergeCell ref="A3537:A3542"/>
    <mergeCell ref="B1689:B1694"/>
    <mergeCell ref="B3177:B3182"/>
    <mergeCell ref="B3171:B3176"/>
    <mergeCell ref="E105:E110"/>
    <mergeCell ref="A2397:A2402"/>
    <mergeCell ref="B4191:B4196"/>
    <mergeCell ref="F3267:F3272"/>
    <mergeCell ref="E2961:E2966"/>
    <mergeCell ref="H573:H578"/>
    <mergeCell ref="B3405:B3410"/>
    <mergeCell ref="E1929:E1934"/>
    <mergeCell ref="E1587:E1592"/>
    <mergeCell ref="F1113:F1118"/>
    <mergeCell ref="F81:F86"/>
    <mergeCell ref="F3381:F3386"/>
    <mergeCell ref="H2685:H2690"/>
    <mergeCell ref="H1029:H1034"/>
    <mergeCell ref="F2595:F2600"/>
    <mergeCell ref="F1569:F1574"/>
    <mergeCell ref="G207:G212"/>
    <mergeCell ref="A2697:A2702"/>
    <mergeCell ref="E1773:E1778"/>
    <mergeCell ref="E747:E752"/>
    <mergeCell ref="E405:E410"/>
    <mergeCell ref="G2721:G2726"/>
    <mergeCell ref="F3567:F3572"/>
    <mergeCell ref="E3261:E3266"/>
    <mergeCell ref="E741:E746"/>
    <mergeCell ref="A1041:A1046"/>
    <mergeCell ref="E1887:E1892"/>
    <mergeCell ref="E2991:E2996"/>
    <mergeCell ref="F381:F386"/>
    <mergeCell ref="F4023:F4028"/>
    <mergeCell ref="F3681:F3686"/>
    <mergeCell ref="G471:G476"/>
    <mergeCell ref="H117:H122"/>
    <mergeCell ref="A1011:A1016"/>
    <mergeCell ref="B3837:B3842"/>
    <mergeCell ref="H2631:H2636"/>
    <mergeCell ref="H2973:H2978"/>
    <mergeCell ref="B2805:B2810"/>
    <mergeCell ref="E2937:E2942"/>
    <mergeCell ref="E1905:E1910"/>
    <mergeCell ref="B4287:B4292"/>
    <mergeCell ref="F1995:F2000"/>
    <mergeCell ref="G147:G152"/>
    <mergeCell ref="E3393:E3398"/>
    <mergeCell ref="E687:E692"/>
    <mergeCell ref="A2097:A2102"/>
    <mergeCell ref="A4611:A4616"/>
    <mergeCell ref="B3105:B3110"/>
    <mergeCell ref="F813:F818"/>
    <mergeCell ref="F2295:F2300"/>
    <mergeCell ref="A3429:A3434"/>
    <mergeCell ref="A285:A290"/>
    <mergeCell ref="G4089:G4094"/>
    <mergeCell ref="E1473:E1478"/>
    <mergeCell ref="B4491:B4496"/>
    <mergeCell ref="A309:A314"/>
    <mergeCell ref="B4305:B4310"/>
    <mergeCell ref="H1329:H1334"/>
    <mergeCell ref="G507:G512"/>
    <mergeCell ref="G3807:G3812"/>
    <mergeCell ref="E1047:E1052"/>
    <mergeCell ref="E4347:E4352"/>
    <mergeCell ref="F2841:F2846"/>
    <mergeCell ref="H3447:H3452"/>
    <mergeCell ref="B4119:B4124"/>
    <mergeCell ref="A4593:A4598"/>
    <mergeCell ref="H3399:H3404"/>
    <mergeCell ref="H1245:H1250"/>
    <mergeCell ref="A4629:A4634"/>
    <mergeCell ref="B1077:B1082"/>
    <mergeCell ref="F3633:F3638"/>
    <mergeCell ref="A1923:A1928"/>
    <mergeCell ref="H213:H218"/>
    <mergeCell ref="H729:H734"/>
    <mergeCell ref="A3411:A3416"/>
    <mergeCell ref="H2217:H2222"/>
    <mergeCell ref="B2049:B2054"/>
    <mergeCell ref="A2379:A2384"/>
    <mergeCell ref="G3609:G3614"/>
    <mergeCell ref="F1095:F1100"/>
    <mergeCell ref="B351:B356"/>
    <mergeCell ref="A2223:A2228"/>
    <mergeCell ref="A1197:A1202"/>
    <mergeCell ref="B345:B350"/>
    <mergeCell ref="H513:H518"/>
    <mergeCell ref="H2517:H2522"/>
    <mergeCell ref="B2349:B2354"/>
    <mergeCell ref="E387:E392"/>
    <mergeCell ref="E1161:E1166"/>
    <mergeCell ref="G1557:G1562"/>
    <mergeCell ref="F3981:F3986"/>
    <mergeCell ref="B399:B404"/>
    <mergeCell ref="A609:A614"/>
    <mergeCell ref="F2313:F2318"/>
    <mergeCell ref="B873:B878"/>
    <mergeCell ref="G807:G812"/>
    <mergeCell ref="E4275:E4280"/>
    <mergeCell ref="A351:A356"/>
    <mergeCell ref="H861:H866"/>
    <mergeCell ref="G555:G560"/>
    <mergeCell ref="G1491:G1496"/>
    <mergeCell ref="H3375:H3380"/>
    <mergeCell ref="E1089:E1094"/>
    <mergeCell ref="E4731:E4736"/>
    <mergeCell ref="B1359:B1364"/>
    <mergeCell ref="G3069:G3074"/>
    <mergeCell ref="G2553:G2558"/>
    <mergeCell ref="A537:A542"/>
    <mergeCell ref="F1215:F1220"/>
    <mergeCell ref="G4041:G4046"/>
    <mergeCell ref="B2331:B2336"/>
    <mergeCell ref="G4035:G4040"/>
    <mergeCell ref="G3009:G3014"/>
    <mergeCell ref="E4575:E4580"/>
    <mergeCell ref="B3819:B3824"/>
    <mergeCell ref="A651:A656"/>
    <mergeCell ref="B2445:B2450"/>
    <mergeCell ref="G1791:G1796"/>
    <mergeCell ref="G4491:G4496"/>
    <mergeCell ref="F4701:F4706"/>
    <mergeCell ref="B633:B638"/>
    <mergeCell ref="A1623:A1628"/>
    <mergeCell ref="G2853:G2858"/>
    <mergeCell ref="H429:H434"/>
    <mergeCell ref="A3111:A3116"/>
    <mergeCell ref="H1917:H1922"/>
    <mergeCell ref="F1515:F1520"/>
    <mergeCell ref="H2943:H2948"/>
    <mergeCell ref="B4551:B4556"/>
    <mergeCell ref="G1263:G1268"/>
    <mergeCell ref="B3765:B3770"/>
    <mergeCell ref="B2397:B2402"/>
    <mergeCell ref="E1803:E1808"/>
    <mergeCell ref="H1533:H1538"/>
    <mergeCell ref="F441:F446"/>
    <mergeCell ref="G3267:G3272"/>
    <mergeCell ref="E1839:E1844"/>
    <mergeCell ref="E3801:E3806"/>
    <mergeCell ref="F1929:F1934"/>
    <mergeCell ref="G81:G86"/>
    <mergeCell ref="A3057:A3062"/>
    <mergeCell ref="G1563:G1568"/>
    <mergeCell ref="A1401:A1406"/>
    <mergeCell ref="F741:F746"/>
    <mergeCell ref="G3567:G3572"/>
    <mergeCell ref="H1689:H1694"/>
    <mergeCell ref="F2229:F2234"/>
    <mergeCell ref="F2223:F2228"/>
    <mergeCell ref="G4023:G4028"/>
    <mergeCell ref="H2661:H2666"/>
    <mergeCell ref="G837:G842"/>
    <mergeCell ref="A1701:A1706"/>
    <mergeCell ref="A3813:A3818"/>
    <mergeCell ref="A669:A674"/>
    <mergeCell ref="E489:E494"/>
    <mergeCell ref="H1989:H1994"/>
    <mergeCell ref="E3519:E3524"/>
    <mergeCell ref="E3003:E3008"/>
    <mergeCell ref="F2529:F2534"/>
    <mergeCell ref="G4323:G4328"/>
    <mergeCell ref="A4527:A4532"/>
    <mergeCell ref="B3165:B3170"/>
    <mergeCell ref="B2679:B2684"/>
    <mergeCell ref="H1959:H1964"/>
    <mergeCell ref="A1857:A1862"/>
    <mergeCell ref="B3651:B3656"/>
    <mergeCell ref="A3339:A3344"/>
    <mergeCell ref="H777:H782"/>
    <mergeCell ref="F1905:F1910"/>
    <mergeCell ref="H2145:H2150"/>
    <mergeCell ref="E15:E20"/>
    <mergeCell ref="B3465:B3470"/>
    <mergeCell ref="B2097:B2102"/>
    <mergeCell ref="H2259:H2264"/>
    <mergeCell ref="G1437:G1442"/>
    <mergeCell ref="E2565:E2570"/>
    <mergeCell ref="B279:B284"/>
    <mergeCell ref="H3231:H3236"/>
    <mergeCell ref="E3501:E3506"/>
    <mergeCell ref="B2283:B2288"/>
    <mergeCell ref="E315:E320"/>
    <mergeCell ref="E33:E38"/>
    <mergeCell ref="F15:F20"/>
    <mergeCell ref="E333:E338"/>
    <mergeCell ref="E3975:E3980"/>
    <mergeCell ref="G1281:G1286"/>
    <mergeCell ref="E1821:E1826"/>
    <mergeCell ref="H3075:H3080"/>
    <mergeCell ref="E789:E794"/>
    <mergeCell ref="F3615:F3620"/>
    <mergeCell ref="B1059:B1064"/>
    <mergeCell ref="G2253:G2258"/>
    <mergeCell ref="A2739:A2744"/>
    <mergeCell ref="G3969:G3974"/>
    <mergeCell ref="B891:B896"/>
    <mergeCell ref="G237:G242"/>
    <mergeCell ref="A585:A590"/>
    <mergeCell ref="B2379:B2384"/>
    <mergeCell ref="G783:G788"/>
    <mergeCell ref="A2583:A2588"/>
    <mergeCell ref="A2067:A2072"/>
    <mergeCell ref="A1557:A1562"/>
    <mergeCell ref="F3261:F3266"/>
    <mergeCell ref="A1551:A1556"/>
    <mergeCell ref="A4071:A4076"/>
    <mergeCell ref="A3039:A3044"/>
    <mergeCell ref="H1845:H1850"/>
    <mergeCell ref="B1191:B1196"/>
    <mergeCell ref="A885:A890"/>
    <mergeCell ref="F1011:F1016"/>
    <mergeCell ref="F3609:F3614"/>
    <mergeCell ref="E2793:E2798"/>
    <mergeCell ref="A237:A242"/>
    <mergeCell ref="E2787:E2792"/>
    <mergeCell ref="H1893:H1898"/>
    <mergeCell ref="F2451:F2456"/>
    <mergeCell ref="G3309:G3314"/>
    <mergeCell ref="G2517:G2522"/>
    <mergeCell ref="G1149:G1154"/>
    <mergeCell ref="A2355:A2360"/>
    <mergeCell ref="A2349:A2354"/>
    <mergeCell ref="G2061:G2066"/>
    <mergeCell ref="E2601:E2606"/>
    <mergeCell ref="E1569:E1574"/>
    <mergeCell ref="H435:H440"/>
    <mergeCell ref="E1449:E1454"/>
    <mergeCell ref="F4275:F4280"/>
    <mergeCell ref="F3243:F3248"/>
    <mergeCell ref="E3453:E3458"/>
    <mergeCell ref="E2421:E2426"/>
    <mergeCell ref="F4731:F4736"/>
    <mergeCell ref="H1485:H1490"/>
    <mergeCell ref="F4725:F4730"/>
    <mergeCell ref="E267:E272"/>
    <mergeCell ref="E3909:E3914"/>
    <mergeCell ref="A4089:A4094"/>
    <mergeCell ref="H1521:H1526"/>
    <mergeCell ref="F2061:F2066"/>
    <mergeCell ref="G2151:G2156"/>
    <mergeCell ref="G183:G188"/>
    <mergeCell ref="H3009:H3014"/>
    <mergeCell ref="G1119:G1124"/>
    <mergeCell ref="F3543:F3548"/>
    <mergeCell ref="G3633:G3638"/>
    <mergeCell ref="G2181:G2186"/>
    <mergeCell ref="E2721:E2726"/>
    <mergeCell ref="G3669:G3674"/>
    <mergeCell ref="B591:B596"/>
    <mergeCell ref="E4209:E4214"/>
    <mergeCell ref="E3867:E3872"/>
    <mergeCell ref="G2451:G2456"/>
    <mergeCell ref="G483:G488"/>
    <mergeCell ref="A2283:A2288"/>
    <mergeCell ref="A1767:A1772"/>
    <mergeCell ref="G2487:G2492"/>
    <mergeCell ref="B3561:B3566"/>
    <mergeCell ref="G741:G746"/>
    <mergeCell ref="G4383:G4388"/>
    <mergeCell ref="E249:E254"/>
    <mergeCell ref="E3549:E3554"/>
    <mergeCell ref="G1197:G1202"/>
    <mergeCell ref="A1029:A1034"/>
    <mergeCell ref="B2325:B2330"/>
    <mergeCell ref="F375:F380"/>
    <mergeCell ref="F33:F38"/>
    <mergeCell ref="B3813:B3818"/>
    <mergeCell ref="B669:B674"/>
    <mergeCell ref="F489:F494"/>
    <mergeCell ref="G4683:G4688"/>
    <mergeCell ref="G3651:G3656"/>
    <mergeCell ref="E3849:E3854"/>
    <mergeCell ref="G1497:G1502"/>
    <mergeCell ref="F2487:F2492"/>
    <mergeCell ref="A1329:A1334"/>
    <mergeCell ref="E1149:E1154"/>
    <mergeCell ref="F3975:F3980"/>
    <mergeCell ref="F675:F680"/>
    <mergeCell ref="F333:F338"/>
    <mergeCell ref="G2469:G2474"/>
    <mergeCell ref="G4239:G4244"/>
    <mergeCell ref="F789:F794"/>
    <mergeCell ref="A147:A152"/>
    <mergeCell ref="E4635:E4640"/>
    <mergeCell ref="F2787:F2792"/>
    <mergeCell ref="F1761:F1766"/>
    <mergeCell ref="F1755:F1760"/>
    <mergeCell ref="E93:E98"/>
    <mergeCell ref="G2907:G2912"/>
    <mergeCell ref="H105:H110"/>
    <mergeCell ref="A513:A518"/>
    <mergeCell ref="B3339:B3344"/>
    <mergeCell ref="H2619:H2624"/>
    <mergeCell ref="B2307:B2312"/>
    <mergeCell ref="A1485:A1490"/>
    <mergeCell ref="B3795:B3800"/>
    <mergeCell ref="A2973:A2978"/>
    <mergeCell ref="E681:E686"/>
    <mergeCell ref="A2631:A2636"/>
    <mergeCell ref="F4677:F4682"/>
    <mergeCell ref="E675:E680"/>
    <mergeCell ref="A2967:A2972"/>
    <mergeCell ref="H405:H410"/>
    <mergeCell ref="H1437:H1442"/>
    <mergeCell ref="F2469:F2474"/>
    <mergeCell ref="B1725:B1730"/>
    <mergeCell ref="A1785:A1790"/>
    <mergeCell ref="B4239:B4244"/>
    <mergeCell ref="H231:H236"/>
    <mergeCell ref="G441:G446"/>
    <mergeCell ref="F771:F776"/>
    <mergeCell ref="E981:E986"/>
    <mergeCell ref="A3273:A3278"/>
    <mergeCell ref="H705:H710"/>
    <mergeCell ref="E975:E980"/>
    <mergeCell ref="H2193:H2198"/>
    <mergeCell ref="B2025:B2030"/>
    <mergeCell ref="E1431:E1436"/>
    <mergeCell ref="F4257:F4262"/>
    <mergeCell ref="F1101:F1106"/>
    <mergeCell ref="G2895:G2900"/>
    <mergeCell ref="B51:B56"/>
    <mergeCell ref="G1755:G1760"/>
    <mergeCell ref="E2295:E2300"/>
    <mergeCell ref="F1449:F1454"/>
    <mergeCell ref="F417:F422"/>
    <mergeCell ref="G3243:G3248"/>
    <mergeCell ref="G2211:G2216"/>
    <mergeCell ref="F2421:F2426"/>
    <mergeCell ref="A1263:A1268"/>
    <mergeCell ref="G4725:G4730"/>
    <mergeCell ref="F3909:F3914"/>
    <mergeCell ref="F603:F608"/>
    <mergeCell ref="F3903:F3908"/>
    <mergeCell ref="G1029:G1034"/>
    <mergeCell ref="H1119:H1124"/>
    <mergeCell ref="F717:F722"/>
    <mergeCell ref="G3543:G3548"/>
    <mergeCell ref="G2511:G2516"/>
    <mergeCell ref="A3375:A3380"/>
    <mergeCell ref="E3195:E3200"/>
    <mergeCell ref="F2721:F2726"/>
    <mergeCell ref="B165:B170"/>
    <mergeCell ref="H2601:H2606"/>
    <mergeCell ref="G4515:G4520"/>
    <mergeCell ref="G3999:G4004"/>
    <mergeCell ref="H2637:H2642"/>
    <mergeCell ref="F3177:F3182"/>
    <mergeCell ref="F3171:F3176"/>
    <mergeCell ref="H483:H488"/>
    <mergeCell ref="H1419:H1424"/>
    <mergeCell ref="B1251:B1256"/>
    <mergeCell ref="A2649:A2654"/>
    <mergeCell ref="A4719:A4724"/>
    <mergeCell ref="F1431:F1436"/>
    <mergeCell ref="G69:G74"/>
    <mergeCell ref="F399:F404"/>
    <mergeCell ref="E609:E614"/>
    <mergeCell ref="A1533:A1538"/>
    <mergeCell ref="B4353:B4358"/>
    <mergeCell ref="A4047:A4052"/>
    <mergeCell ref="H1821:H1826"/>
    <mergeCell ref="E2091:E2096"/>
    <mergeCell ref="E723:E728"/>
    <mergeCell ref="F243:F248"/>
    <mergeCell ref="F3885:F3890"/>
    <mergeCell ref="B3141:B3146"/>
    <mergeCell ref="F1731:F1736"/>
    <mergeCell ref="G369:G374"/>
    <mergeCell ref="E909:E914"/>
    <mergeCell ref="E3177:E3182"/>
    <mergeCell ref="F2703:F2708"/>
    <mergeCell ref="B1959:B1964"/>
    <mergeCell ref="E1023:E1028"/>
    <mergeCell ref="F2817:F2822"/>
    <mergeCell ref="E2427:E2432"/>
    <mergeCell ref="G1455:G1460"/>
    <mergeCell ref="B3441:B3446"/>
    <mergeCell ref="E1995:E2000"/>
    <mergeCell ref="F117:F122"/>
    <mergeCell ref="E3483:E3488"/>
    <mergeCell ref="E3477:E3482"/>
    <mergeCell ref="G4425:G4430"/>
    <mergeCell ref="E1323:E1328"/>
    <mergeCell ref="F3603:F3608"/>
    <mergeCell ref="H279:H284"/>
    <mergeCell ref="B3753:B3758"/>
    <mergeCell ref="G3099:G3104"/>
    <mergeCell ref="B1941:B1946"/>
    <mergeCell ref="B2967:B2972"/>
    <mergeCell ref="B1935:B1940"/>
    <mergeCell ref="G4581:G4586"/>
    <mergeCell ref="E1041:E1046"/>
    <mergeCell ref="F1131:F1136"/>
    <mergeCell ref="A2259:A2264"/>
    <mergeCell ref="E309:E314"/>
    <mergeCell ref="H1065:H1070"/>
    <mergeCell ref="B4053:B4058"/>
    <mergeCell ref="A447:A452"/>
    <mergeCell ref="G3399:G3404"/>
    <mergeCell ref="B2241:B2246"/>
    <mergeCell ref="A2715:A2720"/>
    <mergeCell ref="H2907:H2912"/>
    <mergeCell ref="B2739:B2744"/>
    <mergeCell ref="G1143:G1148"/>
    <mergeCell ref="E3213:E3218"/>
    <mergeCell ref="G2079:G2084"/>
    <mergeCell ref="H2937:H2942"/>
    <mergeCell ref="G2535:G2540"/>
    <mergeCell ref="G2193:G2198"/>
    <mergeCell ref="H1719:H1724"/>
    <mergeCell ref="B1551:B1556"/>
    <mergeCell ref="A1245:A1250"/>
    <mergeCell ref="E2769:E2774"/>
    <mergeCell ref="B3039:B3044"/>
    <mergeCell ref="B3033:B3038"/>
    <mergeCell ref="B2007:B2012"/>
    <mergeCell ref="G4659:G4664"/>
    <mergeCell ref="A4491:A4496"/>
    <mergeCell ref="F3837:F3842"/>
    <mergeCell ref="A759:A764"/>
    <mergeCell ref="H75:H80"/>
    <mergeCell ref="H111:H116"/>
    <mergeCell ref="H2079:H2084"/>
    <mergeCell ref="F651:F656"/>
    <mergeCell ref="B1911:B1916"/>
    <mergeCell ref="H1047:H1052"/>
    <mergeCell ref="G2445:G2450"/>
    <mergeCell ref="A3309:A3314"/>
    <mergeCell ref="A3729:A3734"/>
    <mergeCell ref="H2535:H2540"/>
    <mergeCell ref="A3213:A3218"/>
    <mergeCell ref="B213:B218"/>
    <mergeCell ref="E4611:E4616"/>
    <mergeCell ref="F4137:F4142"/>
    <mergeCell ref="E1467:E1472"/>
    <mergeCell ref="A1059:A1064"/>
    <mergeCell ref="B1185:B1190"/>
    <mergeCell ref="H1347:H1352"/>
    <mergeCell ref="E3429:E3434"/>
    <mergeCell ref="A873:A878"/>
    <mergeCell ref="E285:E290"/>
    <mergeCell ref="H2835:H2840"/>
    <mergeCell ref="B2667:B2672"/>
    <mergeCell ref="G639:G644"/>
    <mergeCell ref="B513:B518"/>
    <mergeCell ref="H165:H170"/>
    <mergeCell ref="B1485:B1490"/>
    <mergeCell ref="A1959:A1964"/>
    <mergeCell ref="E4593:E4598"/>
    <mergeCell ref="B195:B200"/>
    <mergeCell ref="G2415:G2420"/>
    <mergeCell ref="G1389:G1394"/>
    <mergeCell ref="E2955:E2960"/>
    <mergeCell ref="E2439:E2444"/>
    <mergeCell ref="B231:B236"/>
    <mergeCell ref="G603:G608"/>
    <mergeCell ref="E1923:E1928"/>
    <mergeCell ref="F1077:F1082"/>
    <mergeCell ref="G2871:G2876"/>
    <mergeCell ref="E3411:E3416"/>
    <mergeCell ref="G717:G722"/>
    <mergeCell ref="G4359:G4364"/>
    <mergeCell ref="F2049:F2054"/>
    <mergeCell ref="A891:A896"/>
    <mergeCell ref="G3843:G3848"/>
    <mergeCell ref="E225:E230"/>
    <mergeCell ref="F3537:F3542"/>
    <mergeCell ref="B495:B500"/>
    <mergeCell ref="G1689:G1694"/>
    <mergeCell ref="E2223:E2228"/>
    <mergeCell ref="F351:F356"/>
    <mergeCell ref="F345:F350"/>
    <mergeCell ref="G3171:G3176"/>
    <mergeCell ref="E3711:E3716"/>
    <mergeCell ref="F2349:F2354"/>
    <mergeCell ref="A213:A218"/>
    <mergeCell ref="G1353:G1358"/>
    <mergeCell ref="F4563:F4568"/>
    <mergeCell ref="A1185:A1190"/>
    <mergeCell ref="G3867:G3872"/>
    <mergeCell ref="A4725:A4730"/>
    <mergeCell ref="A4293:A4298"/>
    <mergeCell ref="E1401:E1406"/>
    <mergeCell ref="H3099:H3104"/>
    <mergeCell ref="A2619:A2624"/>
    <mergeCell ref="H1281:H1286"/>
    <mergeCell ref="B1113:B1118"/>
    <mergeCell ref="B4413:B4418"/>
    <mergeCell ref="B2601:B2606"/>
    <mergeCell ref="H1395:H1400"/>
    <mergeCell ref="E1701:E1706"/>
    <mergeCell ref="H2367:H2372"/>
    <mergeCell ref="E669:E674"/>
    <mergeCell ref="G2055:G2060"/>
    <mergeCell ref="B4719:B4724"/>
    <mergeCell ref="B1413:B1418"/>
    <mergeCell ref="B4713:B4718"/>
    <mergeCell ref="B2901:B2906"/>
    <mergeCell ref="G873:G878"/>
    <mergeCell ref="A4347:A4352"/>
    <mergeCell ref="F1059:F1064"/>
    <mergeCell ref="A2193:A2198"/>
    <mergeCell ref="B3987:B3992"/>
    <mergeCell ref="B3981:B3986"/>
    <mergeCell ref="G699:G704"/>
    <mergeCell ref="A3675:A3680"/>
    <mergeCell ref="A4647:A4652"/>
    <mergeCell ref="E2355:E2360"/>
    <mergeCell ref="F1359:F1364"/>
    <mergeCell ref="H3279:H3284"/>
    <mergeCell ref="G2115:G2120"/>
    <mergeCell ref="F2445:F2450"/>
    <mergeCell ref="F4611:F4616"/>
    <mergeCell ref="A2901:A2906"/>
    <mergeCell ref="G3105:G3110"/>
    <mergeCell ref="E4425:E4430"/>
    <mergeCell ref="B27:B32"/>
    <mergeCell ref="A2937:A2942"/>
    <mergeCell ref="A3357:A3362"/>
    <mergeCell ref="A1719:A1724"/>
    <mergeCell ref="A4419:A4424"/>
    <mergeCell ref="F3765:F3770"/>
    <mergeCell ref="B3513:B3518"/>
    <mergeCell ref="F2397:F2402"/>
    <mergeCell ref="A687:A692"/>
    <mergeCell ref="G4191:G4196"/>
    <mergeCell ref="A2175:A2180"/>
    <mergeCell ref="H639:H644"/>
    <mergeCell ref="B813:B818"/>
    <mergeCell ref="E3057:E3062"/>
    <mergeCell ref="B3327:B3332"/>
    <mergeCell ref="B2301:B2306"/>
    <mergeCell ref="G399:G404"/>
    <mergeCell ref="A231:A236"/>
    <mergeCell ref="G117:G122"/>
    <mergeCell ref="E651:E656"/>
    <mergeCell ref="F177:F182"/>
    <mergeCell ref="E2655:E2660"/>
    <mergeCell ref="G303:G308"/>
    <mergeCell ref="F3933:F3938"/>
    <mergeCell ref="E1623:E1628"/>
    <mergeCell ref="E4143:E4148"/>
    <mergeCell ref="E4137:E4142"/>
    <mergeCell ref="E3111:E3116"/>
    <mergeCell ref="G45:G50"/>
    <mergeCell ref="F891:F896"/>
    <mergeCell ref="E585:E590"/>
    <mergeCell ref="A765:A770"/>
    <mergeCell ref="H1839:H1844"/>
    <mergeCell ref="H2871:H2876"/>
    <mergeCell ref="F3405:F3410"/>
    <mergeCell ref="F2379:F2384"/>
    <mergeCell ref="G1017:G1022"/>
    <mergeCell ref="E2583:E2588"/>
    <mergeCell ref="G3531:G3536"/>
    <mergeCell ref="E4071:E4076"/>
    <mergeCell ref="H657:H662"/>
    <mergeCell ref="E3039:E3044"/>
    <mergeCell ref="G345:G350"/>
    <mergeCell ref="H3171:H3176"/>
    <mergeCell ref="E885:E890"/>
    <mergeCell ref="A1119:A1124"/>
    <mergeCell ref="H2139:H2144"/>
    <mergeCell ref="G2349:G2354"/>
    <mergeCell ref="F2679:F2684"/>
    <mergeCell ref="G2769:G2774"/>
    <mergeCell ref="G1317:G1322"/>
    <mergeCell ref="E1857:E1862"/>
    <mergeCell ref="B759:B764"/>
    <mergeCell ref="G2805:G2810"/>
    <mergeCell ref="B753:B758"/>
    <mergeCell ref="G99:G104"/>
    <mergeCell ref="G2799:G2804"/>
    <mergeCell ref="E3339:E3344"/>
    <mergeCell ref="G1587:G1592"/>
    <mergeCell ref="A1419:A1424"/>
    <mergeCell ref="G27:G32"/>
    <mergeCell ref="E3447:E3452"/>
    <mergeCell ref="B2529:B2534"/>
    <mergeCell ref="B1161:B1166"/>
    <mergeCell ref="F237:F242"/>
    <mergeCell ref="B3675:B3680"/>
    <mergeCell ref="A4521:A4526"/>
    <mergeCell ref="H3327:H3332"/>
    <mergeCell ref="G3513:G3518"/>
    <mergeCell ref="B4647:B4652"/>
    <mergeCell ref="A1821:A1826"/>
    <mergeCell ref="E4089:E4094"/>
    <mergeCell ref="E3747:E3752"/>
    <mergeCell ref="B1461:B1466"/>
    <mergeCell ref="F537:F542"/>
    <mergeCell ref="G2331:G2336"/>
    <mergeCell ref="G3819:G3824"/>
    <mergeCell ref="A3651:A3656"/>
    <mergeCell ref="H1083:H1088"/>
    <mergeCell ref="F1623:F1628"/>
    <mergeCell ref="F591:F596"/>
    <mergeCell ref="A465:A470"/>
    <mergeCell ref="H2571:H2576"/>
    <mergeCell ref="F3111:F3116"/>
    <mergeCell ref="F3105:F3110"/>
    <mergeCell ref="G231:G236"/>
    <mergeCell ref="E2283:E2288"/>
    <mergeCell ref="H321:H326"/>
    <mergeCell ref="F4077:F4082"/>
    <mergeCell ref="F3561:F3566"/>
    <mergeCell ref="E3771:E3776"/>
    <mergeCell ref="H1383:H1388"/>
    <mergeCell ref="B4629:B4634"/>
    <mergeCell ref="H267:H272"/>
    <mergeCell ref="H723:H728"/>
    <mergeCell ref="A621:A626"/>
    <mergeCell ref="A3921:A3926"/>
    <mergeCell ref="E1029:E1034"/>
    <mergeCell ref="H2727:H2732"/>
    <mergeCell ref="H3237:H3242"/>
    <mergeCell ref="A3135:A3140"/>
    <mergeCell ref="F4329:F4334"/>
    <mergeCell ref="F3813:F3818"/>
    <mergeCell ref="F669:F674"/>
    <mergeCell ref="H2055:H2060"/>
    <mergeCell ref="E4515:E4520"/>
    <mergeCell ref="B2229:B2234"/>
    <mergeCell ref="B1887:B1892"/>
    <mergeCell ref="H1023:H1028"/>
    <mergeCell ref="A4221:A4226"/>
    <mergeCell ref="E1329:E1334"/>
    <mergeCell ref="H3027:H3032"/>
    <mergeCell ref="B2343:B2348"/>
    <mergeCell ref="B4347:B4352"/>
    <mergeCell ref="H3483:H3488"/>
    <mergeCell ref="F1923:F1928"/>
    <mergeCell ref="G4617:G4622"/>
    <mergeCell ref="B2277:B2282"/>
    <mergeCell ref="F3465:F3470"/>
    <mergeCell ref="B3213:B3218"/>
    <mergeCell ref="F2097:F2102"/>
    <mergeCell ref="G1617:G1622"/>
    <mergeCell ref="A2907:A2912"/>
    <mergeCell ref="A387:A392"/>
    <mergeCell ref="H555:H560"/>
    <mergeCell ref="B387:B392"/>
    <mergeCell ref="H1617:H1622"/>
    <mergeCell ref="E861:E866"/>
    <mergeCell ref="E2631:E2636"/>
    <mergeCell ref="A75:A80"/>
    <mergeCell ref="G279:G284"/>
    <mergeCell ref="F4425:F4430"/>
    <mergeCell ref="B1869:B1874"/>
    <mergeCell ref="H2073:H2078"/>
    <mergeCell ref="A1047:A1052"/>
    <mergeCell ref="B1905:B1910"/>
    <mergeCell ref="G4551:G4556"/>
    <mergeCell ref="B2841:B2846"/>
    <mergeCell ref="A2535:A2540"/>
    <mergeCell ref="B4419:B4424"/>
    <mergeCell ref="B3393:B3398"/>
    <mergeCell ref="G3765:G3770"/>
    <mergeCell ref="F4239:F4244"/>
    <mergeCell ref="B687:B692"/>
    <mergeCell ref="B2175:B2180"/>
    <mergeCell ref="B2169:B2174"/>
    <mergeCell ref="A1347:A1352"/>
    <mergeCell ref="A321:A326"/>
    <mergeCell ref="A2835:A2840"/>
    <mergeCell ref="B3693:B3698"/>
    <mergeCell ref="B987:B992"/>
    <mergeCell ref="A1803:A1808"/>
    <mergeCell ref="E111:E116"/>
    <mergeCell ref="E147:E152"/>
    <mergeCell ref="G417:G422"/>
    <mergeCell ref="F1263:F1268"/>
    <mergeCell ref="B4575:B4580"/>
    <mergeCell ref="F2283:F2288"/>
    <mergeCell ref="F1251:F1256"/>
    <mergeCell ref="G4077:G4082"/>
    <mergeCell ref="G3561:G3566"/>
    <mergeCell ref="E4101:E4106"/>
    <mergeCell ref="A1125:A1130"/>
    <mergeCell ref="A93:A98"/>
    <mergeCell ref="F2739:F2744"/>
    <mergeCell ref="G891:G896"/>
    <mergeCell ref="E4131:E4136"/>
    <mergeCell ref="F4221:F4226"/>
    <mergeCell ref="G2373:G2378"/>
    <mergeCell ref="A2211:A2216"/>
    <mergeCell ref="F2583:F2588"/>
    <mergeCell ref="F1557:F1562"/>
    <mergeCell ref="F1551:F1556"/>
    <mergeCell ref="G3861:G3866"/>
    <mergeCell ref="E1245:E1250"/>
    <mergeCell ref="A1425:A1430"/>
    <mergeCell ref="E213:E218"/>
    <mergeCell ref="F3039:F3044"/>
    <mergeCell ref="G1191:G1196"/>
    <mergeCell ref="F2007:F2012"/>
    <mergeCell ref="F4521:F4526"/>
    <mergeCell ref="A2511:A2516"/>
    <mergeCell ref="E3699:E3704"/>
    <mergeCell ref="E1299:E1304"/>
    <mergeCell ref="E513:E518"/>
    <mergeCell ref="F3339:F3344"/>
    <mergeCell ref="G1977:G1982"/>
    <mergeCell ref="F2307:F2312"/>
    <mergeCell ref="H201:H206"/>
    <mergeCell ref="A363:A368"/>
    <mergeCell ref="B4215:B4220"/>
    <mergeCell ref="B3189:B3194"/>
    <mergeCell ref="A2877:A2882"/>
    <mergeCell ref="H1683:H1688"/>
    <mergeCell ref="A3849:A3854"/>
    <mergeCell ref="B3003:B3008"/>
    <mergeCell ref="F567:F572"/>
    <mergeCell ref="H2655:H2660"/>
    <mergeCell ref="A1695:A1700"/>
    <mergeCell ref="B333:B338"/>
    <mergeCell ref="B1821:B1826"/>
    <mergeCell ref="A2151:A2156"/>
    <mergeCell ref="E3075:E3080"/>
    <mergeCell ref="B2793:B2798"/>
    <mergeCell ref="H2955:H2960"/>
    <mergeCell ref="E825:E830"/>
    <mergeCell ref="H1257:H1262"/>
    <mergeCell ref="E3375:E3380"/>
    <mergeCell ref="G591:G596"/>
    <mergeCell ref="B3093:B3098"/>
    <mergeCell ref="B2577:B2582"/>
    <mergeCell ref="E3831:E3836"/>
    <mergeCell ref="E1131:E1136"/>
    <mergeCell ref="F279:F284"/>
    <mergeCell ref="G2073:G2078"/>
    <mergeCell ref="H2499:H2504"/>
    <mergeCell ref="H345:H350"/>
    <mergeCell ref="H3471:H3476"/>
    <mergeCell ref="H1317:H1322"/>
    <mergeCell ref="H2799:H2804"/>
    <mergeCell ref="H183:H188"/>
    <mergeCell ref="G3093:G3098"/>
    <mergeCell ref="E2259:E2264"/>
    <mergeCell ref="F1785:F1790"/>
    <mergeCell ref="F4053:F4058"/>
    <mergeCell ref="A3927:A3932"/>
    <mergeCell ref="H2733:H2738"/>
    <mergeCell ref="A2895:A2900"/>
    <mergeCell ref="G537:G542"/>
    <mergeCell ref="G4179:G4184"/>
    <mergeCell ref="E1077:E1082"/>
    <mergeCell ref="E4719:E4724"/>
    <mergeCell ref="B1347:B1352"/>
    <mergeCell ref="B321:B326"/>
    <mergeCell ref="G2025:G2030"/>
    <mergeCell ref="B315:B320"/>
    <mergeCell ref="A9:A14"/>
    <mergeCell ref="G2961:G2966"/>
    <mergeCell ref="B1803:B1808"/>
    <mergeCell ref="F4353:F4358"/>
    <mergeCell ref="B771:B776"/>
    <mergeCell ref="E4047:E4052"/>
    <mergeCell ref="A4281:A4286"/>
    <mergeCell ref="E903:E908"/>
    <mergeCell ref="G4479:G4484"/>
    <mergeCell ref="A2463:A2468"/>
    <mergeCell ref="G2325:G2330"/>
    <mergeCell ref="B4257:B4262"/>
    <mergeCell ref="B3915:B3920"/>
    <mergeCell ref="G3261:G3266"/>
    <mergeCell ref="B615:B620"/>
    <mergeCell ref="B2103:B2108"/>
    <mergeCell ref="H915:H920"/>
    <mergeCell ref="G2307:G2312"/>
    <mergeCell ref="A3171:A3176"/>
    <mergeCell ref="A2139:A2144"/>
    <mergeCell ref="H945:H950"/>
    <mergeCell ref="E1959:E1964"/>
    <mergeCell ref="F1485:F1490"/>
    <mergeCell ref="G3279:G3284"/>
    <mergeCell ref="F3753:F3758"/>
    <mergeCell ref="A3627:A3632"/>
    <mergeCell ref="A4563:A4568"/>
    <mergeCell ref="H2433:H2438"/>
    <mergeCell ref="F2967:F2972"/>
    <mergeCell ref="A957:A962"/>
    <mergeCell ref="H1215:H1220"/>
    <mergeCell ref="E777:E782"/>
    <mergeCell ref="B1047:B1052"/>
    <mergeCell ref="A2577:A2582"/>
    <mergeCell ref="B4371:B4376"/>
    <mergeCell ref="A2763:A2768"/>
    <mergeCell ref="A1395:A1400"/>
    <mergeCell ref="B4275:B4280"/>
    <mergeCell ref="H2211:H2216"/>
    <mergeCell ref="H2511:H2516"/>
    <mergeCell ref="H1779:H1784"/>
    <mergeCell ref="A3699:A3704"/>
    <mergeCell ref="B4557:B4562"/>
    <mergeCell ref="F4377:F4382"/>
    <mergeCell ref="B825:B830"/>
    <mergeCell ref="A4359:A4364"/>
    <mergeCell ref="H1221:H1226"/>
    <mergeCell ref="A3771:A3776"/>
    <mergeCell ref="H3429:H3434"/>
    <mergeCell ref="F825:F830"/>
    <mergeCell ref="A2811:A2816"/>
    <mergeCell ref="B1449:B1454"/>
    <mergeCell ref="B4605:B4610"/>
    <mergeCell ref="A3783:A3788"/>
    <mergeCell ref="E1491:E1496"/>
    <mergeCell ref="G165:G170"/>
    <mergeCell ref="H591:H596"/>
    <mergeCell ref="E2973:E2978"/>
    <mergeCell ref="C1:C2"/>
    <mergeCell ref="F1125:F1130"/>
    <mergeCell ref="G1251:G1256"/>
    <mergeCell ref="A4083:A4088"/>
    <mergeCell ref="E1791:E1796"/>
    <mergeCell ref="B93:B98"/>
    <mergeCell ref="E4491:E4496"/>
    <mergeCell ref="E1785:E1790"/>
    <mergeCell ref="G2739:G2744"/>
    <mergeCell ref="E759:E764"/>
    <mergeCell ref="G2733:G2738"/>
    <mergeCell ref="H3003:H3008"/>
    <mergeCell ref="E3273:E3278"/>
    <mergeCell ref="B2835:B2840"/>
    <mergeCell ref="E3309:E3314"/>
    <mergeCell ref="A753:A758"/>
    <mergeCell ref="E87:E92"/>
    <mergeCell ref="F3399:F3404"/>
    <mergeCell ref="G1551:G1556"/>
    <mergeCell ref="G519:G524"/>
    <mergeCell ref="E1059:E1064"/>
    <mergeCell ref="G3039:G3044"/>
    <mergeCell ref="E2493:E2498"/>
    <mergeCell ref="G3441:G3446"/>
    <mergeCell ref="B1731:B1736"/>
    <mergeCell ref="B1737:B1742"/>
    <mergeCell ref="G4377:G4382"/>
    <mergeCell ref="A2055:A2060"/>
    <mergeCell ref="A1023:A1028"/>
    <mergeCell ref="B549:B554"/>
    <mergeCell ref="F957:F962"/>
    <mergeCell ref="B3849:B3854"/>
    <mergeCell ref="B2817:B2822"/>
    <mergeCell ref="G51:G56"/>
    <mergeCell ref="G4677:G4682"/>
    <mergeCell ref="A4509:A4514"/>
    <mergeCell ref="A3483:A3488"/>
    <mergeCell ref="A1323:A1328"/>
    <mergeCell ref="B4149:B4154"/>
    <mergeCell ref="F213:F218"/>
    <mergeCell ref="G3033:G3038"/>
    <mergeCell ref="G2007:G2012"/>
    <mergeCell ref="A1839:A1844"/>
    <mergeCell ref="B3135:B3140"/>
    <mergeCell ref="F1185:F1190"/>
    <mergeCell ref="E873:E878"/>
    <mergeCell ref="F3699:F3704"/>
    <mergeCell ref="B4623:B4628"/>
    <mergeCell ref="F2667:F2672"/>
    <mergeCell ref="A657:A662"/>
    <mergeCell ref="G4461:G4466"/>
    <mergeCell ref="F513:F518"/>
    <mergeCell ref="B747:B752"/>
    <mergeCell ref="A4581:A4586"/>
    <mergeCell ref="A555:A560"/>
    <mergeCell ref="A3255:A3260"/>
    <mergeCell ref="H2061:H2066"/>
    <mergeCell ref="F2601:F2606"/>
    <mergeCell ref="F2259:F2264"/>
    <mergeCell ref="A549:A554"/>
    <mergeCell ref="G753:G758"/>
    <mergeCell ref="G4053:G4058"/>
    <mergeCell ref="A2037:A2042"/>
    <mergeCell ref="G3021:G3026"/>
    <mergeCell ref="F2715:F2720"/>
    <mergeCell ref="G2235:G2240"/>
    <mergeCell ref="A2073:A2078"/>
    <mergeCell ref="F4719:F4724"/>
    <mergeCell ref="B2163:B2168"/>
    <mergeCell ref="F45:F50"/>
    <mergeCell ref="F4713:F4718"/>
    <mergeCell ref="A4587:A4592"/>
    <mergeCell ref="A3555:A3560"/>
    <mergeCell ref="H2361:H2366"/>
    <mergeCell ref="F2901:F2906"/>
    <mergeCell ref="A3123:A3128"/>
    <mergeCell ref="H1929:H1934"/>
    <mergeCell ref="G4353:G4358"/>
    <mergeCell ref="A1311:A1316"/>
    <mergeCell ref="G3321:G3326"/>
    <mergeCell ref="B975:B980"/>
    <mergeCell ref="G1653:G1658"/>
    <mergeCell ref="A2373:A2378"/>
    <mergeCell ref="E2193:E2198"/>
    <mergeCell ref="B2463:B2468"/>
    <mergeCell ref="B1431:B1436"/>
    <mergeCell ref="F27:F32"/>
    <mergeCell ref="H2007:H2012"/>
    <mergeCell ref="H2001:H2006"/>
    <mergeCell ref="G1185:G1190"/>
    <mergeCell ref="F2541:F2546"/>
    <mergeCell ref="E783:E788"/>
    <mergeCell ref="G1179:G1184"/>
    <mergeCell ref="E1719:E1724"/>
    <mergeCell ref="F873:F878"/>
    <mergeCell ref="G2667:G2672"/>
    <mergeCell ref="F3513:F3518"/>
    <mergeCell ref="E3207:E3212"/>
    <mergeCell ref="G1635:G1640"/>
    <mergeCell ref="E2175:E2180"/>
    <mergeCell ref="B2139:B2144"/>
    <mergeCell ref="B4251:B4256"/>
    <mergeCell ref="F3327:F3332"/>
    <mergeCell ref="F2301:F2306"/>
    <mergeCell ref="F1959:F1964"/>
    <mergeCell ref="G453:G458"/>
    <mergeCell ref="G3753:G3758"/>
    <mergeCell ref="H1275:H1280"/>
    <mergeCell ref="G2967:G2972"/>
    <mergeCell ref="G1941:G1946"/>
    <mergeCell ref="F3441:F3446"/>
    <mergeCell ref="G1935:G1940"/>
    <mergeCell ref="E3675:E3680"/>
    <mergeCell ref="H2229:H2234"/>
    <mergeCell ref="B249:B254"/>
    <mergeCell ref="B3549:B3554"/>
    <mergeCell ref="G1953:G1958"/>
    <mergeCell ref="E4023:E4028"/>
    <mergeCell ref="A2655:A2660"/>
    <mergeCell ref="B291:B296"/>
    <mergeCell ref="G4305:G4310"/>
    <mergeCell ref="E765:E770"/>
    <mergeCell ref="A4143:A4148"/>
    <mergeCell ref="B1779:B1784"/>
    <mergeCell ref="G2649:G2654"/>
    <mergeCell ref="B3777:B3782"/>
    <mergeCell ref="A2955:A2960"/>
    <mergeCell ref="A2439:A2444"/>
    <mergeCell ref="F1941:F1946"/>
    <mergeCell ref="A4443:A4448"/>
    <mergeCell ref="G93:G98"/>
    <mergeCell ref="E1119:E1124"/>
    <mergeCell ref="A1257:A1262"/>
    <mergeCell ref="H219:H224"/>
    <mergeCell ref="F759:F764"/>
    <mergeCell ref="F3459:F3464"/>
    <mergeCell ref="F753:F758"/>
    <mergeCell ref="E447:E452"/>
    <mergeCell ref="F2241:F2246"/>
    <mergeCell ref="E1419:E1424"/>
    <mergeCell ref="F2277:F2282"/>
    <mergeCell ref="G2367:G2372"/>
    <mergeCell ref="F3213:F3218"/>
    <mergeCell ref="E2907:E2912"/>
    <mergeCell ref="H519:H524"/>
    <mergeCell ref="G213:G218"/>
    <mergeCell ref="E2901:E2906"/>
    <mergeCell ref="E4293:E4298"/>
    <mergeCell ref="A1737:A1742"/>
    <mergeCell ref="A2799:A2804"/>
    <mergeCell ref="G4713:G4718"/>
    <mergeCell ref="F1887:F1892"/>
    <mergeCell ref="A1671:A1676"/>
    <mergeCell ref="G3681:G3686"/>
    <mergeCell ref="B3555:B3560"/>
    <mergeCell ref="E4221:E4226"/>
    <mergeCell ref="B2523:B2528"/>
    <mergeCell ref="F231:F236"/>
    <mergeCell ref="F2343:F2348"/>
    <mergeCell ref="A297:A302"/>
    <mergeCell ref="F705:F710"/>
    <mergeCell ref="F4347:F4352"/>
    <mergeCell ref="A4215:A4220"/>
    <mergeCell ref="A483:A488"/>
    <mergeCell ref="H2589:H2594"/>
    <mergeCell ref="A1971:A1976"/>
    <mergeCell ref="G3981:G3986"/>
    <mergeCell ref="H2109:H2114"/>
    <mergeCell ref="F3675:F3680"/>
    <mergeCell ref="F3165:F3170"/>
    <mergeCell ref="F2643:F2648"/>
    <mergeCell ref="A3033:A3038"/>
    <mergeCell ref="G4437:G4442"/>
    <mergeCell ref="F4647:F4652"/>
    <mergeCell ref="B723:B728"/>
    <mergeCell ref="H885:H890"/>
    <mergeCell ref="A783:A788"/>
    <mergeCell ref="E1191:E1196"/>
    <mergeCell ref="H2889:H2894"/>
    <mergeCell ref="H1857:H1862"/>
    <mergeCell ref="A4119:A4124"/>
    <mergeCell ref="B4209:B4214"/>
    <mergeCell ref="F4629:F4634"/>
    <mergeCell ref="F4287:F4292"/>
    <mergeCell ref="F987:F992"/>
    <mergeCell ref="H1935:H1940"/>
    <mergeCell ref="H903:H908"/>
    <mergeCell ref="G1113:G1118"/>
    <mergeCell ref="G4413:G4418"/>
    <mergeCell ref="B3255:B3260"/>
    <mergeCell ref="G2601:G2606"/>
    <mergeCell ref="E3921:E3926"/>
    <mergeCell ref="G2595:G2600"/>
    <mergeCell ref="E3135:E3140"/>
    <mergeCell ref="E735:E740"/>
    <mergeCell ref="F4587:F4592"/>
    <mergeCell ref="B1005:B1010"/>
    <mergeCell ref="A3915:A3920"/>
    <mergeCell ref="H2235:H2240"/>
    <mergeCell ref="B1041:B1046"/>
    <mergeCell ref="G1413:G1418"/>
    <mergeCell ref="H3345:H3350"/>
    <mergeCell ref="F2943:F2948"/>
    <mergeCell ref="E3651:E3656"/>
    <mergeCell ref="B1023:B1028"/>
    <mergeCell ref="E2277:E2282"/>
    <mergeCell ref="H2163:H2168"/>
    <mergeCell ref="B2505:B2510"/>
    <mergeCell ref="G3699:G3704"/>
    <mergeCell ref="H3225:H3230"/>
    <mergeCell ref="E4239:E4244"/>
    <mergeCell ref="B4509:B4514"/>
    <mergeCell ref="B3483:B3488"/>
    <mergeCell ref="A1683:A1688"/>
    <mergeCell ref="B4443:B4448"/>
    <mergeCell ref="B3411:B3416"/>
    <mergeCell ref="F1119:F1124"/>
    <mergeCell ref="E2511:E2516"/>
    <mergeCell ref="E3993:E3998"/>
    <mergeCell ref="B2223:B2228"/>
    <mergeCell ref="B1707:B1712"/>
    <mergeCell ref="G1209:G1214"/>
    <mergeCell ref="B3711:B3716"/>
    <mergeCell ref="F1419:F1424"/>
    <mergeCell ref="A4185:A4190"/>
    <mergeCell ref="F1413:F1418"/>
    <mergeCell ref="G3213:G3218"/>
    <mergeCell ref="F387:F392"/>
    <mergeCell ref="A261:A266"/>
    <mergeCell ref="F1869:F1874"/>
    <mergeCell ref="G4695:G4700"/>
    <mergeCell ref="A3003:A3008"/>
    <mergeCell ref="E3267:E3272"/>
    <mergeCell ref="A4485:A4490"/>
    <mergeCell ref="E2535:E2540"/>
    <mergeCell ref="F4419:F4424"/>
    <mergeCell ref="F687:F692"/>
    <mergeCell ref="G2997:G3002"/>
    <mergeCell ref="F3987:F3992"/>
    <mergeCell ref="A2829:A2834"/>
    <mergeCell ref="B4611:B4616"/>
    <mergeCell ref="F2175:F2180"/>
    <mergeCell ref="G813:G818"/>
    <mergeCell ref="E1347:E1352"/>
    <mergeCell ref="G3327:G3332"/>
    <mergeCell ref="E2835:E2840"/>
    <mergeCell ref="G4647:G4652"/>
    <mergeCell ref="G3615:G3620"/>
    <mergeCell ref="A1599:A1604"/>
    <mergeCell ref="H63:H68"/>
    <mergeCell ref="A225:A230"/>
    <mergeCell ref="B3051:B3056"/>
    <mergeCell ref="G2397:G2402"/>
    <mergeCell ref="B3087:B3092"/>
    <mergeCell ref="F2907:F2912"/>
    <mergeCell ref="A3717:A3722"/>
    <mergeCell ref="A3711:A3716"/>
    <mergeCell ref="H1491:H1496"/>
    <mergeCell ref="G3915:G3920"/>
    <mergeCell ref="A1899:A1904"/>
    <mergeCell ref="A3747:A3752"/>
    <mergeCell ref="F465:F470"/>
    <mergeCell ref="A531:A536"/>
    <mergeCell ref="B1683:B1688"/>
    <mergeCell ref="H819:H824"/>
    <mergeCell ref="F3207:F3212"/>
    <mergeCell ref="B651:B656"/>
    <mergeCell ref="A4017:A4022"/>
    <mergeCell ref="E1125:E1130"/>
    <mergeCell ref="B2655:B2660"/>
    <mergeCell ref="A2985:A2990"/>
    <mergeCell ref="H1791:H1796"/>
    <mergeCell ref="A4473:A4478"/>
    <mergeCell ref="B3111:B3116"/>
    <mergeCell ref="B4137:B4142"/>
    <mergeCell ref="E2211:E2216"/>
    <mergeCell ref="F3507:F3512"/>
    <mergeCell ref="E1425:E1430"/>
    <mergeCell ref="A2031:A2036"/>
    <mergeCell ref="H1947:H1952"/>
    <mergeCell ref="E2877:E2882"/>
    <mergeCell ref="G4341:G4346"/>
    <mergeCell ref="B483:B488"/>
    <mergeCell ref="B3183:B3188"/>
    <mergeCell ref="A1299:A1304"/>
    <mergeCell ref="G1161:G1166"/>
    <mergeCell ref="B2751:B2756"/>
    <mergeCell ref="G2097:G2102"/>
    <mergeCell ref="E1695:E1700"/>
    <mergeCell ref="B939:B944"/>
    <mergeCell ref="H2949:H2954"/>
    <mergeCell ref="B2001:B2006"/>
    <mergeCell ref="E39:E44"/>
    <mergeCell ref="F1821:F1826"/>
    <mergeCell ref="A111:A116"/>
    <mergeCell ref="B1929:B1934"/>
    <mergeCell ref="B2955:B2960"/>
    <mergeCell ref="B2439:B2444"/>
    <mergeCell ref="B1407:B1412"/>
    <mergeCell ref="E3693:E3698"/>
    <mergeCell ref="H2091:H2096"/>
    <mergeCell ref="H1179:H1184"/>
    <mergeCell ref="H147:H152"/>
    <mergeCell ref="H1635:H1640"/>
    <mergeCell ref="E1461:E1466"/>
    <mergeCell ref="A183:A188"/>
    <mergeCell ref="G63:G68"/>
    <mergeCell ref="A201:A206"/>
    <mergeCell ref="E465:E470"/>
    <mergeCell ref="B3477:B3482"/>
    <mergeCell ref="F321:F326"/>
    <mergeCell ref="F1347:F1352"/>
    <mergeCell ref="H807:H812"/>
    <mergeCell ref="F315:F320"/>
    <mergeCell ref="H2295:H2300"/>
    <mergeCell ref="F2835:F2840"/>
    <mergeCell ref="A2457:A2462"/>
    <mergeCell ref="F1803:F1808"/>
    <mergeCell ref="G4629:G4634"/>
    <mergeCell ref="A4461:A4466"/>
    <mergeCell ref="E4281:E4286"/>
    <mergeCell ref="H45:H50"/>
    <mergeCell ref="A1275:A1280"/>
    <mergeCell ref="H81:H86"/>
    <mergeCell ref="E2463:E2468"/>
    <mergeCell ref="F3921:F3926"/>
    <mergeCell ref="H3381:H3386"/>
    <mergeCell ref="F615:F620"/>
    <mergeCell ref="F3915:F3920"/>
    <mergeCell ref="A3279:A3284"/>
    <mergeCell ref="H1569:H1574"/>
    <mergeCell ref="A2757:A2762"/>
    <mergeCell ref="H1563:H1568"/>
    <mergeCell ref="F2103:F2108"/>
    <mergeCell ref="H2595:H2600"/>
    <mergeCell ref="E4581:E4586"/>
    <mergeCell ref="B183:B188"/>
    <mergeCell ref="G1887:G1892"/>
    <mergeCell ref="B177:B182"/>
    <mergeCell ref="G855:G860"/>
    <mergeCell ref="H381:H386"/>
    <mergeCell ref="E2763:E2768"/>
    <mergeCell ref="G1:G2"/>
    <mergeCell ref="A3345:A3350"/>
    <mergeCell ref="B4203:B4208"/>
    <mergeCell ref="G4575:G4580"/>
    <mergeCell ref="A159:A164"/>
    <mergeCell ref="B2985:B2990"/>
    <mergeCell ref="F93:F98"/>
    <mergeCell ref="F3393:F3398"/>
    <mergeCell ref="A2673:A2678"/>
    <mergeCell ref="A2163:A2168"/>
    <mergeCell ref="F3867:F3872"/>
    <mergeCell ref="H447:H452"/>
    <mergeCell ref="A2709:A2714"/>
    <mergeCell ref="A3645:A3650"/>
    <mergeCell ref="B4503:B4508"/>
    <mergeCell ref="A2613:A2618"/>
    <mergeCell ref="E321:E326"/>
    <mergeCell ref="A459:A464"/>
    <mergeCell ref="B3771:B3776"/>
    <mergeCell ref="A4101:A4106"/>
    <mergeCell ref="F3693:F3698"/>
    <mergeCell ref="B585:B590"/>
    <mergeCell ref="A3945:A3950"/>
    <mergeCell ref="A2919:A2924"/>
    <mergeCell ref="E4353:E4358"/>
    <mergeCell ref="B2583:B2588"/>
    <mergeCell ref="E621:E626"/>
    <mergeCell ref="G1569:G1574"/>
    <mergeCell ref="B4071:B4076"/>
    <mergeCell ref="E2109:E2114"/>
    <mergeCell ref="H2865:H2870"/>
    <mergeCell ref="B1671:B1676"/>
    <mergeCell ref="B111:B116"/>
    <mergeCell ref="E4509:E4514"/>
    <mergeCell ref="G789:G794"/>
    <mergeCell ref="G1725:G1730"/>
    <mergeCell ref="B1599:B1604"/>
    <mergeCell ref="F4149:F4154"/>
    <mergeCell ref="B1593:B1598"/>
    <mergeCell ref="B567:B572"/>
    <mergeCell ref="G2271:G2276"/>
    <mergeCell ref="G2787:G2792"/>
    <mergeCell ref="E3327:E3332"/>
    <mergeCell ref="E2811:E2816"/>
    <mergeCell ref="G4275:G4280"/>
    <mergeCell ref="H2427:H2432"/>
    <mergeCell ref="G1089:G1094"/>
    <mergeCell ref="B1899:B1904"/>
    <mergeCell ref="B867:B872"/>
    <mergeCell ref="B4167:B4172"/>
    <mergeCell ref="F747:F752"/>
    <mergeCell ref="E3171:E3176"/>
    <mergeCell ref="B885:B890"/>
    <mergeCell ref="B4185:B4190"/>
    <mergeCell ref="E2139:E2144"/>
    <mergeCell ref="G387:G392"/>
    <mergeCell ref="G381:G386"/>
    <mergeCell ref="E3627:E3632"/>
    <mergeCell ref="E921:E926"/>
    <mergeCell ref="G1869:G1874"/>
    <mergeCell ref="E2409:E2414"/>
    <mergeCell ref="B1971:B1976"/>
    <mergeCell ref="F1047:F1052"/>
    <mergeCell ref="G2841:G2846"/>
    <mergeCell ref="A3417:A3422"/>
    <mergeCell ref="B3687:B3692"/>
    <mergeCell ref="F2763:F2768"/>
    <mergeCell ref="E2727:E2732"/>
    <mergeCell ref="F1395:F1400"/>
    <mergeCell ref="F363:F368"/>
    <mergeCell ref="G4557:G4562"/>
    <mergeCell ref="G3189:G3194"/>
    <mergeCell ref="A2391:A2396"/>
    <mergeCell ref="H2223:H2228"/>
    <mergeCell ref="F2877:F2882"/>
    <mergeCell ref="A2235:A2240"/>
    <mergeCell ref="G4671:G4676"/>
    <mergeCell ref="G1515:G1520"/>
    <mergeCell ref="B1299:B1304"/>
    <mergeCell ref="E2055:E2060"/>
    <mergeCell ref="H3309:H3314"/>
    <mergeCell ref="F3849:F3854"/>
    <mergeCell ref="E3027:E3032"/>
    <mergeCell ref="E4659:E4664"/>
    <mergeCell ref="E4563:E4568"/>
    <mergeCell ref="B4485:B4490"/>
    <mergeCell ref="F2535:F2540"/>
    <mergeCell ref="G687:G692"/>
    <mergeCell ref="E3927:E3932"/>
    <mergeCell ref="G2169:G2174"/>
    <mergeCell ref="A2001:A2006"/>
    <mergeCell ref="B2271:B2276"/>
    <mergeCell ref="E1395:E1400"/>
    <mergeCell ref="H2649:H2654"/>
    <mergeCell ref="G2343:G2348"/>
    <mergeCell ref="F4215:F4220"/>
    <mergeCell ref="G15:G20"/>
    <mergeCell ref="E4287:E4292"/>
    <mergeCell ref="E555:E560"/>
    <mergeCell ref="A2505:A2510"/>
    <mergeCell ref="H2841:H2846"/>
    <mergeCell ref="E549:E554"/>
    <mergeCell ref="F3375:F3380"/>
    <mergeCell ref="B2631:B2636"/>
    <mergeCell ref="E2037:E2042"/>
    <mergeCell ref="F2895:F2900"/>
    <mergeCell ref="H1137:H1142"/>
    <mergeCell ref="F2163:F2168"/>
    <mergeCell ref="G315:G320"/>
    <mergeCell ref="E4587:E4592"/>
    <mergeCell ref="E855:E860"/>
    <mergeCell ref="F9:F14"/>
    <mergeCell ref="G1803:G1808"/>
    <mergeCell ref="E3123:E3128"/>
    <mergeCell ref="G1797:G1802"/>
    <mergeCell ref="G771:G776"/>
    <mergeCell ref="A1635:A1640"/>
    <mergeCell ref="F4281:F4286"/>
    <mergeCell ref="F975:F980"/>
    <mergeCell ref="B1275:B1280"/>
    <mergeCell ref="B3387:B3392"/>
    <mergeCell ref="F2463:F2468"/>
    <mergeCell ref="G615:G620"/>
    <mergeCell ref="G4257:G4262"/>
    <mergeCell ref="F1089:F1094"/>
    <mergeCell ref="G2883:G2888"/>
    <mergeCell ref="F2577:F2582"/>
    <mergeCell ref="G1071:G1076"/>
    <mergeCell ref="H1:H2"/>
    <mergeCell ref="G3903:G3908"/>
    <mergeCell ref="B3345:B3350"/>
    <mergeCell ref="H2481:H2486"/>
    <mergeCell ref="E3069:E3074"/>
    <mergeCell ref="A4737:A4742"/>
    <mergeCell ref="B159:B164"/>
    <mergeCell ref="B153:B158"/>
    <mergeCell ref="G3141:G3146"/>
    <mergeCell ref="B1641:B1646"/>
    <mergeCell ref="B1131:B1136"/>
    <mergeCell ref="G2835:G2840"/>
    <mergeCell ref="B1125:B1130"/>
    <mergeCell ref="A819:A824"/>
    <mergeCell ref="B3645:B3650"/>
    <mergeCell ref="B2613:B2618"/>
    <mergeCell ref="E3087:E3092"/>
    <mergeCell ref="A1791:A1796"/>
    <mergeCell ref="B4101:B4106"/>
    <mergeCell ref="E1713:E1718"/>
    <mergeCell ref="A4305:A4310"/>
    <mergeCell ref="E3201:E3206"/>
    <mergeCell ref="B915:B920"/>
    <mergeCell ref="G3135:G3140"/>
    <mergeCell ref="A87:A92"/>
    <mergeCell ref="B2913:B2918"/>
    <mergeCell ref="A2091:A2096"/>
    <mergeCell ref="B4401:B4406"/>
    <mergeCell ref="A3579:A3584"/>
    <mergeCell ref="A2205:A2210"/>
    <mergeCell ref="E1281:E1286"/>
    <mergeCell ref="F2139:F2144"/>
    <mergeCell ref="E27:E32"/>
    <mergeCell ref="F1323:F1328"/>
    <mergeCell ref="H1725:H1730"/>
    <mergeCell ref="G3117:G3122"/>
    <mergeCell ref="A3981:A3986"/>
    <mergeCell ref="H2271:H2276"/>
    <mergeCell ref="A2949:A2954"/>
    <mergeCell ref="H1755:H1760"/>
    <mergeCell ref="F1779:F1784"/>
    <mergeCell ref="H3207:H3212"/>
    <mergeCell ref="A4437:A4442"/>
    <mergeCell ref="E3513:E3518"/>
    <mergeCell ref="F3783:F3788"/>
    <mergeCell ref="B1227:B1232"/>
    <mergeCell ref="H3243:H3248"/>
    <mergeCell ref="F3777:F3782"/>
    <mergeCell ref="A63:A68"/>
    <mergeCell ref="H2025:H2030"/>
    <mergeCell ref="E327:E332"/>
    <mergeCell ref="B1341:B1346"/>
    <mergeCell ref="H1011:H1016"/>
    <mergeCell ref="F3075:F3080"/>
    <mergeCell ref="F3627:F3632"/>
    <mergeCell ref="H2493:H2498"/>
    <mergeCell ref="E1737:E1742"/>
    <mergeCell ref="E2799:E2804"/>
    <mergeCell ref="H837:H842"/>
    <mergeCell ref="F1377:F1382"/>
    <mergeCell ref="G4371:G4376"/>
    <mergeCell ref="A1935:A1940"/>
    <mergeCell ref="A903:A908"/>
    <mergeCell ref="F3549:F3554"/>
    <mergeCell ref="A45:A50"/>
    <mergeCell ref="B903:B908"/>
    <mergeCell ref="H39:H44"/>
    <mergeCell ref="F723:F728"/>
    <mergeCell ref="G3549:G3554"/>
    <mergeCell ref="B1839:B1844"/>
    <mergeCell ref="G243:G248"/>
    <mergeCell ref="B2391:B2396"/>
    <mergeCell ref="G249:G254"/>
    <mergeCell ref="G2763:G2768"/>
    <mergeCell ref="E4083:E4088"/>
    <mergeCell ref="A501:A506"/>
    <mergeCell ref="G1731:G1736"/>
    <mergeCell ref="A1563:A1568"/>
    <mergeCell ref="E4119:E4124"/>
    <mergeCell ref="F4209:F4214"/>
    <mergeCell ref="A345:A350"/>
    <mergeCell ref="F2055:F2060"/>
    <mergeCell ref="F1023:F1028"/>
    <mergeCell ref="G3849:G3854"/>
    <mergeCell ref="A381:A386"/>
    <mergeCell ref="G2817:G2822"/>
    <mergeCell ref="E201:E206"/>
    <mergeCell ref="E3357:E3362"/>
    <mergeCell ref="F3027:F3032"/>
    <mergeCell ref="H1971:H1976"/>
    <mergeCell ref="F2505:F2510"/>
    <mergeCell ref="A1869:A1874"/>
    <mergeCell ref="E1683:E1688"/>
    <mergeCell ref="B927:B932"/>
    <mergeCell ref="F3483:F3488"/>
    <mergeCell ref="F3477:F3482"/>
    <mergeCell ref="H15:H20"/>
    <mergeCell ref="E2397:E2402"/>
    <mergeCell ref="F3255:F3260"/>
    <mergeCell ref="F549:F554"/>
    <mergeCell ref="F4191:F4196"/>
    <mergeCell ref="A1:A2"/>
    <mergeCell ref="G675:G680"/>
    <mergeCell ref="G3831:G3836"/>
    <mergeCell ref="F1005:F1010"/>
    <mergeCell ref="A2133:A2138"/>
    <mergeCell ref="B3933:B3938"/>
    <mergeCell ref="E183:E188"/>
    <mergeCell ref="H2469:H2474"/>
    <mergeCell ref="H315:H320"/>
    <mergeCell ref="G1131:G1136"/>
    <mergeCell ref="A3621:A3626"/>
    <mergeCell ref="E2697:E2702"/>
    <mergeCell ref="E1671:E1676"/>
    <mergeCell ref="B2259:B2264"/>
    <mergeCell ref="E297:E302"/>
    <mergeCell ref="F3123:F3128"/>
    <mergeCell ref="A1851:A1856"/>
    <mergeCell ref="A477:A482"/>
    <mergeCell ref="H771:H776"/>
    <mergeCell ref="H765:H770"/>
    <mergeCell ref="G975:G980"/>
    <mergeCell ref="E483:E488"/>
    <mergeCell ref="G2463:G2468"/>
    <mergeCell ref="E3783:E3788"/>
    <mergeCell ref="G1431:G1436"/>
    <mergeCell ref="E1971:E1976"/>
    <mergeCell ref="H2883:H2888"/>
    <mergeCell ref="B4761:B4766"/>
    <mergeCell ref="E2373:E2378"/>
    <mergeCell ref="E4485:E4490"/>
    <mergeCell ref="B4755:B4760"/>
    <mergeCell ref="B3729:B3734"/>
    <mergeCell ref="B87:B92"/>
    <mergeCell ref="B2091:B2096"/>
    <mergeCell ref="E2829:E2834"/>
    <mergeCell ref="A2277:A2282"/>
    <mergeCell ref="B2547:B2552"/>
    <mergeCell ref="G4251:G4256"/>
    <mergeCell ref="B2541:B2546"/>
    <mergeCell ref="F249:F254"/>
    <mergeCell ref="B4029:B4034"/>
    <mergeCell ref="A2865:A2870"/>
    <mergeCell ref="E3129:E3134"/>
    <mergeCell ref="A1833:A1838"/>
    <mergeCell ref="F4491:F4496"/>
    <mergeCell ref="G4731:G4736"/>
    <mergeCell ref="B4089:B4094"/>
    <mergeCell ref="E597:E602"/>
    <mergeCell ref="F3423:F3428"/>
    <mergeCell ref="F267:F272"/>
    <mergeCell ref="E3033:E3038"/>
    <mergeCell ref="B4047:B4052"/>
    <mergeCell ref="E4419:E4424"/>
    <mergeCell ref="G4299:G4304"/>
    <mergeCell ref="F4509:F4514"/>
    <mergeCell ref="A4761:A4766"/>
    <mergeCell ref="F4581:F4586"/>
    <mergeCell ref="F4575:F4580"/>
    <mergeCell ref="A3423:A3428"/>
    <mergeCell ref="E4473:E4478"/>
    <mergeCell ref="F4143:F4148"/>
    <mergeCell ref="B2949:B2954"/>
    <mergeCell ref="G2295:G2300"/>
    <mergeCell ref="G1779:G1784"/>
    <mergeCell ref="A1497:A1502"/>
    <mergeCell ref="H2085:H2090"/>
    <mergeCell ref="B4437:B4442"/>
    <mergeCell ref="A2547:A2552"/>
    <mergeCell ref="H1353:H1358"/>
    <mergeCell ref="G3777:G3782"/>
    <mergeCell ref="G2751:G2756"/>
    <mergeCell ref="G2745:G2750"/>
    <mergeCell ref="A3609:A3614"/>
    <mergeCell ref="F2955:F2960"/>
    <mergeCell ref="A1797:A1802"/>
    <mergeCell ref="G4749:G4754"/>
    <mergeCell ref="G4233:G4238"/>
    <mergeCell ref="F4443:F4448"/>
    <mergeCell ref="A4065:A4070"/>
    <mergeCell ref="F3069:F3074"/>
    <mergeCell ref="B1491:B1496"/>
    <mergeCell ref="H1653:H1658"/>
    <mergeCell ref="A4335:A4340"/>
    <mergeCell ref="A2883:A2888"/>
    <mergeCell ref="H3141:H3146"/>
    <mergeCell ref="B2973:B2978"/>
    <mergeCell ref="H1767:H1772"/>
    <mergeCell ref="G4533:G4538"/>
    <mergeCell ref="A4371:A4376"/>
    <mergeCell ref="A4365:A4370"/>
    <mergeCell ref="E2073:E2078"/>
    <mergeCell ref="B4593:B4598"/>
    <mergeCell ref="B4587:B4592"/>
    <mergeCell ref="G1305:G1310"/>
    <mergeCell ref="A1137:A1142"/>
    <mergeCell ref="A3249:A3254"/>
    <mergeCell ref="F483:F488"/>
    <mergeCell ref="G2277:G2282"/>
    <mergeCell ref="F2751:F2756"/>
    <mergeCell ref="H1431:H1436"/>
    <mergeCell ref="H399:H404"/>
    <mergeCell ref="H1425:H1430"/>
    <mergeCell ref="F1965:F1970"/>
    <mergeCell ref="F939:F944"/>
    <mergeCell ref="G2391:G2396"/>
    <mergeCell ref="E4443:E4448"/>
    <mergeCell ref="F2001:F2006"/>
    <mergeCell ref="G2091:G2096"/>
    <mergeCell ref="G723:G728"/>
    <mergeCell ref="A411:A416"/>
    <mergeCell ref="E1257:E1262"/>
    <mergeCell ref="G2205:G2210"/>
    <mergeCell ref="F3051:F3056"/>
    <mergeCell ref="H1731:H1736"/>
    <mergeCell ref="A1893:A1898"/>
    <mergeCell ref="H699:H704"/>
    <mergeCell ref="E2229:E2234"/>
    <mergeCell ref="F4539:F4544"/>
    <mergeCell ref="G3177:G3182"/>
    <mergeCell ref="E3717:E3722"/>
    <mergeCell ref="B3045:B3050"/>
    <mergeCell ref="A3897:A3902"/>
    <mergeCell ref="G1023:G1028"/>
    <mergeCell ref="A21:A26"/>
    <mergeCell ref="A2025:A2030"/>
    <mergeCell ref="B2883:B2888"/>
    <mergeCell ref="A57:A62"/>
    <mergeCell ref="A993:A998"/>
    <mergeCell ref="B3303:B3308"/>
    <mergeCell ref="H3045:H3050"/>
    <mergeCell ref="G2223:G2228"/>
    <mergeCell ref="F2697:F2702"/>
    <mergeCell ref="A3507:A3512"/>
    <mergeCell ref="B4365:B4370"/>
    <mergeCell ref="A2481:A2486"/>
    <mergeCell ref="F4185:F4190"/>
    <mergeCell ref="A3741:A3746"/>
    <mergeCell ref="F1041:F1046"/>
    <mergeCell ref="A3543:A3548"/>
    <mergeCell ref="A3963:A3968"/>
    <mergeCell ref="H2769:H2774"/>
    <mergeCell ref="A2325:A2330"/>
    <mergeCell ref="A357:A362"/>
    <mergeCell ref="F3003:F3008"/>
    <mergeCell ref="B447:B452"/>
    <mergeCell ref="A1293:A1298"/>
    <mergeCell ref="A2781:A2786"/>
    <mergeCell ref="E3189:E3194"/>
    <mergeCell ref="H3069:H3074"/>
    <mergeCell ref="E519:E524"/>
    <mergeCell ref="F2829:F2834"/>
    <mergeCell ref="B1533:B1538"/>
    <mergeCell ref="H2763:H2768"/>
    <mergeCell ref="E2007:E2012"/>
    <mergeCell ref="E2001:E2006"/>
    <mergeCell ref="E4677:E4682"/>
    <mergeCell ref="H1263:H1268"/>
    <mergeCell ref="E3645:E3650"/>
    <mergeCell ref="G4593:G4598"/>
    <mergeCell ref="A1725:A1730"/>
    <mergeCell ref="H2745:H2750"/>
    <mergeCell ref="G2955:G2960"/>
    <mergeCell ref="B729:B734"/>
    <mergeCell ref="G1923:G1928"/>
    <mergeCell ref="B765:B770"/>
    <mergeCell ref="B4065:B4070"/>
    <mergeCell ref="A3207:A3212"/>
    <mergeCell ref="G3411:G3416"/>
    <mergeCell ref="H3201:H3206"/>
    <mergeCell ref="G3405:G3410"/>
    <mergeCell ref="E3945:E3950"/>
    <mergeCell ref="E2577:E2582"/>
    <mergeCell ref="F4485:F4490"/>
    <mergeCell ref="B4389:B4394"/>
    <mergeCell ref="B1719:B1724"/>
    <mergeCell ref="B3207:B3212"/>
    <mergeCell ref="E4461:E4466"/>
    <mergeCell ref="B1833:B1838"/>
    <mergeCell ref="E2307:E2312"/>
    <mergeCell ref="G2703:G2708"/>
    <mergeCell ref="E1275:E1280"/>
    <mergeCell ref="F1365:F1370"/>
    <mergeCell ref="E3789:E3794"/>
    <mergeCell ref="E3279:E3284"/>
    <mergeCell ref="B4293:B4298"/>
    <mergeCell ref="E2757:E2762"/>
    <mergeCell ref="A2493:A2498"/>
    <mergeCell ref="A4557:A4562"/>
    <mergeCell ref="E3345:E3350"/>
    <mergeCell ref="F2013:F2018"/>
    <mergeCell ref="H957:H962"/>
    <mergeCell ref="G651:G656"/>
    <mergeCell ref="F1497:F1502"/>
    <mergeCell ref="H3477:H3482"/>
    <mergeCell ref="A339:A344"/>
    <mergeCell ref="H2445:H2450"/>
    <mergeCell ref="F2985:F2990"/>
    <mergeCell ref="B429:B434"/>
    <mergeCell ref="G1623:G1628"/>
    <mergeCell ref="A2853:A2858"/>
    <mergeCell ref="E2673:E2678"/>
    <mergeCell ref="E2163:E2168"/>
    <mergeCell ref="B465:B470"/>
    <mergeCell ref="E2157:E2162"/>
    <mergeCell ref="G4137:G4142"/>
    <mergeCell ref="G3111:G3116"/>
    <mergeCell ref="G1005:G1010"/>
    <mergeCell ref="A837:A842"/>
    <mergeCell ref="B2133:B2138"/>
    <mergeCell ref="G1041:G1046"/>
    <mergeCell ref="B1107:B1112"/>
    <mergeCell ref="H1131:H1136"/>
    <mergeCell ref="B3621:B3626"/>
    <mergeCell ref="F1671:F1676"/>
    <mergeCell ref="F1665:F1670"/>
    <mergeCell ref="G3459:G3464"/>
    <mergeCell ref="H2817:H2822"/>
    <mergeCell ref="E531:E536"/>
    <mergeCell ref="B2649:B2654"/>
    <mergeCell ref="G4419:G4424"/>
    <mergeCell ref="G3393:G3398"/>
    <mergeCell ref="F225:F230"/>
    <mergeCell ref="G2019:G2024"/>
    <mergeCell ref="B4521:B4526"/>
    <mergeCell ref="A4257:A4262"/>
    <mergeCell ref="A615:A620"/>
    <mergeCell ref="G351:G356"/>
    <mergeCell ref="F1197:F1202"/>
    <mergeCell ref="A1071:A1076"/>
    <mergeCell ref="F3717:F3722"/>
    <mergeCell ref="A39:A44"/>
    <mergeCell ref="H3177:H3182"/>
    <mergeCell ref="F3711:F3716"/>
    <mergeCell ref="A2553:A2558"/>
    <mergeCell ref="E2889:E2894"/>
    <mergeCell ref="F525:F530"/>
    <mergeCell ref="G3693:G3698"/>
    <mergeCell ref="F4167:F4172"/>
    <mergeCell ref="E4377:E4382"/>
    <mergeCell ref="F183:F188"/>
    <mergeCell ref="F297:F302"/>
    <mergeCell ref="H243:H248"/>
    <mergeCell ref="E75:E80"/>
    <mergeCell ref="G2505:G2510"/>
    <mergeCell ref="G1995:G2000"/>
    <mergeCell ref="E1593:E1598"/>
    <mergeCell ref="G1989:G1994"/>
    <mergeCell ref="B837:B842"/>
    <mergeCell ref="E2529:E2534"/>
    <mergeCell ref="F1683:F1688"/>
    <mergeCell ref="H999:H1004"/>
    <mergeCell ref="G633:G638"/>
    <mergeCell ref="E3021:E3026"/>
    <mergeCell ref="E2235:E2240"/>
    <mergeCell ref="H273:H278"/>
    <mergeCell ref="B3249:B3254"/>
    <mergeCell ref="F2325:F2330"/>
    <mergeCell ref="G4119:G4124"/>
    <mergeCell ref="B4221:B4226"/>
    <mergeCell ref="G933:G938"/>
    <mergeCell ref="A771:A776"/>
    <mergeCell ref="H603:H608"/>
    <mergeCell ref="E3321:E3326"/>
    <mergeCell ref="F111:F116"/>
    <mergeCell ref="F3411:F3416"/>
    <mergeCell ref="G1905:G1910"/>
    <mergeCell ref="A2253:A2258"/>
    <mergeCell ref="F1593:F1598"/>
    <mergeCell ref="G3477:G3482"/>
    <mergeCell ref="E4017:E4022"/>
    <mergeCell ref="A1461:A1466"/>
    <mergeCell ref="F2655:F2660"/>
    <mergeCell ref="G291:G296"/>
    <mergeCell ref="G3933:G3938"/>
    <mergeCell ref="H717:H722"/>
    <mergeCell ref="E987:E992"/>
    <mergeCell ref="B819:B824"/>
    <mergeCell ref="E4185:E4190"/>
    <mergeCell ref="B1791:B1796"/>
    <mergeCell ref="H927:H932"/>
    <mergeCell ref="H1953:H1958"/>
    <mergeCell ref="B1785:B1790"/>
    <mergeCell ref="A3183:A3188"/>
    <mergeCell ref="A2109:A2114"/>
    <mergeCell ref="G3339:G3344"/>
    <mergeCell ref="A4623:A4628"/>
    <mergeCell ref="B261:B266"/>
    <mergeCell ref="E2505:E2510"/>
    <mergeCell ref="G4485:G4490"/>
    <mergeCell ref="B2775:B2780"/>
    <mergeCell ref="B1749:B1754"/>
    <mergeCell ref="E849:E854"/>
    <mergeCell ref="F2631:F2636"/>
    <mergeCell ref="A921:A926"/>
    <mergeCell ref="A2409:A2414"/>
    <mergeCell ref="E117:E122"/>
    <mergeCell ref="H873:H878"/>
    <mergeCell ref="A255:A260"/>
    <mergeCell ref="B2193:B2198"/>
    <mergeCell ref="F2457:F2462"/>
    <mergeCell ref="A1227:A1232"/>
    <mergeCell ref="H3333:H3338"/>
    <mergeCell ref="E1635:E1640"/>
    <mergeCell ref="F4461:F4466"/>
    <mergeCell ref="A1341:A1346"/>
    <mergeCell ref="E417:E422"/>
    <mergeCell ref="F1275:F1280"/>
    <mergeCell ref="F2211:F2216"/>
    <mergeCell ref="B2493:B2498"/>
    <mergeCell ref="H1629:H1634"/>
    <mergeCell ref="F2757:F2762"/>
    <mergeCell ref="E1935:E1940"/>
    <mergeCell ref="G177:G182"/>
    <mergeCell ref="E717:E722"/>
    <mergeCell ref="B3921:B3926"/>
    <mergeCell ref="F4401:F4406"/>
    <mergeCell ref="B993:B998"/>
    <mergeCell ref="G2697:G2702"/>
    <mergeCell ref="G1671:G1676"/>
    <mergeCell ref="E3237:E3242"/>
    <mergeCell ref="B2481:B2486"/>
    <mergeCell ref="H1191:H1196"/>
    <mergeCell ref="E2205:E2210"/>
    <mergeCell ref="G4185:G4190"/>
    <mergeCell ref="B2475:B2480"/>
    <mergeCell ref="G885:G890"/>
    <mergeCell ref="E2949:E2954"/>
    <mergeCell ref="B2511:B2516"/>
    <mergeCell ref="B2931:B2936"/>
    <mergeCell ref="B1293:B1298"/>
    <mergeCell ref="B3993:B3998"/>
    <mergeCell ref="B777:B782"/>
    <mergeCell ref="G1971:G1976"/>
    <mergeCell ref="H2523:H2528"/>
    <mergeCell ref="E4053:E4058"/>
    <mergeCell ref="B1767:B1772"/>
    <mergeCell ref="B4323:B4328"/>
    <mergeCell ref="E891:E896"/>
    <mergeCell ref="H3441:H3446"/>
    <mergeCell ref="B3273:B3278"/>
    <mergeCell ref="G3951:G3956"/>
    <mergeCell ref="H1071:H1076"/>
    <mergeCell ref="H783:H788"/>
    <mergeCell ref="F3189:F3194"/>
    <mergeCell ref="B1323:B1328"/>
    <mergeCell ref="G2889:G2894"/>
    <mergeCell ref="B2763:B2768"/>
    <mergeCell ref="H2805:H2810"/>
    <mergeCell ref="G465:G470"/>
    <mergeCell ref="E4737:E4742"/>
    <mergeCell ref="F159:F164"/>
    <mergeCell ref="F153:F158"/>
    <mergeCell ref="G2979:G2984"/>
    <mergeCell ref="A2817:A2822"/>
    <mergeCell ref="F2157:F2162"/>
    <mergeCell ref="G4467:G4472"/>
    <mergeCell ref="F1641:F1646"/>
    <mergeCell ref="A999:A1004"/>
    <mergeCell ref="A4299:A4304"/>
    <mergeCell ref="E819:E824"/>
    <mergeCell ref="F3645:F3650"/>
    <mergeCell ref="B1089:B1094"/>
    <mergeCell ref="H3105:H3110"/>
    <mergeCell ref="F2613:F2618"/>
    <mergeCell ref="F4101:F4106"/>
    <mergeCell ref="A3117:A3122"/>
    <mergeCell ref="H1923:H1928"/>
    <mergeCell ref="A2085:A2090"/>
    <mergeCell ref="H891:H896"/>
    <mergeCell ref="G585:G590"/>
    <mergeCell ref="A4599:A4604"/>
    <mergeCell ref="E2649:E2654"/>
    <mergeCell ref="A3573:A3578"/>
    <mergeCell ref="H2373:H2378"/>
    <mergeCell ref="H2379:H2384"/>
    <mergeCell ref="G2583:G2588"/>
    <mergeCell ref="F2913:F2918"/>
    <mergeCell ref="H3405:H3410"/>
    <mergeCell ref="B1425:B1430"/>
    <mergeCell ref="B9:B14"/>
    <mergeCell ref="A4155:A4160"/>
    <mergeCell ref="F4089:F4094"/>
    <mergeCell ref="F867:F872"/>
    <mergeCell ref="B4227:B4232"/>
    <mergeCell ref="E2265:E2270"/>
    <mergeCell ref="A969:A974"/>
    <mergeCell ref="E45:E50"/>
    <mergeCell ref="F903:F908"/>
    <mergeCell ref="F1839:F1844"/>
    <mergeCell ref="A1713:A1718"/>
    <mergeCell ref="E1533:E1538"/>
    <mergeCell ref="F3417:F3422"/>
    <mergeCell ref="E159:E164"/>
    <mergeCell ref="A4455:A4460"/>
    <mergeCell ref="F3021:F3026"/>
    <mergeCell ref="B4581:B4586"/>
    <mergeCell ref="E345:E350"/>
    <mergeCell ref="E1833:E1838"/>
    <mergeCell ref="E3681:E3686"/>
    <mergeCell ref="B1395:B1400"/>
    <mergeCell ref="E459:E464"/>
    <mergeCell ref="E1869:E1874"/>
    <mergeCell ref="F3321:F3326"/>
    <mergeCell ref="B2877:B2882"/>
    <mergeCell ref="F585:F590"/>
    <mergeCell ref="E2919:E2924"/>
    <mergeCell ref="B1221:B1226"/>
    <mergeCell ref="E2133:E2138"/>
    <mergeCell ref="A399:A404"/>
    <mergeCell ref="E3981:E3986"/>
    <mergeCell ref="B1695:B1700"/>
    <mergeCell ref="F4659:F4664"/>
    <mergeCell ref="G3813:G3818"/>
    <mergeCell ref="G669:G674"/>
    <mergeCell ref="A3501:A3506"/>
    <mergeCell ref="E1209:E1214"/>
    <mergeCell ref="H3339:H3344"/>
    <mergeCell ref="B3591:B3596"/>
    <mergeCell ref="B1953:B1958"/>
    <mergeCell ref="B3627:B3632"/>
    <mergeCell ref="G2631:G2636"/>
    <mergeCell ref="B921:B926"/>
    <mergeCell ref="B2409:B2414"/>
    <mergeCell ref="B2403:B2408"/>
    <mergeCell ref="B1377:B1382"/>
    <mergeCell ref="A3801:A3806"/>
    <mergeCell ref="E1509:E1514"/>
    <mergeCell ref="E3621:E3626"/>
    <mergeCell ref="B3891:B3896"/>
    <mergeCell ref="B3927:B3932"/>
    <mergeCell ref="B2709:B2714"/>
    <mergeCell ref="F3117:F3122"/>
    <mergeCell ref="G3387:G3392"/>
    <mergeCell ref="G1299:G1304"/>
    <mergeCell ref="G1293:G1298"/>
    <mergeCell ref="H3087:H3092"/>
    <mergeCell ref="G2379:G2384"/>
    <mergeCell ref="H1905:H1910"/>
    <mergeCell ref="G1593:G1598"/>
    <mergeCell ref="H2019:H2024"/>
    <mergeCell ref="E4437:E4442"/>
    <mergeCell ref="F885:F890"/>
    <mergeCell ref="G2679:G2684"/>
    <mergeCell ref="H489:H494"/>
    <mergeCell ref="F87:F92"/>
    <mergeCell ref="G2913:G2918"/>
    <mergeCell ref="H1515:H1520"/>
    <mergeCell ref="A2745:A2750"/>
    <mergeCell ref="H1551:H1556"/>
    <mergeCell ref="F2091:F2096"/>
    <mergeCell ref="G3369:G3374"/>
    <mergeCell ref="F4359:F4364"/>
    <mergeCell ref="A4233:A4238"/>
    <mergeCell ref="A4227:A4232"/>
    <mergeCell ref="A3201:A3206"/>
    <mergeCell ref="F2205:F2210"/>
    <mergeCell ref="H3033:H3038"/>
    <mergeCell ref="H3039:H3044"/>
    <mergeCell ref="B1653:B1658"/>
    <mergeCell ref="H789:H794"/>
    <mergeCell ref="B621:B626"/>
    <mergeCell ref="A3045:A3050"/>
    <mergeCell ref="A2019:A2024"/>
    <mergeCell ref="E2865:E2870"/>
    <mergeCell ref="B2109:B2114"/>
    <mergeCell ref="E477:E482"/>
    <mergeCell ref="G111:G116"/>
    <mergeCell ref="A243:A248"/>
    <mergeCell ref="F2889:F2894"/>
    <mergeCell ref="B1521:B1526"/>
    <mergeCell ref="A1731:A1736"/>
    <mergeCell ref="G4167:G4172"/>
    <mergeCell ref="F1857:F1862"/>
    <mergeCell ref="A699:A704"/>
    <mergeCell ref="A3999:A4004"/>
    <mergeCell ref="H465:H470"/>
    <mergeCell ref="G153:G158"/>
    <mergeCell ref="H3321:H3326"/>
    <mergeCell ref="G3795:G3800"/>
    <mergeCell ref="E3915:E3920"/>
    <mergeCell ref="E4335:E4340"/>
    <mergeCell ref="A4515:A4520"/>
    <mergeCell ref="E693:E698"/>
    <mergeCell ref="G2157:G2162"/>
    <mergeCell ref="G1641:G1646"/>
    <mergeCell ref="D1:D2"/>
    <mergeCell ref="B999:B1004"/>
    <mergeCell ref="F2973:F2978"/>
    <mergeCell ref="F819:F824"/>
    <mergeCell ref="G1125:G1130"/>
    <mergeCell ref="E1665:E1670"/>
    <mergeCell ref="H3435:H3440"/>
    <mergeCell ref="G2613:G2618"/>
    <mergeCell ref="A597:A602"/>
    <mergeCell ref="G2607:G2612"/>
    <mergeCell ref="A2445:A2450"/>
    <mergeCell ref="F1791:F1796"/>
    <mergeCell ref="G1581:G1586"/>
    <mergeCell ref="A633:A638"/>
    <mergeCell ref="G4095:G4100"/>
    <mergeCell ref="A3933:A3938"/>
    <mergeCell ref="F4305:F4310"/>
    <mergeCell ref="B2085:B2090"/>
    <mergeCell ref="A291:A296"/>
    <mergeCell ref="F3273:F3278"/>
    <mergeCell ref="G1425:G1430"/>
    <mergeCell ref="B1353:B1358"/>
    <mergeCell ref="G9:G14"/>
    <mergeCell ref="E1137:E1142"/>
    <mergeCell ref="G2085:G2090"/>
    <mergeCell ref="E2625:E2630"/>
    <mergeCell ref="B4155:B4160"/>
    <mergeCell ref="B3123:B3128"/>
    <mergeCell ref="B969:B974"/>
    <mergeCell ref="G4047:G4052"/>
    <mergeCell ref="G903:G908"/>
    <mergeCell ref="B2337:B2342"/>
    <mergeCell ref="G1839:G1844"/>
    <mergeCell ref="E411:E416"/>
    <mergeCell ref="F501:F506"/>
    <mergeCell ref="A1629:A1634"/>
    <mergeCell ref="B4455:B4460"/>
    <mergeCell ref="F1563:F1568"/>
    <mergeCell ref="B3423:B3428"/>
    <mergeCell ref="G141:G146"/>
    <mergeCell ref="E3897:E3902"/>
    <mergeCell ref="B1269:B1274"/>
    <mergeCell ref="G2139:G2144"/>
    <mergeCell ref="F801:F806"/>
    <mergeCell ref="F2649:F2654"/>
    <mergeCell ref="F837:F842"/>
    <mergeCell ref="A273:A278"/>
    <mergeCell ref="B2055:B2060"/>
    <mergeCell ref="A4389:A4394"/>
    <mergeCell ref="E2097:E2102"/>
    <mergeCell ref="E1575:E1580"/>
    <mergeCell ref="F2949:F2954"/>
    <mergeCell ref="E3579:E3584"/>
    <mergeCell ref="F4437:F4442"/>
    <mergeCell ref="G4761:G4766"/>
    <mergeCell ref="G87:G92"/>
    <mergeCell ref="G4755:G4760"/>
    <mergeCell ref="B2745:B2750"/>
    <mergeCell ref="A3561:A3566"/>
    <mergeCell ref="A855:A860"/>
    <mergeCell ref="B1713:B1718"/>
    <mergeCell ref="H1881:H1886"/>
    <mergeCell ref="G1059:G1064"/>
    <mergeCell ref="F1533:F1538"/>
    <mergeCell ref="A1407:A1412"/>
    <mergeCell ref="A2343:A2348"/>
    <mergeCell ref="B3201:B3206"/>
    <mergeCell ref="F4047:F4052"/>
    <mergeCell ref="G2541:G2546"/>
    <mergeCell ref="A3405:A3410"/>
    <mergeCell ref="A1161:A1166"/>
    <mergeCell ref="A3861:A3866"/>
    <mergeCell ref="H2667:H2672"/>
    <mergeCell ref="F2865:F2870"/>
    <mergeCell ref="A1155:A1160"/>
    <mergeCell ref="A129:A134"/>
    <mergeCell ref="F1833:F1838"/>
    <mergeCell ref="A1707:A1712"/>
    <mergeCell ref="A2643:A2648"/>
    <mergeCell ref="G3627:G3632"/>
    <mergeCell ref="B3501:B3506"/>
    <mergeCell ref="A1191:A1196"/>
    <mergeCell ref="A2679:A2684"/>
    <mergeCell ref="E381:E386"/>
    <mergeCell ref="F4293:F4298"/>
    <mergeCell ref="A4161:A4166"/>
    <mergeCell ref="E1:E2"/>
    <mergeCell ref="A2661:A2666"/>
    <mergeCell ref="H1125:H1130"/>
    <mergeCell ref="E2481:E2486"/>
    <mergeCell ref="E3507:E3512"/>
    <mergeCell ref="H93:H98"/>
    <mergeCell ref="F633:F638"/>
    <mergeCell ref="A4431:A4436"/>
    <mergeCell ref="F4365:F4370"/>
    <mergeCell ref="G4455:G4460"/>
    <mergeCell ref="H2607:H2612"/>
    <mergeCell ref="H1581:H1586"/>
    <mergeCell ref="F3147:F3152"/>
    <mergeCell ref="E3963:E3968"/>
    <mergeCell ref="G1785:G1790"/>
    <mergeCell ref="G759:G764"/>
    <mergeCell ref="E2325:E2330"/>
    <mergeCell ref="H3063:H3068"/>
    <mergeCell ref="E1293:E1298"/>
    <mergeCell ref="F447:F452"/>
    <mergeCell ref="G3273:G3278"/>
    <mergeCell ref="G2241:G2246"/>
    <mergeCell ref="E2781:E2786"/>
    <mergeCell ref="H1599:H1604"/>
    <mergeCell ref="H2967:H2972"/>
    <mergeCell ref="E837:E842"/>
    <mergeCell ref="F2133:F2138"/>
    <mergeCell ref="G3927:G3932"/>
    <mergeCell ref="F3621:F3626"/>
    <mergeCell ref="F477:F482"/>
    <mergeCell ref="G2259:G2264"/>
    <mergeCell ref="E4323:E4328"/>
    <mergeCell ref="E4671:E4676"/>
    <mergeCell ref="B2385:B2390"/>
    <mergeCell ref="F1461:F1466"/>
    <mergeCell ref="G3255:G3260"/>
    <mergeCell ref="A3087:A3092"/>
    <mergeCell ref="B3357:B3362"/>
    <mergeCell ref="G2949:G2954"/>
    <mergeCell ref="E2457:E2462"/>
    <mergeCell ref="F2547:F2552"/>
    <mergeCell ref="A1863:A1868"/>
    <mergeCell ref="H825:H830"/>
    <mergeCell ref="F4065:F4070"/>
    <mergeCell ref="G513:G518"/>
    <mergeCell ref="E1053:E1058"/>
    <mergeCell ref="H2307:H2312"/>
    <mergeCell ref="A3843:A3848"/>
    <mergeCell ref="F2847:F2852"/>
    <mergeCell ref="G1485:G1490"/>
    <mergeCell ref="F2883:F2888"/>
    <mergeCell ref="E993:E998"/>
    <mergeCell ref="G2973:G2978"/>
    <mergeCell ref="F4593:F4598"/>
    <mergeCell ref="B2037:B2042"/>
    <mergeCell ref="H567:H572"/>
    <mergeCell ref="H561:H566"/>
    <mergeCell ref="E2547:E2552"/>
    <mergeCell ref="A573:A578"/>
    <mergeCell ref="H3021:H3026"/>
    <mergeCell ref="E3609:E3614"/>
    <mergeCell ref="H1647:H1652"/>
    <mergeCell ref="G1857:G1862"/>
    <mergeCell ref="G1341:G1346"/>
    <mergeCell ref="G4743:G4748"/>
    <mergeCell ref="A3795:A3800"/>
    <mergeCell ref="A3789:A3794"/>
    <mergeCell ref="E1497:E1502"/>
    <mergeCell ref="F1767:F1772"/>
    <mergeCell ref="H1227:H1232"/>
    <mergeCell ref="G4587:G4592"/>
    <mergeCell ref="H2715:H2720"/>
    <mergeCell ref="A1545:A1550"/>
    <mergeCell ref="A1203:A1208"/>
    <mergeCell ref="H9:H14"/>
    <mergeCell ref="F3249:F3254"/>
    <mergeCell ref="A4059:A4064"/>
    <mergeCell ref="B297:B302"/>
    <mergeCell ref="A4095:A4100"/>
    <mergeCell ref="A3663:A3668"/>
    <mergeCell ref="E1797:E1802"/>
    <mergeCell ref="E771:E776"/>
    <mergeCell ref="B2811:B2816"/>
    <mergeCell ref="H1527:H1532"/>
    <mergeCell ref="H2463:H2468"/>
    <mergeCell ref="H3015:H3020"/>
    <mergeCell ref="B3783:B3788"/>
    <mergeCell ref="E615:E620"/>
    <mergeCell ref="B1629:B1634"/>
    <mergeCell ref="E2883:E2888"/>
    <mergeCell ref="G3675:G3680"/>
    <mergeCell ref="B597:B602"/>
    <mergeCell ref="E1071:E1076"/>
    <mergeCell ref="E4371:E4376"/>
    <mergeCell ref="F1161:F1166"/>
    <mergeCell ref="B4083:B4088"/>
    <mergeCell ref="H27:H32"/>
    <mergeCell ref="E2067:E2072"/>
    <mergeCell ref="B1311:B1316"/>
    <mergeCell ref="A3735:A3740"/>
    <mergeCell ref="E255:E260"/>
    <mergeCell ref="H2541:H2546"/>
    <mergeCell ref="B2373:B2378"/>
    <mergeCell ref="H1509:H1514"/>
    <mergeCell ref="G1719:G1724"/>
    <mergeCell ref="F2193:F2198"/>
    <mergeCell ref="A1035:A1040"/>
    <mergeCell ref="G3987:G3992"/>
    <mergeCell ref="B3861:B3866"/>
    <mergeCell ref="E4527:E4532"/>
    <mergeCell ref="B2829:B2834"/>
    <mergeCell ref="B129:B134"/>
    <mergeCell ref="G1833:G1838"/>
    <mergeCell ref="B123:B128"/>
    <mergeCell ref="E1341:E1346"/>
    <mergeCell ref="B1611:B1616"/>
    <mergeCell ref="E3855:E3860"/>
    <mergeCell ref="B1647:B1652"/>
    <mergeCell ref="H1809:H1814"/>
    <mergeCell ref="F2493:F2498"/>
    <mergeCell ref="G4293:G4298"/>
    <mergeCell ref="A1335:A1340"/>
    <mergeCell ref="G4287:G4292"/>
    <mergeCell ref="B4161:B4166"/>
    <mergeCell ref="A2271:A2276"/>
    <mergeCell ref="B3129:B3134"/>
    <mergeCell ref="G2475:G2480"/>
    <mergeCell ref="G2133:G2138"/>
    <mergeCell ref="H453:H458"/>
    <mergeCell ref="H1941:H1946"/>
    <mergeCell ref="F2481:F2486"/>
    <mergeCell ref="G4365:G4370"/>
    <mergeCell ref="F2475:F2480"/>
    <mergeCell ref="F3963:F3968"/>
    <mergeCell ref="H759:H764"/>
    <mergeCell ref="H1785:H1790"/>
    <mergeCell ref="F3999:F4004"/>
    <mergeCell ref="A1947:A1952"/>
    <mergeCell ref="G447:G452"/>
    <mergeCell ref="F3993:F3998"/>
    <mergeCell ref="E1767:E1772"/>
    <mergeCell ref="F1293:F1298"/>
    <mergeCell ref="G3087:G3092"/>
    <mergeCell ref="A3435:A3440"/>
    <mergeCell ref="A135:A140"/>
    <mergeCell ref="H753:H758"/>
    <mergeCell ref="H1209:H1214"/>
    <mergeCell ref="F1749:F1754"/>
    <mergeCell ref="H2241:H2246"/>
    <mergeCell ref="F4263:F4268"/>
    <mergeCell ref="G2901:G2906"/>
    <mergeCell ref="G1533:G1538"/>
    <mergeCell ref="A1221:A1226"/>
    <mergeCell ref="A3759:A3764"/>
    <mergeCell ref="E3183:E3188"/>
    <mergeCell ref="B897:B902"/>
    <mergeCell ref="B327:B332"/>
    <mergeCell ref="H261:H266"/>
    <mergeCell ref="E393:E398"/>
    <mergeCell ref="E429:E434"/>
    <mergeCell ref="F1725:F1730"/>
    <mergeCell ref="F1719:F1724"/>
    <mergeCell ref="A567:A572"/>
    <mergeCell ref="E3117:E3122"/>
    <mergeCell ref="B831:B836"/>
    <mergeCell ref="A561:A566"/>
    <mergeCell ref="G765:G770"/>
    <mergeCell ref="G327:G332"/>
    <mergeCell ref="E4599:E4604"/>
    <mergeCell ref="B3843:B3848"/>
    <mergeCell ref="E3573:E3578"/>
    <mergeCell ref="F3663:F3668"/>
    <mergeCell ref="B2313:B2318"/>
    <mergeCell ref="F21:F26"/>
    <mergeCell ref="G1815:G1820"/>
    <mergeCell ref="B4317:B4322"/>
    <mergeCell ref="F2025:F2030"/>
    <mergeCell ref="A1647:A1652"/>
    <mergeCell ref="F993:F998"/>
    <mergeCell ref="G3303:G3308"/>
    <mergeCell ref="G1851:G1856"/>
    <mergeCell ref="B4539:B4544"/>
    <mergeCell ref="E21:E26"/>
    <mergeCell ref="B699:B704"/>
    <mergeCell ref="G825:G830"/>
    <mergeCell ref="E1365:E1370"/>
    <mergeCell ref="E3879:E3884"/>
    <mergeCell ref="B39:B44"/>
    <mergeCell ref="E63:E68"/>
    <mergeCell ref="F1341:F1346"/>
    <mergeCell ref="F3345:F3350"/>
    <mergeCell ref="F1245:F1250"/>
    <mergeCell ref="E4455:E4460"/>
    <mergeCell ref="B57:B62"/>
    <mergeCell ref="B1545:B1550"/>
    <mergeCell ref="G3249:G3254"/>
    <mergeCell ref="A3081:A3086"/>
    <mergeCell ref="G4221:G4226"/>
    <mergeCell ref="G4215:G4220"/>
    <mergeCell ref="B3063:B3068"/>
    <mergeCell ref="A831:A836"/>
    <mergeCell ref="F765:F770"/>
    <mergeCell ref="A4317:A4322"/>
    <mergeCell ref="E399:E404"/>
    <mergeCell ref="A3291:A3296"/>
    <mergeCell ref="G4521:G4526"/>
    <mergeCell ref="A4353:A4358"/>
    <mergeCell ref="F39:F44"/>
    <mergeCell ref="G129:G134"/>
    <mergeCell ref="E243:E248"/>
    <mergeCell ref="E3543:E3548"/>
    <mergeCell ref="B1257:B1262"/>
    <mergeCell ref="E1731:E1736"/>
    <mergeCell ref="A3591:A3596"/>
    <mergeCell ref="E699:E704"/>
    <mergeCell ref="E3999:E4004"/>
    <mergeCell ref="B75:B80"/>
    <mergeCell ref="B3717:B3722"/>
    <mergeCell ref="F339:F344"/>
    <mergeCell ref="G429:G434"/>
    <mergeCell ref="E2817:E2822"/>
    <mergeCell ref="B531:B536"/>
    <mergeCell ref="E999:E1004"/>
    <mergeCell ref="E4299:E4304"/>
    <mergeCell ref="E4533:E4538"/>
    <mergeCell ref="G261:G266"/>
    <mergeCell ref="F4623:F4628"/>
    <mergeCell ref="H351:H356"/>
    <mergeCell ref="A2607:A2612"/>
    <mergeCell ref="A1581:A1586"/>
    <mergeCell ref="H387:H392"/>
    <mergeCell ref="H1413:H1418"/>
    <mergeCell ref="F921:F926"/>
    <mergeCell ref="G3231:G3236"/>
    <mergeCell ref="A795:A800"/>
    <mergeCell ref="G75:G80"/>
    <mergeCell ref="A3063:A3068"/>
    <mergeCell ref="H1869:H1874"/>
    <mergeCell ref="F2409:F2414"/>
    <mergeCell ref="H2901:H2906"/>
    <mergeCell ref="G561:G566"/>
    <mergeCell ref="G4203:G4208"/>
    <mergeCell ref="H651:H656"/>
    <mergeCell ref="A1881:A1886"/>
    <mergeCell ref="H687:H692"/>
    <mergeCell ref="F4527:F4532"/>
    <mergeCell ref="A3363:A3368"/>
    <mergeCell ref="H2169:H2174"/>
    <mergeCell ref="F2709:F2714"/>
    <mergeCell ref="B789:B794"/>
    <mergeCell ref="G2493:G2498"/>
    <mergeCell ref="E4155:E4160"/>
    <mergeCell ref="B783:B788"/>
    <mergeCell ref="G1461:G1466"/>
    <mergeCell ref="H987:H992"/>
    <mergeCell ref="H3255:H3260"/>
    <mergeCell ref="G2175:G2180"/>
    <mergeCell ref="E2715:E2720"/>
    <mergeCell ref="E1263:E1268"/>
    <mergeCell ref="H669:H674"/>
    <mergeCell ref="E3777:E3782"/>
    <mergeCell ref="A195:A200"/>
    <mergeCell ref="E2745:E2750"/>
    <mergeCell ref="B3759:B3764"/>
    <mergeCell ref="G993:G998"/>
    <mergeCell ref="G987:G992"/>
    <mergeCell ref="E4233:E4238"/>
    <mergeCell ref="E1527:E1532"/>
    <mergeCell ref="E4227:E4232"/>
    <mergeCell ref="E501:E506"/>
    <mergeCell ref="E1563:E1568"/>
    <mergeCell ref="G1443:G1448"/>
    <mergeCell ref="A2307:A2312"/>
    <mergeCell ref="F621:F626"/>
    <mergeCell ref="G2931:G2936"/>
    <mergeCell ref="A495:A500"/>
    <mergeCell ref="E3045:E3050"/>
    <mergeCell ref="B4059:B4064"/>
    <mergeCell ref="F3135:F3140"/>
    <mergeCell ref="G3993:G3998"/>
    <mergeCell ref="F2109:F2114"/>
    <mergeCell ref="F639:F644"/>
    <mergeCell ref="F3795:F3800"/>
    <mergeCell ref="B1239:B1244"/>
    <mergeCell ref="A2637:A2642"/>
    <mergeCell ref="B2727:B2732"/>
    <mergeCell ref="E339:E344"/>
    <mergeCell ref="G3921:G3926"/>
    <mergeCell ref="F4755:F4760"/>
    <mergeCell ref="B4473:B4478"/>
    <mergeCell ref="B1173:B1178"/>
    <mergeCell ref="G2877:G2882"/>
    <mergeCell ref="H3183:H3188"/>
    <mergeCell ref="H3189:H3194"/>
    <mergeCell ref="B2235:B2240"/>
    <mergeCell ref="E273:E278"/>
    <mergeCell ref="B3291:B3296"/>
    <mergeCell ref="F1425:F1430"/>
    <mergeCell ref="G1695:G1700"/>
    <mergeCell ref="B3285:B3290"/>
    <mergeCell ref="A4683:A4688"/>
    <mergeCell ref="B1473:B1478"/>
    <mergeCell ref="B3321:B3326"/>
    <mergeCell ref="A3951:A3956"/>
    <mergeCell ref="E573:E578"/>
    <mergeCell ref="F2511:F2516"/>
    <mergeCell ref="A4497:A4502"/>
    <mergeCell ref="F699:F704"/>
    <mergeCell ref="H1053:H1058"/>
    <mergeCell ref="A3315:A3320"/>
    <mergeCell ref="A4251:A4256"/>
    <mergeCell ref="E1359:E1364"/>
    <mergeCell ref="A3219:A3224"/>
    <mergeCell ref="E927:E932"/>
    <mergeCell ref="A1065:A1070"/>
    <mergeCell ref="A4707:A4712"/>
    <mergeCell ref="F999:F1004"/>
    <mergeCell ref="E2445:E2450"/>
    <mergeCell ref="E291:E296"/>
    <mergeCell ref="E3933:E3938"/>
    <mergeCell ref="H2529:H2534"/>
    <mergeCell ref="B849:B854"/>
    <mergeCell ref="F2037:F2042"/>
    <mergeCell ref="F1695:F1700"/>
    <mergeCell ref="A543:A548"/>
    <mergeCell ref="A27:A32"/>
    <mergeCell ref="A4695:A4700"/>
    <mergeCell ref="G189:G194"/>
    <mergeCell ref="G1677:G1682"/>
    <mergeCell ref="F2151:F2156"/>
    <mergeCell ref="A2541:A2546"/>
    <mergeCell ref="A1509:A1514"/>
    <mergeCell ref="F4155:F4160"/>
    <mergeCell ref="A4029:A4034"/>
    <mergeCell ref="A2997:A3002"/>
    <mergeCell ref="H1461:H1466"/>
    <mergeCell ref="H1803:H1808"/>
    <mergeCell ref="F2337:F2342"/>
    <mergeCell ref="F969:F974"/>
    <mergeCell ref="A327:A332"/>
    <mergeCell ref="A1809:A1814"/>
    <mergeCell ref="E1629:E1634"/>
    <mergeCell ref="F4455:F4460"/>
    <mergeCell ref="G2577:G2582"/>
    <mergeCell ref="A3297:A3302"/>
    <mergeCell ref="H2103:H2108"/>
    <mergeCell ref="H1671:H1676"/>
    <mergeCell ref="F1269:F1274"/>
    <mergeCell ref="G1395:G1400"/>
    <mergeCell ref="A4383:A4388"/>
    <mergeCell ref="E3459:E3464"/>
    <mergeCell ref="B2673:B2678"/>
    <mergeCell ref="B33:B38"/>
    <mergeCell ref="A3879:A3884"/>
    <mergeCell ref="A693:A698"/>
    <mergeCell ref="B3519:B3524"/>
    <mergeCell ref="F3927:F3932"/>
    <mergeCell ref="F195:F200"/>
    <mergeCell ref="G321:G326"/>
    <mergeCell ref="F2745:F2750"/>
    <mergeCell ref="B189:B194"/>
    <mergeCell ref="F1713:F1718"/>
    <mergeCell ref="E1407:E1412"/>
    <mergeCell ref="A2523:A2528"/>
    <mergeCell ref="E2343:E2348"/>
    <mergeCell ref="F4227:F4232"/>
    <mergeCell ref="F3201:F3206"/>
    <mergeCell ref="G3291:G3296"/>
    <mergeCell ref="E3405:E3410"/>
    <mergeCell ref="F1983:F1988"/>
    <mergeCell ref="G621:G626"/>
    <mergeCell ref="E3861:E3866"/>
    <mergeCell ref="F3045:F3050"/>
    <mergeCell ref="E1155:E1160"/>
    <mergeCell ref="G2109:G2114"/>
    <mergeCell ref="E129:E134"/>
    <mergeCell ref="E1707:E1712"/>
    <mergeCell ref="G2103:G2108"/>
    <mergeCell ref="B3237:B3242"/>
    <mergeCell ref="E2643:E2648"/>
    <mergeCell ref="F3501:F3506"/>
    <mergeCell ref="G3591:G3596"/>
    <mergeCell ref="B1581:B1586"/>
    <mergeCell ref="G921:G926"/>
    <mergeCell ref="A4743:A4748"/>
    <mergeCell ref="F4083:F4088"/>
    <mergeCell ref="A3957:A3962"/>
    <mergeCell ref="A2925:A2930"/>
    <mergeCell ref="E633:E638"/>
    <mergeCell ref="H363:H368"/>
    <mergeCell ref="H1299:H1304"/>
    <mergeCell ref="H2325:H2330"/>
    <mergeCell ref="G3723:G3728"/>
    <mergeCell ref="H2877:H2882"/>
    <mergeCell ref="F2385:F2390"/>
    <mergeCell ref="A4011:A4016"/>
    <mergeCell ref="B801:B806"/>
    <mergeCell ref="B459:B464"/>
    <mergeCell ref="A3225:A3230"/>
    <mergeCell ref="E933:E938"/>
    <mergeCell ref="H663:H668"/>
    <mergeCell ref="G4509:G4514"/>
    <mergeCell ref="B3951:B3956"/>
    <mergeCell ref="B3945:B3950"/>
    <mergeCell ref="B2919:B2924"/>
    <mergeCell ref="G4623:G4628"/>
    <mergeCell ref="A4311:A4316"/>
    <mergeCell ref="E2019:E2024"/>
    <mergeCell ref="B1101:B1106"/>
    <mergeCell ref="E1233:E1238"/>
    <mergeCell ref="B2247:B2252"/>
    <mergeCell ref="A393:A398"/>
    <mergeCell ref="B3219:B3224"/>
    <mergeCell ref="B4707:B4712"/>
    <mergeCell ref="E2661:E2666"/>
    <mergeCell ref="E2319:E2324"/>
    <mergeCell ref="B4695:B4700"/>
    <mergeCell ref="E1203:E1208"/>
    <mergeCell ref="H189:H194"/>
    <mergeCell ref="B1509:B1514"/>
    <mergeCell ref="H645:H650"/>
    <mergeCell ref="G4155:G4160"/>
    <mergeCell ref="B477:B482"/>
    <mergeCell ref="G4149:G4154"/>
    <mergeCell ref="G3123:G3128"/>
    <mergeCell ref="E4689:E4694"/>
    <mergeCell ref="E3663:E3668"/>
    <mergeCell ref="B2991:B2996"/>
    <mergeCell ref="G2337:G2342"/>
    <mergeCell ref="B2997:B3002"/>
    <mergeCell ref="F2811:F2816"/>
    <mergeCell ref="E4725:E4730"/>
    <mergeCell ref="G4605:G4610"/>
    <mergeCell ref="B1809:B1814"/>
    <mergeCell ref="F1629:F1634"/>
    <mergeCell ref="H1089:H1094"/>
    <mergeCell ref="G3423:G3428"/>
    <mergeCell ref="H2577:H2582"/>
    <mergeCell ref="B2265:B2270"/>
    <mergeCell ref="F327:F332"/>
    <mergeCell ref="H1443:H1448"/>
    <mergeCell ref="H411:H416"/>
    <mergeCell ref="H1743:H1748"/>
    <mergeCell ref="E4161:E4166"/>
    <mergeCell ref="G2409:G2414"/>
    <mergeCell ref="E3729:E3734"/>
    <mergeCell ref="B2031:B2036"/>
    <mergeCell ref="G2403:G2408"/>
    <mergeCell ref="F129:F134"/>
    <mergeCell ref="F1191:F1196"/>
    <mergeCell ref="A2265:A2270"/>
    <mergeCell ref="F1611:F1616"/>
    <mergeCell ref="E4521:E4526"/>
    <mergeCell ref="A4269:A4274"/>
    <mergeCell ref="G1737:G1742"/>
    <mergeCell ref="H921:H926"/>
    <mergeCell ref="F4161:F4166"/>
    <mergeCell ref="B2865:B2870"/>
    <mergeCell ref="E2271:E2276"/>
    <mergeCell ref="F3129:F3134"/>
    <mergeCell ref="A1083:A1088"/>
    <mergeCell ref="A2571:A2576"/>
    <mergeCell ref="H1377:H1382"/>
    <mergeCell ref="B1209:B1214"/>
    <mergeCell ref="H1371:H1376"/>
    <mergeCell ref="G549:G554"/>
    <mergeCell ref="B423:B428"/>
    <mergeCell ref="A897:A902"/>
    <mergeCell ref="E4389:E4394"/>
    <mergeCell ref="B2691:B2696"/>
    <mergeCell ref="G2037:G2042"/>
    <mergeCell ref="H2895:H2900"/>
    <mergeCell ref="A1383:A1388"/>
    <mergeCell ref="A2169:A2174"/>
    <mergeCell ref="A1107:A1112"/>
    <mergeCell ref="A3657:A3662"/>
    <mergeCell ref="A2625:A2630"/>
    <mergeCell ref="A987:A992"/>
    <mergeCell ref="A2241:A2246"/>
    <mergeCell ref="G1377:G1382"/>
    <mergeCell ref="B393:B398"/>
    <mergeCell ref="E1647:E1652"/>
    <mergeCell ref="F4431:F4436"/>
    <mergeCell ref="B1875:B1880"/>
    <mergeCell ref="B1365:B1370"/>
    <mergeCell ref="A1053:A1058"/>
    <mergeCell ref="B3879:B3884"/>
    <mergeCell ref="B2847:B2852"/>
    <mergeCell ref="F555:F560"/>
    <mergeCell ref="E2979:E2984"/>
    <mergeCell ref="B693:B698"/>
    <mergeCell ref="B4335:B4340"/>
    <mergeCell ref="E1947:E1952"/>
    <mergeCell ref="E135:E140"/>
    <mergeCell ref="E3435:E3440"/>
    <mergeCell ref="B1665:B1670"/>
    <mergeCell ref="B1149:B1154"/>
    <mergeCell ref="B3147:B3152"/>
    <mergeCell ref="F855:F860"/>
    <mergeCell ref="F1311:F1316"/>
    <mergeCell ref="E3735:E3740"/>
    <mergeCell ref="B1965:B1970"/>
    <mergeCell ref="F2373:F2378"/>
    <mergeCell ref="F3861:F3866"/>
    <mergeCell ref="F1155:F1160"/>
    <mergeCell ref="A1209:A1214"/>
    <mergeCell ref="A3723:A3728"/>
    <mergeCell ref="E1227:E1232"/>
    <mergeCell ref="F2085:F2090"/>
    <mergeCell ref="B3789:B3794"/>
    <mergeCell ref="B2013:B2018"/>
    <mergeCell ref="B4017:B4022"/>
    <mergeCell ref="B4737:B4742"/>
    <mergeCell ref="F1257:F1262"/>
    <mergeCell ref="G4083:G4088"/>
    <mergeCell ref="G3051:G3056"/>
    <mergeCell ref="B2925:B2930"/>
    <mergeCell ref="E1479:E1484"/>
    <mergeCell ref="B1893:B1898"/>
    <mergeCell ref="G897:G902"/>
    <mergeCell ref="G4539:G4544"/>
    <mergeCell ref="A2103:A2108"/>
    <mergeCell ref="A729:A734"/>
    <mergeCell ref="B3897:B3902"/>
    <mergeCell ref="F75:F80"/>
    <mergeCell ref="H2691:H2696"/>
    <mergeCell ref="A2217:A2222"/>
    <mergeCell ref="A3153:A3158"/>
    <mergeCell ref="B4011:B4016"/>
    <mergeCell ref="F3087:F3092"/>
    <mergeCell ref="G3351:G3356"/>
    <mergeCell ref="B3225:B3230"/>
    <mergeCell ref="A3189:A3194"/>
    <mergeCell ref="H2505:H2510"/>
    <mergeCell ref="A2403:A2408"/>
    <mergeCell ref="A4671:A4676"/>
    <mergeCell ref="E2379:E2384"/>
    <mergeCell ref="H2187:H2192"/>
    <mergeCell ref="A2517:A2522"/>
    <mergeCell ref="E567:E572"/>
    <mergeCell ref="H1323:H1328"/>
    <mergeCell ref="A3453:A3458"/>
    <mergeCell ref="B4311:B4316"/>
    <mergeCell ref="E561:E566"/>
    <mergeCell ref="A4653:A4658"/>
    <mergeCell ref="E831:E836"/>
    <mergeCell ref="F3657:F3662"/>
    <mergeCell ref="H3117:H3122"/>
    <mergeCell ref="H3123:H3128"/>
    <mergeCell ref="A2499:A2504"/>
    <mergeCell ref="H1305:H1310"/>
    <mergeCell ref="H3459:H3464"/>
    <mergeCell ref="B1137:B1142"/>
    <mergeCell ref="G3783:G3788"/>
    <mergeCell ref="B2625:B2630"/>
    <mergeCell ref="A3471:A3476"/>
    <mergeCell ref="E4317:E4322"/>
    <mergeCell ref="E3291:E3296"/>
    <mergeCell ref="G1629:G1634"/>
    <mergeCell ref="G1965:G1970"/>
    <mergeCell ref="G597:G602"/>
    <mergeCell ref="H3423:H3428"/>
    <mergeCell ref="H2391:H2396"/>
    <mergeCell ref="H3417:H3422"/>
    <mergeCell ref="A2943:A2948"/>
    <mergeCell ref="H1605:H1610"/>
    <mergeCell ref="B3579:B3584"/>
    <mergeCell ref="E2679:E2684"/>
    <mergeCell ref="H1965:H1970"/>
    <mergeCell ref="G1713:G1718"/>
    <mergeCell ref="B4635:B4640"/>
    <mergeCell ref="G3201:G3206"/>
    <mergeCell ref="G951:G956"/>
    <mergeCell ref="H621:H626"/>
    <mergeCell ref="H615:H620"/>
    <mergeCell ref="H2043:H2048"/>
    <mergeCell ref="B1:B2"/>
    <mergeCell ref="B3507:B3512"/>
    <mergeCell ref="E2613:E2618"/>
    <mergeCell ref="E2607:E2612"/>
    <mergeCell ref="B1851:B1856"/>
    <mergeCell ref="E1581:E1586"/>
    <mergeCell ref="G3555:G3560"/>
    <mergeCell ref="E4095:E4100"/>
    <mergeCell ref="E363:E368"/>
    <mergeCell ref="E3063:E3068"/>
    <mergeCell ref="G1311:G1316"/>
    <mergeCell ref="E1881:E1886"/>
    <mergeCell ref="B4263:B4268"/>
    <mergeCell ref="F1971:F1976"/>
    <mergeCell ref="G2829:G2834"/>
    <mergeCell ref="E4395:E4400"/>
    <mergeCell ref="G123:G128"/>
    <mergeCell ref="E3363:E3368"/>
    <mergeCell ref="F783:F788"/>
    <mergeCell ref="E2181:E2186"/>
    <mergeCell ref="B3195:B3200"/>
    <mergeCell ref="F2271:F2276"/>
    <mergeCell ref="G3129:G3134"/>
    <mergeCell ref="G423:G428"/>
    <mergeCell ref="G4065:G4070"/>
    <mergeCell ref="F1239:F1244"/>
    <mergeCell ref="F3789:F3794"/>
    <mergeCell ref="F57:F62"/>
    <mergeCell ref="F3357:F3362"/>
    <mergeCell ref="F1545:F1550"/>
    <mergeCell ref="G3483:G3488"/>
    <mergeCell ref="E3081:E3086"/>
    <mergeCell ref="B4671:B4676"/>
    <mergeCell ref="E4077:E4082"/>
    <mergeCell ref="G4017:G4022"/>
    <mergeCell ref="B3639:B3644"/>
    <mergeCell ref="A1845:A1850"/>
    <mergeCell ref="A627:A632"/>
    <mergeCell ref="F561:F566"/>
    <mergeCell ref="G4473:G4478"/>
    <mergeCell ref="A663:A668"/>
    <mergeCell ref="E2895:E2900"/>
    <mergeCell ref="B3909:B3914"/>
    <mergeCell ref="B2457:B2462"/>
    <mergeCell ref="G2313:G2318"/>
    <mergeCell ref="A2145:A2150"/>
    <mergeCell ref="B3939:B3944"/>
    <mergeCell ref="F1647:F1652"/>
    <mergeCell ref="A4149:A4154"/>
    <mergeCell ref="A4569:A4574"/>
    <mergeCell ref="A963:A968"/>
    <mergeCell ref="B1053:B1058"/>
    <mergeCell ref="B2757:B2762"/>
    <mergeCell ref="A3387:A3392"/>
    <mergeCell ref="E3795:E3800"/>
    <mergeCell ref="F1947:F1952"/>
    <mergeCell ref="F4059:F4064"/>
    <mergeCell ref="A1443:A1448"/>
    <mergeCell ref="A1743:A1748"/>
    <mergeCell ref="A3855:A3860"/>
    <mergeCell ref="A711:A716"/>
    <mergeCell ref="A2199:A2204"/>
    <mergeCell ref="A4203:A4208"/>
    <mergeCell ref="F2607:F2612"/>
    <mergeCell ref="E4683:E4688"/>
    <mergeCell ref="A2127:A2132"/>
    <mergeCell ref="F1473:F1478"/>
    <mergeCell ref="F105:F110"/>
    <mergeCell ref="H933:H938"/>
    <mergeCell ref="H939:H944"/>
    <mergeCell ref="A4131:A4136"/>
    <mergeCell ref="E3951:E3956"/>
    <mergeCell ref="G1257:G1262"/>
    <mergeCell ref="G225:G230"/>
    <mergeCell ref="A4245:A4250"/>
    <mergeCell ref="A945:A950"/>
    <mergeCell ref="F3591:F3596"/>
    <mergeCell ref="B1035:B1040"/>
    <mergeCell ref="H3051:H3056"/>
    <mergeCell ref="G2229:G2234"/>
    <mergeCell ref="B1071:B1076"/>
    <mergeCell ref="H1233:H1238"/>
    <mergeCell ref="G3717:G3722"/>
    <mergeCell ref="G3711:G3716"/>
    <mergeCell ref="B3585:B3590"/>
    <mergeCell ref="E4251:E4256"/>
    <mergeCell ref="F261:F266"/>
    <mergeCell ref="G531:G536"/>
    <mergeCell ref="B2121:B2126"/>
    <mergeCell ref="G525:G530"/>
    <mergeCell ref="A4545:A4550"/>
    <mergeCell ref="E1065:E1070"/>
    <mergeCell ref="B1335:B1340"/>
    <mergeCell ref="B309:B314"/>
    <mergeCell ref="H2319:H2324"/>
    <mergeCell ref="G2529:G2534"/>
    <mergeCell ref="B4653:B4658"/>
    <mergeCell ref="F1173:F1178"/>
    <mergeCell ref="F4473:F4478"/>
    <mergeCell ref="F831:F836"/>
    <mergeCell ref="A189:A194"/>
    <mergeCell ref="G2625:G2630"/>
    <mergeCell ref="E9:E14"/>
    <mergeCell ref="A3831:A3836"/>
    <mergeCell ref="B1467:B1472"/>
    <mergeCell ref="G4113:G4118"/>
    <mergeCell ref="A645:A650"/>
    <mergeCell ref="H2751:H2756"/>
    <mergeCell ref="F4317:F4322"/>
    <mergeCell ref="F3291:F3296"/>
    <mergeCell ref="B735:B740"/>
    <mergeCell ref="F3285:F3290"/>
    <mergeCell ref="A3159:A3164"/>
    <mergeCell ref="H597:H602"/>
    <mergeCell ref="G2013:G2018"/>
    <mergeCell ref="H3351:H3356"/>
    <mergeCell ref="B1371:B1376"/>
    <mergeCell ref="B21:B26"/>
    <mergeCell ref="E153:E158"/>
    <mergeCell ref="H249:H254"/>
    <mergeCell ref="H1737:H1742"/>
    <mergeCell ref="H549:H554"/>
    <mergeCell ref="H2037:H2042"/>
    <mergeCell ref="H1005:H1010"/>
    <mergeCell ref="G1323:G1328"/>
    <mergeCell ref="G297:G302"/>
    <mergeCell ref="E1863:E1868"/>
    <mergeCell ref="A2043:A2048"/>
    <mergeCell ref="F3363:F3368"/>
    <mergeCell ref="B2067:B2072"/>
    <mergeCell ref="F2331:F2336"/>
    <mergeCell ref="E2541:E2546"/>
    <mergeCell ref="H579:H584"/>
    <mergeCell ref="B411:B416"/>
    <mergeCell ref="E4029:E4034"/>
    <mergeCell ref="G2457:G2462"/>
    <mergeCell ref="E2997:E3002"/>
    <mergeCell ref="B4527:B4532"/>
    <mergeCell ref="G1239:G1244"/>
    <mergeCell ref="A2559:A2564"/>
    <mergeCell ref="B3855:B3860"/>
    <mergeCell ref="H1365:H1370"/>
    <mergeCell ref="G3789:G3794"/>
    <mergeCell ref="B2823:B2828"/>
    <mergeCell ref="G57:G62"/>
    <mergeCell ref="G2757:G2762"/>
    <mergeCell ref="B711:B716"/>
    <mergeCell ref="E3297:E3302"/>
    <mergeCell ref="F531:F536"/>
    <mergeCell ref="H1851:H1856"/>
    <mergeCell ref="G1539:G1544"/>
    <mergeCell ref="A1377:A1382"/>
    <mergeCell ref="A1371:A1376"/>
    <mergeCell ref="H177:H182"/>
    <mergeCell ref="F4017:F4022"/>
    <mergeCell ref="A2859:A2864"/>
    <mergeCell ref="H297:H302"/>
    <mergeCell ref="H1665:H1670"/>
    <mergeCell ref="E4383:E4388"/>
    <mergeCell ref="A429:A434"/>
    <mergeCell ref="F4707:F4712"/>
    <mergeCell ref="B357:B362"/>
    <mergeCell ref="G3345:G3350"/>
    <mergeCell ref="H2013:H2018"/>
    <mergeCell ref="A2691:A2696"/>
    <mergeCell ref="H981:H986"/>
    <mergeCell ref="H1497:H1502"/>
    <mergeCell ref="B2781:B2786"/>
    <mergeCell ref="A4179:A4184"/>
    <mergeCell ref="H2985:H2990"/>
    <mergeCell ref="A4173:A4178"/>
    <mergeCell ref="H2979:H2984"/>
    <mergeCell ref="G2673:G2678"/>
    <mergeCell ref="F3519:F3524"/>
    <mergeCell ref="B963:B968"/>
    <mergeCell ref="E69:E74"/>
    <mergeCell ref="B4299:B4304"/>
    <mergeCell ref="G3645:G3650"/>
    <mergeCell ref="B2145:B2150"/>
    <mergeCell ref="B1119:B1124"/>
    <mergeCell ref="A2991:A2996"/>
    <mergeCell ref="B3081:B3086"/>
    <mergeCell ref="H1797:H1802"/>
    <mergeCell ref="G3759:G3764"/>
    <mergeCell ref="B3117:B3122"/>
    <mergeCell ref="E2523:E2528"/>
    <mergeCell ref="A3447:A3452"/>
    <mergeCell ref="B3537:B3542"/>
    <mergeCell ref="B4599:B4604"/>
    <mergeCell ref="E2637:E2642"/>
    <mergeCell ref="G3945:G3950"/>
    <mergeCell ref="A3777:A3782"/>
    <mergeCell ref="H225:H230"/>
    <mergeCell ref="H1593:H1598"/>
    <mergeCell ref="H1161:H1166"/>
    <mergeCell ref="G3585:G3590"/>
    <mergeCell ref="G2559:G2564"/>
    <mergeCell ref="B2427:B2432"/>
    <mergeCell ref="H681:H686"/>
    <mergeCell ref="F2247:F2252"/>
    <mergeCell ref="F1737:F1742"/>
    <mergeCell ref="H1197:H1202"/>
    <mergeCell ref="A1605:A1610"/>
    <mergeCell ref="H1707:H1712"/>
    <mergeCell ref="F4251:F4256"/>
    <mergeCell ref="A3873:A3878"/>
    <mergeCell ref="H2679:H2684"/>
    <mergeCell ref="F3219:F3224"/>
    <mergeCell ref="H525:H530"/>
    <mergeCell ref="B2355:B2360"/>
    <mergeCell ref="G4059:G4064"/>
    <mergeCell ref="B3417:B3422"/>
    <mergeCell ref="F3237:F3242"/>
    <mergeCell ref="A1527:A1532"/>
    <mergeCell ref="A3015:A3020"/>
    <mergeCell ref="F1581:F1586"/>
    <mergeCell ref="E1269:E1274"/>
    <mergeCell ref="E753:E758"/>
    <mergeCell ref="F3063:F3068"/>
    <mergeCell ref="E237:E242"/>
    <mergeCell ref="F2031:F2036"/>
    <mergeCell ref="E2241:E2246"/>
    <mergeCell ref="E3723:E3728"/>
    <mergeCell ref="H2277:H2282"/>
    <mergeCell ref="H207:H212"/>
    <mergeCell ref="E3315:E3320"/>
    <mergeCell ref="E2289:E2294"/>
    <mergeCell ref="F1809:F1814"/>
    <mergeCell ref="G1899:G1904"/>
    <mergeCell ref="H2757:H2762"/>
    <mergeCell ref="A219:A224"/>
    <mergeCell ref="E4707:E4712"/>
    <mergeCell ref="E3255:E3260"/>
    <mergeCell ref="E1101:E1106"/>
    <mergeCell ref="E4743:E4748"/>
    <mergeCell ref="H507:H512"/>
    <mergeCell ref="B339:B344"/>
    <mergeCell ref="A33:A38"/>
    <mergeCell ref="G2985:G2990"/>
    <mergeCell ref="A3705:A3710"/>
    <mergeCell ref="E3525:E3530"/>
    <mergeCell ref="B1827:B1832"/>
    <mergeCell ref="H1479:H1484"/>
    <mergeCell ref="G1173:G1178"/>
    <mergeCell ref="G1167:G1172"/>
    <mergeCell ref="B3831:B3836"/>
    <mergeCell ref="E3561:E3566"/>
    <mergeCell ref="E3555:E3560"/>
    <mergeCell ref="A1005:A1010"/>
    <mergeCell ref="G4503:G4508"/>
    <mergeCell ref="B645:B650"/>
    <mergeCell ref="F459:F464"/>
    <mergeCell ref="G3285:G3290"/>
    <mergeCell ref="B2127:B2132"/>
    <mergeCell ref="A2337:A2342"/>
    <mergeCell ref="B1095:B1100"/>
    <mergeCell ref="F3723:F3728"/>
    <mergeCell ref="G849:G854"/>
    <mergeCell ref="E1383:E1388"/>
    <mergeCell ref="F4695:F4700"/>
    <mergeCell ref="A1575:A1580"/>
    <mergeCell ref="F1509:F1514"/>
    <mergeCell ref="G1599:G1604"/>
    <mergeCell ref="F2997:F3002"/>
    <mergeCell ref="A1287:A1292"/>
    <mergeCell ref="E1107:E1112"/>
    <mergeCell ref="F2991:F2996"/>
    <mergeCell ref="F291:F296"/>
    <mergeCell ref="A4125:A4130"/>
    <mergeCell ref="H1863:H1868"/>
    <mergeCell ref="H3393:H3398"/>
    <mergeCell ref="E2169:E2174"/>
    <mergeCell ref="E801:E806"/>
    <mergeCell ref="A1305:A1310"/>
    <mergeCell ref="G3741:G3746"/>
    <mergeCell ref="B4131:B4136"/>
    <mergeCell ref="F3951:F3956"/>
    <mergeCell ref="A4605:A4610"/>
    <mergeCell ref="H3411:H3416"/>
    <mergeCell ref="F3945:F3950"/>
    <mergeCell ref="F2919:F2924"/>
    <mergeCell ref="A2793:A2798"/>
    <mergeCell ref="A2787:A2792"/>
    <mergeCell ref="E4641:E4646"/>
    <mergeCell ref="F849:F854"/>
    <mergeCell ref="G939:G944"/>
    <mergeCell ref="A1659:A1664"/>
    <mergeCell ref="E537:E542"/>
    <mergeCell ref="A1353:A1358"/>
    <mergeCell ref="H159:H164"/>
    <mergeCell ref="A2289:A2294"/>
    <mergeCell ref="B4515:B4520"/>
    <mergeCell ref="B4173:B4178"/>
    <mergeCell ref="F4335:F4340"/>
    <mergeCell ref="F693:F698"/>
    <mergeCell ref="H153:H158"/>
    <mergeCell ref="A3351:A3356"/>
    <mergeCell ref="H1641:H1646"/>
    <mergeCell ref="H2157:H2162"/>
    <mergeCell ref="A2319:A2324"/>
    <mergeCell ref="H2673:H2678"/>
    <mergeCell ref="G819:G824"/>
    <mergeCell ref="A165:A170"/>
    <mergeCell ref="A3807:A3812"/>
    <mergeCell ref="B255:B260"/>
    <mergeCell ref="F2523:F2528"/>
    <mergeCell ref="B2715:B2720"/>
    <mergeCell ref="B1773:B1778"/>
    <mergeCell ref="G1275:G1280"/>
    <mergeCell ref="A4107:A4112"/>
    <mergeCell ref="E1815:E1820"/>
    <mergeCell ref="H1545:H1550"/>
    <mergeCell ref="B4197:B4202"/>
    <mergeCell ref="E1809:E1814"/>
    <mergeCell ref="F2079:F2084"/>
    <mergeCell ref="B4233:B4238"/>
    <mergeCell ref="B1527:B1532"/>
    <mergeCell ref="G3237:G3242"/>
    <mergeCell ref="B1011:B1016"/>
    <mergeCell ref="B501:B506"/>
    <mergeCell ref="H135:H140"/>
    <mergeCell ref="E2217:E2222"/>
    <mergeCell ref="B2487:B2492"/>
    <mergeCell ref="E3153:E3158"/>
    <mergeCell ref="F4011:F4016"/>
    <mergeCell ref="G801:G806"/>
    <mergeCell ref="G4101:G4106"/>
    <mergeCell ref="G459:G464"/>
    <mergeCell ref="E4215:E4220"/>
    <mergeCell ref="B3459:B3464"/>
    <mergeCell ref="H2253:H2258"/>
    <mergeCell ref="G915:G920"/>
    <mergeCell ref="B1305:B1310"/>
    <mergeCell ref="A1779:A1784"/>
    <mergeCell ref="B273:B278"/>
    <mergeCell ref="B3573:B3578"/>
    <mergeCell ref="H441:H446"/>
    <mergeCell ref="G2919:G2924"/>
    <mergeCell ref="E2517:E2522"/>
    <mergeCell ref="B2787:B2792"/>
    <mergeCell ref="B1755:B1760"/>
    <mergeCell ref="A939:A944"/>
    <mergeCell ref="A1965:A1970"/>
    <mergeCell ref="A933:A938"/>
    <mergeCell ref="H2553:H2558"/>
    <mergeCell ref="F3579:F3584"/>
    <mergeCell ref="A2079:A2084"/>
    <mergeCell ref="G1215:G1220"/>
    <mergeCell ref="B573:B578"/>
    <mergeCell ref="B3873:B3878"/>
    <mergeCell ref="F393:F398"/>
    <mergeCell ref="G3219:G3224"/>
    <mergeCell ref="A579:A584"/>
    <mergeCell ref="E4617:E4622"/>
    <mergeCell ref="A4689:A4694"/>
    <mergeCell ref="F1407:F1412"/>
    <mergeCell ref="H867:H872"/>
    <mergeCell ref="E2943:E2948"/>
    <mergeCell ref="F4743:F4748"/>
    <mergeCell ref="B2187:B2192"/>
    <mergeCell ref="E1917:E1922"/>
    <mergeCell ref="F4737:F4742"/>
    <mergeCell ref="F1443:F1448"/>
    <mergeCell ref="G501:G506"/>
    <mergeCell ref="G159:G164"/>
    <mergeCell ref="E4431:E4436"/>
    <mergeCell ref="A879:A884"/>
    <mergeCell ref="H141:H146"/>
    <mergeCell ref="H1167:H1172"/>
    <mergeCell ref="E729:E734"/>
    <mergeCell ref="F3555:F3560"/>
    <mergeCell ref="F4311:F4316"/>
    <mergeCell ref="G4401:G4406"/>
    <mergeCell ref="A3051:A3056"/>
    <mergeCell ref="G2187:G2192"/>
    <mergeCell ref="H1341:H1346"/>
    <mergeCell ref="F1875:F1880"/>
    <mergeCell ref="G4701:G4706"/>
    <mergeCell ref="A4539:A4544"/>
    <mergeCell ref="A1233:A1238"/>
    <mergeCell ref="A4533:A4538"/>
    <mergeCell ref="A1239:A1244"/>
    <mergeCell ref="F3879:F3884"/>
    <mergeCell ref="G4737:G4742"/>
    <mergeCell ref="E3225:E3230"/>
    <mergeCell ref="E2199:E2204"/>
    <mergeCell ref="E4203:E4208"/>
    <mergeCell ref="B2943:B2948"/>
    <mergeCell ref="B1575:B1580"/>
    <mergeCell ref="G1509:G1514"/>
    <mergeCell ref="B543:B548"/>
    <mergeCell ref="G477:G482"/>
    <mergeCell ref="B4431:B4436"/>
    <mergeCell ref="E2043:E2048"/>
    <mergeCell ref="B1287:B1292"/>
    <mergeCell ref="B3057:B3062"/>
    <mergeCell ref="F1107:F1112"/>
    <mergeCell ref="G2991:G2996"/>
    <mergeCell ref="E4653:E4658"/>
    <mergeCell ref="E2499:E2504"/>
    <mergeCell ref="F2169:F2174"/>
    <mergeCell ref="F1137:F1142"/>
    <mergeCell ref="B1659:B1664"/>
    <mergeCell ref="F4635:F4640"/>
    <mergeCell ref="B3015:B3020"/>
    <mergeCell ref="E4269:E4274"/>
    <mergeCell ref="B1983:B1988"/>
    <mergeCell ref="G3687:G3692"/>
    <mergeCell ref="E2115:E2120"/>
    <mergeCell ref="B4497:B4502"/>
    <mergeCell ref="E1083:E1088"/>
    <mergeCell ref="G2031:G2036"/>
    <mergeCell ref="B4533:B4538"/>
    <mergeCell ref="E2571:E2576"/>
    <mergeCell ref="F2235:F2240"/>
    <mergeCell ref="F1209:F1214"/>
    <mergeCell ref="F1:F2"/>
    <mergeCell ref="G1665:G1670"/>
    <mergeCell ref="A2013:A2018"/>
    <mergeCell ref="A981:A986"/>
    <mergeCell ref="B3807:B3812"/>
    <mergeCell ref="E57:E62"/>
    <mergeCell ref="A1917:A1922"/>
    <mergeCell ref="B4743:B4748"/>
    <mergeCell ref="B3801:B3806"/>
    <mergeCell ref="G3147:G3152"/>
    <mergeCell ref="F1851:F1856"/>
    <mergeCell ref="A2979:A2984"/>
    <mergeCell ref="G4635:G4640"/>
    <mergeCell ref="A4467:A4472"/>
    <mergeCell ref="H3273:H3278"/>
    <mergeCell ref="A735:A740"/>
    <mergeCell ref="H1899:H1904"/>
    <mergeCell ref="F2439:F2444"/>
    <mergeCell ref="A1281:A1286"/>
    <mergeCell ref="H3387:H3392"/>
    <mergeCell ref="B3075:B3080"/>
    <mergeCell ref="E4629:E4634"/>
    <mergeCell ref="F2265:F2270"/>
    <mergeCell ref="H2205:H2210"/>
    <mergeCell ref="E1443:E1448"/>
    <mergeCell ref="E2931:E2936"/>
    <mergeCell ref="B3375:B3380"/>
    <mergeCell ref="F1083:F1088"/>
    <mergeCell ref="G2865:G2870"/>
    <mergeCell ref="F3195:F3200"/>
    <mergeCell ref="B1155:B1160"/>
    <mergeCell ref="F51:F56"/>
    <mergeCell ref="G393:G398"/>
    <mergeCell ref="E4149:E4154"/>
    <mergeCell ref="A4749:A4754"/>
    <mergeCell ref="A3381:A3386"/>
    <mergeCell ref="E4569:E4574"/>
    <mergeCell ref="B2019:B2024"/>
    <mergeCell ref="B171:B176"/>
    <mergeCell ref="G1875:G1880"/>
    <mergeCell ref="G1365:G1370"/>
    <mergeCell ref="H2181:H2186"/>
    <mergeCell ref="A681:A686"/>
    <mergeCell ref="G1359:G1364"/>
    <mergeCell ref="G843:G848"/>
    <mergeCell ref="E1899:E1904"/>
    <mergeCell ref="G3879:G3884"/>
    <mergeCell ref="B1233:B1238"/>
    <mergeCell ref="F1053:F1058"/>
    <mergeCell ref="G2847:G2852"/>
    <mergeCell ref="B207:B212"/>
    <mergeCell ref="E3387:E3392"/>
    <mergeCell ref="A3195:A3200"/>
    <mergeCell ref="G4335:G4340"/>
    <mergeCell ref="A525:A530"/>
    <mergeCell ref="G4329:G4334"/>
    <mergeCell ref="B3351:B3356"/>
    <mergeCell ref="A4167:A4172"/>
    <mergeCell ref="B2319:B2324"/>
    <mergeCell ref="E261:E266"/>
    <mergeCell ref="B2643:B2648"/>
    <mergeCell ref="E1743:E1748"/>
    <mergeCell ref="B3099:B3104"/>
    <mergeCell ref="E711:E716"/>
    <mergeCell ref="B4689:B4694"/>
    <mergeCell ref="B3663:B3668"/>
    <mergeCell ref="F1797:F1802"/>
    <mergeCell ref="B3657:B3662"/>
    <mergeCell ref="G375:G380"/>
    <mergeCell ref="A207:A212"/>
    <mergeCell ref="B1503:B1508"/>
    <mergeCell ref="H501:H506"/>
    <mergeCell ref="E4245:E4250"/>
    <mergeCell ref="F1035:F1040"/>
    <mergeCell ref="A3693:A3698"/>
    <mergeCell ref="B3963:B3968"/>
    <mergeCell ref="F729:F734"/>
    <mergeCell ref="G3897:G3902"/>
    <mergeCell ref="F4371:F4376"/>
    <mergeCell ref="F1149:F1154"/>
    <mergeCell ref="G2523:G2528"/>
    <mergeCell ref="A507:A512"/>
    <mergeCell ref="H2613:H2618"/>
    <mergeCell ref="F3153:F3158"/>
    <mergeCell ref="G4011:G4016"/>
    <mergeCell ref="F2121:F2126"/>
    <mergeCell ref="A1995:A2000"/>
    <mergeCell ref="H801:H806"/>
    <mergeCell ref="E4545:E4550"/>
    <mergeCell ref="A1989:A1994"/>
    <mergeCell ref="A1479:A1484"/>
    <mergeCell ref="F3183:F3188"/>
    <mergeCell ref="H795:H800"/>
    <mergeCell ref="A3993:A3998"/>
    <mergeCell ref="E3813:E3818"/>
    <mergeCell ref="F4671:F4676"/>
    <mergeCell ref="A4665:A4670"/>
    <mergeCell ref="H1659:H1664"/>
    <mergeCell ref="F2199:F2204"/>
    <mergeCell ref="H2133:H2138"/>
    <mergeCell ref="E2403:E2408"/>
    <mergeCell ref="E1377:E1382"/>
    <mergeCell ref="E1371:E1376"/>
    <mergeCell ref="H477:H482"/>
    <mergeCell ref="E2859:E2864"/>
    <mergeCell ref="F4653:F4658"/>
    <mergeCell ref="E189:E194"/>
    <mergeCell ref="B1203:B1208"/>
    <mergeCell ref="G1137:G1142"/>
    <mergeCell ref="F1467:F1472"/>
    <mergeCell ref="E1677:E1682"/>
    <mergeCell ref="F3471:F3476"/>
    <mergeCell ref="B2685:B2690"/>
    <mergeCell ref="E3159:E3164"/>
    <mergeCell ref="H1713:H1718"/>
    <mergeCell ref="A807:A812"/>
    <mergeCell ref="A4449:A4454"/>
    <mergeCell ref="E627:E632"/>
    <mergeCell ref="F3453:F3458"/>
    <mergeCell ref="H2913:H2918"/>
    <mergeCell ref="A2295:A2300"/>
    <mergeCell ref="G1575:G1580"/>
    <mergeCell ref="H1101:H1106"/>
    <mergeCell ref="B933:B938"/>
    <mergeCell ref="H3369:H3374"/>
    <mergeCell ref="E1599:E1604"/>
    <mergeCell ref="G3579:G3584"/>
    <mergeCell ref="G2547:G2552"/>
    <mergeCell ref="B1947:B1952"/>
    <mergeCell ref="A1641:A1646"/>
    <mergeCell ref="B4467:B4472"/>
    <mergeCell ref="B3435:B3440"/>
    <mergeCell ref="G2781:G2786"/>
    <mergeCell ref="G2439:G2444"/>
    <mergeCell ref="G2775:G2780"/>
    <mergeCell ref="G1407:G1412"/>
    <mergeCell ref="B2217:B2222"/>
    <mergeCell ref="E3471:E3476"/>
    <mergeCell ref="G4263:G4268"/>
    <mergeCell ref="B2253:B2258"/>
    <mergeCell ref="E1659:E1664"/>
    <mergeCell ref="H2415:H2420"/>
    <mergeCell ref="F2067:F2072"/>
    <mergeCell ref="B3735:B3740"/>
    <mergeCell ref="F411:F416"/>
    <mergeCell ref="A2913:A2918"/>
    <mergeCell ref="G1707:G1712"/>
    <mergeCell ref="A4401:A4406"/>
    <mergeCell ref="A4395:A4400"/>
    <mergeCell ref="E2103:E2108"/>
    <mergeCell ref="H1833:H1838"/>
    <mergeCell ref="F3897:F3902"/>
    <mergeCell ref="B4035:B4040"/>
    <mergeCell ref="E2559:E2564"/>
    <mergeCell ref="F3855:F3860"/>
    <mergeCell ref="H3315:H3320"/>
    <mergeCell ref="F711:F716"/>
    <mergeCell ref="A3267:A3272"/>
    <mergeCell ref="G2691:G2696"/>
    <mergeCell ref="E3231:E3236"/>
    <mergeCell ref="F4569:F4574"/>
    <mergeCell ref="G3207:G3212"/>
    <mergeCell ref="F4605:F4610"/>
    <mergeCell ref="H843:H848"/>
    <mergeCell ref="F1899:F1904"/>
    <mergeCell ref="A1521:A1526"/>
    <mergeCell ref="F4599:F4604"/>
    <mergeCell ref="G21:G26"/>
    <mergeCell ref="G1053:G1058"/>
    <mergeCell ref="H327:H332"/>
    <mergeCell ref="H1359:H1364"/>
    <mergeCell ref="A4035:A4040"/>
    <mergeCell ref="E2085:E2090"/>
    <mergeCell ref="F2355:F2360"/>
    <mergeCell ref="A3009:A3014"/>
    <mergeCell ref="H1815:H1820"/>
    <mergeCell ref="H2847:H2852"/>
    <mergeCell ref="H3303:H3308"/>
    <mergeCell ref="G3507:G3512"/>
    <mergeCell ref="G2481:G2486"/>
    <mergeCell ref="G1107:G1112"/>
    <mergeCell ref="B981:B986"/>
    <mergeCell ref="A1827:A1832"/>
    <mergeCell ref="B1917:B1922"/>
    <mergeCell ref="H633:H638"/>
    <mergeCell ref="H1143:H1148"/>
    <mergeCell ref="G3963:G3968"/>
    <mergeCell ref="G3621:G3626"/>
    <mergeCell ref="A153:A158"/>
    <mergeCell ref="B2979:B2984"/>
    <mergeCell ref="H2115:H2120"/>
    <mergeCell ref="H3147:H3152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808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3" customWidth="1"/>
    <col min="2" max="2" width="23" customWidth="1"/>
    <col min="3" max="3" width="16" customWidth="1"/>
    <col min="4" max="4" width="15" customWidth="1"/>
    <col min="5" max="5" width="20" customWidth="1"/>
  </cols>
  <sheetData>
    <row r="1" spans="1:5" x14ac:dyDescent="0.3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</row>
    <row r="2" spans="1:5" x14ac:dyDescent="0.3">
      <c r="A2" s="9">
        <v>43980</v>
      </c>
      <c r="B2" s="10" t="s">
        <v>13</v>
      </c>
      <c r="C2" s="10" t="s">
        <v>28</v>
      </c>
      <c r="D2" s="12">
        <v>69.52</v>
      </c>
      <c r="E2" s="12">
        <f>SUMIF('Parametros Inventario'!$A:$A,B2,'Parametros Inventario'!$B:$B)+SUMIFS(D$2:D2,B$2:B2,B2,C$2:C2,"ENTRADA")-SUMIFS(D$2:D2,B$2:B2,B2,C$2:C2,"SALIDA")</f>
        <v>2026.52</v>
      </c>
    </row>
    <row r="3" spans="1:5" x14ac:dyDescent="0.3">
      <c r="A3" s="9">
        <v>43980</v>
      </c>
      <c r="B3" s="10" t="s">
        <v>15</v>
      </c>
      <c r="C3" s="10" t="s">
        <v>28</v>
      </c>
      <c r="D3" s="12">
        <v>219.21</v>
      </c>
      <c r="E3" s="12">
        <f>SUMIF('Parametros Inventario'!$A:$A,B3,'Parametros Inventario'!$B:$B)+SUMIFS(D$2:D3,B$2:B3,B3,C$2:C3,"ENTRADA")-SUMIFS(D$2:D3,B$2:B3,B3,C$2:C3,"SALIDA")</f>
        <v>1590.21</v>
      </c>
    </row>
    <row r="4" spans="1:5" x14ac:dyDescent="0.3">
      <c r="A4" s="9">
        <v>43980</v>
      </c>
      <c r="B4" s="10" t="s">
        <v>11</v>
      </c>
      <c r="C4" s="10" t="s">
        <v>28</v>
      </c>
      <c r="D4" s="12">
        <v>150.69</v>
      </c>
      <c r="E4" s="12">
        <f>SUMIF('Parametros Inventario'!$A:$A,B4,'Parametros Inventario'!$B:$B)+SUMIFS(D$2:D4,B$2:B4,B4,C$2:C4,"ENTRADA")-SUMIFS(D$2:D4,B$2:B4,B4,C$2:C4,"SALIDA")</f>
        <v>1493.69</v>
      </c>
    </row>
    <row r="5" spans="1:5" x14ac:dyDescent="0.3">
      <c r="A5" s="9">
        <v>43980</v>
      </c>
      <c r="B5" s="10" t="s">
        <v>9</v>
      </c>
      <c r="C5" s="10" t="s">
        <v>28</v>
      </c>
      <c r="D5" s="12">
        <v>189.74</v>
      </c>
      <c r="E5" s="12">
        <f>SUMIF('Parametros Inventario'!$A:$A,B5,'Parametros Inventario'!$B:$B)+SUMIFS(D$2:D5,B$2:B5,B5,C$2:C5,"ENTRADA")-SUMIFS(D$2:D5,B$2:B5,B5,C$2:C5,"SALIDA")</f>
        <v>856.74</v>
      </c>
    </row>
    <row r="6" spans="1:5" x14ac:dyDescent="0.3">
      <c r="A6" s="9">
        <v>43980</v>
      </c>
      <c r="B6" s="10" t="s">
        <v>14</v>
      </c>
      <c r="C6" s="10" t="s">
        <v>28</v>
      </c>
      <c r="D6" s="12">
        <v>244.71</v>
      </c>
      <c r="E6" s="12">
        <f>SUMIF('Parametros Inventario'!$A:$A,B6,'Parametros Inventario'!$B:$B)+SUMIFS(D$2:D6,B$2:B6,B6,C$2:C6,"ENTRADA")-SUMIFS(D$2:D6,B$2:B6,B6,C$2:C6,"SALIDA")</f>
        <v>932.71</v>
      </c>
    </row>
    <row r="7" spans="1:5" x14ac:dyDescent="0.3">
      <c r="A7" s="9">
        <v>43980</v>
      </c>
      <c r="B7" s="10" t="s">
        <v>12</v>
      </c>
      <c r="C7" s="10" t="s">
        <v>28</v>
      </c>
      <c r="D7" s="12">
        <v>268</v>
      </c>
      <c r="E7" s="12">
        <f>SUMIF('Parametros Inventario'!$A:$A,B7,'Parametros Inventario'!$B:$B)+SUMIFS(D$2:D7,B$2:B7,B7,C$2:C7,"ENTRADA")-SUMIFS(D$2:D7,B$2:B7,B7,C$2:C7,"SALIDA")</f>
        <v>895</v>
      </c>
    </row>
    <row r="8" spans="1:5" x14ac:dyDescent="0.3">
      <c r="A8" s="9">
        <v>43980</v>
      </c>
      <c r="B8" s="10" t="s">
        <v>16</v>
      </c>
      <c r="C8" s="10" t="s">
        <v>28</v>
      </c>
      <c r="D8" s="12">
        <v>196.08</v>
      </c>
      <c r="E8" s="12">
        <f>SUMIF('Parametros Inventario'!$A:$A,B8,'Parametros Inventario'!$B:$B)+SUMIFS(D$2:D8,B$2:B8,B8,C$2:C8,"ENTRADA")-SUMIFS(D$2:D8,B$2:B8,B8,C$2:C8,"SALIDA")</f>
        <v>1566.08</v>
      </c>
    </row>
    <row r="9" spans="1:5" x14ac:dyDescent="0.3">
      <c r="A9" s="9">
        <v>43980</v>
      </c>
      <c r="B9" s="10" t="s">
        <v>17</v>
      </c>
      <c r="C9" s="10" t="s">
        <v>28</v>
      </c>
      <c r="D9" s="12">
        <v>209.12</v>
      </c>
      <c r="E9" s="12">
        <f>SUMIF('Parametros Inventario'!$A:$A,B9,'Parametros Inventario'!$B:$B)+SUMIFS(D$2:D9,B$2:B9,B9,C$2:C9,"ENTRADA")-SUMIFS(D$2:D9,B$2:B9,B9,C$2:C9,"SALIDA")</f>
        <v>975.12</v>
      </c>
    </row>
    <row r="10" spans="1:5" x14ac:dyDescent="0.3">
      <c r="A10" s="9">
        <v>43980</v>
      </c>
      <c r="B10" s="10" t="s">
        <v>18</v>
      </c>
      <c r="C10" s="10" t="s">
        <v>28</v>
      </c>
      <c r="D10" s="12">
        <v>299.13</v>
      </c>
      <c r="E10" s="12">
        <f>SUMIF('Parametros Inventario'!$A:$A,B10,'Parametros Inventario'!$B:$B)+SUMIFS(D$2:D10,B$2:B10,B10,C$2:C10,"ENTRADA")-SUMIFS(D$2:D10,B$2:B10,B10,C$2:C10,"SALIDA")</f>
        <v>1774.13</v>
      </c>
    </row>
    <row r="11" spans="1:5" x14ac:dyDescent="0.3">
      <c r="A11" s="9">
        <v>43980</v>
      </c>
      <c r="B11" s="10" t="s">
        <v>10</v>
      </c>
      <c r="C11" s="10" t="s">
        <v>28</v>
      </c>
      <c r="D11" s="12">
        <v>222.25</v>
      </c>
      <c r="E11" s="12">
        <f>SUMIF('Parametros Inventario'!$A:$A,B11,'Parametros Inventario'!$B:$B)+SUMIFS(D$2:D11,B$2:B11,B11,C$2:C11,"ENTRADA")-SUMIFS(D$2:D11,B$2:B11,B11,C$2:C11,"SALIDA")</f>
        <v>1161.25</v>
      </c>
    </row>
    <row r="12" spans="1:5" x14ac:dyDescent="0.3">
      <c r="A12" s="9">
        <v>43980</v>
      </c>
      <c r="B12" s="10" t="s">
        <v>8</v>
      </c>
      <c r="C12" s="10" t="s">
        <v>28</v>
      </c>
      <c r="D12" s="12">
        <v>286.95999999999998</v>
      </c>
      <c r="E12" s="12">
        <f>SUMIF('Parametros Inventario'!$A:$A,B12,'Parametros Inventario'!$B:$B)+SUMIFS(D$2:D12,B$2:B12,B12,C$2:C12,"ENTRADA")-SUMIFS(D$2:D12,B$2:B12,B12,C$2:C12,"SALIDA")</f>
        <v>1699.96</v>
      </c>
    </row>
    <row r="13" spans="1:5" x14ac:dyDescent="0.3">
      <c r="A13" s="9">
        <v>43987</v>
      </c>
      <c r="B13" s="10" t="s">
        <v>13</v>
      </c>
      <c r="C13" s="10" t="s">
        <v>28</v>
      </c>
      <c r="D13" s="12">
        <v>232.93</v>
      </c>
      <c r="E13" s="12">
        <f>SUMIF('Parametros Inventario'!$A:$A,B13,'Parametros Inventario'!$B:$B)+SUMIFS(D$2:D13,B$2:B13,B13,C$2:C13,"ENTRADA")-SUMIFS(D$2:D13,B$2:B13,B13,C$2:C13,"SALIDA")</f>
        <v>2259.4499999999998</v>
      </c>
    </row>
    <row r="14" spans="1:5" x14ac:dyDescent="0.3">
      <c r="A14" s="9">
        <v>43987</v>
      </c>
      <c r="B14" s="10" t="s">
        <v>15</v>
      </c>
      <c r="C14" s="10" t="s">
        <v>28</v>
      </c>
      <c r="D14" s="12">
        <v>154.22999999999999</v>
      </c>
      <c r="E14" s="12">
        <f>SUMIF('Parametros Inventario'!$A:$A,B14,'Parametros Inventario'!$B:$B)+SUMIFS(D$2:D14,B$2:B14,B14,C$2:C14,"ENTRADA")-SUMIFS(D$2:D14,B$2:B14,B14,C$2:C14,"SALIDA")</f>
        <v>1744.44</v>
      </c>
    </row>
    <row r="15" spans="1:5" x14ac:dyDescent="0.3">
      <c r="A15" s="9">
        <v>43987</v>
      </c>
      <c r="B15" s="10" t="s">
        <v>11</v>
      </c>
      <c r="C15" s="10" t="s">
        <v>28</v>
      </c>
      <c r="D15" s="12">
        <v>90.71</v>
      </c>
      <c r="E15" s="12">
        <f>SUMIF('Parametros Inventario'!$A:$A,B15,'Parametros Inventario'!$B:$B)+SUMIFS(D$2:D15,B$2:B15,B15,C$2:C15,"ENTRADA")-SUMIFS(D$2:D15,B$2:B15,B15,C$2:C15,"SALIDA")</f>
        <v>1584.4</v>
      </c>
    </row>
    <row r="16" spans="1:5" x14ac:dyDescent="0.3">
      <c r="A16" s="9">
        <v>43987</v>
      </c>
      <c r="B16" s="10" t="s">
        <v>9</v>
      </c>
      <c r="C16" s="10" t="s">
        <v>28</v>
      </c>
      <c r="D16" s="12">
        <v>176.45</v>
      </c>
      <c r="E16" s="12">
        <f>SUMIF('Parametros Inventario'!$A:$A,B16,'Parametros Inventario'!$B:$B)+SUMIFS(D$2:D16,B$2:B16,B16,C$2:C16,"ENTRADA")-SUMIFS(D$2:D16,B$2:B16,B16,C$2:C16,"SALIDA")</f>
        <v>1033.19</v>
      </c>
    </row>
    <row r="17" spans="1:5" x14ac:dyDescent="0.3">
      <c r="A17" s="9">
        <v>43987</v>
      </c>
      <c r="B17" s="10" t="s">
        <v>14</v>
      </c>
      <c r="C17" s="10" t="s">
        <v>28</v>
      </c>
      <c r="D17" s="12">
        <v>171.19</v>
      </c>
      <c r="E17" s="12">
        <f>SUMIF('Parametros Inventario'!$A:$A,B17,'Parametros Inventario'!$B:$B)+SUMIFS(D$2:D17,B$2:B17,B17,C$2:C17,"ENTRADA")-SUMIFS(D$2:D17,B$2:B17,B17,C$2:C17,"SALIDA")</f>
        <v>1103.9000000000001</v>
      </c>
    </row>
    <row r="18" spans="1:5" x14ac:dyDescent="0.3">
      <c r="A18" s="9">
        <v>43987</v>
      </c>
      <c r="B18" s="10" t="s">
        <v>12</v>
      </c>
      <c r="C18" s="10" t="s">
        <v>28</v>
      </c>
      <c r="D18" s="12">
        <v>164.43</v>
      </c>
      <c r="E18" s="12">
        <f>SUMIF('Parametros Inventario'!$A:$A,B18,'Parametros Inventario'!$B:$B)+SUMIFS(D$2:D18,B$2:B18,B18,C$2:C18,"ENTRADA")-SUMIFS(D$2:D18,B$2:B18,B18,C$2:C18,"SALIDA")</f>
        <v>1059.43</v>
      </c>
    </row>
    <row r="19" spans="1:5" x14ac:dyDescent="0.3">
      <c r="A19" s="9">
        <v>43987</v>
      </c>
      <c r="B19" s="10" t="s">
        <v>16</v>
      </c>
      <c r="C19" s="10" t="s">
        <v>28</v>
      </c>
      <c r="D19" s="12">
        <v>292.01</v>
      </c>
      <c r="E19" s="12">
        <f>SUMIF('Parametros Inventario'!$A:$A,B19,'Parametros Inventario'!$B:$B)+SUMIFS(D$2:D19,B$2:B19,B19,C$2:C19,"ENTRADA")-SUMIFS(D$2:D19,B$2:B19,B19,C$2:C19,"SALIDA")</f>
        <v>1858.0900000000001</v>
      </c>
    </row>
    <row r="20" spans="1:5" x14ac:dyDescent="0.3">
      <c r="A20" s="9">
        <v>43987</v>
      </c>
      <c r="B20" s="10" t="s">
        <v>17</v>
      </c>
      <c r="C20" s="10" t="s">
        <v>28</v>
      </c>
      <c r="D20" s="12">
        <v>178.3</v>
      </c>
      <c r="E20" s="12">
        <f>SUMIF('Parametros Inventario'!$A:$A,B20,'Parametros Inventario'!$B:$B)+SUMIFS(D$2:D20,B$2:B20,B20,C$2:C20,"ENTRADA")-SUMIFS(D$2:D20,B$2:B20,B20,C$2:C20,"SALIDA")</f>
        <v>1153.42</v>
      </c>
    </row>
    <row r="21" spans="1:5" x14ac:dyDescent="0.3">
      <c r="A21" s="9">
        <v>43987</v>
      </c>
      <c r="B21" s="10" t="s">
        <v>18</v>
      </c>
      <c r="C21" s="10" t="s">
        <v>28</v>
      </c>
      <c r="D21" s="12">
        <v>182.29</v>
      </c>
      <c r="E21" s="12">
        <f>SUMIF('Parametros Inventario'!$A:$A,B21,'Parametros Inventario'!$B:$B)+SUMIFS(D$2:D21,B$2:B21,B21,C$2:C21,"ENTRADA")-SUMIFS(D$2:D21,B$2:B21,B21,C$2:C21,"SALIDA")</f>
        <v>1956.42</v>
      </c>
    </row>
    <row r="22" spans="1:5" x14ac:dyDescent="0.3">
      <c r="A22" s="9">
        <v>43987</v>
      </c>
      <c r="B22" s="10" t="s">
        <v>10</v>
      </c>
      <c r="C22" s="10" t="s">
        <v>28</v>
      </c>
      <c r="D22" s="12">
        <v>223.62</v>
      </c>
      <c r="E22" s="12">
        <f>SUMIF('Parametros Inventario'!$A:$A,B22,'Parametros Inventario'!$B:$B)+SUMIFS(D$2:D22,B$2:B22,B22,C$2:C22,"ENTRADA")-SUMIFS(D$2:D22,B$2:B22,B22,C$2:C22,"SALIDA")</f>
        <v>1384.87</v>
      </c>
    </row>
    <row r="23" spans="1:5" x14ac:dyDescent="0.3">
      <c r="A23" s="9">
        <v>43987</v>
      </c>
      <c r="B23" s="10" t="s">
        <v>8</v>
      </c>
      <c r="C23" s="10" t="s">
        <v>28</v>
      </c>
      <c r="D23" s="12">
        <v>163.86</v>
      </c>
      <c r="E23" s="12">
        <f>SUMIF('Parametros Inventario'!$A:$A,B23,'Parametros Inventario'!$B:$B)+SUMIFS(D$2:D23,B$2:B23,B23,C$2:C23,"ENTRADA")-SUMIFS(D$2:D23,B$2:B23,B23,C$2:C23,"SALIDA")</f>
        <v>1863.82</v>
      </c>
    </row>
    <row r="24" spans="1:5" x14ac:dyDescent="0.3">
      <c r="A24" s="9">
        <v>44008</v>
      </c>
      <c r="B24" s="10" t="s">
        <v>13</v>
      </c>
      <c r="C24" s="10" t="s">
        <v>28</v>
      </c>
      <c r="D24" s="12">
        <v>58.15</v>
      </c>
      <c r="E24" s="12">
        <f>SUMIF('Parametros Inventario'!$A:$A,B24,'Parametros Inventario'!$B:$B)+SUMIFS(D$2:D24,B$2:B24,B24,C$2:C24,"ENTRADA")-SUMIFS(D$2:D24,B$2:B24,B24,C$2:C24,"SALIDA")</f>
        <v>2317.6</v>
      </c>
    </row>
    <row r="25" spans="1:5" x14ac:dyDescent="0.3">
      <c r="A25" s="9">
        <v>44008</v>
      </c>
      <c r="B25" s="10" t="s">
        <v>15</v>
      </c>
      <c r="C25" s="10" t="s">
        <v>28</v>
      </c>
      <c r="D25" s="12">
        <v>89.21</v>
      </c>
      <c r="E25" s="12">
        <f>SUMIF('Parametros Inventario'!$A:$A,B25,'Parametros Inventario'!$B:$B)+SUMIFS(D$2:D25,B$2:B25,B25,C$2:C25,"ENTRADA")-SUMIFS(D$2:D25,B$2:B25,B25,C$2:C25,"SALIDA")</f>
        <v>1833.65</v>
      </c>
    </row>
    <row r="26" spans="1:5" x14ac:dyDescent="0.3">
      <c r="A26" s="9">
        <v>44008</v>
      </c>
      <c r="B26" s="10" t="s">
        <v>11</v>
      </c>
      <c r="C26" s="10" t="s">
        <v>28</v>
      </c>
      <c r="D26" s="12">
        <v>189.76</v>
      </c>
      <c r="E26" s="12">
        <f>SUMIF('Parametros Inventario'!$A:$A,B26,'Parametros Inventario'!$B:$B)+SUMIFS(D$2:D26,B$2:B26,B26,C$2:C26,"ENTRADA")-SUMIFS(D$2:D26,B$2:B26,B26,C$2:C26,"SALIDA")</f>
        <v>1774.1599999999999</v>
      </c>
    </row>
    <row r="27" spans="1:5" x14ac:dyDescent="0.3">
      <c r="A27" s="9">
        <v>44008</v>
      </c>
      <c r="B27" s="10" t="s">
        <v>9</v>
      </c>
      <c r="C27" s="10" t="s">
        <v>28</v>
      </c>
      <c r="D27" s="12">
        <v>280.42</v>
      </c>
      <c r="E27" s="12">
        <f>SUMIF('Parametros Inventario'!$A:$A,B27,'Parametros Inventario'!$B:$B)+SUMIFS(D$2:D27,B$2:B27,B27,C$2:C27,"ENTRADA")-SUMIFS(D$2:D27,B$2:B27,B27,C$2:C27,"SALIDA")</f>
        <v>1313.6100000000001</v>
      </c>
    </row>
    <row r="28" spans="1:5" x14ac:dyDescent="0.3">
      <c r="A28" s="9">
        <v>44008</v>
      </c>
      <c r="B28" s="10" t="s">
        <v>14</v>
      </c>
      <c r="C28" s="10" t="s">
        <v>28</v>
      </c>
      <c r="D28" s="12">
        <v>79.69</v>
      </c>
      <c r="E28" s="12">
        <f>SUMIF('Parametros Inventario'!$A:$A,B28,'Parametros Inventario'!$B:$B)+SUMIFS(D$2:D28,B$2:B28,B28,C$2:C28,"ENTRADA")-SUMIFS(D$2:D28,B$2:B28,B28,C$2:C28,"SALIDA")</f>
        <v>1183.5899999999999</v>
      </c>
    </row>
    <row r="29" spans="1:5" x14ac:dyDescent="0.3">
      <c r="A29" s="9">
        <v>44008</v>
      </c>
      <c r="B29" s="10" t="s">
        <v>12</v>
      </c>
      <c r="C29" s="10" t="s">
        <v>28</v>
      </c>
      <c r="D29" s="12">
        <v>263.08</v>
      </c>
      <c r="E29" s="12">
        <f>SUMIF('Parametros Inventario'!$A:$A,B29,'Parametros Inventario'!$B:$B)+SUMIFS(D$2:D29,B$2:B29,B29,C$2:C29,"ENTRADA")-SUMIFS(D$2:D29,B$2:B29,B29,C$2:C29,"SALIDA")</f>
        <v>1322.51</v>
      </c>
    </row>
    <row r="30" spans="1:5" x14ac:dyDescent="0.3">
      <c r="A30" s="9">
        <v>44008</v>
      </c>
      <c r="B30" s="10" t="s">
        <v>16</v>
      </c>
      <c r="C30" s="10" t="s">
        <v>28</v>
      </c>
      <c r="D30" s="12">
        <v>77.58</v>
      </c>
      <c r="E30" s="12">
        <f>SUMIF('Parametros Inventario'!$A:$A,B30,'Parametros Inventario'!$B:$B)+SUMIFS(D$2:D30,B$2:B30,B30,C$2:C30,"ENTRADA")-SUMIFS(D$2:D30,B$2:B30,B30,C$2:C30,"SALIDA")</f>
        <v>1935.67</v>
      </c>
    </row>
    <row r="31" spans="1:5" x14ac:dyDescent="0.3">
      <c r="A31" s="9">
        <v>44008</v>
      </c>
      <c r="B31" s="10" t="s">
        <v>17</v>
      </c>
      <c r="C31" s="10" t="s">
        <v>28</v>
      </c>
      <c r="D31" s="12">
        <v>142.4</v>
      </c>
      <c r="E31" s="12">
        <f>SUMIF('Parametros Inventario'!$A:$A,B31,'Parametros Inventario'!$B:$B)+SUMIFS(D$2:D31,B$2:B31,B31,C$2:C31,"ENTRADA")-SUMIFS(D$2:D31,B$2:B31,B31,C$2:C31,"SALIDA")</f>
        <v>1295.8200000000002</v>
      </c>
    </row>
    <row r="32" spans="1:5" x14ac:dyDescent="0.3">
      <c r="A32" s="9">
        <v>44008</v>
      </c>
      <c r="B32" s="10" t="s">
        <v>18</v>
      </c>
      <c r="C32" s="10" t="s">
        <v>28</v>
      </c>
      <c r="D32" s="12">
        <v>122.4</v>
      </c>
      <c r="E32" s="12">
        <f>SUMIF('Parametros Inventario'!$A:$A,B32,'Parametros Inventario'!$B:$B)+SUMIFS(D$2:D32,B$2:B32,B32,C$2:C32,"ENTRADA")-SUMIFS(D$2:D32,B$2:B32,B32,C$2:C32,"SALIDA")</f>
        <v>2078.8199999999997</v>
      </c>
    </row>
    <row r="33" spans="1:5" x14ac:dyDescent="0.3">
      <c r="A33" s="9">
        <v>44008</v>
      </c>
      <c r="B33" s="10" t="s">
        <v>10</v>
      </c>
      <c r="C33" s="10" t="s">
        <v>28</v>
      </c>
      <c r="D33" s="12">
        <v>180.69</v>
      </c>
      <c r="E33" s="12">
        <f>SUMIF('Parametros Inventario'!$A:$A,B33,'Parametros Inventario'!$B:$B)+SUMIFS(D$2:D33,B$2:B33,B33,C$2:C33,"ENTRADA")-SUMIFS(D$2:D33,B$2:B33,B33,C$2:C33,"SALIDA")</f>
        <v>1565.56</v>
      </c>
    </row>
    <row r="34" spans="1:5" x14ac:dyDescent="0.3">
      <c r="A34" s="9">
        <v>44008</v>
      </c>
      <c r="B34" s="10" t="s">
        <v>8</v>
      </c>
      <c r="C34" s="10" t="s">
        <v>28</v>
      </c>
      <c r="D34" s="12">
        <v>79.44</v>
      </c>
      <c r="E34" s="12">
        <f>SUMIF('Parametros Inventario'!$A:$A,B34,'Parametros Inventario'!$B:$B)+SUMIFS(D$2:D34,B$2:B34,B34,C$2:C34,"ENTRADA")-SUMIFS(D$2:D34,B$2:B34,B34,C$2:C34,"SALIDA")</f>
        <v>1943.26</v>
      </c>
    </row>
    <row r="35" spans="1:5" x14ac:dyDescent="0.3">
      <c r="A35" s="9">
        <v>44033</v>
      </c>
      <c r="B35" s="10" t="s">
        <v>13</v>
      </c>
      <c r="C35" s="10" t="s">
        <v>28</v>
      </c>
      <c r="D35" s="12">
        <v>126.23</v>
      </c>
      <c r="E35" s="12">
        <f>SUMIF('Parametros Inventario'!$A:$A,B35,'Parametros Inventario'!$B:$B)+SUMIFS(D$2:D35,B$2:B35,B35,C$2:C35,"ENTRADA")-SUMIFS(D$2:D35,B$2:B35,B35,C$2:C35,"SALIDA")</f>
        <v>2443.83</v>
      </c>
    </row>
    <row r="36" spans="1:5" x14ac:dyDescent="0.3">
      <c r="A36" s="9">
        <v>44033</v>
      </c>
      <c r="B36" s="10" t="s">
        <v>15</v>
      </c>
      <c r="C36" s="10" t="s">
        <v>28</v>
      </c>
      <c r="D36" s="12">
        <v>143.61000000000001</v>
      </c>
      <c r="E36" s="12">
        <f>SUMIF('Parametros Inventario'!$A:$A,B36,'Parametros Inventario'!$B:$B)+SUMIFS(D$2:D36,B$2:B36,B36,C$2:C36,"ENTRADA")-SUMIFS(D$2:D36,B$2:B36,B36,C$2:C36,"SALIDA")</f>
        <v>1977.26</v>
      </c>
    </row>
    <row r="37" spans="1:5" x14ac:dyDescent="0.3">
      <c r="A37" s="9">
        <v>44033</v>
      </c>
      <c r="B37" s="10" t="s">
        <v>11</v>
      </c>
      <c r="C37" s="10" t="s">
        <v>28</v>
      </c>
      <c r="D37" s="12">
        <v>123.5</v>
      </c>
      <c r="E37" s="12">
        <f>SUMIF('Parametros Inventario'!$A:$A,B37,'Parametros Inventario'!$B:$B)+SUMIFS(D$2:D37,B$2:B37,B37,C$2:C37,"ENTRADA")-SUMIFS(D$2:D37,B$2:B37,B37,C$2:C37,"SALIDA")</f>
        <v>1897.6599999999999</v>
      </c>
    </row>
    <row r="38" spans="1:5" x14ac:dyDescent="0.3">
      <c r="A38" s="9">
        <v>44033</v>
      </c>
      <c r="B38" s="10" t="s">
        <v>9</v>
      </c>
      <c r="C38" s="10" t="s">
        <v>28</v>
      </c>
      <c r="D38" s="12">
        <v>56.99</v>
      </c>
      <c r="E38" s="12">
        <f>SUMIF('Parametros Inventario'!$A:$A,B38,'Parametros Inventario'!$B:$B)+SUMIFS(D$2:D38,B$2:B38,B38,C$2:C38,"ENTRADA")-SUMIFS(D$2:D38,B$2:B38,B38,C$2:C38,"SALIDA")</f>
        <v>1370.6</v>
      </c>
    </row>
    <row r="39" spans="1:5" x14ac:dyDescent="0.3">
      <c r="A39" s="9">
        <v>44033</v>
      </c>
      <c r="B39" s="10" t="s">
        <v>14</v>
      </c>
      <c r="C39" s="10" t="s">
        <v>28</v>
      </c>
      <c r="D39" s="12">
        <v>85.72</v>
      </c>
      <c r="E39" s="12">
        <f>SUMIF('Parametros Inventario'!$A:$A,B39,'Parametros Inventario'!$B:$B)+SUMIFS(D$2:D39,B$2:B39,B39,C$2:C39,"ENTRADA")-SUMIFS(D$2:D39,B$2:B39,B39,C$2:C39,"SALIDA")</f>
        <v>1269.31</v>
      </c>
    </row>
    <row r="40" spans="1:5" x14ac:dyDescent="0.3">
      <c r="A40" s="9">
        <v>44033</v>
      </c>
      <c r="B40" s="10" t="s">
        <v>12</v>
      </c>
      <c r="C40" s="10" t="s">
        <v>28</v>
      </c>
      <c r="D40" s="12">
        <v>245.95</v>
      </c>
      <c r="E40" s="12">
        <f>SUMIF('Parametros Inventario'!$A:$A,B40,'Parametros Inventario'!$B:$B)+SUMIFS(D$2:D40,B$2:B40,B40,C$2:C40,"ENTRADA")-SUMIFS(D$2:D40,B$2:B40,B40,C$2:C40,"SALIDA")</f>
        <v>1568.46</v>
      </c>
    </row>
    <row r="41" spans="1:5" x14ac:dyDescent="0.3">
      <c r="A41" s="9">
        <v>44033</v>
      </c>
      <c r="B41" s="10" t="s">
        <v>16</v>
      </c>
      <c r="C41" s="10" t="s">
        <v>28</v>
      </c>
      <c r="D41" s="12">
        <v>155.44</v>
      </c>
      <c r="E41" s="12">
        <f>SUMIF('Parametros Inventario'!$A:$A,B41,'Parametros Inventario'!$B:$B)+SUMIFS(D$2:D41,B$2:B41,B41,C$2:C41,"ENTRADA")-SUMIFS(D$2:D41,B$2:B41,B41,C$2:C41,"SALIDA")</f>
        <v>2091.11</v>
      </c>
    </row>
    <row r="42" spans="1:5" x14ac:dyDescent="0.3">
      <c r="A42" s="9">
        <v>44033</v>
      </c>
      <c r="B42" s="10" t="s">
        <v>17</v>
      </c>
      <c r="C42" s="10" t="s">
        <v>28</v>
      </c>
      <c r="D42" s="12">
        <v>284.20999999999998</v>
      </c>
      <c r="E42" s="12">
        <f>SUMIF('Parametros Inventario'!$A:$A,B42,'Parametros Inventario'!$B:$B)+SUMIFS(D$2:D42,B$2:B42,B42,C$2:C42,"ENTRADA")-SUMIFS(D$2:D42,B$2:B42,B42,C$2:C42,"SALIDA")</f>
        <v>1580.03</v>
      </c>
    </row>
    <row r="43" spans="1:5" x14ac:dyDescent="0.3">
      <c r="A43" s="9">
        <v>44033</v>
      </c>
      <c r="B43" s="10" t="s">
        <v>18</v>
      </c>
      <c r="C43" s="10" t="s">
        <v>28</v>
      </c>
      <c r="D43" s="12">
        <v>126.29</v>
      </c>
      <c r="E43" s="12">
        <f>SUMIF('Parametros Inventario'!$A:$A,B43,'Parametros Inventario'!$B:$B)+SUMIFS(D$2:D43,B$2:B43,B43,C$2:C43,"ENTRADA")-SUMIFS(D$2:D43,B$2:B43,B43,C$2:C43,"SALIDA")</f>
        <v>2205.1099999999997</v>
      </c>
    </row>
    <row r="44" spans="1:5" x14ac:dyDescent="0.3">
      <c r="A44" s="9">
        <v>44033</v>
      </c>
      <c r="B44" s="10" t="s">
        <v>10</v>
      </c>
      <c r="C44" s="10" t="s">
        <v>28</v>
      </c>
      <c r="D44" s="12">
        <v>120.87</v>
      </c>
      <c r="E44" s="12">
        <f>SUMIF('Parametros Inventario'!$A:$A,B44,'Parametros Inventario'!$B:$B)+SUMIFS(D$2:D44,B$2:B44,B44,C$2:C44,"ENTRADA")-SUMIFS(D$2:D44,B$2:B44,B44,C$2:C44,"SALIDA")</f>
        <v>1686.4299999999998</v>
      </c>
    </row>
    <row r="45" spans="1:5" x14ac:dyDescent="0.3">
      <c r="A45" s="9">
        <v>44033</v>
      </c>
      <c r="B45" s="10" t="s">
        <v>8</v>
      </c>
      <c r="C45" s="10" t="s">
        <v>28</v>
      </c>
      <c r="D45" s="12">
        <v>95.77</v>
      </c>
      <c r="E45" s="12">
        <f>SUMIF('Parametros Inventario'!$A:$A,B45,'Parametros Inventario'!$B:$B)+SUMIFS(D$2:D45,B$2:B45,B45,C$2:C45,"ENTRADA")-SUMIFS(D$2:D45,B$2:B45,B45,C$2:C45,"SALIDA")</f>
        <v>2039.03</v>
      </c>
    </row>
    <row r="46" spans="1:5" x14ac:dyDescent="0.3">
      <c r="A46" s="9">
        <f>'Volúmenes DIstribuidos '!B3</f>
        <v>44047</v>
      </c>
      <c r="B46" s="10" t="str">
        <f>IF(OR('Volúmenes DIstribuidos '!C3="Azúcar",'Volúmenes DIstribuidos '!C3="azúcar"),"Azúcar o dulce",IF('Volúmenes DIstribuidos '!C3="Aceite","Aceite o grasas",IF('Volúmenes DIstribuidos '!C3="Avena","Otros almidones",'Volúmenes DIstribuidos '!C3)))</f>
        <v>Aceite o grasas</v>
      </c>
      <c r="C46" s="10" t="s">
        <v>29</v>
      </c>
      <c r="D46" s="12">
        <f>'Volúmenes DIstribuidos '!D3</f>
        <v>23</v>
      </c>
      <c r="E46" s="12">
        <f>SUMIF('Parametros Inventario'!$A:$A,B46,'Parametros Inventario'!$B:$B)+SUMIFS(D$2:D46,B$2:B46,B46,C$2:C46,"ENTRADA")-SUMIFS(D$2:D46,B$2:B46,B46,C$2:C46,"SALIDA")</f>
        <v>2016.03</v>
      </c>
    </row>
    <row r="47" spans="1:5" x14ac:dyDescent="0.3">
      <c r="A47" s="9">
        <f>'Volúmenes DIstribuidos '!B3</f>
        <v>44047</v>
      </c>
      <c r="B47" s="10" t="str">
        <f>IF(OR('Volúmenes DIstribuidos '!C4="Azúcar",'Volúmenes DIstribuidos '!C4="azúcar"),"Azúcar o dulce",IF('Volúmenes DIstribuidos '!C4="Aceite","Aceite o grasas",IF('Volúmenes DIstribuidos '!C4="Avena","Otros almidones",'Volúmenes DIstribuidos '!C4)))</f>
        <v>Panadería</v>
      </c>
      <c r="C47" s="10" t="s">
        <v>29</v>
      </c>
      <c r="D47" s="12">
        <f>'Volúmenes DIstribuidos '!D4</f>
        <v>23</v>
      </c>
      <c r="E47" s="12">
        <f>SUMIF('Parametros Inventario'!$A:$A,B47,'Parametros Inventario'!$B:$B)+SUMIFS(D$2:D47,B$2:B47,B47,C$2:C47,"ENTRADA")-SUMIFS(D$2:D47,B$2:B47,B47,C$2:C47,"SALIDA")</f>
        <v>1347.6</v>
      </c>
    </row>
    <row r="48" spans="1:5" x14ac:dyDescent="0.3">
      <c r="A48" s="9">
        <f>'Volúmenes DIstribuidos '!B3</f>
        <v>44047</v>
      </c>
      <c r="B48" s="10" t="str">
        <f>IF(OR('Volúmenes DIstribuidos '!C5="Azúcar",'Volúmenes DIstribuidos '!C5="azúcar"),"Azúcar o dulce",IF('Volúmenes DIstribuidos '!C5="Aceite","Aceite o grasas",IF('Volúmenes DIstribuidos '!C5="Avena","Otros almidones",'Volúmenes DIstribuidos '!C5)))</f>
        <v>Vegetales y hojas</v>
      </c>
      <c r="C48" s="10" t="s">
        <v>29</v>
      </c>
      <c r="D48" s="12">
        <f>'Volúmenes DIstribuidos '!D5</f>
        <v>23</v>
      </c>
      <c r="E48" s="12">
        <f>SUMIF('Parametros Inventario'!$A:$A,B48,'Parametros Inventario'!$B:$B)+SUMIFS(D$2:D48,B$2:B48,B48,C$2:C48,"ENTRADA")-SUMIFS(D$2:D48,B$2:B48,B48,C$2:C48,"SALIDA")</f>
        <v>1663.4299999999998</v>
      </c>
    </row>
    <row r="49" spans="1:5" x14ac:dyDescent="0.3">
      <c r="A49" s="9">
        <f>'Volúmenes DIstribuidos '!B3</f>
        <v>44047</v>
      </c>
      <c r="B49" s="10" t="str">
        <f>IF(OR('Volúmenes DIstribuidos '!C6="Azúcar",'Volúmenes DIstribuidos '!C6="azúcar"),"Azúcar o dulce",IF('Volúmenes DIstribuidos '!C6="Aceite","Aceite o grasas",IF('Volúmenes DIstribuidos '!C6="Avena","Otros almidones",'Volúmenes DIstribuidos '!C6)))</f>
        <v>Fideo</v>
      </c>
      <c r="C49" s="10" t="s">
        <v>29</v>
      </c>
      <c r="D49" s="12">
        <f>'Volúmenes DIstribuidos '!D6</f>
        <v>23</v>
      </c>
      <c r="E49" s="12">
        <f>SUMIF('Parametros Inventario'!$A:$A,B49,'Parametros Inventario'!$B:$B)+SUMIFS(D$2:D49,B$2:B49,B49,C$2:C49,"ENTRADA")-SUMIFS(D$2:D49,B$2:B49,B49,C$2:C49,"SALIDA")</f>
        <v>1874.6599999999999</v>
      </c>
    </row>
    <row r="50" spans="1:5" x14ac:dyDescent="0.3">
      <c r="A50" s="9">
        <f>'Volúmenes DIstribuidos '!B3</f>
        <v>44047</v>
      </c>
      <c r="B50" s="10" t="str">
        <f>IF(OR('Volúmenes DIstribuidos '!C7="Azúcar",'Volúmenes DIstribuidos '!C7="azúcar"),"Azúcar o dulce",IF('Volúmenes DIstribuidos '!C7="Aceite","Aceite o grasas",IF('Volúmenes DIstribuidos '!C7="Avena","Otros almidones",'Volúmenes DIstribuidos '!C7)))</f>
        <v>Carnes rojas</v>
      </c>
      <c r="C50" s="10" t="s">
        <v>29</v>
      </c>
      <c r="D50" s="12">
        <f>'Volúmenes DIstribuidos '!D7</f>
        <v>23</v>
      </c>
      <c r="E50" s="12">
        <f>SUMIF('Parametros Inventario'!$A:$A,B50,'Parametros Inventario'!$B:$B)+SUMIFS(D$2:D50,B$2:B50,B50,C$2:C50,"ENTRADA")-SUMIFS(D$2:D50,B$2:B50,B50,C$2:C50,"SALIDA")</f>
        <v>1545.46</v>
      </c>
    </row>
    <row r="51" spans="1:5" x14ac:dyDescent="0.3">
      <c r="A51" s="9">
        <f>'Volúmenes DIstribuidos '!B3</f>
        <v>44047</v>
      </c>
      <c r="B51" s="10" t="str">
        <f>IF(OR('Volúmenes DIstribuidos '!C8="Azúcar",'Volúmenes DIstribuidos '!C8="azúcar"),"Azúcar o dulce",IF('Volúmenes DIstribuidos '!C8="Aceite","Aceite o grasas",IF('Volúmenes DIstribuidos '!C8="Avena","Otros almidones",'Volúmenes DIstribuidos '!C8)))</f>
        <v>Azúcar o dulce</v>
      </c>
      <c r="C51" s="10" t="s">
        <v>29</v>
      </c>
      <c r="D51" s="12">
        <f>'Volúmenes DIstribuidos '!D8</f>
        <v>23</v>
      </c>
      <c r="E51" s="12">
        <f>SUMIF('Parametros Inventario'!$A:$A,B51,'Parametros Inventario'!$B:$B)+SUMIFS(D$2:D51,B$2:B51,B51,C$2:C51,"ENTRADA")-SUMIFS(D$2:D51,B$2:B51,B51,C$2:C51,"SALIDA")</f>
        <v>2420.83</v>
      </c>
    </row>
    <row r="52" spans="1:5" x14ac:dyDescent="0.3">
      <c r="A52" s="9">
        <v>44050</v>
      </c>
      <c r="B52" s="10" t="s">
        <v>13</v>
      </c>
      <c r="C52" s="10" t="s">
        <v>28</v>
      </c>
      <c r="D52" s="12">
        <v>234.92</v>
      </c>
      <c r="E52" s="12">
        <f>SUMIF('Parametros Inventario'!$A:$A,B52,'Parametros Inventario'!$B:$B)+SUMIFS(D$2:D52,B$2:B52,B52,C$2:C52,"ENTRADA")-SUMIFS(D$2:D52,B$2:B52,B52,C$2:C52,"SALIDA")</f>
        <v>2655.75</v>
      </c>
    </row>
    <row r="53" spans="1:5" x14ac:dyDescent="0.3">
      <c r="A53" s="9">
        <v>44050</v>
      </c>
      <c r="B53" s="10" t="s">
        <v>15</v>
      </c>
      <c r="C53" s="10" t="s">
        <v>28</v>
      </c>
      <c r="D53" s="12">
        <v>50.52</v>
      </c>
      <c r="E53" s="12">
        <f>SUMIF('Parametros Inventario'!$A:$A,B53,'Parametros Inventario'!$B:$B)+SUMIFS(D$2:D53,B$2:B53,B53,C$2:C53,"ENTRADA")-SUMIFS(D$2:D53,B$2:B53,B53,C$2:C53,"SALIDA")</f>
        <v>2027.78</v>
      </c>
    </row>
    <row r="54" spans="1:5" x14ac:dyDescent="0.3">
      <c r="A54" s="9">
        <v>44050</v>
      </c>
      <c r="B54" s="10" t="s">
        <v>11</v>
      </c>
      <c r="C54" s="10" t="s">
        <v>28</v>
      </c>
      <c r="D54" s="12">
        <v>186.88</v>
      </c>
      <c r="E54" s="12">
        <f>SUMIF('Parametros Inventario'!$A:$A,B54,'Parametros Inventario'!$B:$B)+SUMIFS(D$2:D54,B$2:B54,B54,C$2:C54,"ENTRADA")-SUMIFS(D$2:D54,B$2:B54,B54,C$2:C54,"SALIDA")</f>
        <v>2061.54</v>
      </c>
    </row>
    <row r="55" spans="1:5" x14ac:dyDescent="0.3">
      <c r="A55" s="9">
        <v>44050</v>
      </c>
      <c r="B55" s="10" t="s">
        <v>9</v>
      </c>
      <c r="C55" s="10" t="s">
        <v>28</v>
      </c>
      <c r="D55" s="12">
        <v>66.89</v>
      </c>
      <c r="E55" s="12">
        <f>SUMIF('Parametros Inventario'!$A:$A,B55,'Parametros Inventario'!$B:$B)+SUMIFS(D$2:D55,B$2:B55,B55,C$2:C55,"ENTRADA")-SUMIFS(D$2:D55,B$2:B55,B55,C$2:C55,"SALIDA")</f>
        <v>1414.49</v>
      </c>
    </row>
    <row r="56" spans="1:5" x14ac:dyDescent="0.3">
      <c r="A56" s="9">
        <v>44050</v>
      </c>
      <c r="B56" s="10" t="s">
        <v>14</v>
      </c>
      <c r="C56" s="10" t="s">
        <v>28</v>
      </c>
      <c r="D56" s="12">
        <v>61.17</v>
      </c>
      <c r="E56" s="12">
        <f>SUMIF('Parametros Inventario'!$A:$A,B56,'Parametros Inventario'!$B:$B)+SUMIFS(D$2:D56,B$2:B56,B56,C$2:C56,"ENTRADA")-SUMIFS(D$2:D56,B$2:B56,B56,C$2:C56,"SALIDA")</f>
        <v>1330.48</v>
      </c>
    </row>
    <row r="57" spans="1:5" x14ac:dyDescent="0.3">
      <c r="A57" s="9">
        <v>44050</v>
      </c>
      <c r="B57" s="10" t="s">
        <v>12</v>
      </c>
      <c r="C57" s="10" t="s">
        <v>28</v>
      </c>
      <c r="D57" s="12">
        <v>170.29</v>
      </c>
      <c r="E57" s="12">
        <f>SUMIF('Parametros Inventario'!$A:$A,B57,'Parametros Inventario'!$B:$B)+SUMIFS(D$2:D57,B$2:B57,B57,C$2:C57,"ENTRADA")-SUMIFS(D$2:D57,B$2:B57,B57,C$2:C57,"SALIDA")</f>
        <v>1715.75</v>
      </c>
    </row>
    <row r="58" spans="1:5" x14ac:dyDescent="0.3">
      <c r="A58" s="9">
        <v>44050</v>
      </c>
      <c r="B58" s="10" t="s">
        <v>16</v>
      </c>
      <c r="C58" s="10" t="s">
        <v>28</v>
      </c>
      <c r="D58" s="12">
        <v>127.43</v>
      </c>
      <c r="E58" s="12">
        <f>SUMIF('Parametros Inventario'!$A:$A,B58,'Parametros Inventario'!$B:$B)+SUMIFS(D$2:D58,B$2:B58,B58,C$2:C58,"ENTRADA")-SUMIFS(D$2:D58,B$2:B58,B58,C$2:C58,"SALIDA")</f>
        <v>2218.54</v>
      </c>
    </row>
    <row r="59" spans="1:5" x14ac:dyDescent="0.3">
      <c r="A59" s="9">
        <v>44050</v>
      </c>
      <c r="B59" s="10" t="s">
        <v>17</v>
      </c>
      <c r="C59" s="10" t="s">
        <v>28</v>
      </c>
      <c r="D59" s="12">
        <v>163.09</v>
      </c>
      <c r="E59" s="12">
        <f>SUMIF('Parametros Inventario'!$A:$A,B59,'Parametros Inventario'!$B:$B)+SUMIFS(D$2:D59,B$2:B59,B59,C$2:C59,"ENTRADA")-SUMIFS(D$2:D59,B$2:B59,B59,C$2:C59,"SALIDA")</f>
        <v>1743.12</v>
      </c>
    </row>
    <row r="60" spans="1:5" x14ac:dyDescent="0.3">
      <c r="A60" s="9">
        <v>44050</v>
      </c>
      <c r="B60" s="10" t="s">
        <v>18</v>
      </c>
      <c r="C60" s="10" t="s">
        <v>28</v>
      </c>
      <c r="D60" s="12">
        <v>134.46</v>
      </c>
      <c r="E60" s="12">
        <f>SUMIF('Parametros Inventario'!$A:$A,B60,'Parametros Inventario'!$B:$B)+SUMIFS(D$2:D60,B$2:B60,B60,C$2:C60,"ENTRADA")-SUMIFS(D$2:D60,B$2:B60,B60,C$2:C60,"SALIDA")</f>
        <v>2339.5699999999997</v>
      </c>
    </row>
    <row r="61" spans="1:5" x14ac:dyDescent="0.3">
      <c r="A61" s="9">
        <v>44050</v>
      </c>
      <c r="B61" s="10" t="s">
        <v>10</v>
      </c>
      <c r="C61" s="10" t="s">
        <v>28</v>
      </c>
      <c r="D61" s="12">
        <v>144.33000000000001</v>
      </c>
      <c r="E61" s="12">
        <f>SUMIF('Parametros Inventario'!$A:$A,B61,'Parametros Inventario'!$B:$B)+SUMIFS(D$2:D61,B$2:B61,B61,C$2:C61,"ENTRADA")-SUMIFS(D$2:D61,B$2:B61,B61,C$2:C61,"SALIDA")</f>
        <v>1807.76</v>
      </c>
    </row>
    <row r="62" spans="1:5" x14ac:dyDescent="0.3">
      <c r="A62" s="9">
        <v>44050</v>
      </c>
      <c r="B62" s="10" t="s">
        <v>8</v>
      </c>
      <c r="C62" s="10" t="s">
        <v>28</v>
      </c>
      <c r="D62" s="12">
        <v>258.61</v>
      </c>
      <c r="E62" s="12">
        <f>SUMIF('Parametros Inventario'!$A:$A,B62,'Parametros Inventario'!$B:$B)+SUMIFS(D$2:D62,B$2:B62,B62,C$2:C62,"ENTRADA")-SUMIFS(D$2:D62,B$2:B62,B62,C$2:C62,"SALIDA")</f>
        <v>2274.64</v>
      </c>
    </row>
    <row r="63" spans="1:5" x14ac:dyDescent="0.3">
      <c r="A63" s="9">
        <f>'Volúmenes DIstribuidos '!B9</f>
        <v>44050</v>
      </c>
      <c r="B63" s="10" t="str">
        <f>IF(OR('Volúmenes DIstribuidos '!C9="Azúcar",'Volúmenes DIstribuidos '!C9="azúcar"),"Azúcar o dulce",IF('Volúmenes DIstribuidos '!C9="Aceite","Aceite o grasas",IF('Volúmenes DIstribuidos '!C9="Avena","Otros almidones",'Volúmenes DIstribuidos '!C9)))</f>
        <v>Menestras</v>
      </c>
      <c r="C63" s="10" t="s">
        <v>29</v>
      </c>
      <c r="D63" s="12">
        <f>'Volúmenes DIstribuidos '!D9</f>
        <v>11.59</v>
      </c>
      <c r="E63" s="12">
        <f>SUMIF('Parametros Inventario'!$A:$A,B63,'Parametros Inventario'!$B:$B)+SUMIFS(D$2:D63,B$2:B63,B63,C$2:C63,"ENTRADA")-SUMIFS(D$2:D63,B$2:B63,B63,C$2:C63,"SALIDA")</f>
        <v>1318.89</v>
      </c>
    </row>
    <row r="64" spans="1:5" x14ac:dyDescent="0.3">
      <c r="A64" s="9">
        <f>'Volúmenes DIstribuidos '!B9</f>
        <v>44050</v>
      </c>
      <c r="B64" s="10" t="str">
        <f>IF(OR('Volúmenes DIstribuidos '!C10="Azúcar",'Volúmenes DIstribuidos '!C10="azúcar"),"Azúcar o dulce",IF('Volúmenes DIstribuidos '!C10="Aceite","Aceite o grasas",IF('Volúmenes DIstribuidos '!C10="Avena","Otros almidones",'Volúmenes DIstribuidos '!C10)))</f>
        <v>Vegetales y hojas</v>
      </c>
      <c r="C64" s="10" t="s">
        <v>29</v>
      </c>
      <c r="D64" s="12">
        <f>'Volúmenes DIstribuidos '!D10</f>
        <v>25.83</v>
      </c>
      <c r="E64" s="12">
        <f>SUMIF('Parametros Inventario'!$A:$A,B64,'Parametros Inventario'!$B:$B)+SUMIFS(D$2:D64,B$2:B64,B64,C$2:C64,"ENTRADA")-SUMIFS(D$2:D64,B$2:B64,B64,C$2:C64,"SALIDA")</f>
        <v>1781.93</v>
      </c>
    </row>
    <row r="65" spans="1:5" x14ac:dyDescent="0.3">
      <c r="A65" s="9">
        <f>'Volúmenes DIstribuidos '!B9</f>
        <v>44050</v>
      </c>
      <c r="B65" s="10" t="str">
        <f>IF(OR('Volúmenes DIstribuidos '!C11="Azúcar",'Volúmenes DIstribuidos '!C11="azúcar"),"Azúcar o dulce",IF('Volúmenes DIstribuidos '!C11="Aceite","Aceite o grasas",IF('Volúmenes DIstribuidos '!C11="Avena","Otros almidones",'Volúmenes DIstribuidos '!C11)))</f>
        <v>Otros almidones</v>
      </c>
      <c r="C65" s="10" t="s">
        <v>29</v>
      </c>
      <c r="D65" s="12">
        <f>'Volúmenes DIstribuidos '!D11</f>
        <v>8.3710000000000004</v>
      </c>
      <c r="E65" s="12">
        <f>SUMIF('Parametros Inventario'!$A:$A,B65,'Parametros Inventario'!$B:$B)+SUMIFS(D$2:D65,B$2:B65,B65,C$2:C65,"ENTRADA")-SUMIFS(D$2:D65,B$2:B65,B65,C$2:C65,"SALIDA")</f>
        <v>2019.4089999999999</v>
      </c>
    </row>
    <row r="66" spans="1:5" x14ac:dyDescent="0.3">
      <c r="A66" s="9">
        <f>'Volúmenes DIstribuidos '!B9</f>
        <v>44050</v>
      </c>
      <c r="B66" s="10" t="str">
        <f>IF(OR('Volúmenes DIstribuidos '!C12="Azúcar",'Volúmenes DIstribuidos '!C12="azúcar"),"Azúcar o dulce",IF('Volúmenes DIstribuidos '!C12="Aceite","Aceite o grasas",IF('Volúmenes DIstribuidos '!C12="Avena","Otros almidones",'Volúmenes DIstribuidos '!C12)))</f>
        <v>Carnes blancas</v>
      </c>
      <c r="C66" s="10" t="s">
        <v>29</v>
      </c>
      <c r="D66" s="12">
        <f>'Volúmenes DIstribuidos '!D12</f>
        <v>20.34</v>
      </c>
      <c r="E66" s="12">
        <f>SUMIF('Parametros Inventario'!$A:$A,B66,'Parametros Inventario'!$B:$B)+SUMIFS(D$2:D66,B$2:B66,B66,C$2:C66,"ENTRADA")-SUMIFS(D$2:D66,B$2:B66,B66,C$2:C66,"SALIDA")</f>
        <v>2198.1999999999998</v>
      </c>
    </row>
    <row r="67" spans="1:5" x14ac:dyDescent="0.3">
      <c r="A67" s="9">
        <f>'Volúmenes DIstribuidos '!B9</f>
        <v>44050</v>
      </c>
      <c r="B67" s="10" t="str">
        <f>IF(OR('Volúmenes DIstribuidos '!C13="Azúcar",'Volúmenes DIstribuidos '!C13="azúcar"),"Azúcar o dulce",IF('Volúmenes DIstribuidos '!C13="Aceite","Aceite o grasas",IF('Volúmenes DIstribuidos '!C13="Avena","Otros almidones",'Volúmenes DIstribuidos '!C13)))</f>
        <v>Azúcar o dulce</v>
      </c>
      <c r="C67" s="10" t="s">
        <v>29</v>
      </c>
      <c r="D67" s="12">
        <f>'Volúmenes DIstribuidos '!D13</f>
        <v>22.34</v>
      </c>
      <c r="E67" s="12">
        <f>SUMIF('Parametros Inventario'!$A:$A,B67,'Parametros Inventario'!$B:$B)+SUMIFS(D$2:D67,B$2:B67,B67,C$2:C67,"ENTRADA")-SUMIFS(D$2:D67,B$2:B67,B67,C$2:C67,"SALIDA")</f>
        <v>2633.41</v>
      </c>
    </row>
    <row r="68" spans="1:5" x14ac:dyDescent="0.3">
      <c r="A68" s="9">
        <f>'Volúmenes DIstribuidos '!B9</f>
        <v>44050</v>
      </c>
      <c r="B68" s="10" t="str">
        <f>IF(OR('Volúmenes DIstribuidos '!C14="Azúcar",'Volúmenes DIstribuidos '!C14="azúcar"),"Azúcar o dulce",IF('Volúmenes DIstribuidos '!C14="Aceite","Aceite o grasas",IF('Volúmenes DIstribuidos '!C14="Avena","Otros almidones",'Volúmenes DIstribuidos '!C14)))</f>
        <v>Fideo</v>
      </c>
      <c r="C68" s="10" t="s">
        <v>29</v>
      </c>
      <c r="D68" s="12">
        <f>'Volúmenes DIstribuidos '!D14</f>
        <v>14.88</v>
      </c>
      <c r="E68" s="12">
        <f>SUMIF('Parametros Inventario'!$A:$A,B68,'Parametros Inventario'!$B:$B)+SUMIFS(D$2:D68,B$2:B68,B68,C$2:C68,"ENTRADA")-SUMIFS(D$2:D68,B$2:B68,B68,C$2:C68,"SALIDA")</f>
        <v>2046.6599999999999</v>
      </c>
    </row>
    <row r="69" spans="1:5" x14ac:dyDescent="0.3">
      <c r="A69" s="9">
        <f>'Volúmenes DIstribuidos '!B15</f>
        <v>44054</v>
      </c>
      <c r="B69" s="10" t="str">
        <f>IF(OR('Volúmenes DIstribuidos '!C15="Azúcar",'Volúmenes DIstribuidos '!C15="azúcar"),"Azúcar o dulce",IF('Volúmenes DIstribuidos '!C15="Aceite","Aceite o grasas",IF('Volúmenes DIstribuidos '!C15="Avena","Otros almidones",'Volúmenes DIstribuidos '!C15)))</f>
        <v>Lácteos</v>
      </c>
      <c r="C69" s="10" t="s">
        <v>29</v>
      </c>
      <c r="D69" s="12">
        <f>'Volúmenes DIstribuidos '!D15</f>
        <v>4.2300000000000004</v>
      </c>
      <c r="E69" s="12">
        <f>SUMIF('Parametros Inventario'!$A:$A,B69,'Parametros Inventario'!$B:$B)+SUMIFS(D$2:D69,B$2:B69,B69,C$2:C69,"ENTRADA")-SUMIFS(D$2:D69,B$2:B69,B69,C$2:C69,"SALIDA")</f>
        <v>1738.8899999999999</v>
      </c>
    </row>
    <row r="70" spans="1:5" x14ac:dyDescent="0.3">
      <c r="A70" s="9">
        <f>'Volúmenes DIstribuidos '!B15</f>
        <v>44054</v>
      </c>
      <c r="B70" s="10" t="str">
        <f>IF(OR('Volúmenes DIstribuidos '!C16="Azúcar",'Volúmenes DIstribuidos '!C16="azúcar"),"Azúcar o dulce",IF('Volúmenes DIstribuidos '!C16="Aceite","Aceite o grasas",IF('Volúmenes DIstribuidos '!C16="Avena","Otros almidones",'Volúmenes DIstribuidos '!C16)))</f>
        <v>Vegetales y hojas</v>
      </c>
      <c r="C70" s="10" t="s">
        <v>29</v>
      </c>
      <c r="D70" s="12">
        <f>'Volúmenes DIstribuidos '!D16</f>
        <v>5.306</v>
      </c>
      <c r="E70" s="12">
        <f>SUMIF('Parametros Inventario'!$A:$A,B70,'Parametros Inventario'!$B:$B)+SUMIFS(D$2:D70,B$2:B70,B70,C$2:C70,"ENTRADA")-SUMIFS(D$2:D70,B$2:B70,B70,C$2:C70,"SALIDA")</f>
        <v>1776.624</v>
      </c>
    </row>
    <row r="71" spans="1:5" x14ac:dyDescent="0.3">
      <c r="A71" s="9">
        <f>'Volúmenes DIstribuidos '!B15</f>
        <v>44054</v>
      </c>
      <c r="B71" s="10" t="str">
        <f>IF(OR('Volúmenes DIstribuidos '!C17="Azúcar",'Volúmenes DIstribuidos '!C17="azúcar"),"Azúcar o dulce",IF('Volúmenes DIstribuidos '!C17="Aceite","Aceite o grasas",IF('Volúmenes DIstribuidos '!C17="Avena","Otros almidones",'Volúmenes DIstribuidos '!C17)))</f>
        <v>Carnes blancas</v>
      </c>
      <c r="C71" s="10" t="s">
        <v>29</v>
      </c>
      <c r="D71" s="12">
        <f>'Volúmenes DIstribuidos '!D17</f>
        <v>7.09</v>
      </c>
      <c r="E71" s="12">
        <f>SUMIF('Parametros Inventario'!$A:$A,B71,'Parametros Inventario'!$B:$B)+SUMIFS(D$2:D71,B$2:B71,B71,C$2:C71,"ENTRADA")-SUMIFS(D$2:D71,B$2:B71,B71,C$2:C71,"SALIDA")</f>
        <v>2191.11</v>
      </c>
    </row>
    <row r="72" spans="1:5" x14ac:dyDescent="0.3">
      <c r="A72" s="9">
        <f>'Volúmenes DIstribuidos '!B15</f>
        <v>44054</v>
      </c>
      <c r="B72" s="10" t="str">
        <f>IF(OR('Volúmenes DIstribuidos '!C18="Azúcar",'Volúmenes DIstribuidos '!C18="azúcar"),"Azúcar o dulce",IF('Volúmenes DIstribuidos '!C18="Aceite","Aceite o grasas",IF('Volúmenes DIstribuidos '!C18="Avena","Otros almidones",'Volúmenes DIstribuidos '!C18)))</f>
        <v>Aceite o grasas</v>
      </c>
      <c r="C72" s="10" t="s">
        <v>29</v>
      </c>
      <c r="D72" s="12">
        <f>'Volúmenes DIstribuidos '!D18</f>
        <v>6.87</v>
      </c>
      <c r="E72" s="12">
        <f>SUMIF('Parametros Inventario'!$A:$A,B72,'Parametros Inventario'!$B:$B)+SUMIFS(D$2:D72,B$2:B72,B72,C$2:C72,"ENTRADA")-SUMIFS(D$2:D72,B$2:B72,B72,C$2:C72,"SALIDA")</f>
        <v>2267.77</v>
      </c>
    </row>
    <row r="73" spans="1:5" x14ac:dyDescent="0.3">
      <c r="A73" s="9">
        <f>'Volúmenes DIstribuidos '!B15</f>
        <v>44054</v>
      </c>
      <c r="B73" s="10" t="str">
        <f>IF(OR('Volúmenes DIstribuidos '!C19="Azúcar",'Volúmenes DIstribuidos '!C19="azúcar"),"Azúcar o dulce",IF('Volúmenes DIstribuidos '!C19="Aceite","Aceite o grasas",IF('Volúmenes DIstribuidos '!C19="Avena","Otros almidones",'Volúmenes DIstribuidos '!C19)))</f>
        <v>Menestras</v>
      </c>
      <c r="C73" s="10" t="s">
        <v>29</v>
      </c>
      <c r="D73" s="12">
        <f>'Volúmenes DIstribuidos '!D19</f>
        <v>33.06</v>
      </c>
      <c r="E73" s="12">
        <f>SUMIF('Parametros Inventario'!$A:$A,B73,'Parametros Inventario'!$B:$B)+SUMIFS(D$2:D73,B$2:B73,B73,C$2:C73,"ENTRADA")-SUMIFS(D$2:D73,B$2:B73,B73,C$2:C73,"SALIDA")</f>
        <v>1285.83</v>
      </c>
    </row>
    <row r="74" spans="1:5" x14ac:dyDescent="0.3">
      <c r="A74" s="9">
        <f>'Volúmenes DIstribuidos '!B15</f>
        <v>44054</v>
      </c>
      <c r="B74" s="10" t="str">
        <f>IF(OR('Volúmenes DIstribuidos '!C20="Azúcar",'Volúmenes DIstribuidos '!C20="azúcar"),"Azúcar o dulce",IF('Volúmenes DIstribuidos '!C20="Aceite","Aceite o grasas",IF('Volúmenes DIstribuidos '!C20="Avena","Otros almidones",'Volúmenes DIstribuidos '!C20)))</f>
        <v>Azúcar o dulce</v>
      </c>
      <c r="C74" s="10" t="s">
        <v>29</v>
      </c>
      <c r="D74" s="12">
        <f>'Volúmenes DIstribuidos '!D20</f>
        <v>5.0599999999999996</v>
      </c>
      <c r="E74" s="12">
        <f>SUMIF('Parametros Inventario'!$A:$A,B74,'Parametros Inventario'!$B:$B)+SUMIFS(D$2:D74,B$2:B74,B74,C$2:C74,"ENTRADA")-SUMIFS(D$2:D74,B$2:B74,B74,C$2:C74,"SALIDA")</f>
        <v>2628.35</v>
      </c>
    </row>
    <row r="75" spans="1:5" x14ac:dyDescent="0.3">
      <c r="A75" s="9">
        <v>44057</v>
      </c>
      <c r="B75" s="10" t="s">
        <v>13</v>
      </c>
      <c r="C75" s="10" t="s">
        <v>28</v>
      </c>
      <c r="D75" s="12">
        <v>258.42</v>
      </c>
      <c r="E75" s="12">
        <f>SUMIF('Parametros Inventario'!$A:$A,B75,'Parametros Inventario'!$B:$B)+SUMIFS(D$2:D75,B$2:B75,B75,C$2:C75,"ENTRADA")-SUMIFS(D$2:D75,B$2:B75,B75,C$2:C75,"SALIDA")</f>
        <v>2886.77</v>
      </c>
    </row>
    <row r="76" spans="1:5" x14ac:dyDescent="0.3">
      <c r="A76" s="9">
        <v>44057</v>
      </c>
      <c r="B76" s="10" t="s">
        <v>15</v>
      </c>
      <c r="C76" s="10" t="s">
        <v>28</v>
      </c>
      <c r="D76" s="12">
        <v>83.2</v>
      </c>
      <c r="E76" s="12">
        <f>SUMIF('Parametros Inventario'!$A:$A,B76,'Parametros Inventario'!$B:$B)+SUMIFS(D$2:D76,B$2:B76,B76,C$2:C76,"ENTRADA")-SUMIFS(D$2:D76,B$2:B76,B76,C$2:C76,"SALIDA")</f>
        <v>2102.6089999999999</v>
      </c>
    </row>
    <row r="77" spans="1:5" x14ac:dyDescent="0.3">
      <c r="A77" s="9">
        <v>44057</v>
      </c>
      <c r="B77" s="10" t="s">
        <v>11</v>
      </c>
      <c r="C77" s="10" t="s">
        <v>28</v>
      </c>
      <c r="D77" s="12">
        <v>84.63</v>
      </c>
      <c r="E77" s="12">
        <f>SUMIF('Parametros Inventario'!$A:$A,B77,'Parametros Inventario'!$B:$B)+SUMIFS(D$2:D77,B$2:B77,B77,C$2:C77,"ENTRADA")-SUMIFS(D$2:D77,B$2:B77,B77,C$2:C77,"SALIDA")</f>
        <v>2131.29</v>
      </c>
    </row>
    <row r="78" spans="1:5" x14ac:dyDescent="0.3">
      <c r="A78" s="9">
        <v>44057</v>
      </c>
      <c r="B78" s="10" t="s">
        <v>9</v>
      </c>
      <c r="C78" s="10" t="s">
        <v>28</v>
      </c>
      <c r="D78" s="12">
        <v>209.12</v>
      </c>
      <c r="E78" s="12">
        <f>SUMIF('Parametros Inventario'!$A:$A,B78,'Parametros Inventario'!$B:$B)+SUMIFS(D$2:D78,B$2:B78,B78,C$2:C78,"ENTRADA")-SUMIFS(D$2:D78,B$2:B78,B78,C$2:C78,"SALIDA")</f>
        <v>1623.6100000000001</v>
      </c>
    </row>
    <row r="79" spans="1:5" x14ac:dyDescent="0.3">
      <c r="A79" s="9">
        <v>44057</v>
      </c>
      <c r="B79" s="10" t="s">
        <v>14</v>
      </c>
      <c r="C79" s="10" t="s">
        <v>28</v>
      </c>
      <c r="D79" s="12">
        <v>240.42</v>
      </c>
      <c r="E79" s="12">
        <f>SUMIF('Parametros Inventario'!$A:$A,B79,'Parametros Inventario'!$B:$B)+SUMIFS(D$2:D79,B$2:B79,B79,C$2:C79,"ENTRADA")-SUMIFS(D$2:D79,B$2:B79,B79,C$2:C79,"SALIDA")</f>
        <v>1526.2499999999998</v>
      </c>
    </row>
    <row r="80" spans="1:5" x14ac:dyDescent="0.3">
      <c r="A80" s="9">
        <v>44057</v>
      </c>
      <c r="B80" s="10" t="s">
        <v>12</v>
      </c>
      <c r="C80" s="10" t="s">
        <v>28</v>
      </c>
      <c r="D80" s="12">
        <v>216.81</v>
      </c>
      <c r="E80" s="12">
        <f>SUMIF('Parametros Inventario'!$A:$A,B80,'Parametros Inventario'!$B:$B)+SUMIFS(D$2:D80,B$2:B80,B80,C$2:C80,"ENTRADA")-SUMIFS(D$2:D80,B$2:B80,B80,C$2:C80,"SALIDA")</f>
        <v>1932.56</v>
      </c>
    </row>
    <row r="81" spans="1:5" x14ac:dyDescent="0.3">
      <c r="A81" s="9">
        <v>44057</v>
      </c>
      <c r="B81" s="10" t="s">
        <v>16</v>
      </c>
      <c r="C81" s="10" t="s">
        <v>28</v>
      </c>
      <c r="D81" s="12">
        <v>87.25</v>
      </c>
      <c r="E81" s="12">
        <f>SUMIF('Parametros Inventario'!$A:$A,B81,'Parametros Inventario'!$B:$B)+SUMIFS(D$2:D81,B$2:B81,B81,C$2:C81,"ENTRADA")-SUMIFS(D$2:D81,B$2:B81,B81,C$2:C81,"SALIDA")</f>
        <v>2278.36</v>
      </c>
    </row>
    <row r="82" spans="1:5" x14ac:dyDescent="0.3">
      <c r="A82" s="9">
        <v>44057</v>
      </c>
      <c r="B82" s="10" t="s">
        <v>17</v>
      </c>
      <c r="C82" s="10" t="s">
        <v>28</v>
      </c>
      <c r="D82" s="12">
        <v>231.97</v>
      </c>
      <c r="E82" s="12">
        <f>SUMIF('Parametros Inventario'!$A:$A,B82,'Parametros Inventario'!$B:$B)+SUMIFS(D$2:D82,B$2:B82,B82,C$2:C82,"ENTRADA")-SUMIFS(D$2:D82,B$2:B82,B82,C$2:C82,"SALIDA")</f>
        <v>1970.86</v>
      </c>
    </row>
    <row r="83" spans="1:5" x14ac:dyDescent="0.3">
      <c r="A83" s="9">
        <v>44057</v>
      </c>
      <c r="B83" s="10" t="s">
        <v>18</v>
      </c>
      <c r="C83" s="10" t="s">
        <v>28</v>
      </c>
      <c r="D83" s="12">
        <v>72.33</v>
      </c>
      <c r="E83" s="12">
        <f>SUMIF('Parametros Inventario'!$A:$A,B83,'Parametros Inventario'!$B:$B)+SUMIFS(D$2:D83,B$2:B83,B83,C$2:C83,"ENTRADA")-SUMIFS(D$2:D83,B$2:B83,B83,C$2:C83,"SALIDA")</f>
        <v>2411.9</v>
      </c>
    </row>
    <row r="84" spans="1:5" x14ac:dyDescent="0.3">
      <c r="A84" s="9">
        <v>44057</v>
      </c>
      <c r="B84" s="10" t="s">
        <v>10</v>
      </c>
      <c r="C84" s="10" t="s">
        <v>28</v>
      </c>
      <c r="D84" s="12">
        <v>206.19</v>
      </c>
      <c r="E84" s="12">
        <f>SUMIF('Parametros Inventario'!$A:$A,B84,'Parametros Inventario'!$B:$B)+SUMIFS(D$2:D84,B$2:B84,B84,C$2:C84,"ENTRADA")-SUMIFS(D$2:D84,B$2:B84,B84,C$2:C84,"SALIDA")</f>
        <v>1982.8140000000001</v>
      </c>
    </row>
    <row r="85" spans="1:5" x14ac:dyDescent="0.3">
      <c r="A85" s="9">
        <v>44057</v>
      </c>
      <c r="B85" s="10" t="s">
        <v>8</v>
      </c>
      <c r="C85" s="10" t="s">
        <v>28</v>
      </c>
      <c r="D85" s="12">
        <v>205.9</v>
      </c>
      <c r="E85" s="12">
        <f>SUMIF('Parametros Inventario'!$A:$A,B85,'Parametros Inventario'!$B:$B)+SUMIFS(D$2:D85,B$2:B85,B85,C$2:C85,"ENTRADA")-SUMIFS(D$2:D85,B$2:B85,B85,C$2:C85,"SALIDA")</f>
        <v>2473.67</v>
      </c>
    </row>
    <row r="86" spans="1:5" x14ac:dyDescent="0.3">
      <c r="A86" s="9">
        <f>'Volúmenes DIstribuidos '!B21</f>
        <v>44057</v>
      </c>
      <c r="B86" s="10" t="str">
        <f>IF(OR('Volúmenes DIstribuidos '!C21="Azúcar",'Volúmenes DIstribuidos '!C21="azúcar"),"Azúcar o dulce",IF('Volúmenes DIstribuidos '!C21="Aceite","Aceite o grasas",IF('Volúmenes DIstribuidos '!C21="Avena","Otros almidones",'Volúmenes DIstribuidos '!C21)))</f>
        <v>Carnes rojas</v>
      </c>
      <c r="C86" s="10" t="s">
        <v>29</v>
      </c>
      <c r="D86" s="12">
        <f>'Volúmenes DIstribuidos '!D21</f>
        <v>66.275999999999996</v>
      </c>
      <c r="E86" s="12">
        <f>SUMIF('Parametros Inventario'!$A:$A,B86,'Parametros Inventario'!$B:$B)+SUMIFS(D$2:D86,B$2:B86,B86,C$2:C86,"ENTRADA")-SUMIFS(D$2:D86,B$2:B86,B86,C$2:C86,"SALIDA")</f>
        <v>1866.2839999999999</v>
      </c>
    </row>
    <row r="87" spans="1:5" x14ac:dyDescent="0.3">
      <c r="A87" s="9">
        <f>'Volúmenes DIstribuidos '!B21</f>
        <v>44057</v>
      </c>
      <c r="B87" s="10" t="str">
        <f>IF(OR('Volúmenes DIstribuidos '!C22="Azúcar",'Volúmenes DIstribuidos '!C22="azúcar"),"Azúcar o dulce",IF('Volúmenes DIstribuidos '!C22="Aceite","Aceite o grasas",IF('Volúmenes DIstribuidos '!C22="Avena","Otros almidones",'Volúmenes DIstribuidos '!C22)))</f>
        <v>Menestras</v>
      </c>
      <c r="C87" s="10" t="s">
        <v>29</v>
      </c>
      <c r="D87" s="12">
        <f>'Volúmenes DIstribuidos '!D22</f>
        <v>34.630000000000003</v>
      </c>
      <c r="E87" s="12">
        <f>SUMIF('Parametros Inventario'!$A:$A,B87,'Parametros Inventario'!$B:$B)+SUMIFS(D$2:D87,B$2:B87,B87,C$2:C87,"ENTRADA")-SUMIFS(D$2:D87,B$2:B87,B87,C$2:C87,"SALIDA")</f>
        <v>1491.62</v>
      </c>
    </row>
    <row r="88" spans="1:5" x14ac:dyDescent="0.3">
      <c r="A88" s="9">
        <f>'Volúmenes DIstribuidos '!B21</f>
        <v>44057</v>
      </c>
      <c r="B88" s="10" t="str">
        <f>IF(OR('Volúmenes DIstribuidos '!C23="Azúcar",'Volúmenes DIstribuidos '!C23="azúcar"),"Azúcar o dulce",IF('Volúmenes DIstribuidos '!C23="Aceite","Aceite o grasas",IF('Volúmenes DIstribuidos '!C23="Avena","Otros almidones",'Volúmenes DIstribuidos '!C23)))</f>
        <v>Aceite o grasas</v>
      </c>
      <c r="C88" s="10" t="s">
        <v>29</v>
      </c>
      <c r="D88" s="12">
        <f>'Volúmenes DIstribuidos '!D23</f>
        <v>77.75</v>
      </c>
      <c r="E88" s="12">
        <f>SUMIF('Parametros Inventario'!$A:$A,B88,'Parametros Inventario'!$B:$B)+SUMIFS(D$2:D88,B$2:B88,B88,C$2:C88,"ENTRADA")-SUMIFS(D$2:D88,B$2:B88,B88,C$2:C88,"SALIDA")</f>
        <v>2395.92</v>
      </c>
    </row>
    <row r="89" spans="1:5" x14ac:dyDescent="0.3">
      <c r="A89" s="9">
        <f>'Volúmenes DIstribuidos '!B21</f>
        <v>44057</v>
      </c>
      <c r="B89" s="10" t="str">
        <f>IF(OR('Volúmenes DIstribuidos '!C24="Azúcar",'Volúmenes DIstribuidos '!C24="azúcar"),"Azúcar o dulce",IF('Volúmenes DIstribuidos '!C24="Aceite","Aceite o grasas",IF('Volúmenes DIstribuidos '!C24="Avena","Otros almidones",'Volúmenes DIstribuidos '!C24)))</f>
        <v>Panadería</v>
      </c>
      <c r="C89" s="10" t="s">
        <v>29</v>
      </c>
      <c r="D89" s="12">
        <f>'Volúmenes DIstribuidos '!D24</f>
        <v>103.38</v>
      </c>
      <c r="E89" s="12">
        <f>SUMIF('Parametros Inventario'!$A:$A,B89,'Parametros Inventario'!$B:$B)+SUMIFS(D$2:D89,B$2:B89,B89,C$2:C89,"ENTRADA")-SUMIFS(D$2:D89,B$2:B89,B89,C$2:C89,"SALIDA")</f>
        <v>1520.23</v>
      </c>
    </row>
    <row r="90" spans="1:5" x14ac:dyDescent="0.3">
      <c r="A90" s="9">
        <f>'Volúmenes DIstribuidos '!B21</f>
        <v>44057</v>
      </c>
      <c r="B90" s="10" t="str">
        <f>IF(OR('Volúmenes DIstribuidos '!C25="Azúcar",'Volúmenes DIstribuidos '!C25="azúcar"),"Azúcar o dulce",IF('Volúmenes DIstribuidos '!C25="Aceite","Aceite o grasas",IF('Volúmenes DIstribuidos '!C25="Avena","Otros almidones",'Volúmenes DIstribuidos '!C25)))</f>
        <v>Otros almidones</v>
      </c>
      <c r="C90" s="10" t="s">
        <v>29</v>
      </c>
      <c r="D90" s="12">
        <f>'Volúmenes DIstribuidos '!D25</f>
        <v>119.26</v>
      </c>
      <c r="E90" s="12">
        <f>SUMIF('Parametros Inventario'!$A:$A,B90,'Parametros Inventario'!$B:$B)+SUMIFS(D$2:D90,B$2:B90,B90,C$2:C90,"ENTRADA")-SUMIFS(D$2:D90,B$2:B90,B90,C$2:C90,"SALIDA")</f>
        <v>1983.3489999999999</v>
      </c>
    </row>
    <row r="91" spans="1:5" x14ac:dyDescent="0.3">
      <c r="A91" s="9">
        <f>'Volúmenes DIstribuidos '!B21</f>
        <v>44057</v>
      </c>
      <c r="B91" s="10" t="str">
        <f>IF(OR('Volúmenes DIstribuidos '!C26="Azúcar",'Volúmenes DIstribuidos '!C26="azúcar"),"Azúcar o dulce",IF('Volúmenes DIstribuidos '!C26="Aceite","Aceite o grasas",IF('Volúmenes DIstribuidos '!C26="Avena","Otros almidones",'Volúmenes DIstribuidos '!C26)))</f>
        <v>Azúcar o dulce</v>
      </c>
      <c r="C91" s="10" t="s">
        <v>29</v>
      </c>
      <c r="D91" s="12">
        <f>'Volúmenes DIstribuidos '!D26</f>
        <v>57.39</v>
      </c>
      <c r="E91" s="12">
        <f>SUMIF('Parametros Inventario'!$A:$A,B91,'Parametros Inventario'!$B:$B)+SUMIFS(D$2:D91,B$2:B91,B91,C$2:C91,"ENTRADA")-SUMIFS(D$2:D91,B$2:B91,B91,C$2:C91,"SALIDA")</f>
        <v>2829.38</v>
      </c>
    </row>
    <row r="92" spans="1:5" x14ac:dyDescent="0.3">
      <c r="A92" s="9">
        <f>'Volúmenes DIstribuidos '!B27</f>
        <v>44061</v>
      </c>
      <c r="B92" s="10" t="str">
        <f>IF(OR('Volúmenes DIstribuidos '!C27="Azúcar",'Volúmenes DIstribuidos '!C27="azúcar"),"Azúcar o dulce",IF('Volúmenes DIstribuidos '!C27="Aceite","Aceite o grasas",IF('Volúmenes DIstribuidos '!C27="Avena","Otros almidones",'Volúmenes DIstribuidos '!C27)))</f>
        <v>Otros almidones</v>
      </c>
      <c r="C92" s="10" t="s">
        <v>29</v>
      </c>
      <c r="D92" s="12">
        <f>'Volúmenes DIstribuidos '!D27</f>
        <v>49.58</v>
      </c>
      <c r="E92" s="12">
        <f>SUMIF('Parametros Inventario'!$A:$A,B92,'Parametros Inventario'!$B:$B)+SUMIFS(D$2:D92,B$2:B92,B92,C$2:C92,"ENTRADA")-SUMIFS(D$2:D92,B$2:B92,B92,C$2:C92,"SALIDA")</f>
        <v>1933.769</v>
      </c>
    </row>
    <row r="93" spans="1:5" x14ac:dyDescent="0.3">
      <c r="A93" s="9">
        <f>'Volúmenes DIstribuidos '!B27</f>
        <v>44061</v>
      </c>
      <c r="B93" s="10" t="str">
        <f>IF(OR('Volúmenes DIstribuidos '!C28="Azúcar",'Volúmenes DIstribuidos '!C28="azúcar"),"Azúcar o dulce",IF('Volúmenes DIstribuidos '!C28="Aceite","Aceite o grasas",IF('Volúmenes DIstribuidos '!C28="Avena","Otros almidones",'Volúmenes DIstribuidos '!C28)))</f>
        <v>Carnes blancas</v>
      </c>
      <c r="C93" s="10" t="s">
        <v>29</v>
      </c>
      <c r="D93" s="12">
        <f>'Volúmenes DIstribuidos '!D28</f>
        <v>72.34</v>
      </c>
      <c r="E93" s="12">
        <f>SUMIF('Parametros Inventario'!$A:$A,B93,'Parametros Inventario'!$B:$B)+SUMIFS(D$2:D93,B$2:B93,B93,C$2:C93,"ENTRADA")-SUMIFS(D$2:D93,B$2:B93,B93,C$2:C93,"SALIDA")</f>
        <v>2206.02</v>
      </c>
    </row>
    <row r="94" spans="1:5" x14ac:dyDescent="0.3">
      <c r="A94" s="9">
        <f>'Volúmenes DIstribuidos '!B27</f>
        <v>44061</v>
      </c>
      <c r="B94" s="10" t="str">
        <f>IF(OR('Volúmenes DIstribuidos '!C29="Azúcar",'Volúmenes DIstribuidos '!C29="azúcar"),"Azúcar o dulce",IF('Volúmenes DIstribuidos '!C29="Aceite","Aceite o grasas",IF('Volúmenes DIstribuidos '!C29="Avena","Otros almidones",'Volúmenes DIstribuidos '!C29)))</f>
        <v>Panadería</v>
      </c>
      <c r="C94" s="10" t="s">
        <v>29</v>
      </c>
      <c r="D94" s="12">
        <f>'Volúmenes DIstribuidos '!D29</f>
        <v>35.47</v>
      </c>
      <c r="E94" s="12">
        <f>SUMIF('Parametros Inventario'!$A:$A,B94,'Parametros Inventario'!$B:$B)+SUMIFS(D$2:D94,B$2:B94,B94,C$2:C94,"ENTRADA")-SUMIFS(D$2:D94,B$2:B94,B94,C$2:C94,"SALIDA")</f>
        <v>1484.7600000000002</v>
      </c>
    </row>
    <row r="95" spans="1:5" x14ac:dyDescent="0.3">
      <c r="A95" s="9">
        <f>'Volúmenes DIstribuidos '!B27</f>
        <v>44061</v>
      </c>
      <c r="B95" s="10" t="str">
        <f>IF(OR('Volúmenes DIstribuidos '!C30="Azúcar",'Volúmenes DIstribuidos '!C30="azúcar"),"Azúcar o dulce",IF('Volúmenes DIstribuidos '!C30="Aceite","Aceite o grasas",IF('Volúmenes DIstribuidos '!C30="Avena","Otros almidones",'Volúmenes DIstribuidos '!C30)))</f>
        <v>Aceite o grasas</v>
      </c>
      <c r="C95" s="10" t="s">
        <v>29</v>
      </c>
      <c r="D95" s="12">
        <f>'Volúmenes DIstribuidos '!D30</f>
        <v>12.21</v>
      </c>
      <c r="E95" s="12">
        <f>SUMIF('Parametros Inventario'!$A:$A,B95,'Parametros Inventario'!$B:$B)+SUMIFS(D$2:D95,B$2:B95,B95,C$2:C95,"ENTRADA")-SUMIFS(D$2:D95,B$2:B95,B95,C$2:C95,"SALIDA")</f>
        <v>2383.71</v>
      </c>
    </row>
    <row r="96" spans="1:5" x14ac:dyDescent="0.3">
      <c r="A96" s="9">
        <f>'Volúmenes DIstribuidos '!B27</f>
        <v>44061</v>
      </c>
      <c r="B96" s="10" t="str">
        <f>IF(OR('Volúmenes DIstribuidos '!C31="Azúcar",'Volúmenes DIstribuidos '!C31="azúcar"),"Azúcar o dulce",IF('Volúmenes DIstribuidos '!C31="Aceite","Aceite o grasas",IF('Volúmenes DIstribuidos '!C31="Avena","Otros almidones",'Volúmenes DIstribuidos '!C31)))</f>
        <v>Vegetales y hojas</v>
      </c>
      <c r="C96" s="10" t="s">
        <v>29</v>
      </c>
      <c r="D96" s="12">
        <f>'Volúmenes DIstribuidos '!D31</f>
        <v>134.52000000000001</v>
      </c>
      <c r="E96" s="12">
        <f>SUMIF('Parametros Inventario'!$A:$A,B96,'Parametros Inventario'!$B:$B)+SUMIFS(D$2:D96,B$2:B96,B96,C$2:C96,"ENTRADA")-SUMIFS(D$2:D96,B$2:B96,B96,C$2:C96,"SALIDA")</f>
        <v>1848.2940000000001</v>
      </c>
    </row>
    <row r="97" spans="1:5" x14ac:dyDescent="0.3">
      <c r="A97" s="9">
        <f>'Volúmenes DIstribuidos '!B27</f>
        <v>44061</v>
      </c>
      <c r="B97" s="10" t="str">
        <f>IF(OR('Volúmenes DIstribuidos '!C32="Azúcar",'Volúmenes DIstribuidos '!C32="azúcar"),"Azúcar o dulce",IF('Volúmenes DIstribuidos '!C32="Aceite","Aceite o grasas",IF('Volúmenes DIstribuidos '!C32="Avena","Otros almidones",'Volúmenes DIstribuidos '!C32)))</f>
        <v>Fideo</v>
      </c>
      <c r="C97" s="10" t="s">
        <v>29</v>
      </c>
      <c r="D97" s="12">
        <f>'Volúmenes DIstribuidos '!D32</f>
        <v>35.061</v>
      </c>
      <c r="E97" s="12">
        <f>SUMIF('Parametros Inventario'!$A:$A,B97,'Parametros Inventario'!$B:$B)+SUMIFS(D$2:D97,B$2:B97,B97,C$2:C97,"ENTRADA")-SUMIFS(D$2:D97,B$2:B97,B97,C$2:C97,"SALIDA")</f>
        <v>2096.2290000000003</v>
      </c>
    </row>
    <row r="98" spans="1:5" x14ac:dyDescent="0.3">
      <c r="A98" s="9">
        <v>44064</v>
      </c>
      <c r="B98" s="10" t="s">
        <v>13</v>
      </c>
      <c r="C98" s="10" t="s">
        <v>28</v>
      </c>
      <c r="D98" s="12">
        <v>146.81</v>
      </c>
      <c r="E98" s="12">
        <f>SUMIF('Parametros Inventario'!$A:$A,B98,'Parametros Inventario'!$B:$B)+SUMIFS(D$2:D98,B$2:B98,B98,C$2:C98,"ENTRADA")-SUMIFS(D$2:D98,B$2:B98,B98,C$2:C98,"SALIDA")</f>
        <v>2976.19</v>
      </c>
    </row>
    <row r="99" spans="1:5" x14ac:dyDescent="0.3">
      <c r="A99" s="9">
        <v>44064</v>
      </c>
      <c r="B99" s="10" t="s">
        <v>15</v>
      </c>
      <c r="C99" s="10" t="s">
        <v>28</v>
      </c>
      <c r="D99" s="12">
        <v>275.06</v>
      </c>
      <c r="E99" s="12">
        <f>SUMIF('Parametros Inventario'!$A:$A,B99,'Parametros Inventario'!$B:$B)+SUMIFS(D$2:D99,B$2:B99,B99,C$2:C99,"ENTRADA")-SUMIFS(D$2:D99,B$2:B99,B99,C$2:C99,"SALIDA")</f>
        <v>2208.8289999999997</v>
      </c>
    </row>
    <row r="100" spans="1:5" x14ac:dyDescent="0.3">
      <c r="A100" s="9">
        <v>44064</v>
      </c>
      <c r="B100" s="10" t="s">
        <v>11</v>
      </c>
      <c r="C100" s="10" t="s">
        <v>28</v>
      </c>
      <c r="D100" s="12">
        <v>134.75</v>
      </c>
      <c r="E100" s="12">
        <f>SUMIF('Parametros Inventario'!$A:$A,B100,'Parametros Inventario'!$B:$B)+SUMIFS(D$2:D100,B$2:B100,B100,C$2:C100,"ENTRADA")-SUMIFS(D$2:D100,B$2:B100,B100,C$2:C100,"SALIDA")</f>
        <v>2230.9790000000003</v>
      </c>
    </row>
    <row r="101" spans="1:5" x14ac:dyDescent="0.3">
      <c r="A101" s="9">
        <v>44064</v>
      </c>
      <c r="B101" s="10" t="s">
        <v>9</v>
      </c>
      <c r="C101" s="10" t="s">
        <v>28</v>
      </c>
      <c r="D101" s="12">
        <v>61.45</v>
      </c>
      <c r="E101" s="12">
        <f>SUMIF('Parametros Inventario'!$A:$A,B101,'Parametros Inventario'!$B:$B)+SUMIFS(D$2:D101,B$2:B101,B101,C$2:C101,"ENTRADA")-SUMIFS(D$2:D101,B$2:B101,B101,C$2:C101,"SALIDA")</f>
        <v>1546.21</v>
      </c>
    </row>
    <row r="102" spans="1:5" x14ac:dyDescent="0.3">
      <c r="A102" s="9">
        <v>44064</v>
      </c>
      <c r="B102" s="10" t="s">
        <v>14</v>
      </c>
      <c r="C102" s="10" t="s">
        <v>28</v>
      </c>
      <c r="D102" s="12">
        <v>217.61</v>
      </c>
      <c r="E102" s="12">
        <f>SUMIF('Parametros Inventario'!$A:$A,B102,'Parametros Inventario'!$B:$B)+SUMIFS(D$2:D102,B$2:B102,B102,C$2:C102,"ENTRADA")-SUMIFS(D$2:D102,B$2:B102,B102,C$2:C102,"SALIDA")</f>
        <v>1709.2299999999998</v>
      </c>
    </row>
    <row r="103" spans="1:5" x14ac:dyDescent="0.3">
      <c r="A103" s="9">
        <v>44064</v>
      </c>
      <c r="B103" s="10" t="s">
        <v>12</v>
      </c>
      <c r="C103" s="10" t="s">
        <v>28</v>
      </c>
      <c r="D103" s="12">
        <v>160.77000000000001</v>
      </c>
      <c r="E103" s="12">
        <f>SUMIF('Parametros Inventario'!$A:$A,B103,'Parametros Inventario'!$B:$B)+SUMIFS(D$2:D103,B$2:B103,B103,C$2:C103,"ENTRADA")-SUMIFS(D$2:D103,B$2:B103,B103,C$2:C103,"SALIDA")</f>
        <v>2027.0539999999999</v>
      </c>
    </row>
    <row r="104" spans="1:5" x14ac:dyDescent="0.3">
      <c r="A104" s="9">
        <v>44064</v>
      </c>
      <c r="B104" s="10" t="s">
        <v>16</v>
      </c>
      <c r="C104" s="10" t="s">
        <v>28</v>
      </c>
      <c r="D104" s="12">
        <v>119.34</v>
      </c>
      <c r="E104" s="12">
        <f>SUMIF('Parametros Inventario'!$A:$A,B104,'Parametros Inventario'!$B:$B)+SUMIFS(D$2:D104,B$2:B104,B104,C$2:C104,"ENTRADA")-SUMIFS(D$2:D104,B$2:B104,B104,C$2:C104,"SALIDA")</f>
        <v>2325.36</v>
      </c>
    </row>
    <row r="105" spans="1:5" x14ac:dyDescent="0.3">
      <c r="A105" s="9">
        <v>44064</v>
      </c>
      <c r="B105" s="10" t="s">
        <v>17</v>
      </c>
      <c r="C105" s="10" t="s">
        <v>28</v>
      </c>
      <c r="D105" s="12">
        <v>72.13</v>
      </c>
      <c r="E105" s="12">
        <f>SUMIF('Parametros Inventario'!$A:$A,B105,'Parametros Inventario'!$B:$B)+SUMIFS(D$2:D105,B$2:B105,B105,C$2:C105,"ENTRADA")-SUMIFS(D$2:D105,B$2:B105,B105,C$2:C105,"SALIDA")</f>
        <v>2042.9899999999998</v>
      </c>
    </row>
    <row r="106" spans="1:5" x14ac:dyDescent="0.3">
      <c r="A106" s="9">
        <v>44064</v>
      </c>
      <c r="B106" s="10" t="s">
        <v>18</v>
      </c>
      <c r="C106" s="10" t="s">
        <v>28</v>
      </c>
      <c r="D106" s="12">
        <v>91.4</v>
      </c>
      <c r="E106" s="12">
        <f>SUMIF('Parametros Inventario'!$A:$A,B106,'Parametros Inventario'!$B:$B)+SUMIFS(D$2:D106,B$2:B106,B106,C$2:C106,"ENTRADA")-SUMIFS(D$2:D106,B$2:B106,B106,C$2:C106,"SALIDA")</f>
        <v>2503.3000000000002</v>
      </c>
    </row>
    <row r="107" spans="1:5" x14ac:dyDescent="0.3">
      <c r="A107" s="9">
        <v>44064</v>
      </c>
      <c r="B107" s="10" t="s">
        <v>10</v>
      </c>
      <c r="C107" s="10" t="s">
        <v>28</v>
      </c>
      <c r="D107" s="12">
        <v>56.2</v>
      </c>
      <c r="E107" s="12">
        <f>SUMIF('Parametros Inventario'!$A:$A,B107,'Parametros Inventario'!$B:$B)+SUMIFS(D$2:D107,B$2:B107,B107,C$2:C107,"ENTRADA")-SUMIFS(D$2:D107,B$2:B107,B107,C$2:C107,"SALIDA")</f>
        <v>1904.4940000000001</v>
      </c>
    </row>
    <row r="108" spans="1:5" x14ac:dyDescent="0.3">
      <c r="A108" s="9">
        <v>44064</v>
      </c>
      <c r="B108" s="10" t="s">
        <v>8</v>
      </c>
      <c r="C108" s="10" t="s">
        <v>28</v>
      </c>
      <c r="D108" s="12">
        <v>207.53</v>
      </c>
      <c r="E108" s="12">
        <f>SUMIF('Parametros Inventario'!$A:$A,B108,'Parametros Inventario'!$B:$B)+SUMIFS(D$2:D108,B$2:B108,B108,C$2:C108,"ENTRADA")-SUMIFS(D$2:D108,B$2:B108,B108,C$2:C108,"SALIDA")</f>
        <v>2591.2399999999998</v>
      </c>
    </row>
    <row r="109" spans="1:5" x14ac:dyDescent="0.3">
      <c r="A109" s="9">
        <f>'Volúmenes DIstribuidos '!B33</f>
        <v>44064</v>
      </c>
      <c r="B109" s="10" t="str">
        <f>IF(OR('Volúmenes DIstribuidos '!C33="Azúcar",'Volúmenes DIstribuidos '!C33="azúcar"),"Azúcar o dulce",IF('Volúmenes DIstribuidos '!C33="Aceite","Aceite o grasas",IF('Volúmenes DIstribuidos '!C33="Avena","Otros almidones",'Volúmenes DIstribuidos '!C33)))</f>
        <v>Salsas</v>
      </c>
      <c r="C109" s="10" t="s">
        <v>29</v>
      </c>
      <c r="D109" s="12">
        <f>'Volúmenes DIstribuidos '!D33</f>
        <v>60</v>
      </c>
      <c r="E109" s="12">
        <f>SUMIF('Parametros Inventario'!$A:$A,B109,'Parametros Inventario'!$B:$B)+SUMIFS(D$2:D109,B$2:B109,B109,C$2:C109,"ENTRADA")-SUMIFS(D$2:D109,B$2:B109,B109,C$2:C109,"SALIDA")</f>
        <v>2443.3000000000002</v>
      </c>
    </row>
    <row r="110" spans="1:5" x14ac:dyDescent="0.3">
      <c r="A110" s="9">
        <f>'Volúmenes DIstribuidos '!B33</f>
        <v>44064</v>
      </c>
      <c r="B110" s="10" t="str">
        <f>IF(OR('Volúmenes DIstribuidos '!C34="Azúcar",'Volúmenes DIstribuidos '!C34="azúcar"),"Azúcar o dulce",IF('Volúmenes DIstribuidos '!C34="Aceite","Aceite o grasas",IF('Volúmenes DIstribuidos '!C34="Avena","Otros almidones",'Volúmenes DIstribuidos '!C34)))</f>
        <v>Lácteos</v>
      </c>
      <c r="C110" s="10" t="s">
        <v>29</v>
      </c>
      <c r="D110" s="12">
        <f>'Volúmenes DIstribuidos '!D34</f>
        <v>55.62</v>
      </c>
      <c r="E110" s="12">
        <f>SUMIF('Parametros Inventario'!$A:$A,B110,'Parametros Inventario'!$B:$B)+SUMIFS(D$2:D110,B$2:B110,B110,C$2:C110,"ENTRADA")-SUMIFS(D$2:D110,B$2:B110,B110,C$2:C110,"SALIDA")</f>
        <v>1987.37</v>
      </c>
    </row>
    <row r="111" spans="1:5" x14ac:dyDescent="0.3">
      <c r="A111" s="9">
        <f>'Volúmenes DIstribuidos '!B33</f>
        <v>44064</v>
      </c>
      <c r="B111" s="10" t="str">
        <f>IF(OR('Volúmenes DIstribuidos '!C35="Azúcar",'Volúmenes DIstribuidos '!C35="azúcar"),"Azúcar o dulce",IF('Volúmenes DIstribuidos '!C35="Aceite","Aceite o grasas",IF('Volúmenes DIstribuidos '!C35="Avena","Otros almidones",'Volúmenes DIstribuidos '!C35)))</f>
        <v>Carnes blancas</v>
      </c>
      <c r="C111" s="10" t="s">
        <v>29</v>
      </c>
      <c r="D111" s="12">
        <f>'Volúmenes DIstribuidos '!D35</f>
        <v>58.76</v>
      </c>
      <c r="E111" s="12">
        <f>SUMIF('Parametros Inventario'!$A:$A,B111,'Parametros Inventario'!$B:$B)+SUMIFS(D$2:D111,B$2:B111,B111,C$2:C111,"ENTRADA")-SUMIFS(D$2:D111,B$2:B111,B111,C$2:C111,"SALIDA")</f>
        <v>2266.6</v>
      </c>
    </row>
    <row r="112" spans="1:5" x14ac:dyDescent="0.3">
      <c r="A112" s="9">
        <f>'Volúmenes DIstribuidos '!B33</f>
        <v>44064</v>
      </c>
      <c r="B112" s="10" t="str">
        <f>IF(OR('Volúmenes DIstribuidos '!C36="Azúcar",'Volúmenes DIstribuidos '!C36="azúcar"),"Azúcar o dulce",IF('Volúmenes DIstribuidos '!C36="Aceite","Aceite o grasas",IF('Volúmenes DIstribuidos '!C36="Avena","Otros almidones",'Volúmenes DIstribuidos '!C36)))</f>
        <v>Menestras</v>
      </c>
      <c r="C112" s="10" t="s">
        <v>29</v>
      </c>
      <c r="D112" s="12">
        <f>'Volúmenes DIstribuidos '!D36</f>
        <v>21.823</v>
      </c>
      <c r="E112" s="12">
        <f>SUMIF('Parametros Inventario'!$A:$A,B112,'Parametros Inventario'!$B:$B)+SUMIFS(D$2:D112,B$2:B112,B112,C$2:C112,"ENTRADA")-SUMIFS(D$2:D112,B$2:B112,B112,C$2:C112,"SALIDA")</f>
        <v>1687.4069999999997</v>
      </c>
    </row>
    <row r="113" spans="1:5" x14ac:dyDescent="0.3">
      <c r="A113" s="9">
        <f>'Volúmenes DIstribuidos '!B33</f>
        <v>44064</v>
      </c>
      <c r="B113" s="10" t="str">
        <f>IF(OR('Volúmenes DIstribuidos '!C37="Azúcar",'Volúmenes DIstribuidos '!C37="azúcar"),"Azúcar o dulce",IF('Volúmenes DIstribuidos '!C37="Aceite","Aceite o grasas",IF('Volúmenes DIstribuidos '!C37="Avena","Otros almidones",'Volúmenes DIstribuidos '!C37)))</f>
        <v>Aceite o grasas</v>
      </c>
      <c r="C113" s="10" t="s">
        <v>29</v>
      </c>
      <c r="D113" s="12">
        <f>'Volúmenes DIstribuidos '!D37</f>
        <v>80.180000000000007</v>
      </c>
      <c r="E113" s="12">
        <f>SUMIF('Parametros Inventario'!$A:$A,B113,'Parametros Inventario'!$B:$B)+SUMIFS(D$2:D113,B$2:B113,B113,C$2:C113,"ENTRADA")-SUMIFS(D$2:D113,B$2:B113,B113,C$2:C113,"SALIDA")</f>
        <v>2511.0599999999995</v>
      </c>
    </row>
    <row r="114" spans="1:5" x14ac:dyDescent="0.3">
      <c r="A114" s="9">
        <f>'Volúmenes DIstribuidos '!B33</f>
        <v>44064</v>
      </c>
      <c r="B114" s="10" t="str">
        <f>IF(OR('Volúmenes DIstribuidos '!C38="Azúcar",'Volúmenes DIstribuidos '!C38="azúcar"),"Azúcar o dulce",IF('Volúmenes DIstribuidos '!C38="Aceite","Aceite o grasas",IF('Volúmenes DIstribuidos '!C38="Avena","Otros almidones",'Volúmenes DIstribuidos '!C38)))</f>
        <v>Panadería</v>
      </c>
      <c r="C114" s="10" t="s">
        <v>29</v>
      </c>
      <c r="D114" s="12">
        <f>'Volúmenes DIstribuidos '!D38</f>
        <v>76.11</v>
      </c>
      <c r="E114" s="12">
        <f>SUMIF('Parametros Inventario'!$A:$A,B114,'Parametros Inventario'!$B:$B)+SUMIFS(D$2:D114,B$2:B114,B114,C$2:C114,"ENTRADA")-SUMIFS(D$2:D114,B$2:B114,B114,C$2:C114,"SALIDA")</f>
        <v>1470.1</v>
      </c>
    </row>
    <row r="115" spans="1:5" x14ac:dyDescent="0.3">
      <c r="A115" s="9">
        <f>'Volúmenes DIstribuidos '!B39</f>
        <v>44068</v>
      </c>
      <c r="B115" s="10" t="str">
        <f>IF(OR('Volúmenes DIstribuidos '!C39="Azúcar",'Volúmenes DIstribuidos '!C39="azúcar"),"Azúcar o dulce",IF('Volúmenes DIstribuidos '!C39="Aceite","Aceite o grasas",IF('Volúmenes DIstribuidos '!C39="Avena","Otros almidones",'Volúmenes DIstribuidos '!C39)))</f>
        <v>Azúcar o dulce</v>
      </c>
      <c r="C115" s="10" t="s">
        <v>29</v>
      </c>
      <c r="D115" s="12">
        <f>'Volúmenes DIstribuidos '!D39</f>
        <v>11.72</v>
      </c>
      <c r="E115" s="12">
        <f>SUMIF('Parametros Inventario'!$A:$A,B115,'Parametros Inventario'!$B:$B)+SUMIFS(D$2:D115,B$2:B115,B115,C$2:C115,"ENTRADA")-SUMIFS(D$2:D115,B$2:B115,B115,C$2:C115,"SALIDA")</f>
        <v>2964.47</v>
      </c>
    </row>
    <row r="116" spans="1:5" x14ac:dyDescent="0.3">
      <c r="A116" s="9">
        <f>'Volúmenes DIstribuidos '!B39</f>
        <v>44068</v>
      </c>
      <c r="B116" s="10" t="str">
        <f>IF(OR('Volúmenes DIstribuidos '!C40="Azúcar",'Volúmenes DIstribuidos '!C40="azúcar"),"Azúcar o dulce",IF('Volúmenes DIstribuidos '!C40="Aceite","Aceite o grasas",IF('Volúmenes DIstribuidos '!C40="Avena","Otros almidones",'Volúmenes DIstribuidos '!C40)))</f>
        <v>Otros almidones</v>
      </c>
      <c r="C116" s="10" t="s">
        <v>29</v>
      </c>
      <c r="D116" s="12">
        <f>'Volúmenes DIstribuidos '!D40</f>
        <v>11.88</v>
      </c>
      <c r="E116" s="12">
        <f>SUMIF('Parametros Inventario'!$A:$A,B116,'Parametros Inventario'!$B:$B)+SUMIFS(D$2:D116,B$2:B116,B116,C$2:C116,"ENTRADA")-SUMIFS(D$2:D116,B$2:B116,B116,C$2:C116,"SALIDA")</f>
        <v>2196.9490000000001</v>
      </c>
    </row>
    <row r="117" spans="1:5" x14ac:dyDescent="0.3">
      <c r="A117" s="9">
        <f>'Volúmenes DIstribuidos '!B39</f>
        <v>44068</v>
      </c>
      <c r="B117" s="10" t="str">
        <f>IF(OR('Volúmenes DIstribuidos '!C41="Azúcar",'Volúmenes DIstribuidos '!C41="azúcar"),"Azúcar o dulce",IF('Volúmenes DIstribuidos '!C41="Aceite","Aceite o grasas",IF('Volúmenes DIstribuidos '!C41="Avena","Otros almidones",'Volúmenes DIstribuidos '!C41)))</f>
        <v>Menestras</v>
      </c>
      <c r="C117" s="10" t="s">
        <v>29</v>
      </c>
      <c r="D117" s="12">
        <f>'Volúmenes DIstribuidos '!D41</f>
        <v>4.49</v>
      </c>
      <c r="E117" s="12">
        <f>SUMIF('Parametros Inventario'!$A:$A,B117,'Parametros Inventario'!$B:$B)+SUMIFS(D$2:D117,B$2:B117,B117,C$2:C117,"ENTRADA")-SUMIFS(D$2:D117,B$2:B117,B117,C$2:C117,"SALIDA")</f>
        <v>1682.9169999999997</v>
      </c>
    </row>
    <row r="118" spans="1:5" x14ac:dyDescent="0.3">
      <c r="A118" s="9">
        <f>'Volúmenes DIstribuidos '!B39</f>
        <v>44068</v>
      </c>
      <c r="B118" s="10" t="str">
        <f>IF(OR('Volúmenes DIstribuidos '!C42="Azúcar",'Volúmenes DIstribuidos '!C42="azúcar"),"Azúcar o dulce",IF('Volúmenes DIstribuidos '!C42="Aceite","Aceite o grasas",IF('Volúmenes DIstribuidos '!C42="Avena","Otros almidones",'Volúmenes DIstribuidos '!C42)))</f>
        <v>Salsas</v>
      </c>
      <c r="C118" s="10" t="s">
        <v>29</v>
      </c>
      <c r="D118" s="12">
        <f>'Volúmenes DIstribuidos '!D42</f>
        <v>6.71</v>
      </c>
      <c r="E118" s="12">
        <f>SUMIF('Parametros Inventario'!$A:$A,B118,'Parametros Inventario'!$B:$B)+SUMIFS(D$2:D118,B$2:B118,B118,C$2:C118,"ENTRADA")-SUMIFS(D$2:D118,B$2:B118,B118,C$2:C118,"SALIDA")</f>
        <v>2436.59</v>
      </c>
    </row>
    <row r="119" spans="1:5" x14ac:dyDescent="0.3">
      <c r="A119" s="9">
        <f>'Volúmenes DIstribuidos '!B39</f>
        <v>44068</v>
      </c>
      <c r="B119" s="10" t="str">
        <f>IF(OR('Volúmenes DIstribuidos '!C43="Azúcar",'Volúmenes DIstribuidos '!C43="azúcar"),"Azúcar o dulce",IF('Volúmenes DIstribuidos '!C43="Aceite","Aceite o grasas",IF('Volúmenes DIstribuidos '!C43="Avena","Otros almidones",'Volúmenes DIstribuidos '!C43)))</f>
        <v>Lácteos</v>
      </c>
      <c r="C119" s="10" t="s">
        <v>29</v>
      </c>
      <c r="D119" s="12">
        <f>'Volúmenes DIstribuidos '!D43</f>
        <v>11.58</v>
      </c>
      <c r="E119" s="12">
        <f>SUMIF('Parametros Inventario'!$A:$A,B119,'Parametros Inventario'!$B:$B)+SUMIFS(D$2:D119,B$2:B119,B119,C$2:C119,"ENTRADA")-SUMIFS(D$2:D119,B$2:B119,B119,C$2:C119,"SALIDA")</f>
        <v>1975.7899999999997</v>
      </c>
    </row>
    <row r="120" spans="1:5" x14ac:dyDescent="0.3">
      <c r="A120" s="9">
        <f>'Volúmenes DIstribuidos '!B39</f>
        <v>44068</v>
      </c>
      <c r="B120" s="10" t="str">
        <f>IF(OR('Volúmenes DIstribuidos '!C44="Azúcar",'Volúmenes DIstribuidos '!C44="azúcar"),"Azúcar o dulce",IF('Volúmenes DIstribuidos '!C44="Aceite","Aceite o grasas",IF('Volúmenes DIstribuidos '!C44="Avena","Otros almidones",'Volúmenes DIstribuidos '!C44)))</f>
        <v>Carnes blancas</v>
      </c>
      <c r="C120" s="10" t="s">
        <v>29</v>
      </c>
      <c r="D120" s="12">
        <f>'Volúmenes DIstribuidos '!D44</f>
        <v>38.892000000000003</v>
      </c>
      <c r="E120" s="12">
        <f>SUMIF('Parametros Inventario'!$A:$A,B120,'Parametros Inventario'!$B:$B)+SUMIFS(D$2:D120,B$2:B120,B120,C$2:C120,"ENTRADA")-SUMIFS(D$2:D120,B$2:B120,B120,C$2:C120,"SALIDA")</f>
        <v>2227.7080000000001</v>
      </c>
    </row>
    <row r="121" spans="1:5" x14ac:dyDescent="0.3">
      <c r="A121" s="9">
        <f>'Volúmenes DIstribuidos '!B45</f>
        <v>44071</v>
      </c>
      <c r="B121" s="10" t="str">
        <f>IF(OR('Volúmenes DIstribuidos '!C45="Azúcar",'Volúmenes DIstribuidos '!C45="azúcar"),"Azúcar o dulce",IF('Volúmenes DIstribuidos '!C45="Aceite","Aceite o grasas",IF('Volúmenes DIstribuidos '!C45="Avena","Otros almidones",'Volúmenes DIstribuidos '!C45)))</f>
        <v>Menestras</v>
      </c>
      <c r="C121" s="10" t="s">
        <v>29</v>
      </c>
      <c r="D121" s="12">
        <f>'Volúmenes DIstribuidos '!D45</f>
        <v>18.23</v>
      </c>
      <c r="E121" s="12">
        <f>SUMIF('Parametros Inventario'!$A:$A,B121,'Parametros Inventario'!$B:$B)+SUMIFS(D$2:D121,B$2:B121,B121,C$2:C121,"ENTRADA")-SUMIFS(D$2:D121,B$2:B121,B121,C$2:C121,"SALIDA")</f>
        <v>1664.6869999999997</v>
      </c>
    </row>
    <row r="122" spans="1:5" x14ac:dyDescent="0.3">
      <c r="A122" s="9">
        <f>'Volúmenes DIstribuidos '!B45</f>
        <v>44071</v>
      </c>
      <c r="B122" s="10" t="str">
        <f>IF(OR('Volúmenes DIstribuidos '!C46="Azúcar",'Volúmenes DIstribuidos '!C46="azúcar"),"Azúcar o dulce",IF('Volúmenes DIstribuidos '!C46="Aceite","Aceite o grasas",IF('Volúmenes DIstribuidos '!C46="Avena","Otros almidones",'Volúmenes DIstribuidos '!C46)))</f>
        <v>Aceite o grasas</v>
      </c>
      <c r="C122" s="10" t="s">
        <v>29</v>
      </c>
      <c r="D122" s="12">
        <f>'Volúmenes DIstribuidos '!D46</f>
        <v>12</v>
      </c>
      <c r="E122" s="12">
        <f>SUMIF('Parametros Inventario'!$A:$A,B122,'Parametros Inventario'!$B:$B)+SUMIFS(D$2:D122,B$2:B122,B122,C$2:C122,"ENTRADA")-SUMIFS(D$2:D122,B$2:B122,B122,C$2:C122,"SALIDA")</f>
        <v>2499.0599999999995</v>
      </c>
    </row>
    <row r="123" spans="1:5" x14ac:dyDescent="0.3">
      <c r="A123" s="9">
        <f>'Volúmenes DIstribuidos '!B45</f>
        <v>44071</v>
      </c>
      <c r="B123" s="10" t="str">
        <f>IF(OR('Volúmenes DIstribuidos '!C47="Azúcar",'Volúmenes DIstribuidos '!C47="azúcar"),"Azúcar o dulce",IF('Volúmenes DIstribuidos '!C47="Aceite","Aceite o grasas",IF('Volúmenes DIstribuidos '!C47="Avena","Otros almidones",'Volúmenes DIstribuidos '!C47)))</f>
        <v>Lácteos</v>
      </c>
      <c r="C123" s="10" t="s">
        <v>29</v>
      </c>
      <c r="D123" s="12">
        <f>'Volúmenes DIstribuidos '!D47</f>
        <v>11.13</v>
      </c>
      <c r="E123" s="12">
        <f>SUMIF('Parametros Inventario'!$A:$A,B123,'Parametros Inventario'!$B:$B)+SUMIFS(D$2:D123,B$2:B123,B123,C$2:C123,"ENTRADA")-SUMIFS(D$2:D123,B$2:B123,B123,C$2:C123,"SALIDA")</f>
        <v>1964.6599999999999</v>
      </c>
    </row>
    <row r="124" spans="1:5" x14ac:dyDescent="0.3">
      <c r="A124" s="9">
        <f>'Volúmenes DIstribuidos '!B45</f>
        <v>44071</v>
      </c>
      <c r="B124" s="10" t="str">
        <f>IF(OR('Volúmenes DIstribuidos '!C48="Azúcar",'Volúmenes DIstribuidos '!C48="azúcar"),"Azúcar o dulce",IF('Volúmenes DIstribuidos '!C48="Aceite","Aceite o grasas",IF('Volúmenes DIstribuidos '!C48="Avena","Otros almidones",'Volúmenes DIstribuidos '!C48)))</f>
        <v>Carnes blancas</v>
      </c>
      <c r="C124" s="10" t="s">
        <v>29</v>
      </c>
      <c r="D124" s="12">
        <f>'Volúmenes DIstribuidos '!D48</f>
        <v>23.26</v>
      </c>
      <c r="E124" s="12">
        <f>SUMIF('Parametros Inventario'!$A:$A,B124,'Parametros Inventario'!$B:$B)+SUMIFS(D$2:D124,B$2:B124,B124,C$2:C124,"ENTRADA")-SUMIFS(D$2:D124,B$2:B124,B124,C$2:C124,"SALIDA")</f>
        <v>2204.4480000000003</v>
      </c>
    </row>
    <row r="125" spans="1:5" x14ac:dyDescent="0.3">
      <c r="A125" s="9">
        <f>'Volúmenes DIstribuidos '!B45</f>
        <v>44071</v>
      </c>
      <c r="B125" s="10" t="str">
        <f>IF(OR('Volúmenes DIstribuidos '!C49="Azúcar",'Volúmenes DIstribuidos '!C49="azúcar"),"Azúcar o dulce",IF('Volúmenes DIstribuidos '!C49="Aceite","Aceite o grasas",IF('Volúmenes DIstribuidos '!C49="Avena","Otros almidones",'Volúmenes DIstribuidos '!C49)))</f>
        <v>Otros almidones</v>
      </c>
      <c r="C125" s="10" t="s">
        <v>29</v>
      </c>
      <c r="D125" s="12">
        <f>'Volúmenes DIstribuidos '!D49</f>
        <v>21.06</v>
      </c>
      <c r="E125" s="12">
        <f>SUMIF('Parametros Inventario'!$A:$A,B125,'Parametros Inventario'!$B:$B)+SUMIFS(D$2:D125,B$2:B125,B125,C$2:C125,"ENTRADA")-SUMIFS(D$2:D125,B$2:B125,B125,C$2:C125,"SALIDA")</f>
        <v>2175.8890000000001</v>
      </c>
    </row>
    <row r="126" spans="1:5" x14ac:dyDescent="0.3">
      <c r="A126" s="9">
        <f>'Volúmenes DIstribuidos '!B45</f>
        <v>44071</v>
      </c>
      <c r="B126" s="10" t="str">
        <f>IF(OR('Volúmenes DIstribuidos '!C50="Azúcar",'Volúmenes DIstribuidos '!C50="azúcar"),"Azúcar o dulce",IF('Volúmenes DIstribuidos '!C50="Aceite","Aceite o grasas",IF('Volúmenes DIstribuidos '!C50="Avena","Otros almidones",'Volúmenes DIstribuidos '!C50)))</f>
        <v>Vegetales y hojas</v>
      </c>
      <c r="C126" s="10" t="s">
        <v>29</v>
      </c>
      <c r="D126" s="12">
        <f>'Volúmenes DIstribuidos '!D50</f>
        <v>6.7220000000000004</v>
      </c>
      <c r="E126" s="12">
        <f>SUMIF('Parametros Inventario'!$A:$A,B126,'Parametros Inventario'!$B:$B)+SUMIFS(D$2:D126,B$2:B126,B126,C$2:C126,"ENTRADA")-SUMIFS(D$2:D126,B$2:B126,B126,C$2:C126,"SALIDA")</f>
        <v>1897.7720000000002</v>
      </c>
    </row>
    <row r="127" spans="1:5" x14ac:dyDescent="0.3">
      <c r="A127" s="9">
        <f>'Volúmenes DIstribuidos '!B51</f>
        <v>44075</v>
      </c>
      <c r="B127" s="10" t="str">
        <f>IF(OR('Volúmenes DIstribuidos '!C51="Azúcar",'Volúmenes DIstribuidos '!C51="azúcar"),"Azúcar o dulce",IF('Volúmenes DIstribuidos '!C51="Aceite","Aceite o grasas",IF('Volúmenes DIstribuidos '!C51="Avena","Otros almidones",'Volúmenes DIstribuidos '!C51)))</f>
        <v>Aceite o grasas</v>
      </c>
      <c r="C127" s="10" t="s">
        <v>29</v>
      </c>
      <c r="D127" s="12">
        <f>'Volúmenes DIstribuidos '!D51</f>
        <v>12.04</v>
      </c>
      <c r="E127" s="12">
        <f>SUMIF('Parametros Inventario'!$A:$A,B127,'Parametros Inventario'!$B:$B)+SUMIFS(D$2:D127,B$2:B127,B127,C$2:C127,"ENTRADA")-SUMIFS(D$2:D127,B$2:B127,B127,C$2:C127,"SALIDA")</f>
        <v>2487.0199999999995</v>
      </c>
    </row>
    <row r="128" spans="1:5" x14ac:dyDescent="0.3">
      <c r="A128" s="9">
        <f>'Volúmenes DIstribuidos '!B51</f>
        <v>44075</v>
      </c>
      <c r="B128" s="10" t="str">
        <f>IF(OR('Volúmenes DIstribuidos '!C52="Azúcar",'Volúmenes DIstribuidos '!C52="azúcar"),"Azúcar o dulce",IF('Volúmenes DIstribuidos '!C52="Aceite","Aceite o grasas",IF('Volúmenes DIstribuidos '!C52="Avena","Otros almidones",'Volúmenes DIstribuidos '!C52)))</f>
        <v>Carnes blancas</v>
      </c>
      <c r="C128" s="10" t="s">
        <v>29</v>
      </c>
      <c r="D128" s="12">
        <f>'Volúmenes DIstribuidos '!D52</f>
        <v>7.18</v>
      </c>
      <c r="E128" s="12">
        <f>SUMIF('Parametros Inventario'!$A:$A,B128,'Parametros Inventario'!$B:$B)+SUMIFS(D$2:D128,B$2:B128,B128,C$2:C128,"ENTRADA")-SUMIFS(D$2:D128,B$2:B128,B128,C$2:C128,"SALIDA")</f>
        <v>2197.268</v>
      </c>
    </row>
    <row r="129" spans="1:5" x14ac:dyDescent="0.3">
      <c r="A129" s="9">
        <f>'Volúmenes DIstribuidos '!B51</f>
        <v>44075</v>
      </c>
      <c r="B129" s="10" t="str">
        <f>IF(OR('Volúmenes DIstribuidos '!C53="Azúcar",'Volúmenes DIstribuidos '!C53="azúcar"),"Azúcar o dulce",IF('Volúmenes DIstribuidos '!C53="Aceite","Aceite o grasas",IF('Volúmenes DIstribuidos '!C53="Avena","Otros almidones",'Volúmenes DIstribuidos '!C53)))</f>
        <v>Vegetales y hojas</v>
      </c>
      <c r="C129" s="10" t="s">
        <v>29</v>
      </c>
      <c r="D129" s="12">
        <f>'Volúmenes DIstribuidos '!D53</f>
        <v>19.565999999999999</v>
      </c>
      <c r="E129" s="12">
        <f>SUMIF('Parametros Inventario'!$A:$A,B129,'Parametros Inventario'!$B:$B)+SUMIFS(D$2:D129,B$2:B129,B129,C$2:C129,"ENTRADA")-SUMIFS(D$2:D129,B$2:B129,B129,C$2:C129,"SALIDA")</f>
        <v>1878.2060000000001</v>
      </c>
    </row>
    <row r="130" spans="1:5" x14ac:dyDescent="0.3">
      <c r="A130" s="9">
        <f>'Volúmenes DIstribuidos '!B51</f>
        <v>44075</v>
      </c>
      <c r="B130" s="10" t="str">
        <f>IF(OR('Volúmenes DIstribuidos '!C54="Azúcar",'Volúmenes DIstribuidos '!C54="azúcar"),"Azúcar o dulce",IF('Volúmenes DIstribuidos '!C54="Aceite","Aceite o grasas",IF('Volúmenes DIstribuidos '!C54="Avena","Otros almidones",'Volúmenes DIstribuidos '!C54)))</f>
        <v>Menestras</v>
      </c>
      <c r="C130" s="10" t="s">
        <v>29</v>
      </c>
      <c r="D130" s="12">
        <f>'Volúmenes DIstribuidos '!D54</f>
        <v>22.52</v>
      </c>
      <c r="E130" s="12">
        <f>SUMIF('Parametros Inventario'!$A:$A,B130,'Parametros Inventario'!$B:$B)+SUMIFS(D$2:D130,B$2:B130,B130,C$2:C130,"ENTRADA")-SUMIFS(D$2:D130,B$2:B130,B130,C$2:C130,"SALIDA")</f>
        <v>1642.1669999999997</v>
      </c>
    </row>
    <row r="131" spans="1:5" x14ac:dyDescent="0.3">
      <c r="A131" s="9">
        <f>'Volúmenes DIstribuidos '!B51</f>
        <v>44075</v>
      </c>
      <c r="B131" s="10" t="str">
        <f>IF(OR('Volúmenes DIstribuidos '!C55="Azúcar",'Volúmenes DIstribuidos '!C55="azúcar"),"Azúcar o dulce",IF('Volúmenes DIstribuidos '!C55="Aceite","Aceite o grasas",IF('Volúmenes DIstribuidos '!C55="Avena","Otros almidones",'Volúmenes DIstribuidos '!C55)))</f>
        <v>Otros almidones</v>
      </c>
      <c r="C131" s="10" t="s">
        <v>29</v>
      </c>
      <c r="D131" s="12">
        <f>'Volúmenes DIstribuidos '!D55</f>
        <v>10.19</v>
      </c>
      <c r="E131" s="12">
        <f>SUMIF('Parametros Inventario'!$A:$A,B131,'Parametros Inventario'!$B:$B)+SUMIFS(D$2:D131,B$2:B131,B131,C$2:C131,"ENTRADA")-SUMIFS(D$2:D131,B$2:B131,B131,C$2:C131,"SALIDA")</f>
        <v>2165.6990000000001</v>
      </c>
    </row>
    <row r="132" spans="1:5" x14ac:dyDescent="0.3">
      <c r="A132" s="9">
        <f>'Volúmenes DIstribuidos '!B51</f>
        <v>44075</v>
      </c>
      <c r="B132" s="10" t="str">
        <f>IF(OR('Volúmenes DIstribuidos '!C56="Azúcar",'Volúmenes DIstribuidos '!C56="azúcar"),"Azúcar o dulce",IF('Volúmenes DIstribuidos '!C56="Aceite","Aceite o grasas",IF('Volúmenes DIstribuidos '!C56="Avena","Otros almidones",'Volúmenes DIstribuidos '!C56)))</f>
        <v>Vegetales y hojas</v>
      </c>
      <c r="C132" s="10" t="s">
        <v>29</v>
      </c>
      <c r="D132" s="12">
        <f>'Volúmenes DIstribuidos '!D56</f>
        <v>12.113</v>
      </c>
      <c r="E132" s="12">
        <f>SUMIF('Parametros Inventario'!$A:$A,B132,'Parametros Inventario'!$B:$B)+SUMIFS(D$2:D132,B$2:B132,B132,C$2:C132,"ENTRADA")-SUMIFS(D$2:D132,B$2:B132,B132,C$2:C132,"SALIDA")</f>
        <v>1866.0930000000001</v>
      </c>
    </row>
    <row r="133" spans="1:5" x14ac:dyDescent="0.3">
      <c r="A133" s="9">
        <f>'Volúmenes DIstribuidos '!B57</f>
        <v>44078</v>
      </c>
      <c r="B133" s="10" t="str">
        <f>IF(OR('Volúmenes DIstribuidos '!C57="Azúcar",'Volúmenes DIstribuidos '!C57="azúcar"),"Azúcar o dulce",IF('Volúmenes DIstribuidos '!C57="Aceite","Aceite o grasas",IF('Volúmenes DIstribuidos '!C57="Avena","Otros almidones",'Volúmenes DIstribuidos '!C57)))</f>
        <v>Carnes rojas</v>
      </c>
      <c r="C133" s="10" t="s">
        <v>29</v>
      </c>
      <c r="D133" s="12">
        <f>'Volúmenes DIstribuidos '!D57</f>
        <v>45.18</v>
      </c>
      <c r="E133" s="12">
        <f>SUMIF('Parametros Inventario'!$A:$A,B133,'Parametros Inventario'!$B:$B)+SUMIFS(D$2:D133,B$2:B133,B133,C$2:C133,"ENTRADA")-SUMIFS(D$2:D133,B$2:B133,B133,C$2:C133,"SALIDA")</f>
        <v>1981.874</v>
      </c>
    </row>
    <row r="134" spans="1:5" x14ac:dyDescent="0.3">
      <c r="A134" s="9">
        <f>'Volúmenes DIstribuidos '!B57</f>
        <v>44078</v>
      </c>
      <c r="B134" s="10" t="str">
        <f>IF(OR('Volúmenes DIstribuidos '!C58="Azúcar",'Volúmenes DIstribuidos '!C58="azúcar"),"Azúcar o dulce",IF('Volúmenes DIstribuidos '!C58="Aceite","Aceite o grasas",IF('Volúmenes DIstribuidos '!C58="Avena","Otros almidones",'Volúmenes DIstribuidos '!C58)))</f>
        <v>Fideo</v>
      </c>
      <c r="C134" s="10" t="s">
        <v>29</v>
      </c>
      <c r="D134" s="12">
        <f>'Volúmenes DIstribuidos '!D58</f>
        <v>13.76</v>
      </c>
      <c r="E134" s="12">
        <f>SUMIF('Parametros Inventario'!$A:$A,B134,'Parametros Inventario'!$B:$B)+SUMIFS(D$2:D134,B$2:B134,B134,C$2:C134,"ENTRADA")-SUMIFS(D$2:D134,B$2:B134,B134,C$2:C134,"SALIDA")</f>
        <v>2217.2190000000001</v>
      </c>
    </row>
    <row r="135" spans="1:5" x14ac:dyDescent="0.3">
      <c r="A135" s="9">
        <f>'Volúmenes DIstribuidos '!B57</f>
        <v>44078</v>
      </c>
      <c r="B135" s="10" t="str">
        <f>IF(OR('Volúmenes DIstribuidos '!C59="Azúcar",'Volúmenes DIstribuidos '!C59="azúcar"),"Azúcar o dulce",IF('Volúmenes DIstribuidos '!C59="Aceite","Aceite o grasas",IF('Volúmenes DIstribuidos '!C59="Avena","Otros almidones",'Volúmenes DIstribuidos '!C59)))</f>
        <v>Salsas</v>
      </c>
      <c r="C135" s="10" t="s">
        <v>29</v>
      </c>
      <c r="D135" s="12">
        <f>'Volúmenes DIstribuidos '!D59</f>
        <v>31.83</v>
      </c>
      <c r="E135" s="12">
        <f>SUMIF('Parametros Inventario'!$A:$A,B135,'Parametros Inventario'!$B:$B)+SUMIFS(D$2:D135,B$2:B135,B135,C$2:C135,"ENTRADA")-SUMIFS(D$2:D135,B$2:B135,B135,C$2:C135,"SALIDA")</f>
        <v>2404.7600000000002</v>
      </c>
    </row>
    <row r="136" spans="1:5" x14ac:dyDescent="0.3">
      <c r="A136" s="9">
        <f>'Volúmenes DIstribuidos '!B57</f>
        <v>44078</v>
      </c>
      <c r="B136" s="10" t="str">
        <f>IF(OR('Volúmenes DIstribuidos '!C60="Azúcar",'Volúmenes DIstribuidos '!C60="azúcar"),"Azúcar o dulce",IF('Volúmenes DIstribuidos '!C60="Aceite","Aceite o grasas",IF('Volúmenes DIstribuidos '!C60="Avena","Otros almidones",'Volúmenes DIstribuidos '!C60)))</f>
        <v>Azúcar o dulce</v>
      </c>
      <c r="C136" s="10" t="s">
        <v>29</v>
      </c>
      <c r="D136" s="12">
        <f>'Volúmenes DIstribuidos '!D60</f>
        <v>35.909999999999997</v>
      </c>
      <c r="E136" s="12">
        <f>SUMIF('Parametros Inventario'!$A:$A,B136,'Parametros Inventario'!$B:$B)+SUMIFS(D$2:D136,B$2:B136,B136,C$2:C136,"ENTRADA")-SUMIFS(D$2:D136,B$2:B136,B136,C$2:C136,"SALIDA")</f>
        <v>2928.56</v>
      </c>
    </row>
    <row r="137" spans="1:5" x14ac:dyDescent="0.3">
      <c r="A137" s="9">
        <f>'Volúmenes DIstribuidos '!B57</f>
        <v>44078</v>
      </c>
      <c r="B137" s="10" t="str">
        <f>IF(OR('Volúmenes DIstribuidos '!C61="Azúcar",'Volúmenes DIstribuidos '!C61="azúcar"),"Azúcar o dulce",IF('Volúmenes DIstribuidos '!C61="Aceite","Aceite o grasas",IF('Volúmenes DIstribuidos '!C61="Avena","Otros almidones",'Volúmenes DIstribuidos '!C61)))</f>
        <v>Carnes blancas</v>
      </c>
      <c r="C137" s="10" t="s">
        <v>29</v>
      </c>
      <c r="D137" s="12">
        <f>'Volúmenes DIstribuidos '!D61</f>
        <v>29.87</v>
      </c>
      <c r="E137" s="12">
        <f>SUMIF('Parametros Inventario'!$A:$A,B137,'Parametros Inventario'!$B:$B)+SUMIFS(D$2:D137,B$2:B137,B137,C$2:C137,"ENTRADA")-SUMIFS(D$2:D137,B$2:B137,B137,C$2:C137,"SALIDA")</f>
        <v>2167.3980000000001</v>
      </c>
    </row>
    <row r="138" spans="1:5" x14ac:dyDescent="0.3">
      <c r="A138" s="9">
        <f>'Volúmenes DIstribuidos '!B57</f>
        <v>44078</v>
      </c>
      <c r="B138" s="10" t="str">
        <f>IF(OR('Volúmenes DIstribuidos '!C62="Azúcar",'Volúmenes DIstribuidos '!C62="azúcar"),"Azúcar o dulce",IF('Volúmenes DIstribuidos '!C62="Aceite","Aceite o grasas",IF('Volúmenes DIstribuidos '!C62="Avena","Otros almidones",'Volúmenes DIstribuidos '!C62)))</f>
        <v>Lácteos</v>
      </c>
      <c r="C138" s="10" t="s">
        <v>29</v>
      </c>
      <c r="D138" s="12">
        <f>'Volúmenes DIstribuidos '!D62</f>
        <v>59.924999999999997</v>
      </c>
      <c r="E138" s="12">
        <f>SUMIF('Parametros Inventario'!$A:$A,B138,'Parametros Inventario'!$B:$B)+SUMIFS(D$2:D138,B$2:B138,B138,C$2:C138,"ENTRADA")-SUMIFS(D$2:D138,B$2:B138,B138,C$2:C138,"SALIDA")</f>
        <v>1904.7349999999999</v>
      </c>
    </row>
    <row r="139" spans="1:5" x14ac:dyDescent="0.3">
      <c r="A139" s="9">
        <f>'Volúmenes DIstribuidos '!B63</f>
        <v>44082</v>
      </c>
      <c r="B139" s="10" t="str">
        <f>IF(OR('Volúmenes DIstribuidos '!C63="Azúcar",'Volúmenes DIstribuidos '!C63="azúcar"),"Azúcar o dulce",IF('Volúmenes DIstribuidos '!C63="Aceite","Aceite o grasas",IF('Volúmenes DIstribuidos '!C63="Avena","Otros almidones",'Volúmenes DIstribuidos '!C63)))</f>
        <v>Menestras</v>
      </c>
      <c r="C139" s="10" t="s">
        <v>29</v>
      </c>
      <c r="D139" s="12">
        <f>'Volúmenes DIstribuidos '!D63</f>
        <v>107.36</v>
      </c>
      <c r="E139" s="12">
        <f>SUMIF('Parametros Inventario'!$A:$A,B139,'Parametros Inventario'!$B:$B)+SUMIFS(D$2:D139,B$2:B139,B139,C$2:C139,"ENTRADA")-SUMIFS(D$2:D139,B$2:B139,B139,C$2:C139,"SALIDA")</f>
        <v>1534.8069999999998</v>
      </c>
    </row>
    <row r="140" spans="1:5" x14ac:dyDescent="0.3">
      <c r="A140" s="9">
        <f>'Volúmenes DIstribuidos '!B63</f>
        <v>44082</v>
      </c>
      <c r="B140" s="10" t="str">
        <f>IF(OR('Volúmenes DIstribuidos '!C64="Azúcar",'Volúmenes DIstribuidos '!C64="azúcar"),"Azúcar o dulce",IF('Volúmenes DIstribuidos '!C64="Aceite","Aceite o grasas",IF('Volúmenes DIstribuidos '!C64="Avena","Otros almidones",'Volúmenes DIstribuidos '!C64)))</f>
        <v>Fideo</v>
      </c>
      <c r="C140" s="10" t="s">
        <v>29</v>
      </c>
      <c r="D140" s="12">
        <f>'Volúmenes DIstribuidos '!D64</f>
        <v>49.34</v>
      </c>
      <c r="E140" s="12">
        <f>SUMIF('Parametros Inventario'!$A:$A,B140,'Parametros Inventario'!$B:$B)+SUMIFS(D$2:D140,B$2:B140,B140,C$2:C140,"ENTRADA")-SUMIFS(D$2:D140,B$2:B140,B140,C$2:C140,"SALIDA")</f>
        <v>2167.8789999999999</v>
      </c>
    </row>
    <row r="141" spans="1:5" x14ac:dyDescent="0.3">
      <c r="A141" s="9">
        <f>'Volúmenes DIstribuidos '!B63</f>
        <v>44082</v>
      </c>
      <c r="B141" s="10" t="str">
        <f>IF(OR('Volúmenes DIstribuidos '!C65="Azúcar",'Volúmenes DIstribuidos '!C65="azúcar"),"Azúcar o dulce",IF('Volúmenes DIstribuidos '!C65="Aceite","Aceite o grasas",IF('Volúmenes DIstribuidos '!C65="Avena","Otros almidones",'Volúmenes DIstribuidos '!C65)))</f>
        <v>Carnes blancas</v>
      </c>
      <c r="C141" s="10" t="s">
        <v>29</v>
      </c>
      <c r="D141" s="12">
        <f>'Volúmenes DIstribuidos '!D65</f>
        <v>26.53</v>
      </c>
      <c r="E141" s="12">
        <f>SUMIF('Parametros Inventario'!$A:$A,B141,'Parametros Inventario'!$B:$B)+SUMIFS(D$2:D141,B$2:B141,B141,C$2:C141,"ENTRADA")-SUMIFS(D$2:D141,B$2:B141,B141,C$2:C141,"SALIDA")</f>
        <v>2140.8680000000004</v>
      </c>
    </row>
    <row r="142" spans="1:5" x14ac:dyDescent="0.3">
      <c r="A142" s="9">
        <f>'Volúmenes DIstribuidos '!B63</f>
        <v>44082</v>
      </c>
      <c r="B142" s="10" t="str">
        <f>IF(OR('Volúmenes DIstribuidos '!C66="Azúcar",'Volúmenes DIstribuidos '!C66="azúcar"),"Azúcar o dulce",IF('Volúmenes DIstribuidos '!C66="Aceite","Aceite o grasas",IF('Volúmenes DIstribuidos '!C66="Avena","Otros almidones",'Volúmenes DIstribuidos '!C66)))</f>
        <v>Aceite o grasas</v>
      </c>
      <c r="C142" s="10" t="s">
        <v>29</v>
      </c>
      <c r="D142" s="12">
        <f>'Volúmenes DIstribuidos '!D66</f>
        <v>24.974</v>
      </c>
      <c r="E142" s="12">
        <f>SUMIF('Parametros Inventario'!$A:$A,B142,'Parametros Inventario'!$B:$B)+SUMIFS(D$2:D142,B$2:B142,B142,C$2:C142,"ENTRADA")-SUMIFS(D$2:D142,B$2:B142,B142,C$2:C142,"SALIDA")</f>
        <v>2462.0459999999998</v>
      </c>
    </row>
    <row r="143" spans="1:5" x14ac:dyDescent="0.3">
      <c r="A143" s="9">
        <f>'Volúmenes DIstribuidos '!B63</f>
        <v>44082</v>
      </c>
      <c r="B143" s="10" t="str">
        <f>IF(OR('Volúmenes DIstribuidos '!C67="Azúcar",'Volúmenes DIstribuidos '!C67="azúcar"),"Azúcar o dulce",IF('Volúmenes DIstribuidos '!C67="Aceite","Aceite o grasas",IF('Volúmenes DIstribuidos '!C67="Avena","Otros almidones",'Volúmenes DIstribuidos '!C67)))</f>
        <v>Azúcar o dulce</v>
      </c>
      <c r="C143" s="10" t="s">
        <v>29</v>
      </c>
      <c r="D143" s="12">
        <f>'Volúmenes DIstribuidos '!D67</f>
        <v>12.29</v>
      </c>
      <c r="E143" s="12">
        <f>SUMIF('Parametros Inventario'!$A:$A,B143,'Parametros Inventario'!$B:$B)+SUMIFS(D$2:D143,B$2:B143,B143,C$2:C143,"ENTRADA")-SUMIFS(D$2:D143,B$2:B143,B143,C$2:C143,"SALIDA")</f>
        <v>2916.27</v>
      </c>
    </row>
    <row r="144" spans="1:5" x14ac:dyDescent="0.3">
      <c r="A144" s="9">
        <f>'Volúmenes DIstribuidos '!B63</f>
        <v>44082</v>
      </c>
      <c r="B144" s="10" t="str">
        <f>IF(OR('Volúmenes DIstribuidos '!C68="Azúcar",'Volúmenes DIstribuidos '!C68="azúcar"),"Azúcar o dulce",IF('Volúmenes DIstribuidos '!C68="Aceite","Aceite o grasas",IF('Volúmenes DIstribuidos '!C68="Avena","Otros almidones",'Volúmenes DIstribuidos '!C68)))</f>
        <v>Otros almidones</v>
      </c>
      <c r="C144" s="10" t="s">
        <v>29</v>
      </c>
      <c r="D144" s="12">
        <f>'Volúmenes DIstribuidos '!D68</f>
        <v>19.63</v>
      </c>
      <c r="E144" s="12">
        <f>SUMIF('Parametros Inventario'!$A:$A,B144,'Parametros Inventario'!$B:$B)+SUMIFS(D$2:D144,B$2:B144,B144,C$2:C144,"ENTRADA")-SUMIFS(D$2:D144,B$2:B144,B144,C$2:C144,"SALIDA")</f>
        <v>2146.069</v>
      </c>
    </row>
    <row r="145" spans="1:5" x14ac:dyDescent="0.3">
      <c r="A145" s="9">
        <v>44085</v>
      </c>
      <c r="B145" s="10" t="s">
        <v>13</v>
      </c>
      <c r="C145" s="10" t="s">
        <v>28</v>
      </c>
      <c r="D145" s="12">
        <v>242.9</v>
      </c>
      <c r="E145" s="12">
        <f>SUMIF('Parametros Inventario'!$A:$A,B145,'Parametros Inventario'!$B:$B)+SUMIFS(D$2:D145,B$2:B145,B145,C$2:C145,"ENTRADA")-SUMIFS(D$2:D145,B$2:B145,B145,C$2:C145,"SALIDA")</f>
        <v>3159.17</v>
      </c>
    </row>
    <row r="146" spans="1:5" x14ac:dyDescent="0.3">
      <c r="A146" s="9">
        <v>44085</v>
      </c>
      <c r="B146" s="10" t="s">
        <v>15</v>
      </c>
      <c r="C146" s="10" t="s">
        <v>28</v>
      </c>
      <c r="D146" s="12">
        <v>127.21</v>
      </c>
      <c r="E146" s="12">
        <f>SUMIF('Parametros Inventario'!$A:$A,B146,'Parametros Inventario'!$B:$B)+SUMIFS(D$2:D146,B$2:B146,B146,C$2:C146,"ENTRADA")-SUMIFS(D$2:D146,B$2:B146,B146,C$2:C146,"SALIDA")</f>
        <v>2273.279</v>
      </c>
    </row>
    <row r="147" spans="1:5" x14ac:dyDescent="0.3">
      <c r="A147" s="9">
        <v>44085</v>
      </c>
      <c r="B147" s="10" t="s">
        <v>11</v>
      </c>
      <c r="C147" s="10" t="s">
        <v>28</v>
      </c>
      <c r="D147" s="12">
        <v>211.29</v>
      </c>
      <c r="E147" s="12">
        <f>SUMIF('Parametros Inventario'!$A:$A,B147,'Parametros Inventario'!$B:$B)+SUMIFS(D$2:D147,B$2:B147,B147,C$2:C147,"ENTRADA")-SUMIFS(D$2:D147,B$2:B147,B147,C$2:C147,"SALIDA")</f>
        <v>2379.1689999999999</v>
      </c>
    </row>
    <row r="148" spans="1:5" x14ac:dyDescent="0.3">
      <c r="A148" s="9">
        <v>44085</v>
      </c>
      <c r="B148" s="10" t="s">
        <v>9</v>
      </c>
      <c r="C148" s="10" t="s">
        <v>28</v>
      </c>
      <c r="D148" s="12">
        <v>210.98</v>
      </c>
      <c r="E148" s="12">
        <f>SUMIF('Parametros Inventario'!$A:$A,B148,'Parametros Inventario'!$B:$B)+SUMIFS(D$2:D148,B$2:B148,B148,C$2:C148,"ENTRADA")-SUMIFS(D$2:D148,B$2:B148,B148,C$2:C148,"SALIDA")</f>
        <v>1681.08</v>
      </c>
    </row>
    <row r="149" spans="1:5" x14ac:dyDescent="0.3">
      <c r="A149" s="9">
        <v>44085</v>
      </c>
      <c r="B149" s="10" t="s">
        <v>14</v>
      </c>
      <c r="C149" s="10" t="s">
        <v>28</v>
      </c>
      <c r="D149" s="12">
        <v>71.290000000000006</v>
      </c>
      <c r="E149" s="12">
        <f>SUMIF('Parametros Inventario'!$A:$A,B149,'Parametros Inventario'!$B:$B)+SUMIFS(D$2:D149,B$2:B149,B149,C$2:C149,"ENTRADA")-SUMIFS(D$2:D149,B$2:B149,B149,C$2:C149,"SALIDA")</f>
        <v>1606.0969999999998</v>
      </c>
    </row>
    <row r="150" spans="1:5" x14ac:dyDescent="0.3">
      <c r="A150" s="9">
        <v>44085</v>
      </c>
      <c r="B150" s="10" t="s">
        <v>12</v>
      </c>
      <c r="C150" s="10" t="s">
        <v>28</v>
      </c>
      <c r="D150" s="12">
        <v>288.79000000000002</v>
      </c>
      <c r="E150" s="12">
        <f>SUMIF('Parametros Inventario'!$A:$A,B150,'Parametros Inventario'!$B:$B)+SUMIFS(D$2:D150,B$2:B150,B150,C$2:C150,"ENTRADA")-SUMIFS(D$2:D150,B$2:B150,B150,C$2:C150,"SALIDA")</f>
        <v>2270.6639999999998</v>
      </c>
    </row>
    <row r="151" spans="1:5" x14ac:dyDescent="0.3">
      <c r="A151" s="9">
        <v>44085</v>
      </c>
      <c r="B151" s="10" t="s">
        <v>16</v>
      </c>
      <c r="C151" s="10" t="s">
        <v>28</v>
      </c>
      <c r="D151" s="12">
        <v>185.46</v>
      </c>
      <c r="E151" s="12">
        <f>SUMIF('Parametros Inventario'!$A:$A,B151,'Parametros Inventario'!$B:$B)+SUMIFS(D$2:D151,B$2:B151,B151,C$2:C151,"ENTRADA")-SUMIFS(D$2:D151,B$2:B151,B151,C$2:C151,"SALIDA")</f>
        <v>2326.3280000000004</v>
      </c>
    </row>
    <row r="152" spans="1:5" x14ac:dyDescent="0.3">
      <c r="A152" s="9">
        <v>44085</v>
      </c>
      <c r="B152" s="10" t="s">
        <v>17</v>
      </c>
      <c r="C152" s="10" t="s">
        <v>28</v>
      </c>
      <c r="D152" s="12">
        <v>239.4</v>
      </c>
      <c r="E152" s="12">
        <f>SUMIF('Parametros Inventario'!$A:$A,B152,'Parametros Inventario'!$B:$B)+SUMIFS(D$2:D152,B$2:B152,B152,C$2:C152,"ENTRADA")-SUMIFS(D$2:D152,B$2:B152,B152,C$2:C152,"SALIDA")</f>
        <v>2144.1349999999998</v>
      </c>
    </row>
    <row r="153" spans="1:5" x14ac:dyDescent="0.3">
      <c r="A153" s="9">
        <v>44085</v>
      </c>
      <c r="B153" s="10" t="s">
        <v>18</v>
      </c>
      <c r="C153" s="10" t="s">
        <v>28</v>
      </c>
      <c r="D153" s="12">
        <v>289.32</v>
      </c>
      <c r="E153" s="12">
        <f>SUMIF('Parametros Inventario'!$A:$A,B153,'Parametros Inventario'!$B:$B)+SUMIFS(D$2:D153,B$2:B153,B153,C$2:C153,"ENTRADA")-SUMIFS(D$2:D153,B$2:B153,B153,C$2:C153,"SALIDA")</f>
        <v>2694.08</v>
      </c>
    </row>
    <row r="154" spans="1:5" x14ac:dyDescent="0.3">
      <c r="A154" s="9">
        <f>'Volúmenes DIstribuidos '!B69</f>
        <v>44085</v>
      </c>
      <c r="B154" s="10" t="str">
        <f>IF(OR('Volúmenes DIstribuidos '!C69="Azúcar",'Volúmenes DIstribuidos '!C69="azúcar"),"Azúcar o dulce",IF('Volúmenes DIstribuidos '!C69="Aceite","Aceite o grasas",IF('Volúmenes DIstribuidos '!C69="Avena","Otros almidones",'Volúmenes DIstribuidos '!C69)))</f>
        <v>Fideo</v>
      </c>
      <c r="C154" s="10" t="s">
        <v>29</v>
      </c>
      <c r="D154" s="12">
        <f>'Volúmenes DIstribuidos '!D69</f>
        <v>11.66</v>
      </c>
      <c r="E154" s="12">
        <f>SUMIF('Parametros Inventario'!$A:$A,B154,'Parametros Inventario'!$B:$B)+SUMIFS(D$2:D154,B$2:B154,B154,C$2:C154,"ENTRADA")-SUMIFS(D$2:D154,B$2:B154,B154,C$2:C154,"SALIDA")</f>
        <v>2367.509</v>
      </c>
    </row>
    <row r="155" spans="1:5" x14ac:dyDescent="0.3">
      <c r="A155" s="9">
        <f>'Volúmenes DIstribuidos '!B69</f>
        <v>44085</v>
      </c>
      <c r="B155" s="10" t="str">
        <f>IF(OR('Volúmenes DIstribuidos '!C70="Azúcar",'Volúmenes DIstribuidos '!C70="azúcar"),"Azúcar o dulce",IF('Volúmenes DIstribuidos '!C70="Aceite","Aceite o grasas",IF('Volúmenes DIstribuidos '!C70="Avena","Otros almidones",'Volúmenes DIstribuidos '!C70)))</f>
        <v>Carnes blancas</v>
      </c>
      <c r="C155" s="10" t="s">
        <v>29</v>
      </c>
      <c r="D155" s="12">
        <f>'Volúmenes DIstribuidos '!D70</f>
        <v>4.87</v>
      </c>
      <c r="E155" s="12">
        <f>SUMIF('Parametros Inventario'!$A:$A,B155,'Parametros Inventario'!$B:$B)+SUMIFS(D$2:D155,B$2:B155,B155,C$2:C155,"ENTRADA")-SUMIFS(D$2:D155,B$2:B155,B155,C$2:C155,"SALIDA")</f>
        <v>2321.4580000000001</v>
      </c>
    </row>
    <row r="156" spans="1:5" x14ac:dyDescent="0.3">
      <c r="A156" s="9">
        <f>'Volúmenes DIstribuidos '!B69</f>
        <v>44085</v>
      </c>
      <c r="B156" s="10" t="str">
        <f>IF(OR('Volúmenes DIstribuidos '!C71="Azúcar",'Volúmenes DIstribuidos '!C71="azúcar"),"Azúcar o dulce",IF('Volúmenes DIstribuidos '!C71="Aceite","Aceite o grasas",IF('Volúmenes DIstribuidos '!C71="Avena","Otros almidones",'Volúmenes DIstribuidos '!C71)))</f>
        <v>Lácteos</v>
      </c>
      <c r="C156" s="10" t="s">
        <v>29</v>
      </c>
      <c r="D156" s="12">
        <f>'Volúmenes DIstribuidos '!D71</f>
        <v>19.64</v>
      </c>
      <c r="E156" s="12">
        <f>SUMIF('Parametros Inventario'!$A:$A,B156,'Parametros Inventario'!$B:$B)+SUMIFS(D$2:D156,B$2:B156,B156,C$2:C156,"ENTRADA")-SUMIFS(D$2:D156,B$2:B156,B156,C$2:C156,"SALIDA")</f>
        <v>2124.4949999999999</v>
      </c>
    </row>
    <row r="157" spans="1:5" x14ac:dyDescent="0.3">
      <c r="A157" s="9">
        <f>'Volúmenes DIstribuidos '!B69</f>
        <v>44085</v>
      </c>
      <c r="B157" s="10" t="str">
        <f>IF(OR('Volúmenes DIstribuidos '!C72="Azúcar",'Volúmenes DIstribuidos '!C72="azúcar"),"Azúcar o dulce",IF('Volúmenes DIstribuidos '!C72="Aceite","Aceite o grasas",IF('Volúmenes DIstribuidos '!C72="Avena","Otros almidones",'Volúmenes DIstribuidos '!C72)))</f>
        <v>Panadería</v>
      </c>
      <c r="C157" s="10" t="s">
        <v>29</v>
      </c>
      <c r="D157" s="12">
        <f>'Volúmenes DIstribuidos '!D72</f>
        <v>27.06</v>
      </c>
      <c r="E157" s="12">
        <f>SUMIF('Parametros Inventario'!$A:$A,B157,'Parametros Inventario'!$B:$B)+SUMIFS(D$2:D157,B$2:B157,B157,C$2:C157,"ENTRADA")-SUMIFS(D$2:D157,B$2:B157,B157,C$2:C157,"SALIDA")</f>
        <v>1654.02</v>
      </c>
    </row>
    <row r="158" spans="1:5" x14ac:dyDescent="0.3">
      <c r="A158" s="9">
        <f>'Volúmenes DIstribuidos '!B69</f>
        <v>44085</v>
      </c>
      <c r="B158" s="10" t="str">
        <f>IF(OR('Volúmenes DIstribuidos '!C73="Azúcar",'Volúmenes DIstribuidos '!C73="azúcar"),"Azúcar o dulce",IF('Volúmenes DIstribuidos '!C73="Aceite","Aceite o grasas",IF('Volúmenes DIstribuidos '!C73="Avena","Otros almidones",'Volúmenes DIstribuidos '!C73)))</f>
        <v>Otros almidones</v>
      </c>
      <c r="C158" s="10" t="s">
        <v>29</v>
      </c>
      <c r="D158" s="12">
        <f>'Volúmenes DIstribuidos '!D73</f>
        <v>10.3</v>
      </c>
      <c r="E158" s="12">
        <f>SUMIF('Parametros Inventario'!$A:$A,B158,'Parametros Inventario'!$B:$B)+SUMIFS(D$2:D158,B$2:B158,B158,C$2:C158,"ENTRADA")-SUMIFS(D$2:D158,B$2:B158,B158,C$2:C158,"SALIDA")</f>
        <v>2262.9789999999998</v>
      </c>
    </row>
    <row r="159" spans="1:5" x14ac:dyDescent="0.3">
      <c r="A159" s="9">
        <f>'Volúmenes DIstribuidos '!B69</f>
        <v>44085</v>
      </c>
      <c r="B159" s="10" t="str">
        <f>IF(OR('Volúmenes DIstribuidos '!C74="Azúcar",'Volúmenes DIstribuidos '!C74="azúcar"),"Azúcar o dulce",IF('Volúmenes DIstribuidos '!C74="Aceite","Aceite o grasas",IF('Volúmenes DIstribuidos '!C74="Avena","Otros almidones",'Volúmenes DIstribuidos '!C74)))</f>
        <v>Panadería</v>
      </c>
      <c r="C159" s="10" t="s">
        <v>29</v>
      </c>
      <c r="D159" s="12">
        <f>'Volúmenes DIstribuidos '!D74</f>
        <v>9.0399999999999991</v>
      </c>
      <c r="E159" s="12">
        <f>SUMIF('Parametros Inventario'!$A:$A,B159,'Parametros Inventario'!$B:$B)+SUMIFS(D$2:D159,B$2:B159,B159,C$2:C159,"ENTRADA")-SUMIFS(D$2:D159,B$2:B159,B159,C$2:C159,"SALIDA")</f>
        <v>1644.98</v>
      </c>
    </row>
    <row r="160" spans="1:5" x14ac:dyDescent="0.3">
      <c r="A160" s="9">
        <f>'Volúmenes DIstribuidos '!B75</f>
        <v>44089</v>
      </c>
      <c r="B160" s="10" t="str">
        <f>IF(OR('Volúmenes DIstribuidos '!C75="Azúcar",'Volúmenes DIstribuidos '!C75="azúcar"),"Azúcar o dulce",IF('Volúmenes DIstribuidos '!C75="Aceite","Aceite o grasas",IF('Volúmenes DIstribuidos '!C75="Avena","Otros almidones",'Volúmenes DIstribuidos '!C75)))</f>
        <v>Salsas</v>
      </c>
      <c r="C160" s="10" t="s">
        <v>29</v>
      </c>
      <c r="D160" s="12">
        <f>'Volúmenes DIstribuidos '!D75</f>
        <v>6.73</v>
      </c>
      <c r="E160" s="12">
        <f>SUMIF('Parametros Inventario'!$A:$A,B160,'Parametros Inventario'!$B:$B)+SUMIFS(D$2:D160,B$2:B160,B160,C$2:C160,"ENTRADA")-SUMIFS(D$2:D160,B$2:B160,B160,C$2:C160,"SALIDA")</f>
        <v>2687.35</v>
      </c>
    </row>
    <row r="161" spans="1:5" x14ac:dyDescent="0.3">
      <c r="A161" s="9">
        <f>'Volúmenes DIstribuidos '!B75</f>
        <v>44089</v>
      </c>
      <c r="B161" s="10" t="str">
        <f>IF(OR('Volúmenes DIstribuidos '!C76="Azúcar",'Volúmenes DIstribuidos '!C76="azúcar"),"Azúcar o dulce",IF('Volúmenes DIstribuidos '!C76="Aceite","Aceite o grasas",IF('Volúmenes DIstribuidos '!C76="Avena","Otros almidones",'Volúmenes DIstribuidos '!C76)))</f>
        <v>Aceite o grasas</v>
      </c>
      <c r="C161" s="10" t="s">
        <v>29</v>
      </c>
      <c r="D161" s="12">
        <f>'Volúmenes DIstribuidos '!D76</f>
        <v>56.588000000000001</v>
      </c>
      <c r="E161" s="12">
        <f>SUMIF('Parametros Inventario'!$A:$A,B161,'Parametros Inventario'!$B:$B)+SUMIFS(D$2:D161,B$2:B161,B161,C$2:C161,"ENTRADA")-SUMIFS(D$2:D161,B$2:B161,B161,C$2:C161,"SALIDA")</f>
        <v>2405.4579999999996</v>
      </c>
    </row>
    <row r="162" spans="1:5" x14ac:dyDescent="0.3">
      <c r="A162" s="9">
        <f>'Volúmenes DIstribuidos '!B75</f>
        <v>44089</v>
      </c>
      <c r="B162" s="10" t="str">
        <f>IF(OR('Volúmenes DIstribuidos '!C77="Azúcar",'Volúmenes DIstribuidos '!C77="azúcar"),"Azúcar o dulce",IF('Volúmenes DIstribuidos '!C77="Aceite","Aceite o grasas",IF('Volúmenes DIstribuidos '!C77="Avena","Otros almidones",'Volúmenes DIstribuidos '!C77)))</f>
        <v>Panadería</v>
      </c>
      <c r="C162" s="10" t="s">
        <v>29</v>
      </c>
      <c r="D162" s="12">
        <f>'Volúmenes DIstribuidos '!D77</f>
        <v>23.79</v>
      </c>
      <c r="E162" s="12">
        <f>SUMIF('Parametros Inventario'!$A:$A,B162,'Parametros Inventario'!$B:$B)+SUMIFS(D$2:D162,B$2:B162,B162,C$2:C162,"ENTRADA")-SUMIFS(D$2:D162,B$2:B162,B162,C$2:C162,"SALIDA")</f>
        <v>1621.19</v>
      </c>
    </row>
    <row r="163" spans="1:5" x14ac:dyDescent="0.3">
      <c r="A163" s="9">
        <f>'Volúmenes DIstribuidos '!B75</f>
        <v>44089</v>
      </c>
      <c r="B163" s="10" t="str">
        <f>IF(OR('Volúmenes DIstribuidos '!C78="Azúcar",'Volúmenes DIstribuidos '!C78="azúcar"),"Azúcar o dulce",IF('Volúmenes DIstribuidos '!C78="Aceite","Aceite o grasas",IF('Volúmenes DIstribuidos '!C78="Avena","Otros almidones",'Volúmenes DIstribuidos '!C78)))</f>
        <v>Carnes rojas</v>
      </c>
      <c r="C163" s="10" t="s">
        <v>29</v>
      </c>
      <c r="D163" s="12">
        <f>'Volúmenes DIstribuidos '!D78</f>
        <v>23.26</v>
      </c>
      <c r="E163" s="12">
        <f>SUMIF('Parametros Inventario'!$A:$A,B163,'Parametros Inventario'!$B:$B)+SUMIFS(D$2:D163,B$2:B163,B163,C$2:C163,"ENTRADA")-SUMIFS(D$2:D163,B$2:B163,B163,C$2:C163,"SALIDA")</f>
        <v>2247.404</v>
      </c>
    </row>
    <row r="164" spans="1:5" x14ac:dyDescent="0.3">
      <c r="A164" s="9">
        <f>'Volúmenes DIstribuidos '!B75</f>
        <v>44089</v>
      </c>
      <c r="B164" s="10" t="str">
        <f>IF(OR('Volúmenes DIstribuidos '!C79="Azúcar",'Volúmenes DIstribuidos '!C79="azúcar"),"Azúcar o dulce",IF('Volúmenes DIstribuidos '!C79="Aceite","Aceite o grasas",IF('Volúmenes DIstribuidos '!C79="Avena","Otros almidones",'Volúmenes DIstribuidos '!C79)))</f>
        <v>Lácteos</v>
      </c>
      <c r="C164" s="10" t="s">
        <v>29</v>
      </c>
      <c r="D164" s="12">
        <f>'Volúmenes DIstribuidos '!D79</f>
        <v>13.52</v>
      </c>
      <c r="E164" s="12">
        <f>SUMIF('Parametros Inventario'!$A:$A,B164,'Parametros Inventario'!$B:$B)+SUMIFS(D$2:D164,B$2:B164,B164,C$2:C164,"ENTRADA")-SUMIFS(D$2:D164,B$2:B164,B164,C$2:C164,"SALIDA")</f>
        <v>2110.9749999999999</v>
      </c>
    </row>
    <row r="165" spans="1:5" x14ac:dyDescent="0.3">
      <c r="A165" s="9">
        <f>'Volúmenes DIstribuidos '!B75</f>
        <v>44089</v>
      </c>
      <c r="B165" s="10" t="str">
        <f>IF(OR('Volúmenes DIstribuidos '!C80="Azúcar",'Volúmenes DIstribuidos '!C80="azúcar"),"Azúcar o dulce",IF('Volúmenes DIstribuidos '!C80="Aceite","Aceite o grasas",IF('Volúmenes DIstribuidos '!C80="Avena","Otros almidones",'Volúmenes DIstribuidos '!C80)))</f>
        <v>Carnes blancas</v>
      </c>
      <c r="C165" s="10" t="s">
        <v>29</v>
      </c>
      <c r="D165" s="12">
        <f>'Volúmenes DIstribuidos '!D80</f>
        <v>42.707999999999998</v>
      </c>
      <c r="E165" s="12">
        <f>SUMIF('Parametros Inventario'!$A:$A,B165,'Parametros Inventario'!$B:$B)+SUMIFS(D$2:D165,B$2:B165,B165,C$2:C165,"ENTRADA")-SUMIFS(D$2:D165,B$2:B165,B165,C$2:C165,"SALIDA")</f>
        <v>2278.75</v>
      </c>
    </row>
    <row r="166" spans="1:5" x14ac:dyDescent="0.3">
      <c r="A166" s="9">
        <f>'Volúmenes DIstribuidos '!B81</f>
        <v>44092</v>
      </c>
      <c r="B166" s="10" t="str">
        <f>IF(OR('Volúmenes DIstribuidos '!C81="Azúcar",'Volúmenes DIstribuidos '!C81="azúcar"),"Azúcar o dulce",IF('Volúmenes DIstribuidos '!C81="Aceite","Aceite o grasas",IF('Volúmenes DIstribuidos '!C81="Avena","Otros almidones",'Volúmenes DIstribuidos '!C81)))</f>
        <v>Panadería</v>
      </c>
      <c r="C166" s="10" t="s">
        <v>29</v>
      </c>
      <c r="D166" s="12">
        <f>'Volúmenes DIstribuidos '!D81</f>
        <v>32.65</v>
      </c>
      <c r="E166" s="12">
        <f>SUMIF('Parametros Inventario'!$A:$A,B166,'Parametros Inventario'!$B:$B)+SUMIFS(D$2:D166,B$2:B166,B166,C$2:C166,"ENTRADA")-SUMIFS(D$2:D166,B$2:B166,B166,C$2:C166,"SALIDA")</f>
        <v>1588.54</v>
      </c>
    </row>
    <row r="167" spans="1:5" x14ac:dyDescent="0.3">
      <c r="A167" s="9">
        <f>'Volúmenes DIstribuidos '!B81</f>
        <v>44092</v>
      </c>
      <c r="B167" s="10" t="str">
        <f>IF(OR('Volúmenes DIstribuidos '!C82="Azúcar",'Volúmenes DIstribuidos '!C82="azúcar"),"Azúcar o dulce",IF('Volúmenes DIstribuidos '!C82="Aceite","Aceite o grasas",IF('Volúmenes DIstribuidos '!C82="Avena","Otros almidones",'Volúmenes DIstribuidos '!C82)))</f>
        <v>Aceite o grasas</v>
      </c>
      <c r="C167" s="10" t="s">
        <v>29</v>
      </c>
      <c r="D167" s="12">
        <f>'Volúmenes DIstribuidos '!D82</f>
        <v>31.97</v>
      </c>
      <c r="E167" s="12">
        <f>SUMIF('Parametros Inventario'!$A:$A,B167,'Parametros Inventario'!$B:$B)+SUMIFS(D$2:D167,B$2:B167,B167,C$2:C167,"ENTRADA")-SUMIFS(D$2:D167,B$2:B167,B167,C$2:C167,"SALIDA")</f>
        <v>2373.4879999999998</v>
      </c>
    </row>
    <row r="168" spans="1:5" x14ac:dyDescent="0.3">
      <c r="A168" s="9">
        <f>'Volúmenes DIstribuidos '!B81</f>
        <v>44092</v>
      </c>
      <c r="B168" s="10" t="str">
        <f>IF(OR('Volúmenes DIstribuidos '!C83="Azúcar",'Volúmenes DIstribuidos '!C83="azúcar"),"Azúcar o dulce",IF('Volúmenes DIstribuidos '!C83="Aceite","Aceite o grasas",IF('Volúmenes DIstribuidos '!C83="Avena","Otros almidones",'Volúmenes DIstribuidos '!C83)))</f>
        <v>Vegetales y hojas</v>
      </c>
      <c r="C168" s="10" t="s">
        <v>29</v>
      </c>
      <c r="D168" s="12">
        <f>'Volúmenes DIstribuidos '!D83</f>
        <v>34.651000000000003</v>
      </c>
      <c r="E168" s="12">
        <f>SUMIF('Parametros Inventario'!$A:$A,B168,'Parametros Inventario'!$B:$B)+SUMIFS(D$2:D168,B$2:B168,B168,C$2:C168,"ENTRADA")-SUMIFS(D$2:D168,B$2:B168,B168,C$2:C168,"SALIDA")</f>
        <v>1831.442</v>
      </c>
    </row>
    <row r="169" spans="1:5" x14ac:dyDescent="0.3">
      <c r="A169" s="9">
        <f>'Volúmenes DIstribuidos '!B81</f>
        <v>44092</v>
      </c>
      <c r="B169" s="10" t="str">
        <f>IF(OR('Volúmenes DIstribuidos '!C84="Azúcar",'Volúmenes DIstribuidos '!C84="azúcar"),"Azúcar o dulce",IF('Volúmenes DIstribuidos '!C84="Aceite","Aceite o grasas",IF('Volúmenes DIstribuidos '!C84="Avena","Otros almidones",'Volúmenes DIstribuidos '!C84)))</f>
        <v>Otros almidones</v>
      </c>
      <c r="C169" s="10" t="s">
        <v>29</v>
      </c>
      <c r="D169" s="12">
        <f>'Volúmenes DIstribuidos '!D84</f>
        <v>29.73</v>
      </c>
      <c r="E169" s="12">
        <f>SUMIF('Parametros Inventario'!$A:$A,B169,'Parametros Inventario'!$B:$B)+SUMIFS(D$2:D169,B$2:B169,B169,C$2:C169,"ENTRADA")-SUMIFS(D$2:D169,B$2:B169,B169,C$2:C169,"SALIDA")</f>
        <v>2233.2489999999998</v>
      </c>
    </row>
    <row r="170" spans="1:5" x14ac:dyDescent="0.3">
      <c r="A170" s="9">
        <f>'Volúmenes DIstribuidos '!B81</f>
        <v>44092</v>
      </c>
      <c r="B170" s="10" t="str">
        <f>IF(OR('Volúmenes DIstribuidos '!C85="Azúcar",'Volúmenes DIstribuidos '!C85="azúcar"),"Azúcar o dulce",IF('Volúmenes DIstribuidos '!C85="Aceite","Aceite o grasas",IF('Volúmenes DIstribuidos '!C85="Avena","Otros almidones",'Volúmenes DIstribuidos '!C85)))</f>
        <v>Menestras</v>
      </c>
      <c r="C170" s="10" t="s">
        <v>29</v>
      </c>
      <c r="D170" s="12">
        <f>'Volúmenes DIstribuidos '!D85</f>
        <v>71.02</v>
      </c>
      <c r="E170" s="12">
        <f>SUMIF('Parametros Inventario'!$A:$A,B170,'Parametros Inventario'!$B:$B)+SUMIFS(D$2:D170,B$2:B170,B170,C$2:C170,"ENTRADA")-SUMIFS(D$2:D170,B$2:B170,B170,C$2:C170,"SALIDA")</f>
        <v>1535.0769999999998</v>
      </c>
    </row>
    <row r="171" spans="1:5" x14ac:dyDescent="0.3">
      <c r="A171" s="9">
        <f>'Volúmenes DIstribuidos '!B81</f>
        <v>44092</v>
      </c>
      <c r="B171" s="10" t="str">
        <f>IF(OR('Volúmenes DIstribuidos '!C86="Azúcar",'Volúmenes DIstribuidos '!C86="azúcar"),"Azúcar o dulce",IF('Volúmenes DIstribuidos '!C86="Aceite","Aceite o grasas",IF('Volúmenes DIstribuidos '!C86="Avena","Otros almidones",'Volúmenes DIstribuidos '!C86)))</f>
        <v>Fideo</v>
      </c>
      <c r="C171" s="10" t="s">
        <v>29</v>
      </c>
      <c r="D171" s="12">
        <f>'Volúmenes DIstribuidos '!D86</f>
        <v>35.566000000000003</v>
      </c>
      <c r="E171" s="12">
        <f>SUMIF('Parametros Inventario'!$A:$A,B171,'Parametros Inventario'!$B:$B)+SUMIFS(D$2:D171,B$2:B171,B171,C$2:C171,"ENTRADA")-SUMIFS(D$2:D171,B$2:B171,B171,C$2:C171,"SALIDA")</f>
        <v>2331.9430000000002</v>
      </c>
    </row>
    <row r="172" spans="1:5" x14ac:dyDescent="0.3">
      <c r="A172" s="9">
        <f>'Volúmenes DIstribuidos '!B87</f>
        <v>44096</v>
      </c>
      <c r="B172" s="10" t="str">
        <f>IF(OR('Volúmenes DIstribuidos '!C87="Azúcar",'Volúmenes DIstribuidos '!C87="azúcar"),"Azúcar o dulce",IF('Volúmenes DIstribuidos '!C87="Aceite","Aceite o grasas",IF('Volúmenes DIstribuidos '!C87="Avena","Otros almidones",'Volúmenes DIstribuidos '!C87)))</f>
        <v>Otros almidones</v>
      </c>
      <c r="C172" s="10" t="s">
        <v>29</v>
      </c>
      <c r="D172" s="12">
        <f>'Volúmenes DIstribuidos '!D87</f>
        <v>19.03</v>
      </c>
      <c r="E172" s="12">
        <f>SUMIF('Parametros Inventario'!$A:$A,B172,'Parametros Inventario'!$B:$B)+SUMIFS(D$2:D172,B$2:B172,B172,C$2:C172,"ENTRADA")-SUMIFS(D$2:D172,B$2:B172,B172,C$2:C172,"SALIDA")</f>
        <v>2214.2190000000001</v>
      </c>
    </row>
    <row r="173" spans="1:5" x14ac:dyDescent="0.3">
      <c r="A173" s="9">
        <f>'Volúmenes DIstribuidos '!B87</f>
        <v>44096</v>
      </c>
      <c r="B173" s="10" t="str">
        <f>IF(OR('Volúmenes DIstribuidos '!C88="Azúcar",'Volúmenes DIstribuidos '!C88="azúcar"),"Azúcar o dulce",IF('Volúmenes DIstribuidos '!C88="Aceite","Aceite o grasas",IF('Volúmenes DIstribuidos '!C88="Avena","Otros almidones",'Volúmenes DIstribuidos '!C88)))</f>
        <v>Salsas</v>
      </c>
      <c r="C173" s="10" t="s">
        <v>29</v>
      </c>
      <c r="D173" s="12">
        <f>'Volúmenes DIstribuidos '!D88</f>
        <v>27.13</v>
      </c>
      <c r="E173" s="12">
        <f>SUMIF('Parametros Inventario'!$A:$A,B173,'Parametros Inventario'!$B:$B)+SUMIFS(D$2:D173,B$2:B173,B173,C$2:C173,"ENTRADA")-SUMIFS(D$2:D173,B$2:B173,B173,C$2:C173,"SALIDA")</f>
        <v>2660.22</v>
      </c>
    </row>
    <row r="174" spans="1:5" x14ac:dyDescent="0.3">
      <c r="A174" s="9">
        <f>'Volúmenes DIstribuidos '!B87</f>
        <v>44096</v>
      </c>
      <c r="B174" s="10" t="str">
        <f>IF(OR('Volúmenes DIstribuidos '!C89="Azúcar",'Volúmenes DIstribuidos '!C89="azúcar"),"Azúcar o dulce",IF('Volúmenes DIstribuidos '!C89="Aceite","Aceite o grasas",IF('Volúmenes DIstribuidos '!C89="Avena","Otros almidones",'Volúmenes DIstribuidos '!C89)))</f>
        <v>Menestras</v>
      </c>
      <c r="C174" s="10" t="s">
        <v>29</v>
      </c>
      <c r="D174" s="12">
        <f>'Volúmenes DIstribuidos '!D89</f>
        <v>28.91</v>
      </c>
      <c r="E174" s="12">
        <f>SUMIF('Parametros Inventario'!$A:$A,B174,'Parametros Inventario'!$B:$B)+SUMIFS(D$2:D174,B$2:B174,B174,C$2:C174,"ENTRADA")-SUMIFS(D$2:D174,B$2:B174,B174,C$2:C174,"SALIDA")</f>
        <v>1506.1669999999997</v>
      </c>
    </row>
    <row r="175" spans="1:5" x14ac:dyDescent="0.3">
      <c r="A175" s="9">
        <f>'Volúmenes DIstribuidos '!B87</f>
        <v>44096</v>
      </c>
      <c r="B175" s="10" t="str">
        <f>IF(OR('Volúmenes DIstribuidos '!C90="Azúcar",'Volúmenes DIstribuidos '!C90="azúcar"),"Azúcar o dulce",IF('Volúmenes DIstribuidos '!C90="Aceite","Aceite o grasas",IF('Volúmenes DIstribuidos '!C90="Avena","Otros almidones",'Volúmenes DIstribuidos '!C90)))</f>
        <v>Panadería</v>
      </c>
      <c r="C175" s="10" t="s">
        <v>29</v>
      </c>
      <c r="D175" s="12">
        <f>'Volúmenes DIstribuidos '!D90</f>
        <v>29.18</v>
      </c>
      <c r="E175" s="12">
        <f>SUMIF('Parametros Inventario'!$A:$A,B175,'Parametros Inventario'!$B:$B)+SUMIFS(D$2:D175,B$2:B175,B175,C$2:C175,"ENTRADA")-SUMIFS(D$2:D175,B$2:B175,B175,C$2:C175,"SALIDA")</f>
        <v>1559.36</v>
      </c>
    </row>
    <row r="176" spans="1:5" x14ac:dyDescent="0.3">
      <c r="A176" s="9">
        <f>'Volúmenes DIstribuidos '!B87</f>
        <v>44096</v>
      </c>
      <c r="B176" s="10" t="str">
        <f>IF(OR('Volúmenes DIstribuidos '!C91="Azúcar",'Volúmenes DIstribuidos '!C91="azúcar"),"Azúcar o dulce",IF('Volúmenes DIstribuidos '!C91="Aceite","Aceite o grasas",IF('Volúmenes DIstribuidos '!C91="Avena","Otros almidones",'Volúmenes DIstribuidos '!C91)))</f>
        <v>Carnes blancas</v>
      </c>
      <c r="C176" s="10" t="s">
        <v>29</v>
      </c>
      <c r="D176" s="12">
        <f>'Volúmenes DIstribuidos '!D91</f>
        <v>34.167000000000002</v>
      </c>
      <c r="E176" s="12">
        <f>SUMIF('Parametros Inventario'!$A:$A,B176,'Parametros Inventario'!$B:$B)+SUMIFS(D$2:D176,B$2:B176,B176,C$2:C176,"ENTRADA")-SUMIFS(D$2:D176,B$2:B176,B176,C$2:C176,"SALIDA")</f>
        <v>2244.5830000000001</v>
      </c>
    </row>
    <row r="177" spans="1:5" x14ac:dyDescent="0.3">
      <c r="A177" s="9">
        <f>'Volúmenes DIstribuidos '!B87</f>
        <v>44096</v>
      </c>
      <c r="B177" s="10" t="str">
        <f>IF(OR('Volúmenes DIstribuidos '!C92="Azúcar",'Volúmenes DIstribuidos '!C92="azúcar"),"Azúcar o dulce",IF('Volúmenes DIstribuidos '!C92="Aceite","Aceite o grasas",IF('Volúmenes DIstribuidos '!C92="Avena","Otros almidones",'Volúmenes DIstribuidos '!C92)))</f>
        <v>Carnes blancas</v>
      </c>
      <c r="C177" s="10" t="s">
        <v>29</v>
      </c>
      <c r="D177" s="12">
        <f>'Volúmenes DIstribuidos '!D92</f>
        <v>45.03</v>
      </c>
      <c r="E177" s="12">
        <f>SUMIF('Parametros Inventario'!$A:$A,B177,'Parametros Inventario'!$B:$B)+SUMIFS(D$2:D177,B$2:B177,B177,C$2:C177,"ENTRADA")-SUMIFS(D$2:D177,B$2:B177,B177,C$2:C177,"SALIDA")</f>
        <v>2199.5530000000003</v>
      </c>
    </row>
    <row r="178" spans="1:5" x14ac:dyDescent="0.3">
      <c r="A178" s="9">
        <f>'Volúmenes DIstribuidos '!B93</f>
        <v>44099</v>
      </c>
      <c r="B178" s="10" t="str">
        <f>IF(OR('Volúmenes DIstribuidos '!C93="Azúcar",'Volúmenes DIstribuidos '!C93="azúcar"),"Azúcar o dulce",IF('Volúmenes DIstribuidos '!C93="Aceite","Aceite o grasas",IF('Volúmenes DIstribuidos '!C93="Avena","Otros almidones",'Volúmenes DIstribuidos '!C93)))</f>
        <v>Lácteos</v>
      </c>
      <c r="C178" s="10" t="s">
        <v>29</v>
      </c>
      <c r="D178" s="12">
        <f>'Volúmenes DIstribuidos '!D93</f>
        <v>53.59</v>
      </c>
      <c r="E178" s="12">
        <f>SUMIF('Parametros Inventario'!$A:$A,B178,'Parametros Inventario'!$B:$B)+SUMIFS(D$2:D178,B$2:B178,B178,C$2:C178,"ENTRADA")-SUMIFS(D$2:D178,B$2:B178,B178,C$2:C178,"SALIDA")</f>
        <v>2057.3849999999998</v>
      </c>
    </row>
    <row r="179" spans="1:5" x14ac:dyDescent="0.3">
      <c r="A179" s="9">
        <f>'Volúmenes DIstribuidos '!B93</f>
        <v>44099</v>
      </c>
      <c r="B179" s="10" t="str">
        <f>IF(OR('Volúmenes DIstribuidos '!C94="Azúcar",'Volúmenes DIstribuidos '!C94="azúcar"),"Azúcar o dulce",IF('Volúmenes DIstribuidos '!C94="Aceite","Aceite o grasas",IF('Volúmenes DIstribuidos '!C94="Avena","Otros almidones",'Volúmenes DIstribuidos '!C94)))</f>
        <v>Carnes rojas</v>
      </c>
      <c r="C179" s="10" t="s">
        <v>29</v>
      </c>
      <c r="D179" s="12">
        <f>'Volúmenes DIstribuidos '!D94</f>
        <v>80.501999999999995</v>
      </c>
      <c r="E179" s="12">
        <f>SUMIF('Parametros Inventario'!$A:$A,B179,'Parametros Inventario'!$B:$B)+SUMIFS(D$2:D179,B$2:B179,B179,C$2:C179,"ENTRADA")-SUMIFS(D$2:D179,B$2:B179,B179,C$2:C179,"SALIDA")</f>
        <v>2166.902</v>
      </c>
    </row>
    <row r="180" spans="1:5" x14ac:dyDescent="0.3">
      <c r="A180" s="9">
        <f>'Volúmenes DIstribuidos '!B93</f>
        <v>44099</v>
      </c>
      <c r="B180" s="10" t="str">
        <f>IF(OR('Volúmenes DIstribuidos '!C95="Azúcar",'Volúmenes DIstribuidos '!C95="azúcar"),"Azúcar o dulce",IF('Volúmenes DIstribuidos '!C95="Aceite","Aceite o grasas",IF('Volúmenes DIstribuidos '!C95="Avena","Otros almidones",'Volúmenes DIstribuidos '!C95)))</f>
        <v>Azúcar o dulce</v>
      </c>
      <c r="C180" s="10" t="s">
        <v>29</v>
      </c>
      <c r="D180" s="12">
        <f>'Volúmenes DIstribuidos '!D95</f>
        <v>66.19</v>
      </c>
      <c r="E180" s="12">
        <f>SUMIF('Parametros Inventario'!$A:$A,B180,'Parametros Inventario'!$B:$B)+SUMIFS(D$2:D180,B$2:B180,B180,C$2:C180,"ENTRADA")-SUMIFS(D$2:D180,B$2:B180,B180,C$2:C180,"SALIDA")</f>
        <v>3092.98</v>
      </c>
    </row>
    <row r="181" spans="1:5" x14ac:dyDescent="0.3">
      <c r="A181" s="9">
        <f>'Volúmenes DIstribuidos '!B93</f>
        <v>44099</v>
      </c>
      <c r="B181" s="10" t="str">
        <f>IF(OR('Volúmenes DIstribuidos '!C96="Azúcar",'Volúmenes DIstribuidos '!C96="azúcar"),"Azúcar o dulce",IF('Volúmenes DIstribuidos '!C96="Aceite","Aceite o grasas",IF('Volúmenes DIstribuidos '!C96="Avena","Otros almidones",'Volúmenes DIstribuidos '!C96)))</f>
        <v>Otros almidones</v>
      </c>
      <c r="C181" s="10" t="s">
        <v>29</v>
      </c>
      <c r="D181" s="12">
        <f>'Volúmenes DIstribuidos '!D96</f>
        <v>38.42</v>
      </c>
      <c r="E181" s="12">
        <f>SUMIF('Parametros Inventario'!$A:$A,B181,'Parametros Inventario'!$B:$B)+SUMIFS(D$2:D181,B$2:B181,B181,C$2:C181,"ENTRADA")-SUMIFS(D$2:D181,B$2:B181,B181,C$2:C181,"SALIDA")</f>
        <v>2175.799</v>
      </c>
    </row>
    <row r="182" spans="1:5" x14ac:dyDescent="0.3">
      <c r="A182" s="9">
        <f>'Volúmenes DIstribuidos '!B93</f>
        <v>44099</v>
      </c>
      <c r="B182" s="10" t="str">
        <f>IF(OR('Volúmenes DIstribuidos '!C97="Azúcar",'Volúmenes DIstribuidos '!C97="azúcar"),"Azúcar o dulce",IF('Volúmenes DIstribuidos '!C97="Aceite","Aceite o grasas",IF('Volúmenes DIstribuidos '!C97="Avena","Otros almidones",'Volúmenes DIstribuidos '!C97)))</f>
        <v>Lácteos</v>
      </c>
      <c r="C182" s="10" t="s">
        <v>29</v>
      </c>
      <c r="D182" s="12">
        <f>'Volúmenes DIstribuidos '!D97</f>
        <v>29.936</v>
      </c>
      <c r="E182" s="12">
        <f>SUMIF('Parametros Inventario'!$A:$A,B182,'Parametros Inventario'!$B:$B)+SUMIFS(D$2:D182,B$2:B182,B182,C$2:C182,"ENTRADA")-SUMIFS(D$2:D182,B$2:B182,B182,C$2:C182,"SALIDA")</f>
        <v>2027.4489999999998</v>
      </c>
    </row>
    <row r="183" spans="1:5" x14ac:dyDescent="0.3">
      <c r="A183" s="9">
        <f>'Volúmenes DIstribuidos '!B93</f>
        <v>44099</v>
      </c>
      <c r="B183" s="10" t="str">
        <f>IF(OR('Volúmenes DIstribuidos '!C98="Azúcar",'Volúmenes DIstribuidos '!C98="azúcar"),"Azúcar o dulce",IF('Volúmenes DIstribuidos '!C98="Aceite","Aceite o grasas",IF('Volúmenes DIstribuidos '!C98="Avena","Otros almidones",'Volúmenes DIstribuidos '!C98)))</f>
        <v>Otros almidones</v>
      </c>
      <c r="C183" s="10" t="s">
        <v>29</v>
      </c>
      <c r="D183" s="12">
        <f>'Volúmenes DIstribuidos '!D98</f>
        <v>16.13</v>
      </c>
      <c r="E183" s="12">
        <f>SUMIF('Parametros Inventario'!$A:$A,B183,'Parametros Inventario'!$B:$B)+SUMIFS(D$2:D183,B$2:B183,B183,C$2:C183,"ENTRADA")-SUMIFS(D$2:D183,B$2:B183,B183,C$2:C183,"SALIDA")</f>
        <v>2159.6689999999999</v>
      </c>
    </row>
    <row r="184" spans="1:5" x14ac:dyDescent="0.3">
      <c r="A184" s="9">
        <f>'Volúmenes DIstribuidos '!B99</f>
        <v>44103</v>
      </c>
      <c r="B184" s="10" t="str">
        <f>IF(OR('Volúmenes DIstribuidos '!C99="Azúcar",'Volúmenes DIstribuidos '!C99="azúcar"),"Azúcar o dulce",IF('Volúmenes DIstribuidos '!C99="Aceite","Aceite o grasas",IF('Volúmenes DIstribuidos '!C99="Avena","Otros almidones",'Volúmenes DIstribuidos '!C99)))</f>
        <v>Vegetales y hojas</v>
      </c>
      <c r="C184" s="10" t="s">
        <v>29</v>
      </c>
      <c r="D184" s="12">
        <f>'Volúmenes DIstribuidos '!D99</f>
        <v>11.01</v>
      </c>
      <c r="E184" s="12">
        <f>SUMIF('Parametros Inventario'!$A:$A,B184,'Parametros Inventario'!$B:$B)+SUMIFS(D$2:D184,B$2:B184,B184,C$2:C184,"ENTRADA")-SUMIFS(D$2:D184,B$2:B184,B184,C$2:C184,"SALIDA")</f>
        <v>1820.432</v>
      </c>
    </row>
    <row r="185" spans="1:5" x14ac:dyDescent="0.3">
      <c r="A185" s="9">
        <f>'Volúmenes DIstribuidos '!B99</f>
        <v>44103</v>
      </c>
      <c r="B185" s="10" t="str">
        <f>IF(OR('Volúmenes DIstribuidos '!C100="Azúcar",'Volúmenes DIstribuidos '!C100="azúcar"),"Azúcar o dulce",IF('Volúmenes DIstribuidos '!C100="Aceite","Aceite o grasas",IF('Volúmenes DIstribuidos '!C100="Avena","Otros almidones",'Volúmenes DIstribuidos '!C100)))</f>
        <v>Salsas</v>
      </c>
      <c r="C185" s="10" t="s">
        <v>29</v>
      </c>
      <c r="D185" s="12">
        <f>'Volúmenes DIstribuidos '!D100</f>
        <v>23.99</v>
      </c>
      <c r="E185" s="12">
        <f>SUMIF('Parametros Inventario'!$A:$A,B185,'Parametros Inventario'!$B:$B)+SUMIFS(D$2:D185,B$2:B185,B185,C$2:C185,"ENTRADA")-SUMIFS(D$2:D185,B$2:B185,B185,C$2:C185,"SALIDA")</f>
        <v>2636.23</v>
      </c>
    </row>
    <row r="186" spans="1:5" x14ac:dyDescent="0.3">
      <c r="A186" s="9">
        <f>'Volúmenes DIstribuidos '!B99</f>
        <v>44103</v>
      </c>
      <c r="B186" s="10" t="str">
        <f>IF(OR('Volúmenes DIstribuidos '!C101="Azúcar",'Volúmenes DIstribuidos '!C101="azúcar"),"Azúcar o dulce",IF('Volúmenes DIstribuidos '!C101="Aceite","Aceite o grasas",IF('Volúmenes DIstribuidos '!C101="Avena","Otros almidones",'Volúmenes DIstribuidos '!C101)))</f>
        <v>Panadería</v>
      </c>
      <c r="C186" s="10" t="s">
        <v>29</v>
      </c>
      <c r="D186" s="12">
        <f>'Volúmenes DIstribuidos '!D101</f>
        <v>45.814999999999998</v>
      </c>
      <c r="E186" s="12">
        <f>SUMIF('Parametros Inventario'!$A:$A,B186,'Parametros Inventario'!$B:$B)+SUMIFS(D$2:D186,B$2:B186,B186,C$2:C186,"ENTRADA")-SUMIFS(D$2:D186,B$2:B186,B186,C$2:C186,"SALIDA")</f>
        <v>1513.5450000000001</v>
      </c>
    </row>
    <row r="187" spans="1:5" x14ac:dyDescent="0.3">
      <c r="A187" s="9">
        <f>'Volúmenes DIstribuidos '!B99</f>
        <v>44103</v>
      </c>
      <c r="B187" s="10" t="str">
        <f>IF(OR('Volúmenes DIstribuidos '!C102="Azúcar",'Volúmenes DIstribuidos '!C102="azúcar"),"Azúcar o dulce",IF('Volúmenes DIstribuidos '!C102="Aceite","Aceite o grasas",IF('Volúmenes DIstribuidos '!C102="Avena","Otros almidones",'Volúmenes DIstribuidos '!C102)))</f>
        <v>Otros almidones</v>
      </c>
      <c r="C187" s="10" t="s">
        <v>29</v>
      </c>
      <c r="D187" s="12">
        <f>'Volúmenes DIstribuidos '!D102</f>
        <v>86.52</v>
      </c>
      <c r="E187" s="12">
        <f>SUMIF('Parametros Inventario'!$A:$A,B187,'Parametros Inventario'!$B:$B)+SUMIFS(D$2:D187,B$2:B187,B187,C$2:C187,"ENTRADA")-SUMIFS(D$2:D187,B$2:B187,B187,C$2:C187,"SALIDA")</f>
        <v>2073.1489999999999</v>
      </c>
    </row>
    <row r="188" spans="1:5" x14ac:dyDescent="0.3">
      <c r="A188" s="9">
        <f>'Volúmenes DIstribuidos '!B99</f>
        <v>44103</v>
      </c>
      <c r="B188" s="10" t="str">
        <f>IF(OR('Volúmenes DIstribuidos '!C103="Azúcar",'Volúmenes DIstribuidos '!C103="azúcar"),"Azúcar o dulce",IF('Volúmenes DIstribuidos '!C103="Aceite","Aceite o grasas",IF('Volúmenes DIstribuidos '!C103="Avena","Otros almidones",'Volúmenes DIstribuidos '!C103)))</f>
        <v>Azúcar o dulce</v>
      </c>
      <c r="C188" s="10" t="s">
        <v>29</v>
      </c>
      <c r="D188" s="12">
        <f>'Volúmenes DIstribuidos '!D103</f>
        <v>34.130000000000003</v>
      </c>
      <c r="E188" s="12">
        <f>SUMIF('Parametros Inventario'!$A:$A,B188,'Parametros Inventario'!$B:$B)+SUMIFS(D$2:D188,B$2:B188,B188,C$2:C188,"ENTRADA")-SUMIFS(D$2:D188,B$2:B188,B188,C$2:C188,"SALIDA")</f>
        <v>3058.85</v>
      </c>
    </row>
    <row r="189" spans="1:5" x14ac:dyDescent="0.3">
      <c r="A189" s="9">
        <f>'Volúmenes DIstribuidos '!B99</f>
        <v>44103</v>
      </c>
      <c r="B189" s="10" t="str">
        <f>IF(OR('Volúmenes DIstribuidos '!C104="Azúcar",'Volúmenes DIstribuidos '!C104="azúcar"),"Azúcar o dulce",IF('Volúmenes DIstribuidos '!C104="Aceite","Aceite o grasas",IF('Volúmenes DIstribuidos '!C104="Avena","Otros almidones",'Volúmenes DIstribuidos '!C104)))</f>
        <v>Vegetales y hojas</v>
      </c>
      <c r="C189" s="10" t="s">
        <v>29</v>
      </c>
      <c r="D189" s="12">
        <f>'Volúmenes DIstribuidos '!D104</f>
        <v>19.983000000000001</v>
      </c>
      <c r="E189" s="12">
        <f>SUMIF('Parametros Inventario'!$A:$A,B189,'Parametros Inventario'!$B:$B)+SUMIFS(D$2:D189,B$2:B189,B189,C$2:C189,"ENTRADA")-SUMIFS(D$2:D189,B$2:B189,B189,C$2:C189,"SALIDA")</f>
        <v>1800.4490000000001</v>
      </c>
    </row>
    <row r="190" spans="1:5" x14ac:dyDescent="0.3">
      <c r="A190" s="9">
        <v>44106</v>
      </c>
      <c r="B190" s="10" t="s">
        <v>10</v>
      </c>
      <c r="C190" s="10" t="s">
        <v>28</v>
      </c>
      <c r="D190" s="12">
        <v>180.44</v>
      </c>
      <c r="E190" s="12">
        <f>SUMIF('Parametros Inventario'!$A:$A,B190,'Parametros Inventario'!$B:$B)+SUMIFS(D$2:D190,B$2:B190,B190,C$2:C190,"ENTRADA")-SUMIFS(D$2:D190,B$2:B190,B190,C$2:C190,"SALIDA")</f>
        <v>1980.8890000000001</v>
      </c>
    </row>
    <row r="191" spans="1:5" x14ac:dyDescent="0.3">
      <c r="A191" s="9">
        <v>44106</v>
      </c>
      <c r="B191" s="10" t="s">
        <v>8</v>
      </c>
      <c r="C191" s="10" t="s">
        <v>28</v>
      </c>
      <c r="D191" s="12">
        <v>237.64</v>
      </c>
      <c r="E191" s="12">
        <f>SUMIF('Parametros Inventario'!$A:$A,B191,'Parametros Inventario'!$B:$B)+SUMIFS(D$2:D191,B$2:B191,B191,C$2:C191,"ENTRADA")-SUMIFS(D$2:D191,B$2:B191,B191,C$2:C191,"SALIDA")</f>
        <v>2611.1280000000002</v>
      </c>
    </row>
    <row r="192" spans="1:5" x14ac:dyDescent="0.3">
      <c r="A192" s="9">
        <v>44106</v>
      </c>
      <c r="B192" s="10" t="s">
        <v>13</v>
      </c>
      <c r="C192" s="10" t="s">
        <v>28</v>
      </c>
      <c r="D192" s="12">
        <v>175.66</v>
      </c>
      <c r="E192" s="12">
        <f>SUMIF('Parametros Inventario'!$A:$A,B192,'Parametros Inventario'!$B:$B)+SUMIFS(D$2:D192,B$2:B192,B192,C$2:C192,"ENTRADA")-SUMIFS(D$2:D192,B$2:B192,B192,C$2:C192,"SALIDA")</f>
        <v>3234.5099999999998</v>
      </c>
    </row>
    <row r="193" spans="1:5" x14ac:dyDescent="0.3">
      <c r="A193" s="9">
        <v>44106</v>
      </c>
      <c r="B193" s="10" t="s">
        <v>15</v>
      </c>
      <c r="C193" s="10" t="s">
        <v>28</v>
      </c>
      <c r="D193" s="12">
        <v>54.67</v>
      </c>
      <c r="E193" s="12">
        <f>SUMIF('Parametros Inventario'!$A:$A,B193,'Parametros Inventario'!$B:$B)+SUMIFS(D$2:D193,B$2:B193,B193,C$2:C193,"ENTRADA")-SUMIFS(D$2:D193,B$2:B193,B193,C$2:C193,"SALIDA")</f>
        <v>2127.819</v>
      </c>
    </row>
    <row r="194" spans="1:5" x14ac:dyDescent="0.3">
      <c r="A194" s="9">
        <v>44106</v>
      </c>
      <c r="B194" s="10" t="s">
        <v>11</v>
      </c>
      <c r="C194" s="10" t="s">
        <v>28</v>
      </c>
      <c r="D194" s="12">
        <v>214.56</v>
      </c>
      <c r="E194" s="12">
        <f>SUMIF('Parametros Inventario'!$A:$A,B194,'Parametros Inventario'!$B:$B)+SUMIFS(D$2:D194,B$2:B194,B194,C$2:C194,"ENTRADA")-SUMIFS(D$2:D194,B$2:B194,B194,C$2:C194,"SALIDA")</f>
        <v>2546.5030000000002</v>
      </c>
    </row>
    <row r="195" spans="1:5" x14ac:dyDescent="0.3">
      <c r="A195" s="9">
        <v>44106</v>
      </c>
      <c r="B195" s="10" t="s">
        <v>9</v>
      </c>
      <c r="C195" s="10" t="s">
        <v>28</v>
      </c>
      <c r="D195" s="12">
        <v>182.96</v>
      </c>
      <c r="E195" s="12">
        <f>SUMIF('Parametros Inventario'!$A:$A,B195,'Parametros Inventario'!$B:$B)+SUMIFS(D$2:D195,B$2:B195,B195,C$2:C195,"ENTRADA")-SUMIFS(D$2:D195,B$2:B195,B195,C$2:C195,"SALIDA")</f>
        <v>1696.5050000000001</v>
      </c>
    </row>
    <row r="196" spans="1:5" x14ac:dyDescent="0.3">
      <c r="A196" s="9">
        <v>44106</v>
      </c>
      <c r="B196" s="10" t="s">
        <v>14</v>
      </c>
      <c r="C196" s="10" t="s">
        <v>28</v>
      </c>
      <c r="D196" s="12">
        <v>290.58999999999997</v>
      </c>
      <c r="E196" s="12">
        <f>SUMIF('Parametros Inventario'!$A:$A,B196,'Parametros Inventario'!$B:$B)+SUMIFS(D$2:D196,B$2:B196,B196,C$2:C196,"ENTRADA")-SUMIFS(D$2:D196,B$2:B196,B196,C$2:C196,"SALIDA")</f>
        <v>1796.7569999999994</v>
      </c>
    </row>
    <row r="197" spans="1:5" x14ac:dyDescent="0.3">
      <c r="A197" s="9">
        <v>44106</v>
      </c>
      <c r="B197" s="10" t="s">
        <v>12</v>
      </c>
      <c r="C197" s="10" t="s">
        <v>28</v>
      </c>
      <c r="D197" s="12">
        <v>118.74</v>
      </c>
      <c r="E197" s="12">
        <f>SUMIF('Parametros Inventario'!$A:$A,B197,'Parametros Inventario'!$B:$B)+SUMIFS(D$2:D197,B$2:B197,B197,C$2:C197,"ENTRADA")-SUMIFS(D$2:D197,B$2:B197,B197,C$2:C197,"SALIDA")</f>
        <v>2285.6419999999998</v>
      </c>
    </row>
    <row r="198" spans="1:5" x14ac:dyDescent="0.3">
      <c r="A198" s="9">
        <v>44106</v>
      </c>
      <c r="B198" s="10" t="s">
        <v>16</v>
      </c>
      <c r="C198" s="10" t="s">
        <v>28</v>
      </c>
      <c r="D198" s="12">
        <v>101.45</v>
      </c>
      <c r="E198" s="12">
        <f>SUMIF('Parametros Inventario'!$A:$A,B198,'Parametros Inventario'!$B:$B)+SUMIFS(D$2:D198,B$2:B198,B198,C$2:C198,"ENTRADA")-SUMIFS(D$2:D198,B$2:B198,B198,C$2:C198,"SALIDA")</f>
        <v>2301.0030000000002</v>
      </c>
    </row>
    <row r="199" spans="1:5" x14ac:dyDescent="0.3">
      <c r="A199" s="9">
        <f>'Volúmenes DIstribuidos '!B105</f>
        <v>44106</v>
      </c>
      <c r="B199" s="10" t="str">
        <f>IF(OR('Volúmenes DIstribuidos '!C105="Azúcar",'Volúmenes DIstribuidos '!C105="azúcar"),"Azúcar o dulce",IF('Volúmenes DIstribuidos '!C105="Aceite","Aceite o grasas",IF('Volúmenes DIstribuidos '!C105="Avena","Otros almidones",'Volúmenes DIstribuidos '!C105)))</f>
        <v>Panadería</v>
      </c>
      <c r="C199" s="10" t="s">
        <v>29</v>
      </c>
      <c r="D199" s="12">
        <f>'Volúmenes DIstribuidos '!D105</f>
        <v>12.82</v>
      </c>
      <c r="E199" s="12">
        <f>SUMIF('Parametros Inventario'!$A:$A,B199,'Parametros Inventario'!$B:$B)+SUMIFS(D$2:D199,B$2:B199,B199,C$2:C199,"ENTRADA")-SUMIFS(D$2:D199,B$2:B199,B199,C$2:C199,"SALIDA")</f>
        <v>1683.6849999999999</v>
      </c>
    </row>
    <row r="200" spans="1:5" x14ac:dyDescent="0.3">
      <c r="A200" s="9">
        <f>'Volúmenes DIstribuidos '!B105</f>
        <v>44106</v>
      </c>
      <c r="B200" s="10" t="str">
        <f>IF(OR('Volúmenes DIstribuidos '!C106="Azúcar",'Volúmenes DIstribuidos '!C106="azúcar"),"Azúcar o dulce",IF('Volúmenes DIstribuidos '!C106="Aceite","Aceite o grasas",IF('Volúmenes DIstribuidos '!C106="Avena","Otros almidones",'Volúmenes DIstribuidos '!C106)))</f>
        <v>Salsas</v>
      </c>
      <c r="C200" s="10" t="s">
        <v>29</v>
      </c>
      <c r="D200" s="12">
        <f>'Volúmenes DIstribuidos '!D106</f>
        <v>47.47</v>
      </c>
      <c r="E200" s="12">
        <f>SUMIF('Parametros Inventario'!$A:$A,B200,'Parametros Inventario'!$B:$B)+SUMIFS(D$2:D200,B$2:B200,B200,C$2:C200,"ENTRADA")-SUMIFS(D$2:D200,B$2:B200,B200,C$2:C200,"SALIDA")</f>
        <v>2588.7599999999998</v>
      </c>
    </row>
    <row r="201" spans="1:5" x14ac:dyDescent="0.3">
      <c r="A201" s="9">
        <f>'Volúmenes DIstribuidos '!B105</f>
        <v>44106</v>
      </c>
      <c r="B201" s="10" t="str">
        <f>IF(OR('Volúmenes DIstribuidos '!C107="Azúcar",'Volúmenes DIstribuidos '!C107="azúcar"),"Azúcar o dulce",IF('Volúmenes DIstribuidos '!C107="Aceite","Aceite o grasas",IF('Volúmenes DIstribuidos '!C107="Avena","Otros almidones",'Volúmenes DIstribuidos '!C107)))</f>
        <v>Menestras</v>
      </c>
      <c r="C201" s="10" t="s">
        <v>29</v>
      </c>
      <c r="D201" s="12">
        <f>'Volúmenes DIstribuidos '!D107</f>
        <v>16.600000000000001</v>
      </c>
      <c r="E201" s="12">
        <f>SUMIF('Parametros Inventario'!$A:$A,B201,'Parametros Inventario'!$B:$B)+SUMIFS(D$2:D201,B$2:B201,B201,C$2:C201,"ENTRADA")-SUMIFS(D$2:D201,B$2:B201,B201,C$2:C201,"SALIDA")</f>
        <v>1780.1569999999992</v>
      </c>
    </row>
    <row r="202" spans="1:5" x14ac:dyDescent="0.3">
      <c r="A202" s="9">
        <f>'Volúmenes DIstribuidos '!B105</f>
        <v>44106</v>
      </c>
      <c r="B202" s="10" t="str">
        <f>IF(OR('Volúmenes DIstribuidos '!C108="Azúcar",'Volúmenes DIstribuidos '!C108="azúcar"),"Azúcar o dulce",IF('Volúmenes DIstribuidos '!C108="Aceite","Aceite o grasas",IF('Volúmenes DIstribuidos '!C108="Avena","Otros almidones",'Volúmenes DIstribuidos '!C108)))</f>
        <v>Lácteos</v>
      </c>
      <c r="C202" s="10" t="s">
        <v>29</v>
      </c>
      <c r="D202" s="12">
        <f>'Volúmenes DIstribuidos '!D108</f>
        <v>71.040000000000006</v>
      </c>
      <c r="E202" s="12">
        <f>SUMIF('Parametros Inventario'!$A:$A,B202,'Parametros Inventario'!$B:$B)+SUMIFS(D$2:D202,B$2:B202,B202,C$2:C202,"ENTRADA")-SUMIFS(D$2:D202,B$2:B202,B202,C$2:C202,"SALIDA")</f>
        <v>1956.4089999999999</v>
      </c>
    </row>
    <row r="203" spans="1:5" x14ac:dyDescent="0.3">
      <c r="A203" s="9">
        <f>'Volúmenes DIstribuidos '!B105</f>
        <v>44106</v>
      </c>
      <c r="B203" s="10" t="str">
        <f>IF(OR('Volúmenes DIstribuidos '!C109="Azúcar",'Volúmenes DIstribuidos '!C109="azúcar"),"Azúcar o dulce",IF('Volúmenes DIstribuidos '!C109="Aceite","Aceite o grasas",IF('Volúmenes DIstribuidos '!C109="Avena","Otros almidones",'Volúmenes DIstribuidos '!C109)))</f>
        <v>Azúcar o dulce</v>
      </c>
      <c r="C203" s="10" t="s">
        <v>29</v>
      </c>
      <c r="D203" s="12">
        <f>'Volúmenes DIstribuidos '!D109</f>
        <v>39.840000000000003</v>
      </c>
      <c r="E203" s="12">
        <f>SUMIF('Parametros Inventario'!$A:$A,B203,'Parametros Inventario'!$B:$B)+SUMIFS(D$2:D203,B$2:B203,B203,C$2:C203,"ENTRADA")-SUMIFS(D$2:D203,B$2:B203,B203,C$2:C203,"SALIDA")</f>
        <v>3194.67</v>
      </c>
    </row>
    <row r="204" spans="1:5" x14ac:dyDescent="0.3">
      <c r="A204" s="9">
        <f>'Volúmenes DIstribuidos '!B105</f>
        <v>44106</v>
      </c>
      <c r="B204" s="10" t="str">
        <f>IF(OR('Volúmenes DIstribuidos '!C110="Azúcar",'Volúmenes DIstribuidos '!C110="azúcar"),"Azúcar o dulce",IF('Volúmenes DIstribuidos '!C110="Aceite","Aceite o grasas",IF('Volúmenes DIstribuidos '!C110="Avena","Otros almidones",'Volúmenes DIstribuidos '!C110)))</f>
        <v>Otros almidones</v>
      </c>
      <c r="C204" s="10" t="s">
        <v>29</v>
      </c>
      <c r="D204" s="12">
        <f>'Volúmenes DIstribuidos '!D110</f>
        <v>13.404</v>
      </c>
      <c r="E204" s="12">
        <f>SUMIF('Parametros Inventario'!$A:$A,B204,'Parametros Inventario'!$B:$B)+SUMIFS(D$2:D204,B$2:B204,B204,C$2:C204,"ENTRADA")-SUMIFS(D$2:D204,B$2:B204,B204,C$2:C204,"SALIDA")</f>
        <v>2114.415</v>
      </c>
    </row>
    <row r="205" spans="1:5" x14ac:dyDescent="0.3">
      <c r="A205" s="9">
        <f>'Volúmenes DIstribuidos '!B111</f>
        <v>44110</v>
      </c>
      <c r="B205" s="10" t="str">
        <f>IF(OR('Volúmenes DIstribuidos '!C111="Azúcar",'Volúmenes DIstribuidos '!C111="azúcar"),"Azúcar o dulce",IF('Volúmenes DIstribuidos '!C111="Aceite","Aceite o grasas",IF('Volúmenes DIstribuidos '!C111="Avena","Otros almidones",'Volúmenes DIstribuidos '!C111)))</f>
        <v>Carnes blancas</v>
      </c>
      <c r="C205" s="10" t="s">
        <v>29</v>
      </c>
      <c r="D205" s="12">
        <f>'Volúmenes DIstribuidos '!D111</f>
        <v>33.17</v>
      </c>
      <c r="E205" s="12">
        <f>SUMIF('Parametros Inventario'!$A:$A,B205,'Parametros Inventario'!$B:$B)+SUMIFS(D$2:D205,B$2:B205,B205,C$2:C205,"ENTRADA")-SUMIFS(D$2:D205,B$2:B205,B205,C$2:C205,"SALIDA")</f>
        <v>2267.8330000000001</v>
      </c>
    </row>
    <row r="206" spans="1:5" x14ac:dyDescent="0.3">
      <c r="A206" s="9">
        <f>'Volúmenes DIstribuidos '!B111</f>
        <v>44110</v>
      </c>
      <c r="B206" s="10" t="str">
        <f>IF(OR('Volúmenes DIstribuidos '!C112="Azúcar",'Volúmenes DIstribuidos '!C112="azúcar"),"Azúcar o dulce",IF('Volúmenes DIstribuidos '!C112="Aceite","Aceite o grasas",IF('Volúmenes DIstribuidos '!C112="Avena","Otros almidones",'Volúmenes DIstribuidos '!C112)))</f>
        <v>Fideo</v>
      </c>
      <c r="C206" s="10" t="s">
        <v>29</v>
      </c>
      <c r="D206" s="12">
        <f>'Volúmenes DIstribuidos '!D112</f>
        <v>15.84</v>
      </c>
      <c r="E206" s="12">
        <f>SUMIF('Parametros Inventario'!$A:$A,B206,'Parametros Inventario'!$B:$B)+SUMIFS(D$2:D206,B$2:B206,B206,C$2:C206,"ENTRADA")-SUMIFS(D$2:D206,B$2:B206,B206,C$2:C206,"SALIDA")</f>
        <v>2530.663</v>
      </c>
    </row>
    <row r="207" spans="1:5" x14ac:dyDescent="0.3">
      <c r="A207" s="9">
        <f>'Volúmenes DIstribuidos '!B111</f>
        <v>44110</v>
      </c>
      <c r="B207" s="10" t="str">
        <f>IF(OR('Volúmenes DIstribuidos '!C113="Azúcar",'Volúmenes DIstribuidos '!C113="azúcar"),"Azúcar o dulce",IF('Volúmenes DIstribuidos '!C113="Aceite","Aceite o grasas",IF('Volúmenes DIstribuidos '!C113="Avena","Otros almidones",'Volúmenes DIstribuidos '!C113)))</f>
        <v>Panadería</v>
      </c>
      <c r="C207" s="10" t="s">
        <v>29</v>
      </c>
      <c r="D207" s="12">
        <f>'Volúmenes DIstribuidos '!D113</f>
        <v>16.22</v>
      </c>
      <c r="E207" s="12">
        <f>SUMIF('Parametros Inventario'!$A:$A,B207,'Parametros Inventario'!$B:$B)+SUMIFS(D$2:D207,B$2:B207,B207,C$2:C207,"ENTRADA")-SUMIFS(D$2:D207,B$2:B207,B207,C$2:C207,"SALIDA")</f>
        <v>1667.4650000000001</v>
      </c>
    </row>
    <row r="208" spans="1:5" x14ac:dyDescent="0.3">
      <c r="A208" s="9">
        <f>'Volúmenes DIstribuidos '!B111</f>
        <v>44110</v>
      </c>
      <c r="B208" s="10" t="str">
        <f>IF(OR('Volúmenes DIstribuidos '!C114="Azúcar",'Volúmenes DIstribuidos '!C114="azúcar"),"Azúcar o dulce",IF('Volúmenes DIstribuidos '!C114="Aceite","Aceite o grasas",IF('Volúmenes DIstribuidos '!C114="Avena","Otros almidones",'Volúmenes DIstribuidos '!C114)))</f>
        <v>Menestras</v>
      </c>
      <c r="C208" s="10" t="s">
        <v>29</v>
      </c>
      <c r="D208" s="12">
        <f>'Volúmenes DIstribuidos '!D114</f>
        <v>8.64</v>
      </c>
      <c r="E208" s="12">
        <f>SUMIF('Parametros Inventario'!$A:$A,B208,'Parametros Inventario'!$B:$B)+SUMIFS(D$2:D208,B$2:B208,B208,C$2:C208,"ENTRADA")-SUMIFS(D$2:D208,B$2:B208,B208,C$2:C208,"SALIDA")</f>
        <v>1771.5169999999994</v>
      </c>
    </row>
    <row r="209" spans="1:5" x14ac:dyDescent="0.3">
      <c r="A209" s="9">
        <f>'Volúmenes DIstribuidos '!B111</f>
        <v>44110</v>
      </c>
      <c r="B209" s="10" t="str">
        <f>IF(OR('Volúmenes DIstribuidos '!C115="Azúcar",'Volúmenes DIstribuidos '!C115="azúcar"),"Azúcar o dulce",IF('Volúmenes DIstribuidos '!C115="Aceite","Aceite o grasas",IF('Volúmenes DIstribuidos '!C115="Avena","Otros almidones",'Volúmenes DIstribuidos '!C115)))</f>
        <v>Otros almidones</v>
      </c>
      <c r="C209" s="10" t="s">
        <v>29</v>
      </c>
      <c r="D209" s="12">
        <f>'Volúmenes DIstribuidos '!D115</f>
        <v>24.6</v>
      </c>
      <c r="E209" s="12">
        <f>SUMIF('Parametros Inventario'!$A:$A,B209,'Parametros Inventario'!$B:$B)+SUMIFS(D$2:D209,B$2:B209,B209,C$2:C209,"ENTRADA")-SUMIFS(D$2:D209,B$2:B209,B209,C$2:C209,"SALIDA")</f>
        <v>2089.8150000000001</v>
      </c>
    </row>
    <row r="210" spans="1:5" x14ac:dyDescent="0.3">
      <c r="A210" s="9">
        <f>'Volúmenes DIstribuidos '!B111</f>
        <v>44110</v>
      </c>
      <c r="B210" s="10" t="str">
        <f>IF(OR('Volúmenes DIstribuidos '!C116="Azúcar",'Volúmenes DIstribuidos '!C116="azúcar"),"Azúcar o dulce",IF('Volúmenes DIstribuidos '!C116="Aceite","Aceite o grasas",IF('Volúmenes DIstribuidos '!C116="Avena","Otros almidones",'Volúmenes DIstribuidos '!C116)))</f>
        <v>Azúcar o dulce</v>
      </c>
      <c r="C210" s="10" t="s">
        <v>29</v>
      </c>
      <c r="D210" s="12">
        <f>'Volúmenes DIstribuidos '!D116</f>
        <v>9.3949999999999996</v>
      </c>
      <c r="E210" s="12">
        <f>SUMIF('Parametros Inventario'!$A:$A,B210,'Parametros Inventario'!$B:$B)+SUMIFS(D$2:D210,B$2:B210,B210,C$2:C210,"ENTRADA")-SUMIFS(D$2:D210,B$2:B210,B210,C$2:C210,"SALIDA")</f>
        <v>3185.2750000000001</v>
      </c>
    </row>
    <row r="211" spans="1:5" x14ac:dyDescent="0.3">
      <c r="A211" s="9">
        <f>'Volúmenes DIstribuidos '!B117</f>
        <v>44113</v>
      </c>
      <c r="B211" s="10" t="str">
        <f>IF(OR('Volúmenes DIstribuidos '!C117="Azúcar",'Volúmenes DIstribuidos '!C117="azúcar"),"Azúcar o dulce",IF('Volúmenes DIstribuidos '!C117="Aceite","Aceite o grasas",IF('Volúmenes DIstribuidos '!C117="Avena","Otros almidones",'Volúmenes DIstribuidos '!C117)))</f>
        <v>Salsas</v>
      </c>
      <c r="C211" s="10" t="s">
        <v>29</v>
      </c>
      <c r="D211" s="12">
        <f>'Volúmenes DIstribuidos '!D117</f>
        <v>31.28</v>
      </c>
      <c r="E211" s="12">
        <f>SUMIF('Parametros Inventario'!$A:$A,B211,'Parametros Inventario'!$B:$B)+SUMIFS(D$2:D211,B$2:B211,B211,C$2:C211,"ENTRADA")-SUMIFS(D$2:D211,B$2:B211,B211,C$2:C211,"SALIDA")</f>
        <v>2557.48</v>
      </c>
    </row>
    <row r="212" spans="1:5" x14ac:dyDescent="0.3">
      <c r="A212" s="9">
        <f>'Volúmenes DIstribuidos '!B117</f>
        <v>44113</v>
      </c>
      <c r="B212" s="10" t="str">
        <f>IF(OR('Volúmenes DIstribuidos '!C118="Azúcar",'Volúmenes DIstribuidos '!C118="azúcar"),"Azúcar o dulce",IF('Volúmenes DIstribuidos '!C118="Aceite","Aceite o grasas",IF('Volúmenes DIstribuidos '!C118="Avena","Otros almidones",'Volúmenes DIstribuidos '!C118)))</f>
        <v>Azúcar o dulce</v>
      </c>
      <c r="C212" s="10" t="s">
        <v>29</v>
      </c>
      <c r="D212" s="12">
        <f>'Volúmenes DIstribuidos '!D118</f>
        <v>3.19</v>
      </c>
      <c r="E212" s="12">
        <f>SUMIF('Parametros Inventario'!$A:$A,B212,'Parametros Inventario'!$B:$B)+SUMIFS(D$2:D212,B$2:B212,B212,C$2:C212,"ENTRADA")-SUMIFS(D$2:D212,B$2:B212,B212,C$2:C212,"SALIDA")</f>
        <v>3182.085</v>
      </c>
    </row>
    <row r="213" spans="1:5" x14ac:dyDescent="0.3">
      <c r="A213" s="9">
        <f>'Volúmenes DIstribuidos '!B117</f>
        <v>44113</v>
      </c>
      <c r="B213" s="10" t="str">
        <f>IF(OR('Volúmenes DIstribuidos '!C119="Azúcar",'Volúmenes DIstribuidos '!C119="azúcar"),"Azúcar o dulce",IF('Volúmenes DIstribuidos '!C119="Aceite","Aceite o grasas",IF('Volúmenes DIstribuidos '!C119="Avena","Otros almidones",'Volúmenes DIstribuidos '!C119)))</f>
        <v>Vegetales y hojas</v>
      </c>
      <c r="C213" s="10" t="s">
        <v>29</v>
      </c>
      <c r="D213" s="12">
        <f>'Volúmenes DIstribuidos '!D119</f>
        <v>8.86</v>
      </c>
      <c r="E213" s="12">
        <f>SUMIF('Parametros Inventario'!$A:$A,B213,'Parametros Inventario'!$B:$B)+SUMIFS(D$2:D213,B$2:B213,B213,C$2:C213,"ENTRADA")-SUMIFS(D$2:D213,B$2:B213,B213,C$2:C213,"SALIDA")</f>
        <v>1972.029</v>
      </c>
    </row>
    <row r="214" spans="1:5" x14ac:dyDescent="0.3">
      <c r="A214" s="9">
        <f>'Volúmenes DIstribuidos '!B117</f>
        <v>44113</v>
      </c>
      <c r="B214" s="10" t="str">
        <f>IF(OR('Volúmenes DIstribuidos '!C120="Azúcar",'Volúmenes DIstribuidos '!C120="azúcar"),"Azúcar o dulce",IF('Volúmenes DIstribuidos '!C120="Aceite","Aceite o grasas",IF('Volúmenes DIstribuidos '!C120="Avena","Otros almidones",'Volúmenes DIstribuidos '!C120)))</f>
        <v>Otros almidones</v>
      </c>
      <c r="C214" s="10" t="s">
        <v>29</v>
      </c>
      <c r="D214" s="12">
        <f>'Volúmenes DIstribuidos '!D120</f>
        <v>70.608000000000004</v>
      </c>
      <c r="E214" s="12">
        <f>SUMIF('Parametros Inventario'!$A:$A,B214,'Parametros Inventario'!$B:$B)+SUMIFS(D$2:D214,B$2:B214,B214,C$2:C214,"ENTRADA")-SUMIFS(D$2:D214,B$2:B214,B214,C$2:C214,"SALIDA")</f>
        <v>2019.2069999999999</v>
      </c>
    </row>
    <row r="215" spans="1:5" x14ac:dyDescent="0.3">
      <c r="A215" s="9">
        <f>'Volúmenes DIstribuidos '!B117</f>
        <v>44113</v>
      </c>
      <c r="B215" s="10" t="str">
        <f>IF(OR('Volúmenes DIstribuidos '!C121="Azúcar",'Volúmenes DIstribuidos '!C121="azúcar"),"Azúcar o dulce",IF('Volúmenes DIstribuidos '!C121="Aceite","Aceite o grasas",IF('Volúmenes DIstribuidos '!C121="Avena","Otros almidones",'Volúmenes DIstribuidos '!C121)))</f>
        <v>Panadería</v>
      </c>
      <c r="C215" s="10" t="s">
        <v>29</v>
      </c>
      <c r="D215" s="12">
        <f>'Volúmenes DIstribuidos '!D121</f>
        <v>36.14</v>
      </c>
      <c r="E215" s="12">
        <f>SUMIF('Parametros Inventario'!$A:$A,B215,'Parametros Inventario'!$B:$B)+SUMIFS(D$2:D215,B$2:B215,B215,C$2:C215,"ENTRADA")-SUMIFS(D$2:D215,B$2:B215,B215,C$2:C215,"SALIDA")</f>
        <v>1631.325</v>
      </c>
    </row>
    <row r="216" spans="1:5" x14ac:dyDescent="0.3">
      <c r="A216" s="9">
        <f>'Volúmenes DIstribuidos '!B117</f>
        <v>44113</v>
      </c>
      <c r="B216" s="10" t="str">
        <f>IF(OR('Volúmenes DIstribuidos '!C122="Azúcar",'Volúmenes DIstribuidos '!C122="azúcar"),"Azúcar o dulce",IF('Volúmenes DIstribuidos '!C122="Aceite","Aceite o grasas",IF('Volúmenes DIstribuidos '!C122="Avena","Otros almidones",'Volúmenes DIstribuidos '!C122)))</f>
        <v>Aceite o grasas</v>
      </c>
      <c r="C216" s="10" t="s">
        <v>29</v>
      </c>
      <c r="D216" s="12">
        <f>'Volúmenes DIstribuidos '!D122</f>
        <v>132.80000000000001</v>
      </c>
      <c r="E216" s="12">
        <f>SUMIF('Parametros Inventario'!$A:$A,B216,'Parametros Inventario'!$B:$B)+SUMIFS(D$2:D216,B$2:B216,B216,C$2:C216,"ENTRADA")-SUMIFS(D$2:D216,B$2:B216,B216,C$2:C216,"SALIDA")</f>
        <v>2478.328</v>
      </c>
    </row>
    <row r="217" spans="1:5" x14ac:dyDescent="0.3">
      <c r="A217" s="9">
        <f>'Volúmenes DIstribuidos '!B123</f>
        <v>44117</v>
      </c>
      <c r="B217" s="10" t="str">
        <f>IF(OR('Volúmenes DIstribuidos '!C123="Azúcar",'Volúmenes DIstribuidos '!C123="azúcar"),"Azúcar o dulce",IF('Volúmenes DIstribuidos '!C123="Aceite","Aceite o grasas",IF('Volúmenes DIstribuidos '!C123="Avena","Otros almidones",'Volúmenes DIstribuidos '!C123)))</f>
        <v>Azúcar o dulce</v>
      </c>
      <c r="C217" s="10" t="s">
        <v>29</v>
      </c>
      <c r="D217" s="12">
        <f>'Volúmenes DIstribuidos '!D123</f>
        <v>96.96</v>
      </c>
      <c r="E217" s="12">
        <f>SUMIF('Parametros Inventario'!$A:$A,B217,'Parametros Inventario'!$B:$B)+SUMIFS(D$2:D217,B$2:B217,B217,C$2:C217,"ENTRADA")-SUMIFS(D$2:D217,B$2:B217,B217,C$2:C217,"SALIDA")</f>
        <v>3085.125</v>
      </c>
    </row>
    <row r="218" spans="1:5" x14ac:dyDescent="0.3">
      <c r="A218" s="9">
        <f>'Volúmenes DIstribuidos '!B123</f>
        <v>44117</v>
      </c>
      <c r="B218" s="10" t="str">
        <f>IF(OR('Volúmenes DIstribuidos '!C124="Azúcar",'Volúmenes DIstribuidos '!C124="azúcar"),"Azúcar o dulce",IF('Volúmenes DIstribuidos '!C124="Aceite","Aceite o grasas",IF('Volúmenes DIstribuidos '!C124="Avena","Otros almidones",'Volúmenes DIstribuidos '!C124)))</f>
        <v>Otros almidones</v>
      </c>
      <c r="C218" s="10" t="s">
        <v>29</v>
      </c>
      <c r="D218" s="12">
        <f>'Volúmenes DIstribuidos '!D124</f>
        <v>19.353000000000002</v>
      </c>
      <c r="E218" s="12">
        <f>SUMIF('Parametros Inventario'!$A:$A,B218,'Parametros Inventario'!$B:$B)+SUMIFS(D$2:D218,B$2:B218,B218,C$2:C218,"ENTRADA")-SUMIFS(D$2:D218,B$2:B218,B218,C$2:C218,"SALIDA")</f>
        <v>1999.854</v>
      </c>
    </row>
    <row r="219" spans="1:5" x14ac:dyDescent="0.3">
      <c r="A219" s="9">
        <f>'Volúmenes DIstribuidos '!B123</f>
        <v>44117</v>
      </c>
      <c r="B219" s="10" t="str">
        <f>IF(OR('Volúmenes DIstribuidos '!C125="Azúcar",'Volúmenes DIstribuidos '!C125="azúcar"),"Azúcar o dulce",IF('Volúmenes DIstribuidos '!C125="Aceite","Aceite o grasas",IF('Volúmenes DIstribuidos '!C125="Avena","Otros almidones",'Volúmenes DIstribuidos '!C125)))</f>
        <v>Menestras</v>
      </c>
      <c r="C219" s="10" t="s">
        <v>29</v>
      </c>
      <c r="D219" s="12">
        <f>'Volúmenes DIstribuidos '!D125</f>
        <v>44.24</v>
      </c>
      <c r="E219" s="12">
        <f>SUMIF('Parametros Inventario'!$A:$A,B219,'Parametros Inventario'!$B:$B)+SUMIFS(D$2:D219,B$2:B219,B219,C$2:C219,"ENTRADA")-SUMIFS(D$2:D219,B$2:B219,B219,C$2:C219,"SALIDA")</f>
        <v>1727.2769999999994</v>
      </c>
    </row>
    <row r="220" spans="1:5" x14ac:dyDescent="0.3">
      <c r="A220" s="9">
        <f>'Volúmenes DIstribuidos '!B123</f>
        <v>44117</v>
      </c>
      <c r="B220" s="10" t="str">
        <f>IF(OR('Volúmenes DIstribuidos '!C126="Azúcar",'Volúmenes DIstribuidos '!C126="azúcar"),"Azúcar o dulce",IF('Volúmenes DIstribuidos '!C126="Aceite","Aceite o grasas",IF('Volúmenes DIstribuidos '!C126="Avena","Otros almidones",'Volúmenes DIstribuidos '!C126)))</f>
        <v>Panadería</v>
      </c>
      <c r="C220" s="10" t="s">
        <v>29</v>
      </c>
      <c r="D220" s="12">
        <f>'Volúmenes DIstribuidos '!D126</f>
        <v>19.32</v>
      </c>
      <c r="E220" s="12">
        <f>SUMIF('Parametros Inventario'!$A:$A,B220,'Parametros Inventario'!$B:$B)+SUMIFS(D$2:D220,B$2:B220,B220,C$2:C220,"ENTRADA")-SUMIFS(D$2:D220,B$2:B220,B220,C$2:C220,"SALIDA")</f>
        <v>1612.0050000000001</v>
      </c>
    </row>
    <row r="221" spans="1:5" x14ac:dyDescent="0.3">
      <c r="A221" s="9">
        <f>'Volúmenes DIstribuidos '!B123</f>
        <v>44117</v>
      </c>
      <c r="B221" s="10" t="str">
        <f>IF(OR('Volúmenes DIstribuidos '!C127="Azúcar",'Volúmenes DIstribuidos '!C127="azúcar"),"Azúcar o dulce",IF('Volúmenes DIstribuidos '!C127="Aceite","Aceite o grasas",IF('Volúmenes DIstribuidos '!C127="Avena","Otros almidones",'Volúmenes DIstribuidos '!C127)))</f>
        <v>Carnes rojas</v>
      </c>
      <c r="C221" s="10" t="s">
        <v>29</v>
      </c>
      <c r="D221" s="12">
        <f>'Volúmenes DIstribuidos '!D127</f>
        <v>17.95</v>
      </c>
      <c r="E221" s="12">
        <f>SUMIF('Parametros Inventario'!$A:$A,B221,'Parametros Inventario'!$B:$B)+SUMIFS(D$2:D221,B$2:B221,B221,C$2:C221,"ENTRADA")-SUMIFS(D$2:D221,B$2:B221,B221,C$2:C221,"SALIDA")</f>
        <v>2267.6919999999996</v>
      </c>
    </row>
    <row r="222" spans="1:5" x14ac:dyDescent="0.3">
      <c r="A222" s="9">
        <f>'Volúmenes DIstribuidos '!B123</f>
        <v>44117</v>
      </c>
      <c r="B222" s="10" t="str">
        <f>IF(OR('Volúmenes DIstribuidos '!C128="Azúcar",'Volúmenes DIstribuidos '!C128="azúcar"),"Azúcar o dulce",IF('Volúmenes DIstribuidos '!C128="Aceite","Aceite o grasas",IF('Volúmenes DIstribuidos '!C128="Avena","Otros almidones",'Volúmenes DIstribuidos '!C128)))</f>
        <v>Lácteos</v>
      </c>
      <c r="C222" s="10" t="s">
        <v>29</v>
      </c>
      <c r="D222" s="12">
        <f>'Volúmenes DIstribuidos '!D128</f>
        <v>54.09</v>
      </c>
      <c r="E222" s="12">
        <f>SUMIF('Parametros Inventario'!$A:$A,B222,'Parametros Inventario'!$B:$B)+SUMIFS(D$2:D222,B$2:B222,B222,C$2:C222,"ENTRADA")-SUMIFS(D$2:D222,B$2:B222,B222,C$2:C222,"SALIDA")</f>
        <v>1902.319</v>
      </c>
    </row>
    <row r="223" spans="1:5" x14ac:dyDescent="0.3">
      <c r="A223" s="9">
        <f>'Volúmenes DIstribuidos '!B129</f>
        <v>44120</v>
      </c>
      <c r="B223" s="10" t="str">
        <f>IF(OR('Volúmenes DIstribuidos '!C129="Azúcar",'Volúmenes DIstribuidos '!C129="azúcar"),"Azúcar o dulce",IF('Volúmenes DIstribuidos '!C129="Aceite","Aceite o grasas",IF('Volúmenes DIstribuidos '!C129="Avena","Otros almidones",'Volúmenes DIstribuidos '!C129)))</f>
        <v>Otros almidones</v>
      </c>
      <c r="C223" s="10" t="s">
        <v>29</v>
      </c>
      <c r="D223" s="12">
        <f>'Volúmenes DIstribuidos '!D129</f>
        <v>16.91</v>
      </c>
      <c r="E223" s="12">
        <f>SUMIF('Parametros Inventario'!$A:$A,B223,'Parametros Inventario'!$B:$B)+SUMIFS(D$2:D223,B$2:B223,B223,C$2:C223,"ENTRADA")-SUMIFS(D$2:D223,B$2:B223,B223,C$2:C223,"SALIDA")</f>
        <v>1982.944</v>
      </c>
    </row>
    <row r="224" spans="1:5" x14ac:dyDescent="0.3">
      <c r="A224" s="9">
        <f>'Volúmenes DIstribuidos '!B129</f>
        <v>44120</v>
      </c>
      <c r="B224" s="10" t="str">
        <f>IF(OR('Volúmenes DIstribuidos '!C130="Azúcar",'Volúmenes DIstribuidos '!C130="azúcar"),"Azúcar o dulce",IF('Volúmenes DIstribuidos '!C130="Aceite","Aceite o grasas",IF('Volúmenes DIstribuidos '!C130="Avena","Otros almidones",'Volúmenes DIstribuidos '!C130)))</f>
        <v>Otros almidones</v>
      </c>
      <c r="C224" s="10" t="s">
        <v>29</v>
      </c>
      <c r="D224" s="12">
        <f>'Volúmenes DIstribuidos '!D130</f>
        <v>40.76</v>
      </c>
      <c r="E224" s="12">
        <f>SUMIF('Parametros Inventario'!$A:$A,B224,'Parametros Inventario'!$B:$B)+SUMIFS(D$2:D224,B$2:B224,B224,C$2:C224,"ENTRADA")-SUMIFS(D$2:D224,B$2:B224,B224,C$2:C224,"SALIDA")</f>
        <v>1942.1840000000002</v>
      </c>
    </row>
    <row r="225" spans="1:5" x14ac:dyDescent="0.3">
      <c r="A225" s="9">
        <f>'Volúmenes DIstribuidos '!B129</f>
        <v>44120</v>
      </c>
      <c r="B225" s="10" t="str">
        <f>IF(OR('Volúmenes DIstribuidos '!C131="Azúcar",'Volúmenes DIstribuidos '!C131="azúcar"),"Azúcar o dulce",IF('Volúmenes DIstribuidos '!C131="Aceite","Aceite o grasas",IF('Volúmenes DIstribuidos '!C131="Avena","Otros almidones",'Volúmenes DIstribuidos '!C131)))</f>
        <v>Fideo</v>
      </c>
      <c r="C225" s="10" t="s">
        <v>29</v>
      </c>
      <c r="D225" s="12">
        <f>'Volúmenes DIstribuidos '!D131</f>
        <v>11.33</v>
      </c>
      <c r="E225" s="12">
        <f>SUMIF('Parametros Inventario'!$A:$A,B225,'Parametros Inventario'!$B:$B)+SUMIFS(D$2:D225,B$2:B225,B225,C$2:C225,"ENTRADA")-SUMIFS(D$2:D225,B$2:B225,B225,C$2:C225,"SALIDA")</f>
        <v>2519.3330000000001</v>
      </c>
    </row>
    <row r="226" spans="1:5" x14ac:dyDescent="0.3">
      <c r="A226" s="9">
        <f>'Volúmenes DIstribuidos '!B129</f>
        <v>44120</v>
      </c>
      <c r="B226" s="10" t="str">
        <f>IF(OR('Volúmenes DIstribuidos '!C132="Azúcar",'Volúmenes DIstribuidos '!C132="azúcar"),"Azúcar o dulce",IF('Volúmenes DIstribuidos '!C132="Aceite","Aceite o grasas",IF('Volúmenes DIstribuidos '!C132="Avena","Otros almidones",'Volúmenes DIstribuidos '!C132)))</f>
        <v>Vegetales y hojas</v>
      </c>
      <c r="C226" s="10" t="s">
        <v>29</v>
      </c>
      <c r="D226" s="12">
        <f>'Volúmenes DIstribuidos '!D132</f>
        <v>28.605</v>
      </c>
      <c r="E226" s="12">
        <f>SUMIF('Parametros Inventario'!$A:$A,B226,'Parametros Inventario'!$B:$B)+SUMIFS(D$2:D226,B$2:B226,B226,C$2:C226,"ENTRADA")-SUMIFS(D$2:D226,B$2:B226,B226,C$2:C226,"SALIDA")</f>
        <v>1943.424</v>
      </c>
    </row>
    <row r="227" spans="1:5" x14ac:dyDescent="0.3">
      <c r="A227" s="9">
        <f>'Volúmenes DIstribuidos '!B129</f>
        <v>44120</v>
      </c>
      <c r="B227" s="10" t="str">
        <f>IF(OR('Volúmenes DIstribuidos '!C133="Azúcar",'Volúmenes DIstribuidos '!C133="azúcar"),"Azúcar o dulce",IF('Volúmenes DIstribuidos '!C133="Aceite","Aceite o grasas",IF('Volúmenes DIstribuidos '!C133="Avena","Otros almidones",'Volúmenes DIstribuidos '!C133)))</f>
        <v>Carnes rojas</v>
      </c>
      <c r="C227" s="10" t="s">
        <v>29</v>
      </c>
      <c r="D227" s="12">
        <f>'Volúmenes DIstribuidos '!D133</f>
        <v>17.850000000000001</v>
      </c>
      <c r="E227" s="12">
        <f>SUMIF('Parametros Inventario'!$A:$A,B227,'Parametros Inventario'!$B:$B)+SUMIFS(D$2:D227,B$2:B227,B227,C$2:C227,"ENTRADA")-SUMIFS(D$2:D227,B$2:B227,B227,C$2:C227,"SALIDA")</f>
        <v>2249.8419999999996</v>
      </c>
    </row>
    <row r="228" spans="1:5" x14ac:dyDescent="0.3">
      <c r="A228" s="9">
        <f>'Volúmenes DIstribuidos '!B129</f>
        <v>44120</v>
      </c>
      <c r="B228" s="10" t="str">
        <f>IF(OR('Volúmenes DIstribuidos '!C134="Azúcar",'Volúmenes DIstribuidos '!C134="azúcar"),"Azúcar o dulce",IF('Volúmenes DIstribuidos '!C134="Aceite","Aceite o grasas",IF('Volúmenes DIstribuidos '!C134="Avena","Otros almidones",'Volúmenes DIstribuidos '!C134)))</f>
        <v>Carnes blancas</v>
      </c>
      <c r="C228" s="10" t="s">
        <v>29</v>
      </c>
      <c r="D228" s="12">
        <f>'Volúmenes DIstribuidos '!D134</f>
        <v>23.67</v>
      </c>
      <c r="E228" s="12">
        <f>SUMIF('Parametros Inventario'!$A:$A,B228,'Parametros Inventario'!$B:$B)+SUMIFS(D$2:D228,B$2:B228,B228,C$2:C228,"ENTRADA")-SUMIFS(D$2:D228,B$2:B228,B228,C$2:C228,"SALIDA")</f>
        <v>2244.163</v>
      </c>
    </row>
    <row r="229" spans="1:5" x14ac:dyDescent="0.3">
      <c r="A229" s="9">
        <f>'Volúmenes DIstribuidos '!B135</f>
        <v>44124</v>
      </c>
      <c r="B229" s="10" t="str">
        <f>IF(OR('Volúmenes DIstribuidos '!C135="Azúcar",'Volúmenes DIstribuidos '!C135="azúcar"),"Azúcar o dulce",IF('Volúmenes DIstribuidos '!C135="Aceite","Aceite o grasas",IF('Volúmenes DIstribuidos '!C135="Avena","Otros almidones",'Volúmenes DIstribuidos '!C135)))</f>
        <v>Menestras</v>
      </c>
      <c r="C229" s="10" t="s">
        <v>29</v>
      </c>
      <c r="D229" s="12">
        <f>'Volúmenes DIstribuidos '!D135</f>
        <v>39.78</v>
      </c>
      <c r="E229" s="12">
        <f>SUMIF('Parametros Inventario'!$A:$A,B229,'Parametros Inventario'!$B:$B)+SUMIFS(D$2:D229,B$2:B229,B229,C$2:C229,"ENTRADA")-SUMIFS(D$2:D229,B$2:B229,B229,C$2:C229,"SALIDA")</f>
        <v>1687.4969999999994</v>
      </c>
    </row>
    <row r="230" spans="1:5" x14ac:dyDescent="0.3">
      <c r="A230" s="9">
        <f>'Volúmenes DIstribuidos '!B135</f>
        <v>44124</v>
      </c>
      <c r="B230" s="10" t="str">
        <f>IF(OR('Volúmenes DIstribuidos '!C136="Azúcar",'Volúmenes DIstribuidos '!C136="azúcar"),"Azúcar o dulce",IF('Volúmenes DIstribuidos '!C136="Aceite","Aceite o grasas",IF('Volúmenes DIstribuidos '!C136="Avena","Otros almidones",'Volúmenes DIstribuidos '!C136)))</f>
        <v>Fideo</v>
      </c>
      <c r="C230" s="10" t="s">
        <v>29</v>
      </c>
      <c r="D230" s="12">
        <f>'Volúmenes DIstribuidos '!D136</f>
        <v>26.484000000000002</v>
      </c>
      <c r="E230" s="12">
        <f>SUMIF('Parametros Inventario'!$A:$A,B230,'Parametros Inventario'!$B:$B)+SUMIFS(D$2:D230,B$2:B230,B230,C$2:C230,"ENTRADA")-SUMIFS(D$2:D230,B$2:B230,B230,C$2:C230,"SALIDA")</f>
        <v>2492.8490000000002</v>
      </c>
    </row>
    <row r="231" spans="1:5" x14ac:dyDescent="0.3">
      <c r="A231" s="9">
        <f>'Volúmenes DIstribuidos '!B135</f>
        <v>44124</v>
      </c>
      <c r="B231" s="10" t="str">
        <f>IF(OR('Volúmenes DIstribuidos '!C137="Azúcar",'Volúmenes DIstribuidos '!C137="azúcar"),"Azúcar o dulce",IF('Volúmenes DIstribuidos '!C137="Aceite","Aceite o grasas",IF('Volúmenes DIstribuidos '!C137="Avena","Otros almidones",'Volúmenes DIstribuidos '!C137)))</f>
        <v>Aceite o grasas</v>
      </c>
      <c r="C231" s="10" t="s">
        <v>29</v>
      </c>
      <c r="D231" s="12">
        <f>'Volúmenes DIstribuidos '!D137</f>
        <v>86</v>
      </c>
      <c r="E231" s="12">
        <f>SUMIF('Parametros Inventario'!$A:$A,B231,'Parametros Inventario'!$B:$B)+SUMIFS(D$2:D231,B$2:B231,B231,C$2:C231,"ENTRADA")-SUMIFS(D$2:D231,B$2:B231,B231,C$2:C231,"SALIDA")</f>
        <v>2392.328</v>
      </c>
    </row>
    <row r="232" spans="1:5" x14ac:dyDescent="0.3">
      <c r="A232" s="9">
        <f>'Volúmenes DIstribuidos '!B135</f>
        <v>44124</v>
      </c>
      <c r="B232" s="10" t="str">
        <f>IF(OR('Volúmenes DIstribuidos '!C138="Azúcar",'Volúmenes DIstribuidos '!C138="azúcar"),"Azúcar o dulce",IF('Volúmenes DIstribuidos '!C138="Aceite","Aceite o grasas",IF('Volúmenes DIstribuidos '!C138="Avena","Otros almidones",'Volúmenes DIstribuidos '!C138)))</f>
        <v>Otros almidones</v>
      </c>
      <c r="C232" s="10" t="s">
        <v>29</v>
      </c>
      <c r="D232" s="12">
        <f>'Volúmenes DIstribuidos '!D138</f>
        <v>134.97</v>
      </c>
      <c r="E232" s="12">
        <f>SUMIF('Parametros Inventario'!$A:$A,B232,'Parametros Inventario'!$B:$B)+SUMIFS(D$2:D232,B$2:B232,B232,C$2:C232,"ENTRADA")-SUMIFS(D$2:D232,B$2:B232,B232,C$2:C232,"SALIDA")</f>
        <v>1807.2139999999999</v>
      </c>
    </row>
    <row r="233" spans="1:5" x14ac:dyDescent="0.3">
      <c r="A233" s="9">
        <f>'Volúmenes DIstribuidos '!B135</f>
        <v>44124</v>
      </c>
      <c r="B233" s="10" t="str">
        <f>IF(OR('Volúmenes DIstribuidos '!C139="Azúcar",'Volúmenes DIstribuidos '!C139="azúcar"),"Azúcar o dulce",IF('Volúmenes DIstribuidos '!C139="Aceite","Aceite o grasas",IF('Volúmenes DIstribuidos '!C139="Avena","Otros almidones",'Volúmenes DIstribuidos '!C139)))</f>
        <v>Fideo</v>
      </c>
      <c r="C233" s="10" t="s">
        <v>29</v>
      </c>
      <c r="D233" s="12">
        <f>'Volúmenes DIstribuidos '!D139</f>
        <v>24.93</v>
      </c>
      <c r="E233" s="12">
        <f>SUMIF('Parametros Inventario'!$A:$A,B233,'Parametros Inventario'!$B:$B)+SUMIFS(D$2:D233,B$2:B233,B233,C$2:C233,"ENTRADA")-SUMIFS(D$2:D233,B$2:B233,B233,C$2:C233,"SALIDA")</f>
        <v>2467.9189999999999</v>
      </c>
    </row>
    <row r="234" spans="1:5" x14ac:dyDescent="0.3">
      <c r="A234" s="9">
        <f>'Volúmenes DIstribuidos '!B135</f>
        <v>44124</v>
      </c>
      <c r="B234" s="10" t="str">
        <f>IF(OR('Volúmenes DIstribuidos '!C140="Azúcar",'Volúmenes DIstribuidos '!C140="azúcar"),"Azúcar o dulce",IF('Volúmenes DIstribuidos '!C140="Aceite","Aceite o grasas",IF('Volúmenes DIstribuidos '!C140="Avena","Otros almidones",'Volúmenes DIstribuidos '!C140)))</f>
        <v>Menestras</v>
      </c>
      <c r="C234" s="10" t="s">
        <v>29</v>
      </c>
      <c r="D234" s="12">
        <f>'Volúmenes DIstribuidos '!D140</f>
        <v>57.95</v>
      </c>
      <c r="E234" s="12">
        <f>SUMIF('Parametros Inventario'!$A:$A,B234,'Parametros Inventario'!$B:$B)+SUMIFS(D$2:D234,B$2:B234,B234,C$2:C234,"ENTRADA")-SUMIFS(D$2:D234,B$2:B234,B234,C$2:C234,"SALIDA")</f>
        <v>1629.5469999999993</v>
      </c>
    </row>
    <row r="235" spans="1:5" x14ac:dyDescent="0.3">
      <c r="A235" s="9">
        <f>'Volúmenes DIstribuidos '!B141</f>
        <v>44127</v>
      </c>
      <c r="B235" s="10" t="str">
        <f>IF(OR('Volúmenes DIstribuidos '!C141="Azúcar",'Volúmenes DIstribuidos '!C141="azúcar"),"Azúcar o dulce",IF('Volúmenes DIstribuidos '!C141="Aceite","Aceite o grasas",IF('Volúmenes DIstribuidos '!C141="Avena","Otros almidones",'Volúmenes DIstribuidos '!C141)))</f>
        <v>Azúcar o dulce</v>
      </c>
      <c r="C235" s="10" t="s">
        <v>29</v>
      </c>
      <c r="D235" s="12">
        <f>'Volúmenes DIstribuidos '!D141</f>
        <v>127.72499999999999</v>
      </c>
      <c r="E235" s="12">
        <f>SUMIF('Parametros Inventario'!$A:$A,B235,'Parametros Inventario'!$B:$B)+SUMIFS(D$2:D235,B$2:B235,B235,C$2:C235,"ENTRADA")-SUMIFS(D$2:D235,B$2:B235,B235,C$2:C235,"SALIDA")</f>
        <v>2957.4</v>
      </c>
    </row>
    <row r="236" spans="1:5" x14ac:dyDescent="0.3">
      <c r="A236" s="9">
        <f>'Volúmenes DIstribuidos '!B141</f>
        <v>44127</v>
      </c>
      <c r="B236" s="10" t="str">
        <f>IF(OR('Volúmenes DIstribuidos '!C142="Azúcar",'Volúmenes DIstribuidos '!C142="azúcar"),"Azúcar o dulce",IF('Volúmenes DIstribuidos '!C142="Aceite","Aceite o grasas",IF('Volúmenes DIstribuidos '!C142="Avena","Otros almidones",'Volúmenes DIstribuidos '!C142)))</f>
        <v>Panadería</v>
      </c>
      <c r="C236" s="10" t="s">
        <v>29</v>
      </c>
      <c r="D236" s="12">
        <f>'Volúmenes DIstribuidos '!D142</f>
        <v>48.77</v>
      </c>
      <c r="E236" s="12">
        <f>SUMIF('Parametros Inventario'!$A:$A,B236,'Parametros Inventario'!$B:$B)+SUMIFS(D$2:D236,B$2:B236,B236,C$2:C236,"ENTRADA")-SUMIFS(D$2:D236,B$2:B236,B236,C$2:C236,"SALIDA")</f>
        <v>1563.2350000000001</v>
      </c>
    </row>
    <row r="237" spans="1:5" x14ac:dyDescent="0.3">
      <c r="A237" s="9">
        <f>'Volúmenes DIstribuidos '!B141</f>
        <v>44127</v>
      </c>
      <c r="B237" s="10" t="str">
        <f>IF(OR('Volúmenes DIstribuidos '!C143="Azúcar",'Volúmenes DIstribuidos '!C143="azúcar"),"Azúcar o dulce",IF('Volúmenes DIstribuidos '!C143="Aceite","Aceite o grasas",IF('Volúmenes DIstribuidos '!C143="Avena","Otros almidones",'Volúmenes DIstribuidos '!C143)))</f>
        <v>Carnes rojas</v>
      </c>
      <c r="C237" s="10" t="s">
        <v>29</v>
      </c>
      <c r="D237" s="12">
        <f>'Volúmenes DIstribuidos '!D143</f>
        <v>50</v>
      </c>
      <c r="E237" s="12">
        <f>SUMIF('Parametros Inventario'!$A:$A,B237,'Parametros Inventario'!$B:$B)+SUMIFS(D$2:D237,B$2:B237,B237,C$2:C237,"ENTRADA")-SUMIFS(D$2:D237,B$2:B237,B237,C$2:C237,"SALIDA")</f>
        <v>2199.8419999999996</v>
      </c>
    </row>
    <row r="238" spans="1:5" x14ac:dyDescent="0.3">
      <c r="A238" s="9">
        <f>'Volúmenes DIstribuidos '!B141</f>
        <v>44127</v>
      </c>
      <c r="B238" s="10" t="str">
        <f>IF(OR('Volúmenes DIstribuidos '!C144="Azúcar",'Volúmenes DIstribuidos '!C144="azúcar"),"Azúcar o dulce",IF('Volúmenes DIstribuidos '!C144="Aceite","Aceite o grasas",IF('Volúmenes DIstribuidos '!C144="Avena","Otros almidones",'Volúmenes DIstribuidos '!C144)))</f>
        <v>Vegetales y hojas</v>
      </c>
      <c r="C238" s="10" t="s">
        <v>29</v>
      </c>
      <c r="D238" s="12">
        <f>'Volúmenes DIstribuidos '!D144</f>
        <v>19.010000000000002</v>
      </c>
      <c r="E238" s="12">
        <f>SUMIF('Parametros Inventario'!$A:$A,B238,'Parametros Inventario'!$B:$B)+SUMIFS(D$2:D238,B$2:B238,B238,C$2:C238,"ENTRADA")-SUMIFS(D$2:D238,B$2:B238,B238,C$2:C238,"SALIDA")</f>
        <v>1924.4140000000002</v>
      </c>
    </row>
    <row r="239" spans="1:5" x14ac:dyDescent="0.3">
      <c r="A239" s="9">
        <f>'Volúmenes DIstribuidos '!B141</f>
        <v>44127</v>
      </c>
      <c r="B239" s="10" t="str">
        <f>IF(OR('Volúmenes DIstribuidos '!C145="Azúcar",'Volúmenes DIstribuidos '!C145="azúcar"),"Azúcar o dulce",IF('Volúmenes DIstribuidos '!C145="Aceite","Aceite o grasas",IF('Volúmenes DIstribuidos '!C145="Avena","Otros almidones",'Volúmenes DIstribuidos '!C145)))</f>
        <v>Salsas</v>
      </c>
      <c r="C239" s="10" t="s">
        <v>29</v>
      </c>
      <c r="D239" s="12">
        <f>'Volúmenes DIstribuidos '!D145</f>
        <v>20.207000000000001</v>
      </c>
      <c r="E239" s="12">
        <f>SUMIF('Parametros Inventario'!$A:$A,B239,'Parametros Inventario'!$B:$B)+SUMIFS(D$2:D239,B$2:B239,B239,C$2:C239,"ENTRADA")-SUMIFS(D$2:D239,B$2:B239,B239,C$2:C239,"SALIDA")</f>
        <v>2537.2729999999997</v>
      </c>
    </row>
    <row r="240" spans="1:5" x14ac:dyDescent="0.3">
      <c r="A240" s="9">
        <f>'Volúmenes DIstribuidos '!B141</f>
        <v>44127</v>
      </c>
      <c r="B240" s="10" t="str">
        <f>IF(OR('Volúmenes DIstribuidos '!C146="Azúcar",'Volúmenes DIstribuidos '!C146="azúcar"),"Azúcar o dulce",IF('Volúmenes DIstribuidos '!C146="Aceite","Aceite o grasas",IF('Volúmenes DIstribuidos '!C146="Avena","Otros almidones",'Volúmenes DIstribuidos '!C146)))</f>
        <v>Aceite o grasas</v>
      </c>
      <c r="C240" s="10" t="s">
        <v>29</v>
      </c>
      <c r="D240" s="12">
        <f>'Volúmenes DIstribuidos '!D146</f>
        <v>39.81</v>
      </c>
      <c r="E240" s="12">
        <f>SUMIF('Parametros Inventario'!$A:$A,B240,'Parametros Inventario'!$B:$B)+SUMIFS(D$2:D240,B$2:B240,B240,C$2:C240,"ENTRADA")-SUMIFS(D$2:D240,B$2:B240,B240,C$2:C240,"SALIDA")</f>
        <v>2352.518</v>
      </c>
    </row>
    <row r="241" spans="1:5" x14ac:dyDescent="0.3">
      <c r="A241" s="9">
        <f>'Volúmenes DIstribuidos '!B147</f>
        <v>44131</v>
      </c>
      <c r="B241" s="10" t="str">
        <f>IF(OR('Volúmenes DIstribuidos '!C147="Azúcar",'Volúmenes DIstribuidos '!C147="azúcar"),"Azúcar o dulce",IF('Volúmenes DIstribuidos '!C147="Aceite","Aceite o grasas",IF('Volúmenes DIstribuidos '!C147="Avena","Otros almidones",'Volúmenes DIstribuidos '!C147)))</f>
        <v>Azúcar o dulce</v>
      </c>
      <c r="C241" s="10" t="s">
        <v>29</v>
      </c>
      <c r="D241" s="12">
        <f>'Volúmenes DIstribuidos '!D147</f>
        <v>36.89</v>
      </c>
      <c r="E241" s="12">
        <f>SUMIF('Parametros Inventario'!$A:$A,B241,'Parametros Inventario'!$B:$B)+SUMIFS(D$2:D241,B$2:B241,B241,C$2:C241,"ENTRADA")-SUMIFS(D$2:D241,B$2:B241,B241,C$2:C241,"SALIDA")</f>
        <v>2920.51</v>
      </c>
    </row>
    <row r="242" spans="1:5" x14ac:dyDescent="0.3">
      <c r="A242" s="9">
        <f>'Volúmenes DIstribuidos '!B147</f>
        <v>44131</v>
      </c>
      <c r="B242" s="10" t="str">
        <f>IF(OR('Volúmenes DIstribuidos '!C148="Azúcar",'Volúmenes DIstribuidos '!C148="azúcar"),"Azúcar o dulce",IF('Volúmenes DIstribuidos '!C148="Aceite","Aceite o grasas",IF('Volúmenes DIstribuidos '!C148="Avena","Otros almidones",'Volúmenes DIstribuidos '!C148)))</f>
        <v>Vegetales y hojas</v>
      </c>
      <c r="C242" s="10" t="s">
        <v>29</v>
      </c>
      <c r="D242" s="12">
        <f>'Volúmenes DIstribuidos '!D148</f>
        <v>18.54</v>
      </c>
      <c r="E242" s="12">
        <f>SUMIF('Parametros Inventario'!$A:$A,B242,'Parametros Inventario'!$B:$B)+SUMIFS(D$2:D242,B$2:B242,B242,C$2:C242,"ENTRADA")-SUMIFS(D$2:D242,B$2:B242,B242,C$2:C242,"SALIDA")</f>
        <v>1905.874</v>
      </c>
    </row>
    <row r="243" spans="1:5" x14ac:dyDescent="0.3">
      <c r="A243" s="9">
        <f>'Volúmenes DIstribuidos '!B147</f>
        <v>44131</v>
      </c>
      <c r="B243" s="10" t="str">
        <f>IF(OR('Volúmenes DIstribuidos '!C149="Azúcar",'Volúmenes DIstribuidos '!C149="azúcar"),"Azúcar o dulce",IF('Volúmenes DIstribuidos '!C149="Aceite","Aceite o grasas",IF('Volúmenes DIstribuidos '!C149="Avena","Otros almidones",'Volúmenes DIstribuidos '!C149)))</f>
        <v>Carnes rojas</v>
      </c>
      <c r="C243" s="10" t="s">
        <v>29</v>
      </c>
      <c r="D243" s="12">
        <f>'Volúmenes DIstribuidos '!D149</f>
        <v>29.89</v>
      </c>
      <c r="E243" s="12">
        <f>SUMIF('Parametros Inventario'!$A:$A,B243,'Parametros Inventario'!$B:$B)+SUMIFS(D$2:D243,B$2:B243,B243,C$2:C243,"ENTRADA")-SUMIFS(D$2:D243,B$2:B243,B243,C$2:C243,"SALIDA")</f>
        <v>2169.9519999999998</v>
      </c>
    </row>
    <row r="244" spans="1:5" x14ac:dyDescent="0.3">
      <c r="A244" s="9">
        <f>'Volúmenes DIstribuidos '!B147</f>
        <v>44131</v>
      </c>
      <c r="B244" s="10" t="str">
        <f>IF(OR('Volúmenes DIstribuidos '!C150="Azúcar",'Volúmenes DIstribuidos '!C150="azúcar"),"Azúcar o dulce",IF('Volúmenes DIstribuidos '!C150="Aceite","Aceite o grasas",IF('Volúmenes DIstribuidos '!C150="Avena","Otros almidones",'Volúmenes DIstribuidos '!C150)))</f>
        <v>Carnes blancas</v>
      </c>
      <c r="C244" s="10" t="s">
        <v>29</v>
      </c>
      <c r="D244" s="12">
        <f>'Volúmenes DIstribuidos '!D150</f>
        <v>11.571999999999999</v>
      </c>
      <c r="E244" s="12">
        <f>SUMIF('Parametros Inventario'!$A:$A,B244,'Parametros Inventario'!$B:$B)+SUMIFS(D$2:D244,B$2:B244,B244,C$2:C244,"ENTRADA")-SUMIFS(D$2:D244,B$2:B244,B244,C$2:C244,"SALIDA")</f>
        <v>2232.5909999999999</v>
      </c>
    </row>
    <row r="245" spans="1:5" x14ac:dyDescent="0.3">
      <c r="A245" s="9">
        <f>'Volúmenes DIstribuidos '!B147</f>
        <v>44131</v>
      </c>
      <c r="B245" s="10" t="str">
        <f>IF(OR('Volúmenes DIstribuidos '!C151="Azúcar",'Volúmenes DIstribuidos '!C151="azúcar"),"Azúcar o dulce",IF('Volúmenes DIstribuidos '!C151="Aceite","Aceite o grasas",IF('Volúmenes DIstribuidos '!C151="Avena","Otros almidones",'Volúmenes DIstribuidos '!C151)))</f>
        <v>Carnes blancas</v>
      </c>
      <c r="C245" s="10" t="s">
        <v>29</v>
      </c>
      <c r="D245" s="12">
        <f>'Volúmenes DIstribuidos '!D151</f>
        <v>18.41</v>
      </c>
      <c r="E245" s="12">
        <f>SUMIF('Parametros Inventario'!$A:$A,B245,'Parametros Inventario'!$B:$B)+SUMIFS(D$2:D245,B$2:B245,B245,C$2:C245,"ENTRADA")-SUMIFS(D$2:D245,B$2:B245,B245,C$2:C245,"SALIDA")</f>
        <v>2214.181</v>
      </c>
    </row>
    <row r="246" spans="1:5" x14ac:dyDescent="0.3">
      <c r="A246" s="9">
        <f>'Volúmenes DIstribuidos '!B147</f>
        <v>44131</v>
      </c>
      <c r="B246" s="10" t="str">
        <f>IF(OR('Volúmenes DIstribuidos '!C152="Azúcar",'Volúmenes DIstribuidos '!C152="azúcar"),"Azúcar o dulce",IF('Volúmenes DIstribuidos '!C152="Aceite","Aceite o grasas",IF('Volúmenes DIstribuidos '!C152="Avena","Otros almidones",'Volúmenes DIstribuidos '!C152)))</f>
        <v>Otros almidones</v>
      </c>
      <c r="C246" s="10" t="s">
        <v>29</v>
      </c>
      <c r="D246" s="12">
        <f>'Volúmenes DIstribuidos '!D152</f>
        <v>43.38</v>
      </c>
      <c r="E246" s="12">
        <f>SUMIF('Parametros Inventario'!$A:$A,B246,'Parametros Inventario'!$B:$B)+SUMIFS(D$2:D246,B$2:B246,B246,C$2:C246,"ENTRADA")-SUMIFS(D$2:D246,B$2:B246,B246,C$2:C246,"SALIDA")</f>
        <v>1763.8340000000001</v>
      </c>
    </row>
    <row r="247" spans="1:5" x14ac:dyDescent="0.3">
      <c r="A247" s="9">
        <v>44134</v>
      </c>
      <c r="B247" s="10" t="s">
        <v>17</v>
      </c>
      <c r="C247" s="10" t="s">
        <v>28</v>
      </c>
      <c r="D247" s="12">
        <v>257.42</v>
      </c>
      <c r="E247" s="12">
        <f>SUMIF('Parametros Inventario'!$A:$A,B247,'Parametros Inventario'!$B:$B)+SUMIFS(D$2:D247,B$2:B247,B247,C$2:C247,"ENTRADA")-SUMIFS(D$2:D247,B$2:B247,B247,C$2:C247,"SALIDA")</f>
        <v>2159.739</v>
      </c>
    </row>
    <row r="248" spans="1:5" x14ac:dyDescent="0.3">
      <c r="A248" s="9">
        <v>44134</v>
      </c>
      <c r="B248" s="10" t="s">
        <v>18</v>
      </c>
      <c r="C248" s="10" t="s">
        <v>28</v>
      </c>
      <c r="D248" s="12">
        <v>259.73</v>
      </c>
      <c r="E248" s="12">
        <f>SUMIF('Parametros Inventario'!$A:$A,B248,'Parametros Inventario'!$B:$B)+SUMIFS(D$2:D248,B$2:B248,B248,C$2:C248,"ENTRADA")-SUMIFS(D$2:D248,B$2:B248,B248,C$2:C248,"SALIDA")</f>
        <v>2797.0029999999997</v>
      </c>
    </row>
    <row r="249" spans="1:5" x14ac:dyDescent="0.3">
      <c r="A249" s="9">
        <v>44134</v>
      </c>
      <c r="B249" s="10" t="s">
        <v>10</v>
      </c>
      <c r="C249" s="10" t="s">
        <v>28</v>
      </c>
      <c r="D249" s="12">
        <v>194.89</v>
      </c>
      <c r="E249" s="12">
        <f>SUMIF('Parametros Inventario'!$A:$A,B249,'Parametros Inventario'!$B:$B)+SUMIFS(D$2:D249,B$2:B249,B249,C$2:C249,"ENTRADA")-SUMIFS(D$2:D249,B$2:B249,B249,C$2:C249,"SALIDA")</f>
        <v>2100.7640000000001</v>
      </c>
    </row>
    <row r="250" spans="1:5" x14ac:dyDescent="0.3">
      <c r="A250" s="9">
        <v>44134</v>
      </c>
      <c r="B250" s="10" t="s">
        <v>8</v>
      </c>
      <c r="C250" s="10" t="s">
        <v>28</v>
      </c>
      <c r="D250" s="12">
        <v>71.16</v>
      </c>
      <c r="E250" s="12">
        <f>SUMIF('Parametros Inventario'!$A:$A,B250,'Parametros Inventario'!$B:$B)+SUMIFS(D$2:D250,B$2:B250,B250,C$2:C250,"ENTRADA")-SUMIFS(D$2:D250,B$2:B250,B250,C$2:C250,"SALIDA")</f>
        <v>2423.6779999999999</v>
      </c>
    </row>
    <row r="251" spans="1:5" x14ac:dyDescent="0.3">
      <c r="A251" s="9">
        <v>44134</v>
      </c>
      <c r="B251" s="10" t="s">
        <v>13</v>
      </c>
      <c r="C251" s="10" t="s">
        <v>28</v>
      </c>
      <c r="D251" s="12">
        <v>183.39</v>
      </c>
      <c r="E251" s="12">
        <f>SUMIF('Parametros Inventario'!$A:$A,B251,'Parametros Inventario'!$B:$B)+SUMIFS(D$2:D251,B$2:B251,B251,C$2:C251,"ENTRADA")-SUMIFS(D$2:D251,B$2:B251,B251,C$2:C251,"SALIDA")</f>
        <v>3103.9000000000005</v>
      </c>
    </row>
    <row r="252" spans="1:5" x14ac:dyDescent="0.3">
      <c r="A252" s="9">
        <v>44134</v>
      </c>
      <c r="B252" s="10" t="s">
        <v>15</v>
      </c>
      <c r="C252" s="10" t="s">
        <v>28</v>
      </c>
      <c r="D252" s="12">
        <v>130.11000000000001</v>
      </c>
      <c r="E252" s="12">
        <f>SUMIF('Parametros Inventario'!$A:$A,B252,'Parametros Inventario'!$B:$B)+SUMIFS(D$2:D252,B$2:B252,B252,C$2:C252,"ENTRADA")-SUMIFS(D$2:D252,B$2:B252,B252,C$2:C252,"SALIDA")</f>
        <v>1893.9440000000002</v>
      </c>
    </row>
    <row r="253" spans="1:5" x14ac:dyDescent="0.3">
      <c r="A253" s="9">
        <v>44134</v>
      </c>
      <c r="B253" s="10" t="s">
        <v>11</v>
      </c>
      <c r="C253" s="10" t="s">
        <v>28</v>
      </c>
      <c r="D253" s="12">
        <v>197.22</v>
      </c>
      <c r="E253" s="12">
        <f>SUMIF('Parametros Inventario'!$A:$A,B253,'Parametros Inventario'!$B:$B)+SUMIFS(D$2:D253,B$2:B253,B253,C$2:C253,"ENTRADA")-SUMIFS(D$2:D253,B$2:B253,B253,C$2:C253,"SALIDA")</f>
        <v>2665.1389999999997</v>
      </c>
    </row>
    <row r="254" spans="1:5" x14ac:dyDescent="0.3">
      <c r="A254" s="9">
        <v>44134</v>
      </c>
      <c r="B254" s="10" t="s">
        <v>9</v>
      </c>
      <c r="C254" s="10" t="s">
        <v>28</v>
      </c>
      <c r="D254" s="12">
        <v>172.87</v>
      </c>
      <c r="E254" s="12">
        <f>SUMIF('Parametros Inventario'!$A:$A,B254,'Parametros Inventario'!$B:$B)+SUMIFS(D$2:D254,B$2:B254,B254,C$2:C254,"ENTRADA")-SUMIFS(D$2:D254,B$2:B254,B254,C$2:C254,"SALIDA")</f>
        <v>1736.105</v>
      </c>
    </row>
    <row r="255" spans="1:5" x14ac:dyDescent="0.3">
      <c r="A255" s="9">
        <v>44134</v>
      </c>
      <c r="B255" s="10" t="s">
        <v>14</v>
      </c>
      <c r="C255" s="10" t="s">
        <v>28</v>
      </c>
      <c r="D255" s="12">
        <v>283.45999999999998</v>
      </c>
      <c r="E255" s="12">
        <f>SUMIF('Parametros Inventario'!$A:$A,B255,'Parametros Inventario'!$B:$B)+SUMIFS(D$2:D255,B$2:B255,B255,C$2:C255,"ENTRADA")-SUMIFS(D$2:D255,B$2:B255,B255,C$2:C255,"SALIDA")</f>
        <v>1913.0069999999994</v>
      </c>
    </row>
    <row r="256" spans="1:5" x14ac:dyDescent="0.3">
      <c r="A256" s="9">
        <v>44134</v>
      </c>
      <c r="B256" s="10" t="s">
        <v>12</v>
      </c>
      <c r="C256" s="10" t="s">
        <v>28</v>
      </c>
      <c r="D256" s="12">
        <v>134.99</v>
      </c>
      <c r="E256" s="12">
        <f>SUMIF('Parametros Inventario'!$A:$A,B256,'Parametros Inventario'!$B:$B)+SUMIFS(D$2:D256,B$2:B256,B256,C$2:C256,"ENTRADA")-SUMIFS(D$2:D256,B$2:B256,B256,C$2:C256,"SALIDA")</f>
        <v>2304.942</v>
      </c>
    </row>
    <row r="257" spans="1:5" x14ac:dyDescent="0.3">
      <c r="A257" s="9">
        <v>44134</v>
      </c>
      <c r="B257" s="10" t="s">
        <v>16</v>
      </c>
      <c r="C257" s="10" t="s">
        <v>28</v>
      </c>
      <c r="D257" s="12">
        <v>95.13</v>
      </c>
      <c r="E257" s="12">
        <f>SUMIF('Parametros Inventario'!$A:$A,B257,'Parametros Inventario'!$B:$B)+SUMIFS(D$2:D257,B$2:B257,B257,C$2:C257,"ENTRADA")-SUMIFS(D$2:D257,B$2:B257,B257,C$2:C257,"SALIDA")</f>
        <v>2309.3110000000001</v>
      </c>
    </row>
    <row r="258" spans="1:5" x14ac:dyDescent="0.3">
      <c r="A258" s="9">
        <f>'Volúmenes DIstribuidos '!B153</f>
        <v>44134</v>
      </c>
      <c r="B258" s="10" t="str">
        <f>IF(OR('Volúmenes DIstribuidos '!C153="Azúcar",'Volúmenes DIstribuidos '!C153="azúcar"),"Azúcar o dulce",IF('Volúmenes DIstribuidos '!C153="Aceite","Aceite o grasas",IF('Volúmenes DIstribuidos '!C153="Avena","Otros almidones",'Volúmenes DIstribuidos '!C153)))</f>
        <v>Fideo</v>
      </c>
      <c r="C258" s="10" t="s">
        <v>29</v>
      </c>
      <c r="D258" s="12">
        <f>'Volúmenes DIstribuidos '!D153</f>
        <v>14.445</v>
      </c>
      <c r="E258" s="12">
        <f>SUMIF('Parametros Inventario'!$A:$A,B258,'Parametros Inventario'!$B:$B)+SUMIFS(D$2:D258,B$2:B258,B258,C$2:C258,"ENTRADA")-SUMIFS(D$2:D258,B$2:B258,B258,C$2:C258,"SALIDA")</f>
        <v>2650.694</v>
      </c>
    </row>
    <row r="259" spans="1:5" x14ac:dyDescent="0.3">
      <c r="A259" s="9">
        <f>'Volúmenes DIstribuidos '!B153</f>
        <v>44134</v>
      </c>
      <c r="B259" s="10" t="str">
        <f>IF(OR('Volúmenes DIstribuidos '!C154="Azúcar",'Volúmenes DIstribuidos '!C154="azúcar"),"Azúcar o dulce",IF('Volúmenes DIstribuidos '!C154="Aceite","Aceite o grasas",IF('Volúmenes DIstribuidos '!C154="Avena","Otros almidones",'Volúmenes DIstribuidos '!C154)))</f>
        <v>Vegetales y hojas</v>
      </c>
      <c r="C259" s="10" t="s">
        <v>29</v>
      </c>
      <c r="D259" s="12">
        <f>'Volúmenes DIstribuidos '!D154</f>
        <v>82.72</v>
      </c>
      <c r="E259" s="12">
        <f>SUMIF('Parametros Inventario'!$A:$A,B259,'Parametros Inventario'!$B:$B)+SUMIFS(D$2:D259,B$2:B259,B259,C$2:C259,"ENTRADA")-SUMIFS(D$2:D259,B$2:B259,B259,C$2:C259,"SALIDA")</f>
        <v>2018.0439999999999</v>
      </c>
    </row>
    <row r="260" spans="1:5" x14ac:dyDescent="0.3">
      <c r="A260" s="9">
        <f>'Volúmenes DIstribuidos '!B153</f>
        <v>44134</v>
      </c>
      <c r="B260" s="10" t="str">
        <f>IF(OR('Volúmenes DIstribuidos '!C155="Azúcar",'Volúmenes DIstribuidos '!C155="azúcar"),"Azúcar o dulce",IF('Volúmenes DIstribuidos '!C155="Aceite","Aceite o grasas",IF('Volúmenes DIstribuidos '!C155="Avena","Otros almidones",'Volúmenes DIstribuidos '!C155)))</f>
        <v>Fideo</v>
      </c>
      <c r="C260" s="10" t="s">
        <v>29</v>
      </c>
      <c r="D260" s="12">
        <f>'Volúmenes DIstribuidos '!D155</f>
        <v>27.45</v>
      </c>
      <c r="E260" s="12">
        <f>SUMIF('Parametros Inventario'!$A:$A,B260,'Parametros Inventario'!$B:$B)+SUMIFS(D$2:D260,B$2:B260,B260,C$2:C260,"ENTRADA")-SUMIFS(D$2:D260,B$2:B260,B260,C$2:C260,"SALIDA")</f>
        <v>2623.2439999999997</v>
      </c>
    </row>
    <row r="261" spans="1:5" x14ac:dyDescent="0.3">
      <c r="A261" s="9">
        <f>'Volúmenes DIstribuidos '!B153</f>
        <v>44134</v>
      </c>
      <c r="B261" s="10" t="str">
        <f>IF(OR('Volúmenes DIstribuidos '!C156="Azúcar",'Volúmenes DIstribuidos '!C156="azúcar"),"Azúcar o dulce",IF('Volúmenes DIstribuidos '!C156="Aceite","Aceite o grasas",IF('Volúmenes DIstribuidos '!C156="Avena","Otros almidones",'Volúmenes DIstribuidos '!C156)))</f>
        <v>Azúcar o dulce</v>
      </c>
      <c r="C261" s="10" t="s">
        <v>29</v>
      </c>
      <c r="D261" s="12">
        <f>'Volúmenes DIstribuidos '!D156</f>
        <v>15.74</v>
      </c>
      <c r="E261" s="12">
        <f>SUMIF('Parametros Inventario'!$A:$A,B261,'Parametros Inventario'!$B:$B)+SUMIFS(D$2:D261,B$2:B261,B261,C$2:C261,"ENTRADA")-SUMIFS(D$2:D261,B$2:B261,B261,C$2:C261,"SALIDA")</f>
        <v>3088.1600000000003</v>
      </c>
    </row>
    <row r="262" spans="1:5" x14ac:dyDescent="0.3">
      <c r="A262" s="9">
        <f>'Volúmenes DIstribuidos '!B153</f>
        <v>44134</v>
      </c>
      <c r="B262" s="10" t="str">
        <f>IF(OR('Volúmenes DIstribuidos '!C157="Azúcar",'Volúmenes DIstribuidos '!C157="azúcar"),"Azúcar o dulce",IF('Volúmenes DIstribuidos '!C157="Aceite","Aceite o grasas",IF('Volúmenes DIstribuidos '!C157="Avena","Otros almidones",'Volúmenes DIstribuidos '!C157)))</f>
        <v>Menestras</v>
      </c>
      <c r="C262" s="10" t="s">
        <v>29</v>
      </c>
      <c r="D262" s="12">
        <f>'Volúmenes DIstribuidos '!D157</f>
        <v>6.35</v>
      </c>
      <c r="E262" s="12">
        <f>SUMIF('Parametros Inventario'!$A:$A,B262,'Parametros Inventario'!$B:$B)+SUMIFS(D$2:D262,B$2:B262,B262,C$2:C262,"ENTRADA")-SUMIFS(D$2:D262,B$2:B262,B262,C$2:C262,"SALIDA")</f>
        <v>1906.6569999999992</v>
      </c>
    </row>
    <row r="263" spans="1:5" x14ac:dyDescent="0.3">
      <c r="A263" s="9">
        <f>'Volúmenes DIstribuidos '!B153</f>
        <v>44134</v>
      </c>
      <c r="B263" s="10" t="str">
        <f>IF(OR('Volúmenes DIstribuidos '!C158="Azúcar",'Volúmenes DIstribuidos '!C158="azúcar"),"Azúcar o dulce",IF('Volúmenes DIstribuidos '!C158="Aceite","Aceite o grasas",IF('Volúmenes DIstribuidos '!C158="Avena","Otros almidones",'Volúmenes DIstribuidos '!C158)))</f>
        <v>Aceite o grasas</v>
      </c>
      <c r="C263" s="10" t="s">
        <v>29</v>
      </c>
      <c r="D263" s="12">
        <f>'Volúmenes DIstribuidos '!D158</f>
        <v>15.03</v>
      </c>
      <c r="E263" s="12">
        <f>SUMIF('Parametros Inventario'!$A:$A,B263,'Parametros Inventario'!$B:$B)+SUMIFS(D$2:D263,B$2:B263,B263,C$2:C263,"ENTRADA")-SUMIFS(D$2:D263,B$2:B263,B263,C$2:C263,"SALIDA")</f>
        <v>2408.6480000000001</v>
      </c>
    </row>
    <row r="264" spans="1:5" x14ac:dyDescent="0.3">
      <c r="A264" s="9">
        <f>'Volúmenes DIstribuidos '!B159</f>
        <v>44138</v>
      </c>
      <c r="B264" s="10" t="str">
        <f>IF(OR('Volúmenes DIstribuidos '!C159="Azúcar",'Volúmenes DIstribuidos '!C159="azúcar"),"Azúcar o dulce",IF('Volúmenes DIstribuidos '!C159="Aceite","Aceite o grasas",IF('Volúmenes DIstribuidos '!C159="Avena","Otros almidones",'Volúmenes DIstribuidos '!C159)))</f>
        <v>Salsas</v>
      </c>
      <c r="C264" s="10" t="s">
        <v>29</v>
      </c>
      <c r="D264" s="12">
        <f>'Volúmenes DIstribuidos '!D159</f>
        <v>65.158000000000001</v>
      </c>
      <c r="E264" s="12">
        <f>SUMIF('Parametros Inventario'!$A:$A,B264,'Parametros Inventario'!$B:$B)+SUMIFS(D$2:D264,B$2:B264,B264,C$2:C264,"ENTRADA")-SUMIFS(D$2:D264,B$2:B264,B264,C$2:C264,"SALIDA")</f>
        <v>2731.8449999999998</v>
      </c>
    </row>
    <row r="265" spans="1:5" x14ac:dyDescent="0.3">
      <c r="A265" s="9">
        <f>'Volúmenes DIstribuidos '!B159</f>
        <v>44138</v>
      </c>
      <c r="B265" s="10" t="str">
        <f>IF(OR('Volúmenes DIstribuidos '!C160="Azúcar",'Volúmenes DIstribuidos '!C160="azúcar"),"Azúcar o dulce",IF('Volúmenes DIstribuidos '!C160="Aceite","Aceite o grasas",IF('Volúmenes DIstribuidos '!C160="Avena","Otros almidones",'Volúmenes DIstribuidos '!C160)))</f>
        <v>Carnes blancas</v>
      </c>
      <c r="C265" s="10" t="s">
        <v>29</v>
      </c>
      <c r="D265" s="12">
        <f>'Volúmenes DIstribuidos '!D160</f>
        <v>85.99</v>
      </c>
      <c r="E265" s="12">
        <f>SUMIF('Parametros Inventario'!$A:$A,B265,'Parametros Inventario'!$B:$B)+SUMIFS(D$2:D265,B$2:B265,B265,C$2:C265,"ENTRADA")-SUMIFS(D$2:D265,B$2:B265,B265,C$2:C265,"SALIDA")</f>
        <v>2223.3209999999999</v>
      </c>
    </row>
    <row r="266" spans="1:5" x14ac:dyDescent="0.3">
      <c r="A266" s="9">
        <f>'Volúmenes DIstribuidos '!B159</f>
        <v>44138</v>
      </c>
      <c r="B266" s="10" t="str">
        <f>IF(OR('Volúmenes DIstribuidos '!C161="Azúcar",'Volúmenes DIstribuidos '!C161="azúcar"),"Azúcar o dulce",IF('Volúmenes DIstribuidos '!C161="Aceite","Aceite o grasas",IF('Volúmenes DIstribuidos '!C161="Avena","Otros almidones",'Volúmenes DIstribuidos '!C161)))</f>
        <v>Panadería</v>
      </c>
      <c r="C266" s="10" t="s">
        <v>29</v>
      </c>
      <c r="D266" s="12">
        <f>'Volúmenes DIstribuidos '!D161</f>
        <v>41.77</v>
      </c>
      <c r="E266" s="12">
        <f>SUMIF('Parametros Inventario'!$A:$A,B266,'Parametros Inventario'!$B:$B)+SUMIFS(D$2:D266,B$2:B266,B266,C$2:C266,"ENTRADA")-SUMIFS(D$2:D266,B$2:B266,B266,C$2:C266,"SALIDA")</f>
        <v>1694.335</v>
      </c>
    </row>
    <row r="267" spans="1:5" x14ac:dyDescent="0.3">
      <c r="A267" s="9">
        <f>'Volúmenes DIstribuidos '!B159</f>
        <v>44138</v>
      </c>
      <c r="B267" s="10" t="str">
        <f>IF(OR('Volúmenes DIstribuidos '!C162="Azúcar",'Volúmenes DIstribuidos '!C162="azúcar"),"Azúcar o dulce",IF('Volúmenes DIstribuidos '!C162="Aceite","Aceite o grasas",IF('Volúmenes DIstribuidos '!C162="Avena","Otros almidones",'Volúmenes DIstribuidos '!C162)))</f>
        <v>Fideo</v>
      </c>
      <c r="C267" s="10" t="s">
        <v>29</v>
      </c>
      <c r="D267" s="12">
        <f>'Volúmenes DIstribuidos '!D162</f>
        <v>37.49</v>
      </c>
      <c r="E267" s="12">
        <f>SUMIF('Parametros Inventario'!$A:$A,B267,'Parametros Inventario'!$B:$B)+SUMIFS(D$2:D267,B$2:B267,B267,C$2:C267,"ENTRADA")-SUMIFS(D$2:D267,B$2:B267,B267,C$2:C267,"SALIDA")</f>
        <v>2585.7539999999999</v>
      </c>
    </row>
    <row r="268" spans="1:5" x14ac:dyDescent="0.3">
      <c r="A268" s="9">
        <f>'Volúmenes DIstribuidos '!B159</f>
        <v>44138</v>
      </c>
      <c r="B268" s="10" t="str">
        <f>IF(OR('Volúmenes DIstribuidos '!C163="Azúcar",'Volúmenes DIstribuidos '!C163="azúcar"),"Azúcar o dulce",IF('Volúmenes DIstribuidos '!C163="Aceite","Aceite o grasas",IF('Volúmenes DIstribuidos '!C163="Avena","Otros almidones",'Volúmenes DIstribuidos '!C163)))</f>
        <v>Vegetales y hojas</v>
      </c>
      <c r="C268" s="10" t="s">
        <v>29</v>
      </c>
      <c r="D268" s="12">
        <f>'Volúmenes DIstribuidos '!D163</f>
        <v>14.561999999999999</v>
      </c>
      <c r="E268" s="12">
        <f>SUMIF('Parametros Inventario'!$A:$A,B268,'Parametros Inventario'!$B:$B)+SUMIFS(D$2:D268,B$2:B268,B268,C$2:C268,"ENTRADA")-SUMIFS(D$2:D268,B$2:B268,B268,C$2:C268,"SALIDA")</f>
        <v>2003.482</v>
      </c>
    </row>
    <row r="269" spans="1:5" x14ac:dyDescent="0.3">
      <c r="A269" s="9">
        <f>'Volúmenes DIstribuidos '!B159</f>
        <v>44138</v>
      </c>
      <c r="B269" s="10" t="str">
        <f>IF(OR('Volúmenes DIstribuidos '!C164="Azúcar",'Volúmenes DIstribuidos '!C164="azúcar"),"Azúcar o dulce",IF('Volúmenes DIstribuidos '!C164="Aceite","Aceite o grasas",IF('Volúmenes DIstribuidos '!C164="Avena","Otros almidones",'Volúmenes DIstribuidos '!C164)))</f>
        <v>Carnes rojas</v>
      </c>
      <c r="C269" s="10" t="s">
        <v>29</v>
      </c>
      <c r="D269" s="12">
        <f>'Volúmenes DIstribuidos '!D164</f>
        <v>7.16</v>
      </c>
      <c r="E269" s="12">
        <f>SUMIF('Parametros Inventario'!$A:$A,B269,'Parametros Inventario'!$B:$B)+SUMIFS(D$2:D269,B$2:B269,B269,C$2:C269,"ENTRADA")-SUMIFS(D$2:D269,B$2:B269,B269,C$2:C269,"SALIDA")</f>
        <v>2297.7820000000002</v>
      </c>
    </row>
    <row r="270" spans="1:5" x14ac:dyDescent="0.3">
      <c r="A270" s="9">
        <f>'Volúmenes DIstribuidos '!B165</f>
        <v>44141</v>
      </c>
      <c r="B270" s="10" t="str">
        <f>IF(OR('Volúmenes DIstribuidos '!C165="Azúcar",'Volúmenes DIstribuidos '!C165="azúcar"),"Azúcar o dulce",IF('Volúmenes DIstribuidos '!C165="Aceite","Aceite o grasas",IF('Volúmenes DIstribuidos '!C165="Avena","Otros almidones",'Volúmenes DIstribuidos '!C165)))</f>
        <v>Panadería</v>
      </c>
      <c r="C270" s="10" t="s">
        <v>29</v>
      </c>
      <c r="D270" s="12">
        <f>'Volúmenes DIstribuidos '!D165</f>
        <v>18.079999999999998</v>
      </c>
      <c r="E270" s="12">
        <f>SUMIF('Parametros Inventario'!$A:$A,B270,'Parametros Inventario'!$B:$B)+SUMIFS(D$2:D270,B$2:B270,B270,C$2:C270,"ENTRADA")-SUMIFS(D$2:D270,B$2:B270,B270,C$2:C270,"SALIDA")</f>
        <v>1676.2549999999999</v>
      </c>
    </row>
    <row r="271" spans="1:5" x14ac:dyDescent="0.3">
      <c r="A271" s="9">
        <f>'Volúmenes DIstribuidos '!B165</f>
        <v>44141</v>
      </c>
      <c r="B271" s="10" t="str">
        <f>IF(OR('Volúmenes DIstribuidos '!C166="Azúcar",'Volúmenes DIstribuidos '!C166="azúcar"),"Azúcar o dulce",IF('Volúmenes DIstribuidos '!C166="Aceite","Aceite o grasas",IF('Volúmenes DIstribuidos '!C166="Avena","Otros almidones",'Volúmenes DIstribuidos '!C166)))</f>
        <v>Menestras</v>
      </c>
      <c r="C271" s="10" t="s">
        <v>29</v>
      </c>
      <c r="D271" s="12">
        <f>'Volúmenes DIstribuidos '!D166</f>
        <v>44.34</v>
      </c>
      <c r="E271" s="12">
        <f>SUMIF('Parametros Inventario'!$A:$A,B271,'Parametros Inventario'!$B:$B)+SUMIFS(D$2:D271,B$2:B271,B271,C$2:C271,"ENTRADA")-SUMIFS(D$2:D271,B$2:B271,B271,C$2:C271,"SALIDA")</f>
        <v>1862.3169999999993</v>
      </c>
    </row>
    <row r="272" spans="1:5" x14ac:dyDescent="0.3">
      <c r="A272" s="9">
        <f>'Volúmenes DIstribuidos '!B165</f>
        <v>44141</v>
      </c>
      <c r="B272" s="10" t="str">
        <f>IF(OR('Volúmenes DIstribuidos '!C167="Azúcar",'Volúmenes DIstribuidos '!C167="azúcar"),"Azúcar o dulce",IF('Volúmenes DIstribuidos '!C167="Aceite","Aceite o grasas",IF('Volúmenes DIstribuidos '!C167="Avena","Otros almidones",'Volúmenes DIstribuidos '!C167)))</f>
        <v>Fideo</v>
      </c>
      <c r="C272" s="10" t="s">
        <v>29</v>
      </c>
      <c r="D272" s="12">
        <f>'Volúmenes DIstribuidos '!D167</f>
        <v>6.45</v>
      </c>
      <c r="E272" s="12">
        <f>SUMIF('Parametros Inventario'!$A:$A,B272,'Parametros Inventario'!$B:$B)+SUMIFS(D$2:D272,B$2:B272,B272,C$2:C272,"ENTRADA")-SUMIFS(D$2:D272,B$2:B272,B272,C$2:C272,"SALIDA")</f>
        <v>2579.3039999999996</v>
      </c>
    </row>
    <row r="273" spans="1:5" x14ac:dyDescent="0.3">
      <c r="A273" s="9">
        <f>'Volúmenes DIstribuidos '!B165</f>
        <v>44141</v>
      </c>
      <c r="B273" s="10" t="str">
        <f>IF(OR('Volúmenes DIstribuidos '!C168="Azúcar",'Volúmenes DIstribuidos '!C168="azúcar"),"Azúcar o dulce",IF('Volúmenes DIstribuidos '!C168="Aceite","Aceite o grasas",IF('Volúmenes DIstribuidos '!C168="Avena","Otros almidones",'Volúmenes DIstribuidos '!C168)))</f>
        <v>Lácteos</v>
      </c>
      <c r="C273" s="10" t="s">
        <v>29</v>
      </c>
      <c r="D273" s="12">
        <f>'Volúmenes DIstribuidos '!D168</f>
        <v>15.02</v>
      </c>
      <c r="E273" s="12">
        <f>SUMIF('Parametros Inventario'!$A:$A,B273,'Parametros Inventario'!$B:$B)+SUMIFS(D$2:D273,B$2:B273,B273,C$2:C273,"ENTRADA")-SUMIFS(D$2:D273,B$2:B273,B273,C$2:C273,"SALIDA")</f>
        <v>2144.7190000000001</v>
      </c>
    </row>
    <row r="274" spans="1:5" x14ac:dyDescent="0.3">
      <c r="A274" s="9">
        <f>'Volúmenes DIstribuidos '!B165</f>
        <v>44141</v>
      </c>
      <c r="B274" s="10" t="str">
        <f>IF(OR('Volúmenes DIstribuidos '!C169="Azúcar",'Volúmenes DIstribuidos '!C169="azúcar"),"Azúcar o dulce",IF('Volúmenes DIstribuidos '!C169="Aceite","Aceite o grasas",IF('Volúmenes DIstribuidos '!C169="Avena","Otros almidones",'Volúmenes DIstribuidos '!C169)))</f>
        <v>Carnes blancas</v>
      </c>
      <c r="C274" s="10" t="s">
        <v>29</v>
      </c>
      <c r="D274" s="12">
        <f>'Volúmenes DIstribuidos '!D169</f>
        <v>28.245999999999999</v>
      </c>
      <c r="E274" s="12">
        <f>SUMIF('Parametros Inventario'!$A:$A,B274,'Parametros Inventario'!$B:$B)+SUMIFS(D$2:D274,B$2:B274,B274,C$2:C274,"ENTRADA")-SUMIFS(D$2:D274,B$2:B274,B274,C$2:C274,"SALIDA")</f>
        <v>2195.0750000000003</v>
      </c>
    </row>
    <row r="275" spans="1:5" x14ac:dyDescent="0.3">
      <c r="A275" s="9">
        <f>'Volúmenes DIstribuidos '!B165</f>
        <v>44141</v>
      </c>
      <c r="B275" s="10" t="str">
        <f>IF(OR('Volúmenes DIstribuidos '!C170="Azúcar",'Volúmenes DIstribuidos '!C170="azúcar"),"Azúcar o dulce",IF('Volúmenes DIstribuidos '!C170="Aceite","Aceite o grasas",IF('Volúmenes DIstribuidos '!C170="Avena","Otros almidones",'Volúmenes DIstribuidos '!C170)))</f>
        <v>Lácteos</v>
      </c>
      <c r="C275" s="10" t="s">
        <v>29</v>
      </c>
      <c r="D275" s="12">
        <f>'Volúmenes DIstribuidos '!D170</f>
        <v>46.69</v>
      </c>
      <c r="E275" s="12">
        <f>SUMIF('Parametros Inventario'!$A:$A,B275,'Parametros Inventario'!$B:$B)+SUMIFS(D$2:D275,B$2:B275,B275,C$2:C275,"ENTRADA")-SUMIFS(D$2:D275,B$2:B275,B275,C$2:C275,"SALIDA")</f>
        <v>2098.029</v>
      </c>
    </row>
    <row r="276" spans="1:5" x14ac:dyDescent="0.3">
      <c r="A276" s="9">
        <f>'Volúmenes DIstribuidos '!B171</f>
        <v>44145</v>
      </c>
      <c r="B276" s="10" t="str">
        <f>IF(OR('Volúmenes DIstribuidos '!C171="Azúcar",'Volúmenes DIstribuidos '!C171="azúcar"),"Azúcar o dulce",IF('Volúmenes DIstribuidos '!C171="Aceite","Aceite o grasas",IF('Volúmenes DIstribuidos '!C171="Avena","Otros almidones",'Volúmenes DIstribuidos '!C171)))</f>
        <v>Panadería</v>
      </c>
      <c r="C276" s="10" t="s">
        <v>29</v>
      </c>
      <c r="D276" s="12">
        <f>'Volúmenes DIstribuidos '!D171</f>
        <v>61.07</v>
      </c>
      <c r="E276" s="12">
        <f>SUMIF('Parametros Inventario'!$A:$A,B276,'Parametros Inventario'!$B:$B)+SUMIFS(D$2:D276,B$2:B276,B276,C$2:C276,"ENTRADA")-SUMIFS(D$2:D276,B$2:B276,B276,C$2:C276,"SALIDA")</f>
        <v>1615.1849999999999</v>
      </c>
    </row>
    <row r="277" spans="1:5" x14ac:dyDescent="0.3">
      <c r="A277" s="9">
        <f>'Volúmenes DIstribuidos '!B171</f>
        <v>44145</v>
      </c>
      <c r="B277" s="10" t="str">
        <f>IF(OR('Volúmenes DIstribuidos '!C172="Azúcar",'Volúmenes DIstribuidos '!C172="azúcar"),"Azúcar o dulce",IF('Volúmenes DIstribuidos '!C172="Aceite","Aceite o grasas",IF('Volúmenes DIstribuidos '!C172="Avena","Otros almidones",'Volúmenes DIstribuidos '!C172)))</f>
        <v>Azúcar o dulce</v>
      </c>
      <c r="C277" s="10" t="s">
        <v>29</v>
      </c>
      <c r="D277" s="12">
        <f>'Volúmenes DIstribuidos '!D172</f>
        <v>11.5</v>
      </c>
      <c r="E277" s="12">
        <f>SUMIF('Parametros Inventario'!$A:$A,B277,'Parametros Inventario'!$B:$B)+SUMIFS(D$2:D277,B$2:B277,B277,C$2:C277,"ENTRADA")-SUMIFS(D$2:D277,B$2:B277,B277,C$2:C277,"SALIDA")</f>
        <v>3076.6600000000003</v>
      </c>
    </row>
    <row r="278" spans="1:5" x14ac:dyDescent="0.3">
      <c r="A278" s="9">
        <f>'Volúmenes DIstribuidos '!B171</f>
        <v>44145</v>
      </c>
      <c r="B278" s="10" t="str">
        <f>IF(OR('Volúmenes DIstribuidos '!C173="Azúcar",'Volúmenes DIstribuidos '!C173="azúcar"),"Azúcar o dulce",IF('Volúmenes DIstribuidos '!C173="Aceite","Aceite o grasas",IF('Volúmenes DIstribuidos '!C173="Avena","Otros almidones",'Volúmenes DIstribuidos '!C173)))</f>
        <v>Aceite o grasas</v>
      </c>
      <c r="C278" s="10" t="s">
        <v>29</v>
      </c>
      <c r="D278" s="12">
        <f>'Volúmenes DIstribuidos '!D173</f>
        <v>10.266999999999999</v>
      </c>
      <c r="E278" s="12">
        <f>SUMIF('Parametros Inventario'!$A:$A,B278,'Parametros Inventario'!$B:$B)+SUMIFS(D$2:D278,B$2:B278,B278,C$2:C278,"ENTRADA")-SUMIFS(D$2:D278,B$2:B278,B278,C$2:C278,"SALIDA")</f>
        <v>2398.3809999999999</v>
      </c>
    </row>
    <row r="279" spans="1:5" x14ac:dyDescent="0.3">
      <c r="A279" s="9">
        <f>'Volúmenes DIstribuidos '!B171</f>
        <v>44145</v>
      </c>
      <c r="B279" s="10" t="str">
        <f>IF(OR('Volúmenes DIstribuidos '!C174="Azúcar",'Volúmenes DIstribuidos '!C174="azúcar"),"Azúcar o dulce",IF('Volúmenes DIstribuidos '!C174="Aceite","Aceite o grasas",IF('Volúmenes DIstribuidos '!C174="Avena","Otros almidones",'Volúmenes DIstribuidos '!C174)))</f>
        <v>Menestras</v>
      </c>
      <c r="C279" s="10" t="s">
        <v>29</v>
      </c>
      <c r="D279" s="12">
        <f>'Volúmenes DIstribuidos '!D174</f>
        <v>4.29</v>
      </c>
      <c r="E279" s="12">
        <f>SUMIF('Parametros Inventario'!$A:$A,B279,'Parametros Inventario'!$B:$B)+SUMIFS(D$2:D279,B$2:B279,B279,C$2:C279,"ENTRADA")-SUMIFS(D$2:D279,B$2:B279,B279,C$2:C279,"SALIDA")</f>
        <v>1858.0269999999994</v>
      </c>
    </row>
    <row r="280" spans="1:5" x14ac:dyDescent="0.3">
      <c r="A280" s="9">
        <f>'Volúmenes DIstribuidos '!B171</f>
        <v>44145</v>
      </c>
      <c r="B280" s="10" t="str">
        <f>IF(OR('Volúmenes DIstribuidos '!C175="Azúcar",'Volúmenes DIstribuidos '!C175="azúcar"),"Azúcar o dulce",IF('Volúmenes DIstribuidos '!C175="Aceite","Aceite o grasas",IF('Volúmenes DIstribuidos '!C175="Avena","Otros almidones",'Volúmenes DIstribuidos '!C175)))</f>
        <v>Vegetales y hojas</v>
      </c>
      <c r="C280" s="10" t="s">
        <v>29</v>
      </c>
      <c r="D280" s="12">
        <f>'Volúmenes DIstribuidos '!D175</f>
        <v>16.989999999999998</v>
      </c>
      <c r="E280" s="12">
        <f>SUMIF('Parametros Inventario'!$A:$A,B280,'Parametros Inventario'!$B:$B)+SUMIFS(D$2:D280,B$2:B280,B280,C$2:C280,"ENTRADA")-SUMIFS(D$2:D280,B$2:B280,B280,C$2:C280,"SALIDA")</f>
        <v>1986.492</v>
      </c>
    </row>
    <row r="281" spans="1:5" x14ac:dyDescent="0.3">
      <c r="A281" s="9">
        <f>'Volúmenes DIstribuidos '!B171</f>
        <v>44145</v>
      </c>
      <c r="B281" s="10" t="str">
        <f>IF(OR('Volúmenes DIstribuidos '!C176="Azúcar",'Volúmenes DIstribuidos '!C176="azúcar"),"Azúcar o dulce",IF('Volúmenes DIstribuidos '!C176="Aceite","Aceite o grasas",IF('Volúmenes DIstribuidos '!C176="Avena","Otros almidones",'Volúmenes DIstribuidos '!C176)))</f>
        <v>Carnes blancas</v>
      </c>
      <c r="C281" s="10" t="s">
        <v>29</v>
      </c>
      <c r="D281" s="12">
        <f>'Volúmenes DIstribuidos '!D176</f>
        <v>16.64</v>
      </c>
      <c r="E281" s="12">
        <f>SUMIF('Parametros Inventario'!$A:$A,B281,'Parametros Inventario'!$B:$B)+SUMIFS(D$2:D281,B$2:B281,B281,C$2:C281,"ENTRADA")-SUMIFS(D$2:D281,B$2:B281,B281,C$2:C281,"SALIDA")</f>
        <v>2178.4350000000004</v>
      </c>
    </row>
    <row r="282" spans="1:5" x14ac:dyDescent="0.3">
      <c r="A282" s="9">
        <f>'Volúmenes DIstribuidos '!B177</f>
        <v>44148</v>
      </c>
      <c r="B282" s="10" t="str">
        <f>IF(OR('Volúmenes DIstribuidos '!C177="Azúcar",'Volúmenes DIstribuidos '!C177="azúcar"),"Azúcar o dulce",IF('Volúmenes DIstribuidos '!C177="Aceite","Aceite o grasas",IF('Volúmenes DIstribuidos '!C177="Avena","Otros almidones",'Volúmenes DIstribuidos '!C177)))</f>
        <v>Azúcar o dulce</v>
      </c>
      <c r="C282" s="10" t="s">
        <v>29</v>
      </c>
      <c r="D282" s="12">
        <f>'Volúmenes DIstribuidos '!D177</f>
        <v>3.31</v>
      </c>
      <c r="E282" s="12">
        <f>SUMIF('Parametros Inventario'!$A:$A,B282,'Parametros Inventario'!$B:$B)+SUMIFS(D$2:D282,B$2:B282,B282,C$2:C282,"ENTRADA")-SUMIFS(D$2:D282,B$2:B282,B282,C$2:C282,"SALIDA")</f>
        <v>3073.3500000000004</v>
      </c>
    </row>
    <row r="283" spans="1:5" x14ac:dyDescent="0.3">
      <c r="A283" s="9">
        <f>'Volúmenes DIstribuidos '!B177</f>
        <v>44148</v>
      </c>
      <c r="B283" s="10" t="str">
        <f>IF(OR('Volúmenes DIstribuidos '!C178="Azúcar",'Volúmenes DIstribuidos '!C178="azúcar"),"Azúcar o dulce",IF('Volúmenes DIstribuidos '!C178="Aceite","Aceite o grasas",IF('Volúmenes DIstribuidos '!C178="Avena","Otros almidones",'Volúmenes DIstribuidos '!C178)))</f>
        <v>Salsas</v>
      </c>
      <c r="C283" s="10" t="s">
        <v>29</v>
      </c>
      <c r="D283" s="12">
        <f>'Volúmenes DIstribuidos '!D178</f>
        <v>27.38</v>
      </c>
      <c r="E283" s="12">
        <f>SUMIF('Parametros Inventario'!$A:$A,B283,'Parametros Inventario'!$B:$B)+SUMIFS(D$2:D283,B$2:B283,B283,C$2:C283,"ENTRADA")-SUMIFS(D$2:D283,B$2:B283,B283,C$2:C283,"SALIDA")</f>
        <v>2704.4650000000001</v>
      </c>
    </row>
    <row r="284" spans="1:5" x14ac:dyDescent="0.3">
      <c r="A284" s="9">
        <f>'Volúmenes DIstribuidos '!B177</f>
        <v>44148</v>
      </c>
      <c r="B284" s="10" t="str">
        <f>IF(OR('Volúmenes DIstribuidos '!C179="Azúcar",'Volúmenes DIstribuidos '!C179="azúcar"),"Azúcar o dulce",IF('Volúmenes DIstribuidos '!C179="Aceite","Aceite o grasas",IF('Volúmenes DIstribuidos '!C179="Avena","Otros almidones",'Volúmenes DIstribuidos '!C179)))</f>
        <v>Fideo</v>
      </c>
      <c r="C284" s="10" t="s">
        <v>29</v>
      </c>
      <c r="D284" s="12">
        <f>'Volúmenes DIstribuidos '!D179</f>
        <v>15.826000000000001</v>
      </c>
      <c r="E284" s="12">
        <f>SUMIF('Parametros Inventario'!$A:$A,B284,'Parametros Inventario'!$B:$B)+SUMIFS(D$2:D284,B$2:B284,B284,C$2:C284,"ENTRADA")-SUMIFS(D$2:D284,B$2:B284,B284,C$2:C284,"SALIDA")</f>
        <v>2563.4779999999996</v>
      </c>
    </row>
    <row r="285" spans="1:5" x14ac:dyDescent="0.3">
      <c r="A285" s="9">
        <f>'Volúmenes DIstribuidos '!B177</f>
        <v>44148</v>
      </c>
      <c r="B285" s="10" t="str">
        <f>IF(OR('Volúmenes DIstribuidos '!C180="Azúcar",'Volúmenes DIstribuidos '!C180="azúcar"),"Azúcar o dulce",IF('Volúmenes DIstribuidos '!C180="Aceite","Aceite o grasas",IF('Volúmenes DIstribuidos '!C180="Avena","Otros almidones",'Volúmenes DIstribuidos '!C180)))</f>
        <v>Carnes rojas</v>
      </c>
      <c r="C285" s="10" t="s">
        <v>29</v>
      </c>
      <c r="D285" s="12">
        <f>'Volúmenes DIstribuidos '!D180</f>
        <v>10.88</v>
      </c>
      <c r="E285" s="12">
        <f>SUMIF('Parametros Inventario'!$A:$A,B285,'Parametros Inventario'!$B:$B)+SUMIFS(D$2:D285,B$2:B285,B285,C$2:C285,"ENTRADA")-SUMIFS(D$2:D285,B$2:B285,B285,C$2:C285,"SALIDA")</f>
        <v>2286.902</v>
      </c>
    </row>
    <row r="286" spans="1:5" x14ac:dyDescent="0.3">
      <c r="A286" s="9">
        <f>'Volúmenes DIstribuidos '!B177</f>
        <v>44148</v>
      </c>
      <c r="B286" s="10" t="str">
        <f>IF(OR('Volúmenes DIstribuidos '!C181="Azúcar",'Volúmenes DIstribuidos '!C181="azúcar"),"Azúcar o dulce",IF('Volúmenes DIstribuidos '!C181="Aceite","Aceite o grasas",IF('Volúmenes DIstribuidos '!C181="Avena","Otros almidones",'Volúmenes DIstribuidos '!C181)))</f>
        <v>Lácteos</v>
      </c>
      <c r="C286" s="10" t="s">
        <v>29</v>
      </c>
      <c r="D286" s="12">
        <f>'Volúmenes DIstribuidos '!D181</f>
        <v>30.68</v>
      </c>
      <c r="E286" s="12">
        <f>SUMIF('Parametros Inventario'!$A:$A,B286,'Parametros Inventario'!$B:$B)+SUMIFS(D$2:D286,B$2:B286,B286,C$2:C286,"ENTRADA")-SUMIFS(D$2:D286,B$2:B286,B286,C$2:C286,"SALIDA")</f>
        <v>2067.3490000000002</v>
      </c>
    </row>
    <row r="287" spans="1:5" x14ac:dyDescent="0.3">
      <c r="A287" s="9">
        <f>'Volúmenes DIstribuidos '!B177</f>
        <v>44148</v>
      </c>
      <c r="B287" s="10" t="str">
        <f>IF(OR('Volúmenes DIstribuidos '!C182="Azúcar",'Volúmenes DIstribuidos '!C182="azúcar"),"Azúcar o dulce",IF('Volúmenes DIstribuidos '!C182="Aceite","Aceite o grasas",IF('Volúmenes DIstribuidos '!C182="Avena","Otros almidones",'Volúmenes DIstribuidos '!C182)))</f>
        <v>Panadería</v>
      </c>
      <c r="C287" s="10" t="s">
        <v>29</v>
      </c>
      <c r="D287" s="12">
        <f>'Volúmenes DIstribuidos '!D182</f>
        <v>73.593999999999994</v>
      </c>
      <c r="E287" s="12">
        <f>SUMIF('Parametros Inventario'!$A:$A,B287,'Parametros Inventario'!$B:$B)+SUMIFS(D$2:D287,B$2:B287,B287,C$2:C287,"ENTRADA")-SUMIFS(D$2:D287,B$2:B287,B287,C$2:C287,"SALIDA")</f>
        <v>1541.5909999999999</v>
      </c>
    </row>
    <row r="288" spans="1:5" x14ac:dyDescent="0.3">
      <c r="A288" s="9">
        <f>'Volúmenes DIstribuidos '!B183</f>
        <v>44152</v>
      </c>
      <c r="B288" s="10" t="str">
        <f>IF(OR('Volúmenes DIstribuidos '!C183="Azúcar",'Volúmenes DIstribuidos '!C183="azúcar"),"Azúcar o dulce",IF('Volúmenes DIstribuidos '!C183="Aceite","Aceite o grasas",IF('Volúmenes DIstribuidos '!C183="Avena","Otros almidones",'Volúmenes DIstribuidos '!C183)))</f>
        <v>Azúcar o dulce</v>
      </c>
      <c r="C288" s="10" t="s">
        <v>29</v>
      </c>
      <c r="D288" s="12">
        <f>'Volúmenes DIstribuidos '!D183</f>
        <v>53.79</v>
      </c>
      <c r="E288" s="12">
        <f>SUMIF('Parametros Inventario'!$A:$A,B288,'Parametros Inventario'!$B:$B)+SUMIFS(D$2:D288,B$2:B288,B288,C$2:C288,"ENTRADA")-SUMIFS(D$2:D288,B$2:B288,B288,C$2:C288,"SALIDA")</f>
        <v>3019.5600000000004</v>
      </c>
    </row>
    <row r="289" spans="1:5" x14ac:dyDescent="0.3">
      <c r="A289" s="9">
        <f>'Volúmenes DIstribuidos '!B183</f>
        <v>44152</v>
      </c>
      <c r="B289" s="10" t="str">
        <f>IF(OR('Volúmenes DIstribuidos '!C184="Azúcar",'Volúmenes DIstribuidos '!C184="azúcar"),"Azúcar o dulce",IF('Volúmenes DIstribuidos '!C184="Aceite","Aceite o grasas",IF('Volúmenes DIstribuidos '!C184="Avena","Otros almidones",'Volúmenes DIstribuidos '!C184)))</f>
        <v>Carnes blancas</v>
      </c>
      <c r="C289" s="10" t="s">
        <v>29</v>
      </c>
      <c r="D289" s="12">
        <f>'Volúmenes DIstribuidos '!D184</f>
        <v>45.21</v>
      </c>
      <c r="E289" s="12">
        <f>SUMIF('Parametros Inventario'!$A:$A,B289,'Parametros Inventario'!$B:$B)+SUMIFS(D$2:D289,B$2:B289,B289,C$2:C289,"ENTRADA")-SUMIFS(D$2:D289,B$2:B289,B289,C$2:C289,"SALIDA")</f>
        <v>2133.2250000000004</v>
      </c>
    </row>
    <row r="290" spans="1:5" x14ac:dyDescent="0.3">
      <c r="A290" s="9">
        <f>'Volúmenes DIstribuidos '!B183</f>
        <v>44152</v>
      </c>
      <c r="B290" s="10" t="str">
        <f>IF(OR('Volúmenes DIstribuidos '!C185="Azúcar",'Volúmenes DIstribuidos '!C185="azúcar"),"Azúcar o dulce",IF('Volúmenes DIstribuidos '!C185="Aceite","Aceite o grasas",IF('Volúmenes DIstribuidos '!C185="Avena","Otros almidones",'Volúmenes DIstribuidos '!C185)))</f>
        <v>Lácteos</v>
      </c>
      <c r="C290" s="10" t="s">
        <v>29</v>
      </c>
      <c r="D290" s="12">
        <f>'Volúmenes DIstribuidos '!D185</f>
        <v>111.76</v>
      </c>
      <c r="E290" s="12">
        <f>SUMIF('Parametros Inventario'!$A:$A,B290,'Parametros Inventario'!$B:$B)+SUMIFS(D$2:D290,B$2:B290,B290,C$2:C290,"ENTRADA")-SUMIFS(D$2:D290,B$2:B290,B290,C$2:C290,"SALIDA")</f>
        <v>1955.5889999999999</v>
      </c>
    </row>
    <row r="291" spans="1:5" x14ac:dyDescent="0.3">
      <c r="A291" s="9">
        <f>'Volúmenes DIstribuidos '!B183</f>
        <v>44152</v>
      </c>
      <c r="B291" s="10" t="str">
        <f>IF(OR('Volúmenes DIstribuidos '!C186="Azúcar",'Volúmenes DIstribuidos '!C186="azúcar"),"Azúcar o dulce",IF('Volúmenes DIstribuidos '!C186="Aceite","Aceite o grasas",IF('Volúmenes DIstribuidos '!C186="Avena","Otros almidones",'Volúmenes DIstribuidos '!C186)))</f>
        <v>Fideo</v>
      </c>
      <c r="C291" s="10" t="s">
        <v>29</v>
      </c>
      <c r="D291" s="12">
        <f>'Volúmenes DIstribuidos '!D186</f>
        <v>46.116999999999997</v>
      </c>
      <c r="E291" s="12">
        <f>SUMIF('Parametros Inventario'!$A:$A,B291,'Parametros Inventario'!$B:$B)+SUMIFS(D$2:D291,B$2:B291,B291,C$2:C291,"ENTRADA")-SUMIFS(D$2:D291,B$2:B291,B291,C$2:C291,"SALIDA")</f>
        <v>2517.3609999999999</v>
      </c>
    </row>
    <row r="292" spans="1:5" x14ac:dyDescent="0.3">
      <c r="A292" s="9">
        <f>'Volúmenes DIstribuidos '!B183</f>
        <v>44152</v>
      </c>
      <c r="B292" s="10" t="str">
        <f>IF(OR('Volúmenes DIstribuidos '!C187="Azúcar",'Volúmenes DIstribuidos '!C187="azúcar"),"Azúcar o dulce",IF('Volúmenes DIstribuidos '!C187="Aceite","Aceite o grasas",IF('Volúmenes DIstribuidos '!C187="Avena","Otros almidones",'Volúmenes DIstribuidos '!C187)))</f>
        <v>Aceite o grasas</v>
      </c>
      <c r="C292" s="10" t="s">
        <v>29</v>
      </c>
      <c r="D292" s="12">
        <f>'Volúmenes DIstribuidos '!D187</f>
        <v>23.18</v>
      </c>
      <c r="E292" s="12">
        <f>SUMIF('Parametros Inventario'!$A:$A,B292,'Parametros Inventario'!$B:$B)+SUMIFS(D$2:D292,B$2:B292,B292,C$2:C292,"ENTRADA")-SUMIFS(D$2:D292,B$2:B292,B292,C$2:C292,"SALIDA")</f>
        <v>2375.201</v>
      </c>
    </row>
    <row r="293" spans="1:5" x14ac:dyDescent="0.3">
      <c r="A293" s="9">
        <f>'Volúmenes DIstribuidos '!B183</f>
        <v>44152</v>
      </c>
      <c r="B293" s="10" t="str">
        <f>IF(OR('Volúmenes DIstribuidos '!C188="Azúcar",'Volúmenes DIstribuidos '!C188="azúcar"),"Azúcar o dulce",IF('Volúmenes DIstribuidos '!C188="Aceite","Aceite o grasas",IF('Volúmenes DIstribuidos '!C188="Avena","Otros almidones",'Volúmenes DIstribuidos '!C188)))</f>
        <v>Salsas</v>
      </c>
      <c r="C293" s="10" t="s">
        <v>29</v>
      </c>
      <c r="D293" s="12">
        <f>'Volúmenes DIstribuidos '!D188</f>
        <v>39.630000000000003</v>
      </c>
      <c r="E293" s="12">
        <f>SUMIF('Parametros Inventario'!$A:$A,B293,'Parametros Inventario'!$B:$B)+SUMIFS(D$2:D293,B$2:B293,B293,C$2:C293,"ENTRADA")-SUMIFS(D$2:D293,B$2:B293,B293,C$2:C293,"SALIDA")</f>
        <v>2664.835</v>
      </c>
    </row>
    <row r="294" spans="1:5" x14ac:dyDescent="0.3">
      <c r="A294" s="9">
        <v>44155</v>
      </c>
      <c r="B294" s="10" t="s">
        <v>17</v>
      </c>
      <c r="C294" s="10" t="s">
        <v>28</v>
      </c>
      <c r="D294" s="12">
        <v>56.01</v>
      </c>
      <c r="E294" s="12">
        <f>SUMIF('Parametros Inventario'!$A:$A,B294,'Parametros Inventario'!$B:$B)+SUMIFS(D$2:D294,B$2:B294,B294,C$2:C294,"ENTRADA")-SUMIFS(D$2:D294,B$2:B294,B294,C$2:C294,"SALIDA")</f>
        <v>2011.5990000000002</v>
      </c>
    </row>
    <row r="295" spans="1:5" x14ac:dyDescent="0.3">
      <c r="A295" s="9">
        <v>44155</v>
      </c>
      <c r="B295" s="10" t="s">
        <v>18</v>
      </c>
      <c r="C295" s="10" t="s">
        <v>28</v>
      </c>
      <c r="D295" s="12">
        <v>181.98</v>
      </c>
      <c r="E295" s="12">
        <f>SUMIF('Parametros Inventario'!$A:$A,B295,'Parametros Inventario'!$B:$B)+SUMIFS(D$2:D295,B$2:B295,B295,C$2:C295,"ENTRADA")-SUMIFS(D$2:D295,B$2:B295,B295,C$2:C295,"SALIDA")</f>
        <v>2846.8150000000001</v>
      </c>
    </row>
    <row r="296" spans="1:5" x14ac:dyDescent="0.3">
      <c r="A296" s="9">
        <v>44155</v>
      </c>
      <c r="B296" s="10" t="s">
        <v>10</v>
      </c>
      <c r="C296" s="10" t="s">
        <v>28</v>
      </c>
      <c r="D296" s="12">
        <v>145.5</v>
      </c>
      <c r="E296" s="12">
        <f>SUMIF('Parametros Inventario'!$A:$A,B296,'Parametros Inventario'!$B:$B)+SUMIFS(D$2:D296,B$2:B296,B296,C$2:C296,"ENTRADA")-SUMIFS(D$2:D296,B$2:B296,B296,C$2:C296,"SALIDA")</f>
        <v>2131.9920000000002</v>
      </c>
    </row>
    <row r="297" spans="1:5" x14ac:dyDescent="0.3">
      <c r="A297" s="9">
        <v>44155</v>
      </c>
      <c r="B297" s="10" t="s">
        <v>8</v>
      </c>
      <c r="C297" s="10" t="s">
        <v>28</v>
      </c>
      <c r="D297" s="12">
        <v>72.760000000000005</v>
      </c>
      <c r="E297" s="12">
        <f>SUMIF('Parametros Inventario'!$A:$A,B297,'Parametros Inventario'!$B:$B)+SUMIFS(D$2:D297,B$2:B297,B297,C$2:C297,"ENTRADA")-SUMIFS(D$2:D297,B$2:B297,B297,C$2:C297,"SALIDA")</f>
        <v>2447.9610000000002</v>
      </c>
    </row>
    <row r="298" spans="1:5" x14ac:dyDescent="0.3">
      <c r="A298" s="9">
        <v>44155</v>
      </c>
      <c r="B298" s="10" t="s">
        <v>13</v>
      </c>
      <c r="C298" s="10" t="s">
        <v>28</v>
      </c>
      <c r="D298" s="12">
        <v>294.95</v>
      </c>
      <c r="E298" s="12">
        <f>SUMIF('Parametros Inventario'!$A:$A,B298,'Parametros Inventario'!$B:$B)+SUMIFS(D$2:D298,B$2:B298,B298,C$2:C298,"ENTRADA")-SUMIFS(D$2:D298,B$2:B298,B298,C$2:C298,"SALIDA")</f>
        <v>3314.51</v>
      </c>
    </row>
    <row r="299" spans="1:5" x14ac:dyDescent="0.3">
      <c r="A299" s="9">
        <v>44155</v>
      </c>
      <c r="B299" s="10" t="s">
        <v>15</v>
      </c>
      <c r="C299" s="10" t="s">
        <v>28</v>
      </c>
      <c r="D299" s="12">
        <v>185.44</v>
      </c>
      <c r="E299" s="12">
        <f>SUMIF('Parametros Inventario'!$A:$A,B299,'Parametros Inventario'!$B:$B)+SUMIFS(D$2:D299,B$2:B299,B299,C$2:C299,"ENTRADA")-SUMIFS(D$2:D299,B$2:B299,B299,C$2:C299,"SALIDA")</f>
        <v>2079.384</v>
      </c>
    </row>
    <row r="300" spans="1:5" x14ac:dyDescent="0.3">
      <c r="A300" s="9">
        <v>44155</v>
      </c>
      <c r="B300" s="10" t="s">
        <v>11</v>
      </c>
      <c r="C300" s="10" t="s">
        <v>28</v>
      </c>
      <c r="D300" s="12">
        <v>121.34</v>
      </c>
      <c r="E300" s="12">
        <f>SUMIF('Parametros Inventario'!$A:$A,B300,'Parametros Inventario'!$B:$B)+SUMIFS(D$2:D300,B$2:B300,B300,C$2:C300,"ENTRADA")-SUMIFS(D$2:D300,B$2:B300,B300,C$2:C300,"SALIDA")</f>
        <v>2638.701</v>
      </c>
    </row>
    <row r="301" spans="1:5" x14ac:dyDescent="0.3">
      <c r="A301" s="9">
        <v>44155</v>
      </c>
      <c r="B301" s="10" t="s">
        <v>9</v>
      </c>
      <c r="C301" s="10" t="s">
        <v>28</v>
      </c>
      <c r="D301" s="12">
        <v>95.67</v>
      </c>
      <c r="E301" s="12">
        <f>SUMIF('Parametros Inventario'!$A:$A,B301,'Parametros Inventario'!$B:$B)+SUMIFS(D$2:D301,B$2:B301,B301,C$2:C301,"ENTRADA")-SUMIFS(D$2:D301,B$2:B301,B301,C$2:C301,"SALIDA")</f>
        <v>1637.261</v>
      </c>
    </row>
    <row r="302" spans="1:5" x14ac:dyDescent="0.3">
      <c r="A302" s="9">
        <v>44155</v>
      </c>
      <c r="B302" s="10" t="s">
        <v>14</v>
      </c>
      <c r="C302" s="10" t="s">
        <v>28</v>
      </c>
      <c r="D302" s="12">
        <v>242.08</v>
      </c>
      <c r="E302" s="12">
        <f>SUMIF('Parametros Inventario'!$A:$A,B302,'Parametros Inventario'!$B:$B)+SUMIFS(D$2:D302,B$2:B302,B302,C$2:C302,"ENTRADA")-SUMIFS(D$2:D302,B$2:B302,B302,C$2:C302,"SALIDA")</f>
        <v>2100.1069999999991</v>
      </c>
    </row>
    <row r="303" spans="1:5" x14ac:dyDescent="0.3">
      <c r="A303" s="9">
        <v>44155</v>
      </c>
      <c r="B303" s="10" t="s">
        <v>12</v>
      </c>
      <c r="C303" s="10" t="s">
        <v>28</v>
      </c>
      <c r="D303" s="12">
        <v>88.56</v>
      </c>
      <c r="E303" s="12">
        <f>SUMIF('Parametros Inventario'!$A:$A,B303,'Parametros Inventario'!$B:$B)+SUMIFS(D$2:D303,B$2:B303,B303,C$2:C303,"ENTRADA")-SUMIFS(D$2:D303,B$2:B303,B303,C$2:C303,"SALIDA")</f>
        <v>2375.462</v>
      </c>
    </row>
    <row r="304" spans="1:5" x14ac:dyDescent="0.3">
      <c r="A304" s="9">
        <v>44155</v>
      </c>
      <c r="B304" s="10" t="s">
        <v>16</v>
      </c>
      <c r="C304" s="10" t="s">
        <v>28</v>
      </c>
      <c r="D304" s="12">
        <v>288.04000000000002</v>
      </c>
      <c r="E304" s="12">
        <f>SUMIF('Parametros Inventario'!$A:$A,B304,'Parametros Inventario'!$B:$B)+SUMIFS(D$2:D304,B$2:B304,B304,C$2:C304,"ENTRADA")-SUMIFS(D$2:D304,B$2:B304,B304,C$2:C304,"SALIDA")</f>
        <v>2421.2650000000003</v>
      </c>
    </row>
    <row r="305" spans="1:5" x14ac:dyDescent="0.3">
      <c r="A305" s="9">
        <f>'Volúmenes DIstribuidos '!B189</f>
        <v>44155</v>
      </c>
      <c r="B305" s="10" t="str">
        <f>IF(OR('Volúmenes DIstribuidos '!C189="Azúcar",'Volúmenes DIstribuidos '!C189="azúcar"),"Azúcar o dulce",IF('Volúmenes DIstribuidos '!C189="Aceite","Aceite o grasas",IF('Volúmenes DIstribuidos '!C189="Avena","Otros almidones",'Volúmenes DIstribuidos '!C189)))</f>
        <v>Menestras</v>
      </c>
      <c r="C305" s="10" t="s">
        <v>29</v>
      </c>
      <c r="D305" s="12">
        <f>'Volúmenes DIstribuidos '!D189</f>
        <v>24.02</v>
      </c>
      <c r="E305" s="12">
        <f>SUMIF('Parametros Inventario'!$A:$A,B305,'Parametros Inventario'!$B:$B)+SUMIFS(D$2:D305,B$2:B305,B305,C$2:C305,"ENTRADA")-SUMIFS(D$2:D305,B$2:B305,B305,C$2:C305,"SALIDA")</f>
        <v>2076.0869999999995</v>
      </c>
    </row>
    <row r="306" spans="1:5" x14ac:dyDescent="0.3">
      <c r="A306" s="9">
        <f>'Volúmenes DIstribuidos '!B189</f>
        <v>44155</v>
      </c>
      <c r="B306" s="10" t="str">
        <f>IF(OR('Volúmenes DIstribuidos '!C190="Azúcar",'Volúmenes DIstribuidos '!C190="azúcar"),"Azúcar o dulce",IF('Volúmenes DIstribuidos '!C190="Aceite","Aceite o grasas",IF('Volúmenes DIstribuidos '!C190="Avena","Otros almidones",'Volúmenes DIstribuidos '!C190)))</f>
        <v>Carnes blancas</v>
      </c>
      <c r="C306" s="10" t="s">
        <v>29</v>
      </c>
      <c r="D306" s="12">
        <f>'Volúmenes DIstribuidos '!D190</f>
        <v>112.63</v>
      </c>
      <c r="E306" s="12">
        <f>SUMIF('Parametros Inventario'!$A:$A,B306,'Parametros Inventario'!$B:$B)+SUMIFS(D$2:D306,B$2:B306,B306,C$2:C306,"ENTRADA")-SUMIFS(D$2:D306,B$2:B306,B306,C$2:C306,"SALIDA")</f>
        <v>2308.6350000000002</v>
      </c>
    </row>
    <row r="307" spans="1:5" x14ac:dyDescent="0.3">
      <c r="A307" s="9">
        <f>'Volúmenes DIstribuidos '!B189</f>
        <v>44155</v>
      </c>
      <c r="B307" s="10" t="str">
        <f>IF(OR('Volúmenes DIstribuidos '!C191="Azúcar",'Volúmenes DIstribuidos '!C191="azúcar"),"Azúcar o dulce",IF('Volúmenes DIstribuidos '!C191="Aceite","Aceite o grasas",IF('Volúmenes DIstribuidos '!C191="Avena","Otros almidones",'Volúmenes DIstribuidos '!C191)))</f>
        <v>Fideo</v>
      </c>
      <c r="C307" s="10" t="s">
        <v>29</v>
      </c>
      <c r="D307" s="12">
        <f>'Volúmenes DIstribuidos '!D191</f>
        <v>13.144</v>
      </c>
      <c r="E307" s="12">
        <f>SUMIF('Parametros Inventario'!$A:$A,B307,'Parametros Inventario'!$B:$B)+SUMIFS(D$2:D307,B$2:B307,B307,C$2:C307,"ENTRADA")-SUMIFS(D$2:D307,B$2:B307,B307,C$2:C307,"SALIDA")</f>
        <v>2625.5569999999998</v>
      </c>
    </row>
    <row r="308" spans="1:5" x14ac:dyDescent="0.3">
      <c r="A308" s="9">
        <f>'Volúmenes DIstribuidos '!B189</f>
        <v>44155</v>
      </c>
      <c r="B308" s="10" t="str">
        <f>IF(OR('Volúmenes DIstribuidos '!C192="Azúcar",'Volúmenes DIstribuidos '!C192="azúcar"),"Azúcar o dulce",IF('Volúmenes DIstribuidos '!C192="Aceite","Aceite o grasas",IF('Volúmenes DIstribuidos '!C192="Avena","Otros almidones",'Volúmenes DIstribuidos '!C192)))</f>
        <v>Carnes blancas</v>
      </c>
      <c r="C308" s="10" t="s">
        <v>29</v>
      </c>
      <c r="D308" s="12">
        <f>'Volúmenes DIstribuidos '!D192</f>
        <v>7.98</v>
      </c>
      <c r="E308" s="12">
        <f>SUMIF('Parametros Inventario'!$A:$A,B308,'Parametros Inventario'!$B:$B)+SUMIFS(D$2:D308,B$2:B308,B308,C$2:C308,"ENTRADA")-SUMIFS(D$2:D308,B$2:B308,B308,C$2:C308,"SALIDA")</f>
        <v>2300.6550000000002</v>
      </c>
    </row>
    <row r="309" spans="1:5" x14ac:dyDescent="0.3">
      <c r="A309" s="9">
        <f>'Volúmenes DIstribuidos '!B189</f>
        <v>44155</v>
      </c>
      <c r="B309" s="10" t="str">
        <f>IF(OR('Volúmenes DIstribuidos '!C193="Azúcar",'Volúmenes DIstribuidos '!C193="azúcar"),"Azúcar o dulce",IF('Volúmenes DIstribuidos '!C193="Aceite","Aceite o grasas",IF('Volúmenes DIstribuidos '!C193="Avena","Otros almidones",'Volúmenes DIstribuidos '!C193)))</f>
        <v>Aceite o grasas</v>
      </c>
      <c r="C309" s="10" t="s">
        <v>29</v>
      </c>
      <c r="D309" s="12">
        <f>'Volúmenes DIstribuidos '!D193</f>
        <v>5.01</v>
      </c>
      <c r="E309" s="12">
        <f>SUMIF('Parametros Inventario'!$A:$A,B309,'Parametros Inventario'!$B:$B)+SUMIFS(D$2:D309,B$2:B309,B309,C$2:C309,"ENTRADA")-SUMIFS(D$2:D309,B$2:B309,B309,C$2:C309,"SALIDA")</f>
        <v>2442.951</v>
      </c>
    </row>
    <row r="310" spans="1:5" x14ac:dyDescent="0.3">
      <c r="A310" s="9">
        <f>'Volúmenes DIstribuidos '!B189</f>
        <v>44155</v>
      </c>
      <c r="B310" s="10" t="str">
        <f>IF(OR('Volúmenes DIstribuidos '!C194="Azúcar",'Volúmenes DIstribuidos '!C194="azúcar"),"Azúcar o dulce",IF('Volúmenes DIstribuidos '!C194="Aceite","Aceite o grasas",IF('Volúmenes DIstribuidos '!C194="Avena","Otros almidones",'Volúmenes DIstribuidos '!C194)))</f>
        <v>Menestras</v>
      </c>
      <c r="C310" s="10" t="s">
        <v>29</v>
      </c>
      <c r="D310" s="12">
        <f>'Volúmenes DIstribuidos '!D194</f>
        <v>7.16</v>
      </c>
      <c r="E310" s="12">
        <f>SUMIF('Parametros Inventario'!$A:$A,B310,'Parametros Inventario'!$B:$B)+SUMIFS(D$2:D310,B$2:B310,B310,C$2:C310,"ENTRADA")-SUMIFS(D$2:D310,B$2:B310,B310,C$2:C310,"SALIDA")</f>
        <v>2068.9269999999992</v>
      </c>
    </row>
    <row r="311" spans="1:5" x14ac:dyDescent="0.3">
      <c r="A311" s="9">
        <f>'Volúmenes DIstribuidos '!B195</f>
        <v>44159</v>
      </c>
      <c r="B311" s="10" t="str">
        <f>IF(OR('Volúmenes DIstribuidos '!C195="Azúcar",'Volúmenes DIstribuidos '!C195="azúcar"),"Azúcar o dulce",IF('Volúmenes DIstribuidos '!C195="Aceite","Aceite o grasas",IF('Volúmenes DIstribuidos '!C195="Avena","Otros almidones",'Volúmenes DIstribuidos '!C195)))</f>
        <v>Lácteos</v>
      </c>
      <c r="C311" s="10" t="s">
        <v>29</v>
      </c>
      <c r="D311" s="12">
        <f>'Volúmenes DIstribuidos '!D195</f>
        <v>14.608000000000001</v>
      </c>
      <c r="E311" s="12">
        <f>SUMIF('Parametros Inventario'!$A:$A,B311,'Parametros Inventario'!$B:$B)+SUMIFS(D$2:D311,B$2:B311,B311,C$2:C311,"ENTRADA")-SUMIFS(D$2:D311,B$2:B311,B311,C$2:C311,"SALIDA")</f>
        <v>1996.9910000000002</v>
      </c>
    </row>
    <row r="312" spans="1:5" x14ac:dyDescent="0.3">
      <c r="A312" s="9">
        <f>'Volúmenes DIstribuidos '!B195</f>
        <v>44159</v>
      </c>
      <c r="B312" s="10" t="str">
        <f>IF(OR('Volúmenes DIstribuidos '!C196="Azúcar",'Volúmenes DIstribuidos '!C196="azúcar"),"Azúcar o dulce",IF('Volúmenes DIstribuidos '!C196="Aceite","Aceite o grasas",IF('Volúmenes DIstribuidos '!C196="Avena","Otros almidones",'Volúmenes DIstribuidos '!C196)))</f>
        <v>Carnes blancas</v>
      </c>
      <c r="C312" s="10" t="s">
        <v>29</v>
      </c>
      <c r="D312" s="12">
        <f>'Volúmenes DIstribuidos '!D196</f>
        <v>4.0999999999999996</v>
      </c>
      <c r="E312" s="12">
        <f>SUMIF('Parametros Inventario'!$A:$A,B312,'Parametros Inventario'!$B:$B)+SUMIFS(D$2:D312,B$2:B312,B312,C$2:C312,"ENTRADA")-SUMIFS(D$2:D312,B$2:B312,B312,C$2:C312,"SALIDA")</f>
        <v>2296.5550000000003</v>
      </c>
    </row>
    <row r="313" spans="1:5" x14ac:dyDescent="0.3">
      <c r="A313" s="9">
        <f>'Volúmenes DIstribuidos '!B195</f>
        <v>44159</v>
      </c>
      <c r="B313" s="10" t="str">
        <f>IF(OR('Volúmenes DIstribuidos '!C197="Azúcar",'Volúmenes DIstribuidos '!C197="azúcar"),"Azúcar o dulce",IF('Volúmenes DIstribuidos '!C197="Aceite","Aceite o grasas",IF('Volúmenes DIstribuidos '!C197="Avena","Otros almidones",'Volúmenes DIstribuidos '!C197)))</f>
        <v>Salsas</v>
      </c>
      <c r="C313" s="10" t="s">
        <v>29</v>
      </c>
      <c r="D313" s="12">
        <f>'Volúmenes DIstribuidos '!D197</f>
        <v>7.23</v>
      </c>
      <c r="E313" s="12">
        <f>SUMIF('Parametros Inventario'!$A:$A,B313,'Parametros Inventario'!$B:$B)+SUMIFS(D$2:D313,B$2:B313,B313,C$2:C313,"ENTRADA")-SUMIFS(D$2:D313,B$2:B313,B313,C$2:C313,"SALIDA")</f>
        <v>2839.585</v>
      </c>
    </row>
    <row r="314" spans="1:5" x14ac:dyDescent="0.3">
      <c r="A314" s="9">
        <f>'Volúmenes DIstribuidos '!B195</f>
        <v>44159</v>
      </c>
      <c r="B314" s="10" t="str">
        <f>IF(OR('Volúmenes DIstribuidos '!C198="Azúcar",'Volúmenes DIstribuidos '!C198="azúcar"),"Azúcar o dulce",IF('Volúmenes DIstribuidos '!C198="Aceite","Aceite o grasas",IF('Volúmenes DIstribuidos '!C198="Avena","Otros almidones",'Volúmenes DIstribuidos '!C198)))</f>
        <v>Aceite o grasas</v>
      </c>
      <c r="C314" s="10" t="s">
        <v>29</v>
      </c>
      <c r="D314" s="12">
        <f>'Volúmenes DIstribuidos '!D198</f>
        <v>11.51</v>
      </c>
      <c r="E314" s="12">
        <f>SUMIF('Parametros Inventario'!$A:$A,B314,'Parametros Inventario'!$B:$B)+SUMIFS(D$2:D314,B$2:B314,B314,C$2:C314,"ENTRADA")-SUMIFS(D$2:D314,B$2:B314,B314,C$2:C314,"SALIDA")</f>
        <v>2431.4410000000003</v>
      </c>
    </row>
    <row r="315" spans="1:5" x14ac:dyDescent="0.3">
      <c r="A315" s="9">
        <f>'Volúmenes DIstribuidos '!B195</f>
        <v>44159</v>
      </c>
      <c r="B315" s="10" t="str">
        <f>IF(OR('Volúmenes DIstribuidos '!C199="Azúcar",'Volúmenes DIstribuidos '!C199="azúcar"),"Azúcar o dulce",IF('Volúmenes DIstribuidos '!C199="Aceite","Aceite o grasas",IF('Volúmenes DIstribuidos '!C199="Avena","Otros almidones",'Volúmenes DIstribuidos '!C199)))</f>
        <v>Vegetales y hojas</v>
      </c>
      <c r="C315" s="10" t="s">
        <v>29</v>
      </c>
      <c r="D315" s="12">
        <f>'Volúmenes DIstribuidos '!D199</f>
        <v>14.75</v>
      </c>
      <c r="E315" s="12">
        <f>SUMIF('Parametros Inventario'!$A:$A,B315,'Parametros Inventario'!$B:$B)+SUMIFS(D$2:D315,B$2:B315,B315,C$2:C315,"ENTRADA")-SUMIFS(D$2:D315,B$2:B315,B315,C$2:C315,"SALIDA")</f>
        <v>2117.2420000000002</v>
      </c>
    </row>
    <row r="316" spans="1:5" x14ac:dyDescent="0.3">
      <c r="A316" s="9">
        <f>'Volúmenes DIstribuidos '!B195</f>
        <v>44159</v>
      </c>
      <c r="B316" s="10" t="str">
        <f>IF(OR('Volúmenes DIstribuidos '!C200="Azúcar",'Volúmenes DIstribuidos '!C200="azúcar"),"Azúcar o dulce",IF('Volúmenes DIstribuidos '!C200="Aceite","Aceite o grasas",IF('Volúmenes DIstribuidos '!C200="Avena","Otros almidones",'Volúmenes DIstribuidos '!C200)))</f>
        <v>Carnes rojas</v>
      </c>
      <c r="C316" s="10" t="s">
        <v>29</v>
      </c>
      <c r="D316" s="12">
        <f>'Volúmenes DIstribuidos '!D200</f>
        <v>58.165999999999997</v>
      </c>
      <c r="E316" s="12">
        <f>SUMIF('Parametros Inventario'!$A:$A,B316,'Parametros Inventario'!$B:$B)+SUMIFS(D$2:D316,B$2:B316,B316,C$2:C316,"ENTRADA")-SUMIFS(D$2:D316,B$2:B316,B316,C$2:C316,"SALIDA")</f>
        <v>2317.2959999999998</v>
      </c>
    </row>
    <row r="317" spans="1:5" x14ac:dyDescent="0.3">
      <c r="A317" s="9">
        <v>44162</v>
      </c>
      <c r="B317" s="10" t="s">
        <v>17</v>
      </c>
      <c r="C317" s="10" t="s">
        <v>28</v>
      </c>
      <c r="D317" s="12">
        <v>219.65</v>
      </c>
      <c r="E317" s="12">
        <f>SUMIF('Parametros Inventario'!$A:$A,B317,'Parametros Inventario'!$B:$B)+SUMIFS(D$2:D317,B$2:B317,B317,C$2:C317,"ENTRADA")-SUMIFS(D$2:D317,B$2:B317,B317,C$2:C317,"SALIDA")</f>
        <v>2216.6409999999996</v>
      </c>
    </row>
    <row r="318" spans="1:5" x14ac:dyDescent="0.3">
      <c r="A318" s="9">
        <v>44162</v>
      </c>
      <c r="B318" s="10" t="s">
        <v>18</v>
      </c>
      <c r="C318" s="10" t="s">
        <v>28</v>
      </c>
      <c r="D318" s="12">
        <v>64.73</v>
      </c>
      <c r="E318" s="12">
        <f>SUMIF('Parametros Inventario'!$A:$A,B318,'Parametros Inventario'!$B:$B)+SUMIFS(D$2:D318,B$2:B318,B318,C$2:C318,"ENTRADA")-SUMIFS(D$2:D318,B$2:B318,B318,C$2:C318,"SALIDA")</f>
        <v>2904.3150000000001</v>
      </c>
    </row>
    <row r="319" spans="1:5" x14ac:dyDescent="0.3">
      <c r="A319" s="9">
        <v>44162</v>
      </c>
      <c r="B319" s="10" t="s">
        <v>10</v>
      </c>
      <c r="C319" s="10" t="s">
        <v>28</v>
      </c>
      <c r="D319" s="12">
        <v>290.27999999999997</v>
      </c>
      <c r="E319" s="12">
        <f>SUMIF('Parametros Inventario'!$A:$A,B319,'Parametros Inventario'!$B:$B)+SUMIFS(D$2:D319,B$2:B319,B319,C$2:C319,"ENTRADA")-SUMIFS(D$2:D319,B$2:B319,B319,C$2:C319,"SALIDA")</f>
        <v>2407.5219999999999</v>
      </c>
    </row>
    <row r="320" spans="1:5" x14ac:dyDescent="0.3">
      <c r="A320" s="9">
        <v>44162</v>
      </c>
      <c r="B320" s="10" t="s">
        <v>8</v>
      </c>
      <c r="C320" s="10" t="s">
        <v>28</v>
      </c>
      <c r="D320" s="12">
        <v>95.36</v>
      </c>
      <c r="E320" s="12">
        <f>SUMIF('Parametros Inventario'!$A:$A,B320,'Parametros Inventario'!$B:$B)+SUMIFS(D$2:D320,B$2:B320,B320,C$2:C320,"ENTRADA")-SUMIFS(D$2:D320,B$2:B320,B320,C$2:C320,"SALIDA")</f>
        <v>2526.8009999999999</v>
      </c>
    </row>
    <row r="321" spans="1:5" x14ac:dyDescent="0.3">
      <c r="A321" s="9">
        <v>44162</v>
      </c>
      <c r="B321" s="10" t="s">
        <v>13</v>
      </c>
      <c r="C321" s="10" t="s">
        <v>28</v>
      </c>
      <c r="D321" s="12">
        <v>228.33</v>
      </c>
      <c r="E321" s="12">
        <f>SUMIF('Parametros Inventario'!$A:$A,B321,'Parametros Inventario'!$B:$B)+SUMIFS(D$2:D321,B$2:B321,B321,C$2:C321,"ENTRADA")-SUMIFS(D$2:D321,B$2:B321,B321,C$2:C321,"SALIDA")</f>
        <v>3542.8400000000011</v>
      </c>
    </row>
    <row r="322" spans="1:5" x14ac:dyDescent="0.3">
      <c r="A322" s="9">
        <v>44162</v>
      </c>
      <c r="B322" s="10" t="s">
        <v>15</v>
      </c>
      <c r="C322" s="10" t="s">
        <v>28</v>
      </c>
      <c r="D322" s="12">
        <v>124.51</v>
      </c>
      <c r="E322" s="12">
        <f>SUMIF('Parametros Inventario'!$A:$A,B322,'Parametros Inventario'!$B:$B)+SUMIFS(D$2:D322,B$2:B322,B322,C$2:C322,"ENTRADA")-SUMIFS(D$2:D322,B$2:B322,B322,C$2:C322,"SALIDA")</f>
        <v>2203.8940000000002</v>
      </c>
    </row>
    <row r="323" spans="1:5" x14ac:dyDescent="0.3">
      <c r="A323" s="9">
        <v>44162</v>
      </c>
      <c r="B323" s="10" t="s">
        <v>11</v>
      </c>
      <c r="C323" s="10" t="s">
        <v>28</v>
      </c>
      <c r="D323" s="12">
        <v>74.69</v>
      </c>
      <c r="E323" s="12">
        <f>SUMIF('Parametros Inventario'!$A:$A,B323,'Parametros Inventario'!$B:$B)+SUMIFS(D$2:D323,B$2:B323,B323,C$2:C323,"ENTRADA")-SUMIFS(D$2:D323,B$2:B323,B323,C$2:C323,"SALIDA")</f>
        <v>2700.2469999999998</v>
      </c>
    </row>
    <row r="324" spans="1:5" x14ac:dyDescent="0.3">
      <c r="A324" s="9">
        <v>44162</v>
      </c>
      <c r="B324" s="10" t="s">
        <v>9</v>
      </c>
      <c r="C324" s="10" t="s">
        <v>28</v>
      </c>
      <c r="D324" s="12">
        <v>85.62</v>
      </c>
      <c r="E324" s="12">
        <f>SUMIF('Parametros Inventario'!$A:$A,B324,'Parametros Inventario'!$B:$B)+SUMIFS(D$2:D324,B$2:B324,B324,C$2:C324,"ENTRADA")-SUMIFS(D$2:D324,B$2:B324,B324,C$2:C324,"SALIDA")</f>
        <v>1722.8809999999999</v>
      </c>
    </row>
    <row r="325" spans="1:5" x14ac:dyDescent="0.3">
      <c r="A325" s="9">
        <v>44162</v>
      </c>
      <c r="B325" s="10" t="s">
        <v>14</v>
      </c>
      <c r="C325" s="10" t="s">
        <v>28</v>
      </c>
      <c r="D325" s="12">
        <v>273.25</v>
      </c>
      <c r="E325" s="12">
        <f>SUMIF('Parametros Inventario'!$A:$A,B325,'Parametros Inventario'!$B:$B)+SUMIFS(D$2:D325,B$2:B325,B325,C$2:C325,"ENTRADA")-SUMIFS(D$2:D325,B$2:B325,B325,C$2:C325,"SALIDA")</f>
        <v>2342.1769999999992</v>
      </c>
    </row>
    <row r="326" spans="1:5" x14ac:dyDescent="0.3">
      <c r="A326" s="9">
        <v>44162</v>
      </c>
      <c r="B326" s="10" t="s">
        <v>12</v>
      </c>
      <c r="C326" s="10" t="s">
        <v>28</v>
      </c>
      <c r="D326" s="12">
        <v>114.48</v>
      </c>
      <c r="E326" s="12">
        <f>SUMIF('Parametros Inventario'!$A:$A,B326,'Parametros Inventario'!$B:$B)+SUMIFS(D$2:D326,B$2:B326,B326,C$2:C326,"ENTRADA")-SUMIFS(D$2:D326,B$2:B326,B326,C$2:C326,"SALIDA")</f>
        <v>2431.7759999999998</v>
      </c>
    </row>
    <row r="327" spans="1:5" x14ac:dyDescent="0.3">
      <c r="A327" s="9">
        <v>44162</v>
      </c>
      <c r="B327" s="10" t="s">
        <v>16</v>
      </c>
      <c r="C327" s="10" t="s">
        <v>28</v>
      </c>
      <c r="D327" s="12">
        <v>285.39</v>
      </c>
      <c r="E327" s="12">
        <f>SUMIF('Parametros Inventario'!$A:$A,B327,'Parametros Inventario'!$B:$B)+SUMIFS(D$2:D327,B$2:B327,B327,C$2:C327,"ENTRADA")-SUMIFS(D$2:D327,B$2:B327,B327,C$2:C327,"SALIDA")</f>
        <v>2581.9449999999997</v>
      </c>
    </row>
    <row r="328" spans="1:5" x14ac:dyDescent="0.3">
      <c r="A328" s="9">
        <f>'Volúmenes DIstribuidos '!B201</f>
        <v>44162</v>
      </c>
      <c r="B328" s="10" t="str">
        <f>IF(OR('Volúmenes DIstribuidos '!C201="Azúcar",'Volúmenes DIstribuidos '!C201="azúcar"),"Azúcar o dulce",IF('Volúmenes DIstribuidos '!C201="Aceite","Aceite o grasas",IF('Volúmenes DIstribuidos '!C201="Avena","Otros almidones",'Volúmenes DIstribuidos '!C201)))</f>
        <v>Fideo</v>
      </c>
      <c r="C328" s="10" t="s">
        <v>29</v>
      </c>
      <c r="D328" s="12">
        <f>'Volúmenes DIstribuidos '!D201</f>
        <v>19.23</v>
      </c>
      <c r="E328" s="12">
        <f>SUMIF('Parametros Inventario'!$A:$A,B328,'Parametros Inventario'!$B:$B)+SUMIFS(D$2:D328,B$2:B328,B328,C$2:C328,"ENTRADA")-SUMIFS(D$2:D328,B$2:B328,B328,C$2:C328,"SALIDA")</f>
        <v>2681.0169999999998</v>
      </c>
    </row>
    <row r="329" spans="1:5" x14ac:dyDescent="0.3">
      <c r="A329" s="9">
        <f>'Volúmenes DIstribuidos '!B201</f>
        <v>44162</v>
      </c>
      <c r="B329" s="10" t="str">
        <f>IF(OR('Volúmenes DIstribuidos '!C202="Azúcar",'Volúmenes DIstribuidos '!C202="azúcar"),"Azúcar o dulce",IF('Volúmenes DIstribuidos '!C202="Aceite","Aceite o grasas",IF('Volúmenes DIstribuidos '!C202="Avena","Otros almidones",'Volúmenes DIstribuidos '!C202)))</f>
        <v>Vegetales y hojas</v>
      </c>
      <c r="C329" s="10" t="s">
        <v>29</v>
      </c>
      <c r="D329" s="12">
        <f>'Volúmenes DIstribuidos '!D202</f>
        <v>11.47</v>
      </c>
      <c r="E329" s="12">
        <f>SUMIF('Parametros Inventario'!$A:$A,B329,'Parametros Inventario'!$B:$B)+SUMIFS(D$2:D329,B$2:B329,B329,C$2:C329,"ENTRADA")-SUMIFS(D$2:D329,B$2:B329,B329,C$2:C329,"SALIDA")</f>
        <v>2396.0520000000001</v>
      </c>
    </row>
    <row r="330" spans="1:5" x14ac:dyDescent="0.3">
      <c r="A330" s="9">
        <f>'Volúmenes DIstribuidos '!B201</f>
        <v>44162</v>
      </c>
      <c r="B330" s="10" t="str">
        <f>IF(OR('Volúmenes DIstribuidos '!C203="Azúcar",'Volúmenes DIstribuidos '!C203="azúcar"),"Azúcar o dulce",IF('Volúmenes DIstribuidos '!C203="Aceite","Aceite o grasas",IF('Volúmenes DIstribuidos '!C203="Avena","Otros almidones",'Volúmenes DIstribuidos '!C203)))</f>
        <v>Carnes blancas</v>
      </c>
      <c r="C330" s="10" t="s">
        <v>29</v>
      </c>
      <c r="D330" s="12">
        <f>'Volúmenes DIstribuidos '!D203</f>
        <v>21.93</v>
      </c>
      <c r="E330" s="12">
        <f>SUMIF('Parametros Inventario'!$A:$A,B330,'Parametros Inventario'!$B:$B)+SUMIFS(D$2:D330,B$2:B330,B330,C$2:C330,"ENTRADA")-SUMIFS(D$2:D330,B$2:B330,B330,C$2:C330,"SALIDA")</f>
        <v>2560.0149999999999</v>
      </c>
    </row>
    <row r="331" spans="1:5" x14ac:dyDescent="0.3">
      <c r="A331" s="9">
        <f>'Volúmenes DIstribuidos '!B201</f>
        <v>44162</v>
      </c>
      <c r="B331" s="10" t="str">
        <f>IF(OR('Volúmenes DIstribuidos '!C204="Azúcar",'Volúmenes DIstribuidos '!C204="azúcar"),"Azúcar o dulce",IF('Volúmenes DIstribuidos '!C204="Aceite","Aceite o grasas",IF('Volúmenes DIstribuidos '!C204="Avena","Otros almidones",'Volúmenes DIstribuidos '!C204)))</f>
        <v>Otros almidones</v>
      </c>
      <c r="C331" s="10" t="s">
        <v>29</v>
      </c>
      <c r="D331" s="12">
        <f>'Volúmenes DIstribuidos '!D204</f>
        <v>20.6</v>
      </c>
      <c r="E331" s="12">
        <f>SUMIF('Parametros Inventario'!$A:$A,B331,'Parametros Inventario'!$B:$B)+SUMIFS(D$2:D331,B$2:B331,B331,C$2:C331,"ENTRADA")-SUMIFS(D$2:D331,B$2:B331,B331,C$2:C331,"SALIDA")</f>
        <v>2183.2940000000003</v>
      </c>
    </row>
    <row r="332" spans="1:5" x14ac:dyDescent="0.3">
      <c r="A332" s="9">
        <f>'Volúmenes DIstribuidos '!B201</f>
        <v>44162</v>
      </c>
      <c r="B332" s="10" t="str">
        <f>IF(OR('Volúmenes DIstribuidos '!C205="Azúcar",'Volúmenes DIstribuidos '!C205="azúcar"),"Azúcar o dulce",IF('Volúmenes DIstribuidos '!C205="Aceite","Aceite o grasas",IF('Volúmenes DIstribuidos '!C205="Avena","Otros almidones",'Volúmenes DIstribuidos '!C205)))</f>
        <v>Lácteos</v>
      </c>
      <c r="C332" s="10" t="s">
        <v>29</v>
      </c>
      <c r="D332" s="12">
        <f>'Volúmenes DIstribuidos '!D205</f>
        <v>10.977</v>
      </c>
      <c r="E332" s="12">
        <f>SUMIF('Parametros Inventario'!$A:$A,B332,'Parametros Inventario'!$B:$B)+SUMIFS(D$2:D332,B$2:B332,B332,C$2:C332,"ENTRADA")-SUMIFS(D$2:D332,B$2:B332,B332,C$2:C332,"SALIDA")</f>
        <v>2205.6639999999998</v>
      </c>
    </row>
    <row r="333" spans="1:5" x14ac:dyDescent="0.3">
      <c r="A333" s="9">
        <f>'Volúmenes DIstribuidos '!B201</f>
        <v>44162</v>
      </c>
      <c r="B333" s="10" t="str">
        <f>IF(OR('Volúmenes DIstribuidos '!C206="Azúcar",'Volúmenes DIstribuidos '!C206="azúcar"),"Azúcar o dulce",IF('Volúmenes DIstribuidos '!C206="Aceite","Aceite o grasas",IF('Volúmenes DIstribuidos '!C206="Avena","Otros almidones",'Volúmenes DIstribuidos '!C206)))</f>
        <v>Fideo</v>
      </c>
      <c r="C333" s="10" t="s">
        <v>29</v>
      </c>
      <c r="D333" s="12">
        <f>'Volúmenes DIstribuidos '!D206</f>
        <v>5.61</v>
      </c>
      <c r="E333" s="12">
        <f>SUMIF('Parametros Inventario'!$A:$A,B333,'Parametros Inventario'!$B:$B)+SUMIFS(D$2:D333,B$2:B333,B333,C$2:C333,"ENTRADA")-SUMIFS(D$2:D333,B$2:B333,B333,C$2:C333,"SALIDA")</f>
        <v>2675.4070000000002</v>
      </c>
    </row>
    <row r="334" spans="1:5" x14ac:dyDescent="0.3">
      <c r="A334" s="9">
        <f>'Volúmenes DIstribuidos '!B207</f>
        <v>44166</v>
      </c>
      <c r="B334" s="10" t="str">
        <f>IF(OR('Volúmenes DIstribuidos '!C207="Azúcar",'Volúmenes DIstribuidos '!C207="azúcar"),"Azúcar o dulce",IF('Volúmenes DIstribuidos '!C207="Aceite","Aceite o grasas",IF('Volúmenes DIstribuidos '!C207="Avena","Otros almidones",'Volúmenes DIstribuidos '!C207)))</f>
        <v>Salsas</v>
      </c>
      <c r="C334" s="10" t="s">
        <v>29</v>
      </c>
      <c r="D334" s="12">
        <f>'Volúmenes DIstribuidos '!D207</f>
        <v>20.100000000000001</v>
      </c>
      <c r="E334" s="12">
        <f>SUMIF('Parametros Inventario'!$A:$A,B334,'Parametros Inventario'!$B:$B)+SUMIFS(D$2:D334,B$2:B334,B334,C$2:C334,"ENTRADA")-SUMIFS(D$2:D334,B$2:B334,B334,C$2:C334,"SALIDA")</f>
        <v>2884.2150000000001</v>
      </c>
    </row>
    <row r="335" spans="1:5" x14ac:dyDescent="0.3">
      <c r="A335" s="9">
        <f>'Volúmenes DIstribuidos '!B207</f>
        <v>44166</v>
      </c>
      <c r="B335" s="10" t="str">
        <f>IF(OR('Volúmenes DIstribuidos '!C208="Azúcar",'Volúmenes DIstribuidos '!C208="azúcar"),"Azúcar o dulce",IF('Volúmenes DIstribuidos '!C208="Aceite","Aceite o grasas",IF('Volúmenes DIstribuidos '!C208="Avena","Otros almidones",'Volúmenes DIstribuidos '!C208)))</f>
        <v>Otros almidones</v>
      </c>
      <c r="C335" s="10" t="s">
        <v>29</v>
      </c>
      <c r="D335" s="12">
        <f>'Volúmenes DIstribuidos '!D208</f>
        <v>4.4400000000000004</v>
      </c>
      <c r="E335" s="12">
        <f>SUMIF('Parametros Inventario'!$A:$A,B335,'Parametros Inventario'!$B:$B)+SUMIFS(D$2:D335,B$2:B335,B335,C$2:C335,"ENTRADA")-SUMIFS(D$2:D335,B$2:B335,B335,C$2:C335,"SALIDA")</f>
        <v>2178.8540000000003</v>
      </c>
    </row>
    <row r="336" spans="1:5" x14ac:dyDescent="0.3">
      <c r="A336" s="9">
        <f>'Volúmenes DIstribuidos '!B207</f>
        <v>44166</v>
      </c>
      <c r="B336" s="10" t="str">
        <f>IF(OR('Volúmenes DIstribuidos '!C209="Azúcar",'Volúmenes DIstribuidos '!C209="azúcar"),"Azúcar o dulce",IF('Volúmenes DIstribuidos '!C209="Aceite","Aceite o grasas",IF('Volúmenes DIstribuidos '!C209="Avena","Otros almidones",'Volúmenes DIstribuidos '!C209)))</f>
        <v>Aceite o grasas</v>
      </c>
      <c r="C336" s="10" t="s">
        <v>29</v>
      </c>
      <c r="D336" s="12">
        <f>'Volúmenes DIstribuidos '!D209</f>
        <v>19.213000000000001</v>
      </c>
      <c r="E336" s="12">
        <f>SUMIF('Parametros Inventario'!$A:$A,B336,'Parametros Inventario'!$B:$B)+SUMIFS(D$2:D336,B$2:B336,B336,C$2:C336,"ENTRADA")-SUMIFS(D$2:D336,B$2:B336,B336,C$2:C336,"SALIDA")</f>
        <v>2507.5879999999997</v>
      </c>
    </row>
    <row r="337" spans="1:5" x14ac:dyDescent="0.3">
      <c r="A337" s="9">
        <f>'Volúmenes DIstribuidos '!B207</f>
        <v>44166</v>
      </c>
      <c r="B337" s="10" t="str">
        <f>IF(OR('Volúmenes DIstribuidos '!C210="Azúcar",'Volúmenes DIstribuidos '!C210="azúcar"),"Azúcar o dulce",IF('Volúmenes DIstribuidos '!C210="Aceite","Aceite o grasas",IF('Volúmenes DIstribuidos '!C210="Avena","Otros almidones",'Volúmenes DIstribuidos '!C210)))</f>
        <v>Carnes blancas</v>
      </c>
      <c r="C337" s="10" t="s">
        <v>29</v>
      </c>
      <c r="D337" s="12">
        <f>'Volúmenes DIstribuidos '!D210</f>
        <v>74.05</v>
      </c>
      <c r="E337" s="12">
        <f>SUMIF('Parametros Inventario'!$A:$A,B337,'Parametros Inventario'!$B:$B)+SUMIFS(D$2:D337,B$2:B337,B337,C$2:C337,"ENTRADA")-SUMIFS(D$2:D337,B$2:B337,B337,C$2:C337,"SALIDA")</f>
        <v>2485.9650000000001</v>
      </c>
    </row>
    <row r="338" spans="1:5" x14ac:dyDescent="0.3">
      <c r="A338" s="9">
        <f>'Volúmenes DIstribuidos '!B207</f>
        <v>44166</v>
      </c>
      <c r="B338" s="10" t="str">
        <f>IF(OR('Volúmenes DIstribuidos '!C211="Azúcar",'Volúmenes DIstribuidos '!C211="azúcar"),"Azúcar o dulce",IF('Volúmenes DIstribuidos '!C211="Aceite","Aceite o grasas",IF('Volúmenes DIstribuidos '!C211="Avena","Otros almidones",'Volúmenes DIstribuidos '!C211)))</f>
        <v>Fideo</v>
      </c>
      <c r="C338" s="10" t="s">
        <v>29</v>
      </c>
      <c r="D338" s="12">
        <f>'Volúmenes DIstribuidos '!D211</f>
        <v>27.85</v>
      </c>
      <c r="E338" s="12">
        <f>SUMIF('Parametros Inventario'!$A:$A,B338,'Parametros Inventario'!$B:$B)+SUMIFS(D$2:D338,B$2:B338,B338,C$2:C338,"ENTRADA")-SUMIFS(D$2:D338,B$2:B338,B338,C$2:C338,"SALIDA")</f>
        <v>2647.5569999999998</v>
      </c>
    </row>
    <row r="339" spans="1:5" x14ac:dyDescent="0.3">
      <c r="A339" s="9">
        <f>'Volúmenes DIstribuidos '!B207</f>
        <v>44166</v>
      </c>
      <c r="B339" s="10" t="str">
        <f>IF(OR('Volúmenes DIstribuidos '!C212="Azúcar",'Volúmenes DIstribuidos '!C212="azúcar"),"Azúcar o dulce",IF('Volúmenes DIstribuidos '!C212="Aceite","Aceite o grasas",IF('Volúmenes DIstribuidos '!C212="Avena","Otros almidones",'Volúmenes DIstribuidos '!C212)))</f>
        <v>Azúcar o dulce</v>
      </c>
      <c r="C339" s="10" t="s">
        <v>29</v>
      </c>
      <c r="D339" s="12">
        <f>'Volúmenes DIstribuidos '!D212</f>
        <v>42.45</v>
      </c>
      <c r="E339" s="12">
        <f>SUMIF('Parametros Inventario'!$A:$A,B339,'Parametros Inventario'!$B:$B)+SUMIFS(D$2:D339,B$2:B339,B339,C$2:C339,"ENTRADA")-SUMIFS(D$2:D339,B$2:B339,B339,C$2:C339,"SALIDA")</f>
        <v>3500.3900000000012</v>
      </c>
    </row>
    <row r="340" spans="1:5" x14ac:dyDescent="0.3">
      <c r="A340" s="9">
        <v>44169</v>
      </c>
      <c r="B340" s="10" t="s">
        <v>17</v>
      </c>
      <c r="C340" s="10" t="s">
        <v>28</v>
      </c>
      <c r="D340" s="12">
        <v>274.88</v>
      </c>
      <c r="E340" s="12">
        <f>SUMIF('Parametros Inventario'!$A:$A,B340,'Parametros Inventario'!$B:$B)+SUMIFS(D$2:D340,B$2:B340,B340,C$2:C340,"ENTRADA")-SUMIFS(D$2:D340,B$2:B340,B340,C$2:C340,"SALIDA")</f>
        <v>2480.5439999999999</v>
      </c>
    </row>
    <row r="341" spans="1:5" x14ac:dyDescent="0.3">
      <c r="A341" s="9">
        <v>44169</v>
      </c>
      <c r="B341" s="10" t="s">
        <v>18</v>
      </c>
      <c r="C341" s="10" t="s">
        <v>28</v>
      </c>
      <c r="D341" s="12">
        <v>62.97</v>
      </c>
      <c r="E341" s="12">
        <f>SUMIF('Parametros Inventario'!$A:$A,B341,'Parametros Inventario'!$B:$B)+SUMIFS(D$2:D341,B$2:B341,B341,C$2:C341,"ENTRADA")-SUMIFS(D$2:D341,B$2:B341,B341,C$2:C341,"SALIDA")</f>
        <v>2947.1849999999995</v>
      </c>
    </row>
    <row r="342" spans="1:5" x14ac:dyDescent="0.3">
      <c r="A342" s="9">
        <v>44169</v>
      </c>
      <c r="B342" s="10" t="s">
        <v>10</v>
      </c>
      <c r="C342" s="10" t="s">
        <v>28</v>
      </c>
      <c r="D342" s="12">
        <v>109.91</v>
      </c>
      <c r="E342" s="12">
        <f>SUMIF('Parametros Inventario'!$A:$A,B342,'Parametros Inventario'!$B:$B)+SUMIFS(D$2:D342,B$2:B342,B342,C$2:C342,"ENTRADA")-SUMIFS(D$2:D342,B$2:B342,B342,C$2:C342,"SALIDA")</f>
        <v>2505.962</v>
      </c>
    </row>
    <row r="343" spans="1:5" x14ac:dyDescent="0.3">
      <c r="A343" s="9">
        <v>44169</v>
      </c>
      <c r="B343" s="10" t="s">
        <v>8</v>
      </c>
      <c r="C343" s="10" t="s">
        <v>28</v>
      </c>
      <c r="D343" s="12">
        <v>199.25</v>
      </c>
      <c r="E343" s="12">
        <f>SUMIF('Parametros Inventario'!$A:$A,B343,'Parametros Inventario'!$B:$B)+SUMIFS(D$2:D343,B$2:B343,B343,C$2:C343,"ENTRADA")-SUMIFS(D$2:D343,B$2:B343,B343,C$2:C343,"SALIDA")</f>
        <v>2706.8379999999997</v>
      </c>
    </row>
    <row r="344" spans="1:5" x14ac:dyDescent="0.3">
      <c r="A344" s="9">
        <v>44169</v>
      </c>
      <c r="B344" s="10" t="s">
        <v>13</v>
      </c>
      <c r="C344" s="10" t="s">
        <v>28</v>
      </c>
      <c r="D344" s="12">
        <v>109.12</v>
      </c>
      <c r="E344" s="12">
        <f>SUMIF('Parametros Inventario'!$A:$A,B344,'Parametros Inventario'!$B:$B)+SUMIFS(D$2:D344,B$2:B344,B344,C$2:C344,"ENTRADA")-SUMIFS(D$2:D344,B$2:B344,B344,C$2:C344,"SALIDA")</f>
        <v>3609.51</v>
      </c>
    </row>
    <row r="345" spans="1:5" x14ac:dyDescent="0.3">
      <c r="A345" s="9">
        <v>44169</v>
      </c>
      <c r="B345" s="10" t="s">
        <v>15</v>
      </c>
      <c r="C345" s="10" t="s">
        <v>28</v>
      </c>
      <c r="D345" s="12">
        <v>177.16</v>
      </c>
      <c r="E345" s="12">
        <f>SUMIF('Parametros Inventario'!$A:$A,B345,'Parametros Inventario'!$B:$B)+SUMIFS(D$2:D345,B$2:B345,B345,C$2:C345,"ENTRADA")-SUMIFS(D$2:D345,B$2:B345,B345,C$2:C345,"SALIDA")</f>
        <v>2356.0140000000001</v>
      </c>
    </row>
    <row r="346" spans="1:5" x14ac:dyDescent="0.3">
      <c r="A346" s="9">
        <v>44169</v>
      </c>
      <c r="B346" s="10" t="s">
        <v>11</v>
      </c>
      <c r="C346" s="10" t="s">
        <v>28</v>
      </c>
      <c r="D346" s="12">
        <v>176.11</v>
      </c>
      <c r="E346" s="12">
        <f>SUMIF('Parametros Inventario'!$A:$A,B346,'Parametros Inventario'!$B:$B)+SUMIFS(D$2:D346,B$2:B346,B346,C$2:C346,"ENTRADA")-SUMIFS(D$2:D346,B$2:B346,B346,C$2:C346,"SALIDA")</f>
        <v>2823.6669999999999</v>
      </c>
    </row>
    <row r="347" spans="1:5" x14ac:dyDescent="0.3">
      <c r="A347" s="9">
        <v>44169</v>
      </c>
      <c r="B347" s="10" t="s">
        <v>9</v>
      </c>
      <c r="C347" s="10" t="s">
        <v>28</v>
      </c>
      <c r="D347" s="12">
        <v>287.33999999999997</v>
      </c>
      <c r="E347" s="12">
        <f>SUMIF('Parametros Inventario'!$A:$A,B347,'Parametros Inventario'!$B:$B)+SUMIFS(D$2:D347,B$2:B347,B347,C$2:C347,"ENTRADA")-SUMIFS(D$2:D347,B$2:B347,B347,C$2:C347,"SALIDA")</f>
        <v>2010.221</v>
      </c>
    </row>
    <row r="348" spans="1:5" x14ac:dyDescent="0.3">
      <c r="A348" s="9">
        <v>44169</v>
      </c>
      <c r="B348" s="10" t="s">
        <v>14</v>
      </c>
      <c r="C348" s="10" t="s">
        <v>28</v>
      </c>
      <c r="D348" s="12">
        <v>117.32</v>
      </c>
      <c r="E348" s="12">
        <f>SUMIF('Parametros Inventario'!$A:$A,B348,'Parametros Inventario'!$B:$B)+SUMIFS(D$2:D348,B$2:B348,B348,C$2:C348,"ENTRADA")-SUMIFS(D$2:D348,B$2:B348,B348,C$2:C348,"SALIDA")</f>
        <v>2459.4969999999994</v>
      </c>
    </row>
    <row r="349" spans="1:5" x14ac:dyDescent="0.3">
      <c r="A349" s="9">
        <v>44169</v>
      </c>
      <c r="B349" s="10" t="s">
        <v>12</v>
      </c>
      <c r="C349" s="10" t="s">
        <v>28</v>
      </c>
      <c r="D349" s="12">
        <v>129.58000000000001</v>
      </c>
      <c r="E349" s="12">
        <f>SUMIF('Parametros Inventario'!$A:$A,B349,'Parametros Inventario'!$B:$B)+SUMIFS(D$2:D349,B$2:B349,B349,C$2:C349,"ENTRADA")-SUMIFS(D$2:D349,B$2:B349,B349,C$2:C349,"SALIDA")</f>
        <v>2561.3559999999998</v>
      </c>
    </row>
    <row r="350" spans="1:5" x14ac:dyDescent="0.3">
      <c r="A350" s="9">
        <f>'Volúmenes DIstribuidos '!B213</f>
        <v>44169</v>
      </c>
      <c r="B350" s="10" t="str">
        <f>IF(OR('Volúmenes DIstribuidos '!C213="Azúcar",'Volúmenes DIstribuidos '!C213="azúcar"),"Azúcar o dulce",IF('Volúmenes DIstribuidos '!C213="Aceite","Aceite o grasas",IF('Volúmenes DIstribuidos '!C213="Avena","Otros almidones",'Volúmenes DIstribuidos '!C213)))</f>
        <v>Otros almidones</v>
      </c>
      <c r="C350" s="10" t="s">
        <v>29</v>
      </c>
      <c r="D350" s="12">
        <f>'Volúmenes DIstribuidos '!D213</f>
        <v>11.968</v>
      </c>
      <c r="E350" s="12">
        <f>SUMIF('Parametros Inventario'!$A:$A,B350,'Parametros Inventario'!$B:$B)+SUMIFS(D$2:D350,B$2:B350,B350,C$2:C350,"ENTRADA")-SUMIFS(D$2:D350,B$2:B350,B350,C$2:C350,"SALIDA")</f>
        <v>2344.0460000000003</v>
      </c>
    </row>
    <row r="351" spans="1:5" x14ac:dyDescent="0.3">
      <c r="A351" s="9">
        <f>'Volúmenes DIstribuidos '!B213</f>
        <v>44169</v>
      </c>
      <c r="B351" s="10" t="str">
        <f>IF(OR('Volúmenes DIstribuidos '!C214="Azúcar",'Volúmenes DIstribuidos '!C214="azúcar"),"Azúcar o dulce",IF('Volúmenes DIstribuidos '!C214="Aceite","Aceite o grasas",IF('Volúmenes DIstribuidos '!C214="Avena","Otros almidones",'Volúmenes DIstribuidos '!C214)))</f>
        <v>Salsas</v>
      </c>
      <c r="C351" s="10" t="s">
        <v>29</v>
      </c>
      <c r="D351" s="12">
        <f>'Volúmenes DIstribuidos '!D214</f>
        <v>47.06</v>
      </c>
      <c r="E351" s="12">
        <f>SUMIF('Parametros Inventario'!$A:$A,B351,'Parametros Inventario'!$B:$B)+SUMIFS(D$2:D351,B$2:B351,B351,C$2:C351,"ENTRADA")-SUMIFS(D$2:D351,B$2:B351,B351,C$2:C351,"SALIDA")</f>
        <v>2900.1249999999995</v>
      </c>
    </row>
    <row r="352" spans="1:5" x14ac:dyDescent="0.3">
      <c r="A352" s="9">
        <f>'Volúmenes DIstribuidos '!B213</f>
        <v>44169</v>
      </c>
      <c r="B352" s="10" t="str">
        <f>IF(OR('Volúmenes DIstribuidos '!C215="Azúcar",'Volúmenes DIstribuidos '!C215="azúcar"),"Azúcar o dulce",IF('Volúmenes DIstribuidos '!C215="Aceite","Aceite o grasas",IF('Volúmenes DIstribuidos '!C215="Avena","Otros almidones",'Volúmenes DIstribuidos '!C215)))</f>
        <v>Otros almidones</v>
      </c>
      <c r="C352" s="10" t="s">
        <v>29</v>
      </c>
      <c r="D352" s="12">
        <f>'Volúmenes DIstribuidos '!D215</f>
        <v>22.69</v>
      </c>
      <c r="E352" s="12">
        <f>SUMIF('Parametros Inventario'!$A:$A,B352,'Parametros Inventario'!$B:$B)+SUMIFS(D$2:D352,B$2:B352,B352,C$2:C352,"ENTRADA")-SUMIFS(D$2:D352,B$2:B352,B352,C$2:C352,"SALIDA")</f>
        <v>2321.3560000000002</v>
      </c>
    </row>
    <row r="353" spans="1:5" x14ac:dyDescent="0.3">
      <c r="A353" s="9">
        <f>'Volúmenes DIstribuidos '!B213</f>
        <v>44169</v>
      </c>
      <c r="B353" s="10" t="str">
        <f>IF(OR('Volúmenes DIstribuidos '!C216="Azúcar",'Volúmenes DIstribuidos '!C216="azúcar"),"Azúcar o dulce",IF('Volúmenes DIstribuidos '!C216="Aceite","Aceite o grasas",IF('Volúmenes DIstribuidos '!C216="Avena","Otros almidones",'Volúmenes DIstribuidos '!C216)))</f>
        <v>Lácteos</v>
      </c>
      <c r="C353" s="10" t="s">
        <v>29</v>
      </c>
      <c r="D353" s="12">
        <f>'Volúmenes DIstribuidos '!D216</f>
        <v>99.03</v>
      </c>
      <c r="E353" s="12">
        <f>SUMIF('Parametros Inventario'!$A:$A,B353,'Parametros Inventario'!$B:$B)+SUMIFS(D$2:D353,B$2:B353,B353,C$2:C353,"ENTRADA")-SUMIFS(D$2:D353,B$2:B353,B353,C$2:C353,"SALIDA")</f>
        <v>2381.5140000000001</v>
      </c>
    </row>
    <row r="354" spans="1:5" x14ac:dyDescent="0.3">
      <c r="A354" s="9">
        <f>'Volúmenes DIstribuidos '!B213</f>
        <v>44169</v>
      </c>
      <c r="B354" s="10" t="str">
        <f>IF(OR('Volúmenes DIstribuidos '!C217="Azúcar",'Volúmenes DIstribuidos '!C217="azúcar"),"Azúcar o dulce",IF('Volúmenes DIstribuidos '!C217="Aceite","Aceite o grasas",IF('Volúmenes DIstribuidos '!C217="Avena","Otros almidones",'Volúmenes DIstribuidos '!C217)))</f>
        <v>Fideo</v>
      </c>
      <c r="C354" s="10" t="s">
        <v>29</v>
      </c>
      <c r="D354" s="12">
        <f>'Volúmenes DIstribuidos '!D217</f>
        <v>5.673</v>
      </c>
      <c r="E354" s="12">
        <f>SUMIF('Parametros Inventario'!$A:$A,B354,'Parametros Inventario'!$B:$B)+SUMIFS(D$2:D354,B$2:B354,B354,C$2:C354,"ENTRADA")-SUMIFS(D$2:D354,B$2:B354,B354,C$2:C354,"SALIDA")</f>
        <v>2817.9940000000001</v>
      </c>
    </row>
    <row r="355" spans="1:5" x14ac:dyDescent="0.3">
      <c r="A355" s="9">
        <f>'Volúmenes DIstribuidos '!B213</f>
        <v>44169</v>
      </c>
      <c r="B355" s="10" t="str">
        <f>IF(OR('Volúmenes DIstribuidos '!C218="Azúcar",'Volúmenes DIstribuidos '!C218="azúcar"),"Azúcar o dulce",IF('Volúmenes DIstribuidos '!C218="Aceite","Aceite o grasas",IF('Volúmenes DIstribuidos '!C218="Avena","Otros almidones",'Volúmenes DIstribuidos '!C218)))</f>
        <v>Vegetales y hojas</v>
      </c>
      <c r="C355" s="10" t="s">
        <v>29</v>
      </c>
      <c r="D355" s="12">
        <f>'Volúmenes DIstribuidos '!D218</f>
        <v>6.96</v>
      </c>
      <c r="E355" s="12">
        <f>SUMIF('Parametros Inventario'!$A:$A,B355,'Parametros Inventario'!$B:$B)+SUMIFS(D$2:D355,B$2:B355,B355,C$2:C355,"ENTRADA")-SUMIFS(D$2:D355,B$2:B355,B355,C$2:C355,"SALIDA")</f>
        <v>2499.002</v>
      </c>
    </row>
    <row r="356" spans="1:5" x14ac:dyDescent="0.3">
      <c r="A356" s="9">
        <f>'Volúmenes DIstribuidos '!B219</f>
        <v>44173</v>
      </c>
      <c r="B356" s="10" t="str">
        <f>IF(OR('Volúmenes DIstribuidos '!C219="Azúcar",'Volúmenes DIstribuidos '!C219="azúcar"),"Azúcar o dulce",IF('Volúmenes DIstribuidos '!C219="Aceite","Aceite o grasas",IF('Volúmenes DIstribuidos '!C219="Avena","Otros almidones",'Volúmenes DIstribuidos '!C219)))</f>
        <v>Aceite o grasas</v>
      </c>
      <c r="C356" s="10" t="s">
        <v>29</v>
      </c>
      <c r="D356" s="12">
        <f>'Volúmenes DIstribuidos '!D219</f>
        <v>3.69</v>
      </c>
      <c r="E356" s="12">
        <f>SUMIF('Parametros Inventario'!$A:$A,B356,'Parametros Inventario'!$B:$B)+SUMIFS(D$2:D356,B$2:B356,B356,C$2:C356,"ENTRADA")-SUMIFS(D$2:D356,B$2:B356,B356,C$2:C356,"SALIDA")</f>
        <v>2703.1479999999997</v>
      </c>
    </row>
    <row r="357" spans="1:5" x14ac:dyDescent="0.3">
      <c r="A357" s="9">
        <f>'Volúmenes DIstribuidos '!B219</f>
        <v>44173</v>
      </c>
      <c r="B357" s="10" t="str">
        <f>IF(OR('Volúmenes DIstribuidos '!C220="Azúcar",'Volúmenes DIstribuidos '!C220="azúcar"),"Azúcar o dulce",IF('Volúmenes DIstribuidos '!C220="Aceite","Aceite o grasas",IF('Volúmenes DIstribuidos '!C220="Avena","Otros almidones",'Volúmenes DIstribuidos '!C220)))</f>
        <v>Salsas</v>
      </c>
      <c r="C357" s="10" t="s">
        <v>29</v>
      </c>
      <c r="D357" s="12">
        <f>'Volúmenes DIstribuidos '!D220</f>
        <v>15.63</v>
      </c>
      <c r="E357" s="12">
        <f>SUMIF('Parametros Inventario'!$A:$A,B357,'Parametros Inventario'!$B:$B)+SUMIFS(D$2:D357,B$2:B357,B357,C$2:C357,"ENTRADA")-SUMIFS(D$2:D357,B$2:B357,B357,C$2:C357,"SALIDA")</f>
        <v>2884.4949999999999</v>
      </c>
    </row>
    <row r="358" spans="1:5" x14ac:dyDescent="0.3">
      <c r="A358" s="9">
        <f>'Volúmenes DIstribuidos '!B219</f>
        <v>44173</v>
      </c>
      <c r="B358" s="10" t="str">
        <f>IF(OR('Volúmenes DIstribuidos '!C221="Azúcar",'Volúmenes DIstribuidos '!C221="azúcar"),"Azúcar o dulce",IF('Volúmenes DIstribuidos '!C221="Aceite","Aceite o grasas",IF('Volúmenes DIstribuidos '!C221="Avena","Otros almidones",'Volúmenes DIstribuidos '!C221)))</f>
        <v>Carnes blancas</v>
      </c>
      <c r="C358" s="10" t="s">
        <v>29</v>
      </c>
      <c r="D358" s="12">
        <f>'Volúmenes DIstribuidos '!D221</f>
        <v>8.9499999999999993</v>
      </c>
      <c r="E358" s="12">
        <f>SUMIF('Parametros Inventario'!$A:$A,B358,'Parametros Inventario'!$B:$B)+SUMIFS(D$2:D358,B$2:B358,B358,C$2:C358,"ENTRADA")-SUMIFS(D$2:D358,B$2:B358,B358,C$2:C358,"SALIDA")</f>
        <v>2477.0149999999999</v>
      </c>
    </row>
    <row r="359" spans="1:5" x14ac:dyDescent="0.3">
      <c r="A359" s="9">
        <f>'Volúmenes DIstribuidos '!B219</f>
        <v>44173</v>
      </c>
      <c r="B359" s="10" t="str">
        <f>IF(OR('Volúmenes DIstribuidos '!C222="Azúcar",'Volúmenes DIstribuidos '!C222="azúcar"),"Azúcar o dulce",IF('Volúmenes DIstribuidos '!C222="Aceite","Aceite o grasas",IF('Volúmenes DIstribuidos '!C222="Avena","Otros almidones",'Volúmenes DIstribuidos '!C222)))</f>
        <v>Lácteos</v>
      </c>
      <c r="C359" s="10" t="s">
        <v>29</v>
      </c>
      <c r="D359" s="12">
        <f>'Volúmenes DIstribuidos '!D222</f>
        <v>16.28</v>
      </c>
      <c r="E359" s="12">
        <f>SUMIF('Parametros Inventario'!$A:$A,B359,'Parametros Inventario'!$B:$B)+SUMIFS(D$2:D359,B$2:B359,B359,C$2:C359,"ENTRADA")-SUMIFS(D$2:D359,B$2:B359,B359,C$2:C359,"SALIDA")</f>
        <v>2365.2339999999999</v>
      </c>
    </row>
    <row r="360" spans="1:5" x14ac:dyDescent="0.3">
      <c r="A360" s="9">
        <f>'Volúmenes DIstribuidos '!B219</f>
        <v>44173</v>
      </c>
      <c r="B360" s="10" t="str">
        <f>IF(OR('Volúmenes DIstribuidos '!C223="Azúcar",'Volúmenes DIstribuidos '!C223="azúcar"),"Azúcar o dulce",IF('Volúmenes DIstribuidos '!C223="Aceite","Aceite o grasas",IF('Volúmenes DIstribuidos '!C223="Avena","Otros almidones",'Volúmenes DIstribuidos '!C223)))</f>
        <v>Menestras</v>
      </c>
      <c r="C360" s="10" t="s">
        <v>29</v>
      </c>
      <c r="D360" s="12">
        <f>'Volúmenes DIstribuidos '!D223</f>
        <v>17.928999999999998</v>
      </c>
      <c r="E360" s="12">
        <f>SUMIF('Parametros Inventario'!$A:$A,B360,'Parametros Inventario'!$B:$B)+SUMIFS(D$2:D360,B$2:B360,B360,C$2:C360,"ENTRADA")-SUMIFS(D$2:D360,B$2:B360,B360,C$2:C360,"SALIDA")</f>
        <v>2441.5679999999993</v>
      </c>
    </row>
    <row r="361" spans="1:5" x14ac:dyDescent="0.3">
      <c r="A361" s="9">
        <f>'Volúmenes DIstribuidos '!B219</f>
        <v>44173</v>
      </c>
      <c r="B361" s="10" t="str">
        <f>IF(OR('Volúmenes DIstribuidos '!C224="Azúcar",'Volúmenes DIstribuidos '!C224="azúcar"),"Azúcar o dulce",IF('Volúmenes DIstribuidos '!C224="Aceite","Aceite o grasas",IF('Volúmenes DIstribuidos '!C224="Avena","Otros almidones",'Volúmenes DIstribuidos '!C224)))</f>
        <v>Aceite o grasas</v>
      </c>
      <c r="C361" s="10" t="s">
        <v>29</v>
      </c>
      <c r="D361" s="12">
        <f>'Volúmenes DIstribuidos '!D224</f>
        <v>36.43</v>
      </c>
      <c r="E361" s="12">
        <f>SUMIF('Parametros Inventario'!$A:$A,B361,'Parametros Inventario'!$B:$B)+SUMIFS(D$2:D361,B$2:B361,B361,C$2:C361,"ENTRADA")-SUMIFS(D$2:D361,B$2:B361,B361,C$2:C361,"SALIDA")</f>
        <v>2666.7179999999998</v>
      </c>
    </row>
    <row r="362" spans="1:5" x14ac:dyDescent="0.3">
      <c r="A362" s="9">
        <v>44176</v>
      </c>
      <c r="B362" s="10" t="s">
        <v>16</v>
      </c>
      <c r="C362" s="10" t="s">
        <v>28</v>
      </c>
      <c r="D362" s="12">
        <v>188.28</v>
      </c>
      <c r="E362" s="12">
        <f>SUMIF('Parametros Inventario'!$A:$A,B362,'Parametros Inventario'!$B:$B)+SUMIFS(D$2:D362,B$2:B362,B362,C$2:C362,"ENTRADA")-SUMIFS(D$2:D362,B$2:B362,B362,C$2:C362,"SALIDA")</f>
        <v>2665.2950000000001</v>
      </c>
    </row>
    <row r="363" spans="1:5" x14ac:dyDescent="0.3">
      <c r="A363" s="9">
        <v>44176</v>
      </c>
      <c r="B363" s="10" t="s">
        <v>17</v>
      </c>
      <c r="C363" s="10" t="s">
        <v>28</v>
      </c>
      <c r="D363" s="12">
        <v>66.36</v>
      </c>
      <c r="E363" s="12">
        <f>SUMIF('Parametros Inventario'!$A:$A,B363,'Parametros Inventario'!$B:$B)+SUMIFS(D$2:D363,B$2:B363,B363,C$2:C363,"ENTRADA")-SUMIFS(D$2:D363,B$2:B363,B363,C$2:C363,"SALIDA")</f>
        <v>2431.5940000000001</v>
      </c>
    </row>
    <row r="364" spans="1:5" x14ac:dyDescent="0.3">
      <c r="A364" s="9">
        <v>44176</v>
      </c>
      <c r="B364" s="10" t="s">
        <v>18</v>
      </c>
      <c r="C364" s="10" t="s">
        <v>28</v>
      </c>
      <c r="D364" s="12">
        <v>57.23</v>
      </c>
      <c r="E364" s="12">
        <f>SUMIF('Parametros Inventario'!$A:$A,B364,'Parametros Inventario'!$B:$B)+SUMIFS(D$2:D364,B$2:B364,B364,C$2:C364,"ENTRADA")-SUMIFS(D$2:D364,B$2:B364,B364,C$2:C364,"SALIDA")</f>
        <v>2941.7250000000004</v>
      </c>
    </row>
    <row r="365" spans="1:5" x14ac:dyDescent="0.3">
      <c r="A365" s="9">
        <v>44176</v>
      </c>
      <c r="B365" s="10" t="s">
        <v>10</v>
      </c>
      <c r="C365" s="10" t="s">
        <v>28</v>
      </c>
      <c r="D365" s="12">
        <v>208.39</v>
      </c>
      <c r="E365" s="12">
        <f>SUMIF('Parametros Inventario'!$A:$A,B365,'Parametros Inventario'!$B:$B)+SUMIFS(D$2:D365,B$2:B365,B365,C$2:C365,"ENTRADA")-SUMIFS(D$2:D365,B$2:B365,B365,C$2:C365,"SALIDA")</f>
        <v>2707.3919999999998</v>
      </c>
    </row>
    <row r="366" spans="1:5" x14ac:dyDescent="0.3">
      <c r="A366" s="9">
        <v>44176</v>
      </c>
      <c r="B366" s="10" t="s">
        <v>8</v>
      </c>
      <c r="C366" s="10" t="s">
        <v>28</v>
      </c>
      <c r="D366" s="12">
        <v>278.43</v>
      </c>
      <c r="E366" s="12">
        <f>SUMIF('Parametros Inventario'!$A:$A,B366,'Parametros Inventario'!$B:$B)+SUMIFS(D$2:D366,B$2:B366,B366,C$2:C366,"ENTRADA")-SUMIFS(D$2:D366,B$2:B366,B366,C$2:C366,"SALIDA")</f>
        <v>2945.1480000000001</v>
      </c>
    </row>
    <row r="367" spans="1:5" x14ac:dyDescent="0.3">
      <c r="A367" s="9">
        <v>44176</v>
      </c>
      <c r="B367" s="10" t="s">
        <v>13</v>
      </c>
      <c r="C367" s="10" t="s">
        <v>28</v>
      </c>
      <c r="D367" s="12">
        <v>54.66</v>
      </c>
      <c r="E367" s="12">
        <f>SUMIF('Parametros Inventario'!$A:$A,B367,'Parametros Inventario'!$B:$B)+SUMIFS(D$2:D367,B$2:B367,B367,C$2:C367,"ENTRADA")-SUMIFS(D$2:D367,B$2:B367,B367,C$2:C367,"SALIDA")</f>
        <v>3664.17</v>
      </c>
    </row>
    <row r="368" spans="1:5" x14ac:dyDescent="0.3">
      <c r="A368" s="9">
        <v>44176</v>
      </c>
      <c r="B368" s="10" t="s">
        <v>15</v>
      </c>
      <c r="C368" s="10" t="s">
        <v>28</v>
      </c>
      <c r="D368" s="12">
        <v>188.52</v>
      </c>
      <c r="E368" s="12">
        <f>SUMIF('Parametros Inventario'!$A:$A,B368,'Parametros Inventario'!$B:$B)+SUMIFS(D$2:D368,B$2:B368,B368,C$2:C368,"ENTRADA")-SUMIFS(D$2:D368,B$2:B368,B368,C$2:C368,"SALIDA")</f>
        <v>2509.8760000000002</v>
      </c>
    </row>
    <row r="369" spans="1:5" x14ac:dyDescent="0.3">
      <c r="A369" s="9">
        <v>44176</v>
      </c>
      <c r="B369" s="10" t="s">
        <v>11</v>
      </c>
      <c r="C369" s="10" t="s">
        <v>28</v>
      </c>
      <c r="D369" s="12">
        <v>196.54</v>
      </c>
      <c r="E369" s="12">
        <f>SUMIF('Parametros Inventario'!$A:$A,B369,'Parametros Inventario'!$B:$B)+SUMIFS(D$2:D369,B$2:B369,B369,C$2:C369,"ENTRADA")-SUMIFS(D$2:D369,B$2:B369,B369,C$2:C369,"SALIDA")</f>
        <v>3014.5340000000001</v>
      </c>
    </row>
    <row r="370" spans="1:5" x14ac:dyDescent="0.3">
      <c r="A370" s="9">
        <v>44176</v>
      </c>
      <c r="B370" s="10" t="s">
        <v>9</v>
      </c>
      <c r="C370" s="10" t="s">
        <v>28</v>
      </c>
      <c r="D370" s="12">
        <v>75.38</v>
      </c>
      <c r="E370" s="12">
        <f>SUMIF('Parametros Inventario'!$A:$A,B370,'Parametros Inventario'!$B:$B)+SUMIFS(D$2:D370,B$2:B370,B370,C$2:C370,"ENTRADA")-SUMIFS(D$2:D370,B$2:B370,B370,C$2:C370,"SALIDA")</f>
        <v>2085.6010000000001</v>
      </c>
    </row>
    <row r="371" spans="1:5" x14ac:dyDescent="0.3">
      <c r="A371" s="9">
        <v>44176</v>
      </c>
      <c r="B371" s="10" t="s">
        <v>14</v>
      </c>
      <c r="C371" s="10" t="s">
        <v>28</v>
      </c>
      <c r="D371" s="12">
        <v>240.74</v>
      </c>
      <c r="E371" s="12">
        <f>SUMIF('Parametros Inventario'!$A:$A,B371,'Parametros Inventario'!$B:$B)+SUMIFS(D$2:D371,B$2:B371,B371,C$2:C371,"ENTRADA")-SUMIFS(D$2:D371,B$2:B371,B371,C$2:C371,"SALIDA")</f>
        <v>2682.308</v>
      </c>
    </row>
    <row r="372" spans="1:5" x14ac:dyDescent="0.3">
      <c r="A372" s="9">
        <f>'Volúmenes DIstribuidos '!B225</f>
        <v>44176</v>
      </c>
      <c r="B372" s="10" t="str">
        <f>IF(OR('Volúmenes DIstribuidos '!C225="Azúcar",'Volúmenes DIstribuidos '!C225="azúcar"),"Azúcar o dulce",IF('Volúmenes DIstribuidos '!C225="Aceite","Aceite o grasas",IF('Volúmenes DIstribuidos '!C225="Avena","Otros almidones",'Volúmenes DIstribuidos '!C225)))</f>
        <v>Panadería</v>
      </c>
      <c r="C372" s="10" t="s">
        <v>29</v>
      </c>
      <c r="D372" s="12">
        <f>'Volúmenes DIstribuidos '!D225</f>
        <v>30.86</v>
      </c>
      <c r="E372" s="12">
        <f>SUMIF('Parametros Inventario'!$A:$A,B372,'Parametros Inventario'!$B:$B)+SUMIFS(D$2:D372,B$2:B372,B372,C$2:C372,"ENTRADA")-SUMIFS(D$2:D372,B$2:B372,B372,C$2:C372,"SALIDA")</f>
        <v>2054.741</v>
      </c>
    </row>
    <row r="373" spans="1:5" x14ac:dyDescent="0.3">
      <c r="A373" s="9">
        <f>'Volúmenes DIstribuidos '!B225</f>
        <v>44176</v>
      </c>
      <c r="B373" s="10" t="str">
        <f>IF(OR('Volúmenes DIstribuidos '!C226="Azúcar",'Volúmenes DIstribuidos '!C226="azúcar"),"Azúcar o dulce",IF('Volúmenes DIstribuidos '!C226="Aceite","Aceite o grasas",IF('Volúmenes DIstribuidos '!C226="Avena","Otros almidones",'Volúmenes DIstribuidos '!C226)))</f>
        <v>Menestras</v>
      </c>
      <c r="C373" s="10" t="s">
        <v>29</v>
      </c>
      <c r="D373" s="12">
        <f>'Volúmenes DIstribuidos '!D226</f>
        <v>25.56</v>
      </c>
      <c r="E373" s="12">
        <f>SUMIF('Parametros Inventario'!$A:$A,B373,'Parametros Inventario'!$B:$B)+SUMIFS(D$2:D373,B$2:B373,B373,C$2:C373,"ENTRADA")-SUMIFS(D$2:D373,B$2:B373,B373,C$2:C373,"SALIDA")</f>
        <v>2656.7479999999996</v>
      </c>
    </row>
    <row r="374" spans="1:5" x14ac:dyDescent="0.3">
      <c r="A374" s="9">
        <f>'Volúmenes DIstribuidos '!B225</f>
        <v>44176</v>
      </c>
      <c r="B374" s="10" t="str">
        <f>IF(OR('Volúmenes DIstribuidos '!C227="Azúcar",'Volúmenes DIstribuidos '!C227="azúcar"),"Azúcar o dulce",IF('Volúmenes DIstribuidos '!C227="Aceite","Aceite o grasas",IF('Volúmenes DIstribuidos '!C227="Avena","Otros almidones",'Volúmenes DIstribuidos '!C227)))</f>
        <v>Lácteos</v>
      </c>
      <c r="C374" s="10" t="s">
        <v>29</v>
      </c>
      <c r="D374" s="12">
        <f>'Volúmenes DIstribuidos '!D227</f>
        <v>79.91</v>
      </c>
      <c r="E374" s="12">
        <f>SUMIF('Parametros Inventario'!$A:$A,B374,'Parametros Inventario'!$B:$B)+SUMIFS(D$2:D374,B$2:B374,B374,C$2:C374,"ENTRADA")-SUMIFS(D$2:D374,B$2:B374,B374,C$2:C374,"SALIDA")</f>
        <v>2351.6840000000002</v>
      </c>
    </row>
    <row r="375" spans="1:5" x14ac:dyDescent="0.3">
      <c r="A375" s="9">
        <f>'Volúmenes DIstribuidos '!B225</f>
        <v>44176</v>
      </c>
      <c r="B375" s="10" t="str">
        <f>IF(OR('Volúmenes DIstribuidos '!C228="Azúcar",'Volúmenes DIstribuidos '!C228="azúcar"),"Azúcar o dulce",IF('Volúmenes DIstribuidos '!C228="Aceite","Aceite o grasas",IF('Volúmenes DIstribuidos '!C228="Avena","Otros almidones",'Volúmenes DIstribuidos '!C228)))</f>
        <v>Azúcar o dulce</v>
      </c>
      <c r="C375" s="10" t="s">
        <v>29</v>
      </c>
      <c r="D375" s="12">
        <f>'Volúmenes DIstribuidos '!D228</f>
        <v>19.95</v>
      </c>
      <c r="E375" s="12">
        <f>SUMIF('Parametros Inventario'!$A:$A,B375,'Parametros Inventario'!$B:$B)+SUMIFS(D$2:D375,B$2:B375,B375,C$2:C375,"ENTRADA")-SUMIFS(D$2:D375,B$2:B375,B375,C$2:C375,"SALIDA")</f>
        <v>3644.22</v>
      </c>
    </row>
    <row r="376" spans="1:5" x14ac:dyDescent="0.3">
      <c r="A376" s="9">
        <f>'Volúmenes DIstribuidos '!B225</f>
        <v>44176</v>
      </c>
      <c r="B376" s="10" t="str">
        <f>IF(OR('Volúmenes DIstribuidos '!C229="Azúcar",'Volúmenes DIstribuidos '!C229="azúcar"),"Azúcar o dulce",IF('Volúmenes DIstribuidos '!C229="Aceite","Aceite o grasas",IF('Volúmenes DIstribuidos '!C229="Avena","Otros almidones",'Volúmenes DIstribuidos '!C229)))</f>
        <v>Carnes rojas</v>
      </c>
      <c r="C376" s="10" t="s">
        <v>29</v>
      </c>
      <c r="D376" s="12">
        <f>'Volúmenes DIstribuidos '!D229</f>
        <v>22.789000000000001</v>
      </c>
      <c r="E376" s="12">
        <f>SUMIF('Parametros Inventario'!$A:$A,B376,'Parametros Inventario'!$B:$B)+SUMIFS(D$2:D376,B$2:B376,B376,C$2:C376,"ENTRADA")-SUMIFS(D$2:D376,B$2:B376,B376,C$2:C376,"SALIDA")</f>
        <v>2538.567</v>
      </c>
    </row>
    <row r="377" spans="1:5" x14ac:dyDescent="0.3">
      <c r="A377" s="9">
        <f>'Volúmenes DIstribuidos '!B225</f>
        <v>44176</v>
      </c>
      <c r="B377" s="10" t="str">
        <f>IF(OR('Volúmenes DIstribuidos '!C230="Azúcar",'Volúmenes DIstribuidos '!C230="azúcar"),"Azúcar o dulce",IF('Volúmenes DIstribuidos '!C230="Aceite","Aceite o grasas",IF('Volúmenes DIstribuidos '!C230="Avena","Otros almidones",'Volúmenes DIstribuidos '!C230)))</f>
        <v>Panadería</v>
      </c>
      <c r="C377" s="10" t="s">
        <v>29</v>
      </c>
      <c r="D377" s="12">
        <f>'Volúmenes DIstribuidos '!D230</f>
        <v>20.010000000000002</v>
      </c>
      <c r="E377" s="12">
        <f>SUMIF('Parametros Inventario'!$A:$A,B377,'Parametros Inventario'!$B:$B)+SUMIFS(D$2:D377,B$2:B377,B377,C$2:C377,"ENTRADA")-SUMIFS(D$2:D377,B$2:B377,B377,C$2:C377,"SALIDA")</f>
        <v>2034.7310000000002</v>
      </c>
    </row>
    <row r="378" spans="1:5" x14ac:dyDescent="0.3">
      <c r="A378" s="9">
        <f>'Volúmenes DIstribuidos '!B231</f>
        <v>44180</v>
      </c>
      <c r="B378" s="10" t="str">
        <f>IF(OR('Volúmenes DIstribuidos '!C231="Azúcar",'Volúmenes DIstribuidos '!C231="azúcar"),"Azúcar o dulce",IF('Volúmenes DIstribuidos '!C231="Aceite","Aceite o grasas",IF('Volúmenes DIstribuidos '!C231="Avena","Otros almidones",'Volúmenes DIstribuidos '!C231)))</f>
        <v>Menestras</v>
      </c>
      <c r="C378" s="10" t="s">
        <v>29</v>
      </c>
      <c r="D378" s="12">
        <f>'Volúmenes DIstribuidos '!D231</f>
        <v>33.03</v>
      </c>
      <c r="E378" s="12">
        <f>SUMIF('Parametros Inventario'!$A:$A,B378,'Parametros Inventario'!$B:$B)+SUMIFS(D$2:D378,B$2:B378,B378,C$2:C378,"ENTRADA")-SUMIFS(D$2:D378,B$2:B378,B378,C$2:C378,"SALIDA")</f>
        <v>2623.7179999999998</v>
      </c>
    </row>
    <row r="379" spans="1:5" x14ac:dyDescent="0.3">
      <c r="A379" s="9">
        <f>'Volúmenes DIstribuidos '!B231</f>
        <v>44180</v>
      </c>
      <c r="B379" s="10" t="str">
        <f>IF(OR('Volúmenes DIstribuidos '!C232="Azúcar",'Volúmenes DIstribuidos '!C232="azúcar"),"Azúcar o dulce",IF('Volúmenes DIstribuidos '!C232="Aceite","Aceite o grasas",IF('Volúmenes DIstribuidos '!C232="Avena","Otros almidones",'Volúmenes DIstribuidos '!C232)))</f>
        <v>Otros almidones</v>
      </c>
      <c r="C379" s="10" t="s">
        <v>29</v>
      </c>
      <c r="D379" s="12">
        <f>'Volúmenes DIstribuidos '!D232</f>
        <v>15.43</v>
      </c>
      <c r="E379" s="12">
        <f>SUMIF('Parametros Inventario'!$A:$A,B379,'Parametros Inventario'!$B:$B)+SUMIFS(D$2:D379,B$2:B379,B379,C$2:C379,"ENTRADA")-SUMIFS(D$2:D379,B$2:B379,B379,C$2:C379,"SALIDA")</f>
        <v>2494.4460000000004</v>
      </c>
    </row>
    <row r="380" spans="1:5" x14ac:dyDescent="0.3">
      <c r="A380" s="9">
        <f>'Volúmenes DIstribuidos '!B231</f>
        <v>44180</v>
      </c>
      <c r="B380" s="10" t="str">
        <f>IF(OR('Volúmenes DIstribuidos '!C233="Azúcar",'Volúmenes DIstribuidos '!C233="azúcar"),"Azúcar o dulce",IF('Volúmenes DIstribuidos '!C233="Aceite","Aceite o grasas",IF('Volúmenes DIstribuidos '!C233="Avena","Otros almidones",'Volúmenes DIstribuidos '!C233)))</f>
        <v>Lácteos</v>
      </c>
      <c r="C380" s="10" t="s">
        <v>29</v>
      </c>
      <c r="D380" s="12">
        <f>'Volúmenes DIstribuidos '!D233</f>
        <v>86.631</v>
      </c>
      <c r="E380" s="12">
        <f>SUMIF('Parametros Inventario'!$A:$A,B380,'Parametros Inventario'!$B:$B)+SUMIFS(D$2:D380,B$2:B380,B380,C$2:C380,"ENTRADA")-SUMIFS(D$2:D380,B$2:B380,B380,C$2:C380,"SALIDA")</f>
        <v>2265.0530000000003</v>
      </c>
    </row>
    <row r="381" spans="1:5" x14ac:dyDescent="0.3">
      <c r="A381" s="9">
        <f>'Volúmenes DIstribuidos '!B231</f>
        <v>44180</v>
      </c>
      <c r="B381" s="10" t="str">
        <f>IF(OR('Volúmenes DIstribuidos '!C234="Azúcar",'Volúmenes DIstribuidos '!C234="azúcar"),"Azúcar o dulce",IF('Volúmenes DIstribuidos '!C234="Aceite","Aceite o grasas",IF('Volúmenes DIstribuidos '!C234="Avena","Otros almidones",'Volúmenes DIstribuidos '!C234)))</f>
        <v>Panadería</v>
      </c>
      <c r="C381" s="10" t="s">
        <v>29</v>
      </c>
      <c r="D381" s="12">
        <f>'Volúmenes DIstribuidos '!D234</f>
        <v>47.71</v>
      </c>
      <c r="E381" s="12">
        <f>SUMIF('Parametros Inventario'!$A:$A,B381,'Parametros Inventario'!$B:$B)+SUMIFS(D$2:D381,B$2:B381,B381,C$2:C381,"ENTRADA")-SUMIFS(D$2:D381,B$2:B381,B381,C$2:C381,"SALIDA")</f>
        <v>1987.0210000000002</v>
      </c>
    </row>
    <row r="382" spans="1:5" x14ac:dyDescent="0.3">
      <c r="A382" s="9">
        <f>'Volúmenes DIstribuidos '!B231</f>
        <v>44180</v>
      </c>
      <c r="B382" s="10" t="str">
        <f>IF(OR('Volúmenes DIstribuidos '!C235="Azúcar",'Volúmenes DIstribuidos '!C235="azúcar"),"Azúcar o dulce",IF('Volúmenes DIstribuidos '!C235="Aceite","Aceite o grasas",IF('Volúmenes DIstribuidos '!C235="Avena","Otros almidones",'Volúmenes DIstribuidos '!C235)))</f>
        <v>Aceite o grasas</v>
      </c>
      <c r="C382" s="10" t="s">
        <v>29</v>
      </c>
      <c r="D382" s="12">
        <f>'Volúmenes DIstribuidos '!D235</f>
        <v>69.86</v>
      </c>
      <c r="E382" s="12">
        <f>SUMIF('Parametros Inventario'!$A:$A,B382,'Parametros Inventario'!$B:$B)+SUMIFS(D$2:D382,B$2:B382,B382,C$2:C382,"ENTRADA")-SUMIFS(D$2:D382,B$2:B382,B382,C$2:C382,"SALIDA")</f>
        <v>2875.288</v>
      </c>
    </row>
    <row r="383" spans="1:5" x14ac:dyDescent="0.3">
      <c r="A383" s="9">
        <f>'Volúmenes DIstribuidos '!B231</f>
        <v>44180</v>
      </c>
      <c r="B383" s="10" t="str">
        <f>IF(OR('Volúmenes DIstribuidos '!C236="Azúcar",'Volúmenes DIstribuidos '!C236="azúcar"),"Azúcar o dulce",IF('Volúmenes DIstribuidos '!C236="Aceite","Aceite o grasas",IF('Volúmenes DIstribuidos '!C236="Avena","Otros almidones",'Volúmenes DIstribuidos '!C236)))</f>
        <v>Azúcar o dulce</v>
      </c>
      <c r="C383" s="10" t="s">
        <v>29</v>
      </c>
      <c r="D383" s="12">
        <f>'Volúmenes DIstribuidos '!D236</f>
        <v>33.159999999999997</v>
      </c>
      <c r="E383" s="12">
        <f>SUMIF('Parametros Inventario'!$A:$A,B383,'Parametros Inventario'!$B:$B)+SUMIFS(D$2:D383,B$2:B383,B383,C$2:C383,"ENTRADA")-SUMIFS(D$2:D383,B$2:B383,B383,C$2:C383,"SALIDA")</f>
        <v>3611.06</v>
      </c>
    </row>
    <row r="384" spans="1:5" x14ac:dyDescent="0.3">
      <c r="A384" s="9">
        <f>'Volúmenes DIstribuidos '!B237</f>
        <v>44183</v>
      </c>
      <c r="B384" s="10" t="str">
        <f>IF(OR('Volúmenes DIstribuidos '!C237="Azúcar",'Volúmenes DIstribuidos '!C237="azúcar"),"Azúcar o dulce",IF('Volúmenes DIstribuidos '!C237="Aceite","Aceite o grasas",IF('Volúmenes DIstribuidos '!C237="Avena","Otros almidones",'Volúmenes DIstribuidos '!C237)))</f>
        <v>Lácteos</v>
      </c>
      <c r="C384" s="10" t="s">
        <v>29</v>
      </c>
      <c r="D384" s="12">
        <f>'Volúmenes DIstribuidos '!D237</f>
        <v>73.5</v>
      </c>
      <c r="E384" s="12">
        <f>SUMIF('Parametros Inventario'!$A:$A,B384,'Parametros Inventario'!$B:$B)+SUMIFS(D$2:D384,B$2:B384,B384,C$2:C384,"ENTRADA")-SUMIFS(D$2:D384,B$2:B384,B384,C$2:C384,"SALIDA")</f>
        <v>2191.5530000000003</v>
      </c>
    </row>
    <row r="385" spans="1:5" x14ac:dyDescent="0.3">
      <c r="A385" s="9">
        <f>'Volúmenes DIstribuidos '!B237</f>
        <v>44183</v>
      </c>
      <c r="B385" s="10" t="str">
        <f>IF(OR('Volúmenes DIstribuidos '!C238="Azúcar",'Volúmenes DIstribuidos '!C238="azúcar"),"Azúcar o dulce",IF('Volúmenes DIstribuidos '!C238="Aceite","Aceite o grasas",IF('Volúmenes DIstribuidos '!C238="Avena","Otros almidones",'Volúmenes DIstribuidos '!C238)))</f>
        <v>Menestras</v>
      </c>
      <c r="C385" s="10" t="s">
        <v>29</v>
      </c>
      <c r="D385" s="12">
        <f>'Volúmenes DIstribuidos '!D238</f>
        <v>43.43</v>
      </c>
      <c r="E385" s="12">
        <f>SUMIF('Parametros Inventario'!$A:$A,B385,'Parametros Inventario'!$B:$B)+SUMIFS(D$2:D385,B$2:B385,B385,C$2:C385,"ENTRADA")-SUMIFS(D$2:D385,B$2:B385,B385,C$2:C385,"SALIDA")</f>
        <v>2580.288</v>
      </c>
    </row>
    <row r="386" spans="1:5" x14ac:dyDescent="0.3">
      <c r="A386" s="9">
        <f>'Volúmenes DIstribuidos '!B237</f>
        <v>44183</v>
      </c>
      <c r="B386" s="10" t="str">
        <f>IF(OR('Volúmenes DIstribuidos '!C239="Azúcar",'Volúmenes DIstribuidos '!C239="azúcar"),"Azúcar o dulce",IF('Volúmenes DIstribuidos '!C239="Aceite","Aceite o grasas",IF('Volúmenes DIstribuidos '!C239="Avena","Otros almidones",'Volúmenes DIstribuidos '!C239)))</f>
        <v>Vegetales y hojas</v>
      </c>
      <c r="C386" s="10" t="s">
        <v>29</v>
      </c>
      <c r="D386" s="12">
        <f>'Volúmenes DIstribuidos '!D239</f>
        <v>8.1059999999999999</v>
      </c>
      <c r="E386" s="12">
        <f>SUMIF('Parametros Inventario'!$A:$A,B386,'Parametros Inventario'!$B:$B)+SUMIFS(D$2:D386,B$2:B386,B386,C$2:C386,"ENTRADA")-SUMIFS(D$2:D386,B$2:B386,B386,C$2:C386,"SALIDA")</f>
        <v>2699.2860000000001</v>
      </c>
    </row>
    <row r="387" spans="1:5" x14ac:dyDescent="0.3">
      <c r="A387" s="9">
        <f>'Volúmenes DIstribuidos '!B237</f>
        <v>44183</v>
      </c>
      <c r="B387" s="10" t="str">
        <f>IF(OR('Volúmenes DIstribuidos '!C240="Azúcar",'Volúmenes DIstribuidos '!C240="azúcar"),"Azúcar o dulce",IF('Volúmenes DIstribuidos '!C240="Aceite","Aceite o grasas",IF('Volúmenes DIstribuidos '!C240="Avena","Otros almidones",'Volúmenes DIstribuidos '!C240)))</f>
        <v>Salsas</v>
      </c>
      <c r="C387" s="10" t="s">
        <v>29</v>
      </c>
      <c r="D387" s="12">
        <f>'Volúmenes DIstribuidos '!D240</f>
        <v>8.7899999999999991</v>
      </c>
      <c r="E387" s="12">
        <f>SUMIF('Parametros Inventario'!$A:$A,B387,'Parametros Inventario'!$B:$B)+SUMIFS(D$2:D387,B$2:B387,B387,C$2:C387,"ENTRADA")-SUMIFS(D$2:D387,B$2:B387,B387,C$2:C387,"SALIDA")</f>
        <v>2932.9350000000004</v>
      </c>
    </row>
    <row r="388" spans="1:5" x14ac:dyDescent="0.3">
      <c r="A388" s="9">
        <f>'Volúmenes DIstribuidos '!B237</f>
        <v>44183</v>
      </c>
      <c r="B388" s="10" t="str">
        <f>IF(OR('Volúmenes DIstribuidos '!C241="Azúcar",'Volúmenes DIstribuidos '!C241="azúcar"),"Azúcar o dulce",IF('Volúmenes DIstribuidos '!C241="Aceite","Aceite o grasas",IF('Volúmenes DIstribuidos '!C241="Avena","Otros almidones",'Volúmenes DIstribuidos '!C241)))</f>
        <v>Lácteos</v>
      </c>
      <c r="C388" s="10" t="s">
        <v>29</v>
      </c>
      <c r="D388" s="12">
        <f>'Volúmenes DIstribuidos '!D241</f>
        <v>5.58</v>
      </c>
      <c r="E388" s="12">
        <f>SUMIF('Parametros Inventario'!$A:$A,B388,'Parametros Inventario'!$B:$B)+SUMIFS(D$2:D388,B$2:B388,B388,C$2:C388,"ENTRADA")-SUMIFS(D$2:D388,B$2:B388,B388,C$2:C388,"SALIDA")</f>
        <v>2185.973</v>
      </c>
    </row>
    <row r="389" spans="1:5" x14ac:dyDescent="0.3">
      <c r="A389" s="9">
        <f>'Volúmenes DIstribuidos '!B237</f>
        <v>44183</v>
      </c>
      <c r="B389" s="10" t="str">
        <f>IF(OR('Volúmenes DIstribuidos '!C242="Azúcar",'Volúmenes DIstribuidos '!C242="azúcar"),"Azúcar o dulce",IF('Volúmenes DIstribuidos '!C242="Aceite","Aceite o grasas",IF('Volúmenes DIstribuidos '!C242="Avena","Otros almidones",'Volúmenes DIstribuidos '!C242)))</f>
        <v>Panadería</v>
      </c>
      <c r="C389" s="10" t="s">
        <v>29</v>
      </c>
      <c r="D389" s="12">
        <f>'Volúmenes DIstribuidos '!D242</f>
        <v>10.039999999999999</v>
      </c>
      <c r="E389" s="12">
        <f>SUMIF('Parametros Inventario'!$A:$A,B389,'Parametros Inventario'!$B:$B)+SUMIFS(D$2:D389,B$2:B389,B389,C$2:C389,"ENTRADA")-SUMIFS(D$2:D389,B$2:B389,B389,C$2:C389,"SALIDA")</f>
        <v>1976.9810000000002</v>
      </c>
    </row>
    <row r="390" spans="1:5" x14ac:dyDescent="0.3">
      <c r="A390" s="9">
        <f>'Volúmenes DIstribuidos '!B243</f>
        <v>44187</v>
      </c>
      <c r="B390" s="10" t="str">
        <f>IF(OR('Volúmenes DIstribuidos '!C243="Azúcar",'Volúmenes DIstribuidos '!C243="azúcar"),"Azúcar o dulce",IF('Volúmenes DIstribuidos '!C243="Aceite","Aceite o grasas",IF('Volúmenes DIstribuidos '!C243="Avena","Otros almidones",'Volúmenes DIstribuidos '!C243)))</f>
        <v>Menestras</v>
      </c>
      <c r="C390" s="10" t="s">
        <v>29</v>
      </c>
      <c r="D390" s="12">
        <f>'Volúmenes DIstribuidos '!D243</f>
        <v>10.481</v>
      </c>
      <c r="E390" s="12">
        <f>SUMIF('Parametros Inventario'!$A:$A,B390,'Parametros Inventario'!$B:$B)+SUMIFS(D$2:D390,B$2:B390,B390,C$2:C390,"ENTRADA")-SUMIFS(D$2:D390,B$2:B390,B390,C$2:C390,"SALIDA")</f>
        <v>2569.8069999999998</v>
      </c>
    </row>
    <row r="391" spans="1:5" x14ac:dyDescent="0.3">
      <c r="A391" s="9">
        <f>'Volúmenes DIstribuidos '!B243</f>
        <v>44187</v>
      </c>
      <c r="B391" s="10" t="str">
        <f>IF(OR('Volúmenes DIstribuidos '!C244="Azúcar",'Volúmenes DIstribuidos '!C244="azúcar"),"Azúcar o dulce",IF('Volúmenes DIstribuidos '!C244="Aceite","Aceite o grasas",IF('Volúmenes DIstribuidos '!C244="Avena","Otros almidones",'Volúmenes DIstribuidos '!C244)))</f>
        <v>Aceite o grasas</v>
      </c>
      <c r="C391" s="10" t="s">
        <v>29</v>
      </c>
      <c r="D391" s="12">
        <f>'Volúmenes DIstribuidos '!D244</f>
        <v>13.98</v>
      </c>
      <c r="E391" s="12">
        <f>SUMIF('Parametros Inventario'!$A:$A,B391,'Parametros Inventario'!$B:$B)+SUMIFS(D$2:D391,B$2:B391,B391,C$2:C391,"ENTRADA")-SUMIFS(D$2:D391,B$2:B391,B391,C$2:C391,"SALIDA")</f>
        <v>2861.308</v>
      </c>
    </row>
    <row r="392" spans="1:5" x14ac:dyDescent="0.3">
      <c r="A392" s="9">
        <f>'Volúmenes DIstribuidos '!B243</f>
        <v>44187</v>
      </c>
      <c r="B392" s="10" t="str">
        <f>IF(OR('Volúmenes DIstribuidos '!C245="Azúcar",'Volúmenes DIstribuidos '!C245="azúcar"),"Azúcar o dulce",IF('Volúmenes DIstribuidos '!C245="Aceite","Aceite o grasas",IF('Volúmenes DIstribuidos '!C245="Avena","Otros almidones",'Volúmenes DIstribuidos '!C245)))</f>
        <v>Lácteos</v>
      </c>
      <c r="C392" s="10" t="s">
        <v>29</v>
      </c>
      <c r="D392" s="12">
        <f>'Volúmenes DIstribuidos '!D245</f>
        <v>33.68</v>
      </c>
      <c r="E392" s="12">
        <f>SUMIF('Parametros Inventario'!$A:$A,B392,'Parametros Inventario'!$B:$B)+SUMIFS(D$2:D392,B$2:B392,B392,C$2:C392,"ENTRADA")-SUMIFS(D$2:D392,B$2:B392,B392,C$2:C392,"SALIDA")</f>
        <v>2152.2930000000001</v>
      </c>
    </row>
    <row r="393" spans="1:5" x14ac:dyDescent="0.3">
      <c r="A393" s="9">
        <f>'Volúmenes DIstribuidos '!B243</f>
        <v>44187</v>
      </c>
      <c r="B393" s="10" t="str">
        <f>IF(OR('Volúmenes DIstribuidos '!C246="Azúcar",'Volúmenes DIstribuidos '!C246="azúcar"),"Azúcar o dulce",IF('Volúmenes DIstribuidos '!C246="Aceite","Aceite o grasas",IF('Volúmenes DIstribuidos '!C246="Avena","Otros almidones",'Volúmenes DIstribuidos '!C246)))</f>
        <v>Fideo</v>
      </c>
      <c r="C393" s="10" t="s">
        <v>29</v>
      </c>
      <c r="D393" s="12">
        <f>'Volúmenes DIstribuidos '!D246</f>
        <v>26.57</v>
      </c>
      <c r="E393" s="12">
        <f>SUMIF('Parametros Inventario'!$A:$A,B393,'Parametros Inventario'!$B:$B)+SUMIFS(D$2:D393,B$2:B393,B393,C$2:C393,"ENTRADA")-SUMIFS(D$2:D393,B$2:B393,B393,C$2:C393,"SALIDA")</f>
        <v>2987.9639999999999</v>
      </c>
    </row>
    <row r="394" spans="1:5" x14ac:dyDescent="0.3">
      <c r="A394" s="9">
        <f>'Volúmenes DIstribuidos '!B243</f>
        <v>44187</v>
      </c>
      <c r="B394" s="10" t="str">
        <f>IF(OR('Volúmenes DIstribuidos '!C247="Azúcar",'Volúmenes DIstribuidos '!C247="azúcar"),"Azúcar o dulce",IF('Volúmenes DIstribuidos '!C247="Aceite","Aceite o grasas",IF('Volúmenes DIstribuidos '!C247="Avena","Otros almidones",'Volúmenes DIstribuidos '!C247)))</f>
        <v>Azúcar o dulce</v>
      </c>
      <c r="C394" s="10" t="s">
        <v>29</v>
      </c>
      <c r="D394" s="12">
        <f>'Volúmenes DIstribuidos '!D247</f>
        <v>61.064999999999998</v>
      </c>
      <c r="E394" s="12">
        <f>SUMIF('Parametros Inventario'!$A:$A,B394,'Parametros Inventario'!$B:$B)+SUMIFS(D$2:D394,B$2:B394,B394,C$2:C394,"ENTRADA")-SUMIFS(D$2:D394,B$2:B394,B394,C$2:C394,"SALIDA")</f>
        <v>3549.9949999999999</v>
      </c>
    </row>
    <row r="395" spans="1:5" x14ac:dyDescent="0.3">
      <c r="A395" s="9">
        <f>'Volúmenes DIstribuidos '!B243</f>
        <v>44187</v>
      </c>
      <c r="B395" s="10" t="str">
        <f>IF(OR('Volúmenes DIstribuidos '!C248="Azúcar",'Volúmenes DIstribuidos '!C248="azúcar"),"Azúcar o dulce",IF('Volúmenes DIstribuidos '!C248="Aceite","Aceite o grasas",IF('Volúmenes DIstribuidos '!C248="Avena","Otros almidones",'Volúmenes DIstribuidos '!C248)))</f>
        <v>Otros almidones</v>
      </c>
      <c r="C395" s="10" t="s">
        <v>29</v>
      </c>
      <c r="D395" s="12">
        <f>'Volúmenes DIstribuidos '!D248</f>
        <v>13.35</v>
      </c>
      <c r="E395" s="12">
        <f>SUMIF('Parametros Inventario'!$A:$A,B395,'Parametros Inventario'!$B:$B)+SUMIFS(D$2:D395,B$2:B395,B395,C$2:C395,"ENTRADA")-SUMIFS(D$2:D395,B$2:B395,B395,C$2:C395,"SALIDA")</f>
        <v>2481.0960000000005</v>
      </c>
    </row>
    <row r="396" spans="1:5" x14ac:dyDescent="0.3">
      <c r="A396" s="9">
        <v>44190</v>
      </c>
      <c r="B396" s="10" t="s">
        <v>12</v>
      </c>
      <c r="C396" s="10" t="s">
        <v>28</v>
      </c>
      <c r="D396" s="12">
        <v>212.89</v>
      </c>
      <c r="E396" s="12">
        <f>SUMIF('Parametros Inventario'!$A:$A,B396,'Parametros Inventario'!$B:$B)+SUMIFS(D$2:D396,B$2:B396,B396,C$2:C396,"ENTRADA")-SUMIFS(D$2:D396,B$2:B396,B396,C$2:C396,"SALIDA")</f>
        <v>2751.4569999999999</v>
      </c>
    </row>
    <row r="397" spans="1:5" x14ac:dyDescent="0.3">
      <c r="A397" s="9">
        <v>44190</v>
      </c>
      <c r="B397" s="10" t="s">
        <v>16</v>
      </c>
      <c r="C397" s="10" t="s">
        <v>28</v>
      </c>
      <c r="D397" s="12">
        <v>81.39</v>
      </c>
      <c r="E397" s="12">
        <f>SUMIF('Parametros Inventario'!$A:$A,B397,'Parametros Inventario'!$B:$B)+SUMIFS(D$2:D397,B$2:B397,B397,C$2:C397,"ENTRADA")-SUMIFS(D$2:D397,B$2:B397,B397,C$2:C397,"SALIDA")</f>
        <v>2746.6849999999999</v>
      </c>
    </row>
    <row r="398" spans="1:5" x14ac:dyDescent="0.3">
      <c r="A398" s="9">
        <v>44190</v>
      </c>
      <c r="B398" s="10" t="s">
        <v>17</v>
      </c>
      <c r="C398" s="10" t="s">
        <v>28</v>
      </c>
      <c r="D398" s="12">
        <v>192.06</v>
      </c>
      <c r="E398" s="12">
        <f>SUMIF('Parametros Inventario'!$A:$A,B398,'Parametros Inventario'!$B:$B)+SUMIFS(D$2:D398,B$2:B398,B398,C$2:C398,"ENTRADA")-SUMIFS(D$2:D398,B$2:B398,B398,C$2:C398,"SALIDA")</f>
        <v>2344.3530000000001</v>
      </c>
    </row>
    <row r="399" spans="1:5" x14ac:dyDescent="0.3">
      <c r="A399" s="9">
        <v>44190</v>
      </c>
      <c r="B399" s="10" t="s">
        <v>18</v>
      </c>
      <c r="C399" s="10" t="s">
        <v>28</v>
      </c>
      <c r="D399" s="12">
        <v>161.5</v>
      </c>
      <c r="E399" s="12">
        <f>SUMIF('Parametros Inventario'!$A:$A,B399,'Parametros Inventario'!$B:$B)+SUMIFS(D$2:D399,B$2:B399,B399,C$2:C399,"ENTRADA")-SUMIFS(D$2:D399,B$2:B399,B399,C$2:C399,"SALIDA")</f>
        <v>3094.4350000000004</v>
      </c>
    </row>
    <row r="400" spans="1:5" x14ac:dyDescent="0.3">
      <c r="A400" s="9">
        <v>44190</v>
      </c>
      <c r="B400" s="10" t="s">
        <v>10</v>
      </c>
      <c r="C400" s="10" t="s">
        <v>28</v>
      </c>
      <c r="D400" s="12">
        <v>261.57</v>
      </c>
      <c r="E400" s="12">
        <f>SUMIF('Parametros Inventario'!$A:$A,B400,'Parametros Inventario'!$B:$B)+SUMIFS(D$2:D400,B$2:B400,B400,C$2:C400,"ENTRADA")-SUMIFS(D$2:D400,B$2:B400,B400,C$2:C400,"SALIDA")</f>
        <v>2960.8559999999998</v>
      </c>
    </row>
    <row r="401" spans="1:5" x14ac:dyDescent="0.3">
      <c r="A401" s="9">
        <v>44190</v>
      </c>
      <c r="B401" s="10" t="s">
        <v>8</v>
      </c>
      <c r="C401" s="10" t="s">
        <v>28</v>
      </c>
      <c r="D401" s="12">
        <v>175.11</v>
      </c>
      <c r="E401" s="12">
        <f>SUMIF('Parametros Inventario'!$A:$A,B401,'Parametros Inventario'!$B:$B)+SUMIFS(D$2:D401,B$2:B401,B401,C$2:C401,"ENTRADA")-SUMIFS(D$2:D401,B$2:B401,B401,C$2:C401,"SALIDA")</f>
        <v>3036.4180000000001</v>
      </c>
    </row>
    <row r="402" spans="1:5" x14ac:dyDescent="0.3">
      <c r="A402" s="9">
        <v>44190</v>
      </c>
      <c r="B402" s="10" t="s">
        <v>13</v>
      </c>
      <c r="C402" s="10" t="s">
        <v>28</v>
      </c>
      <c r="D402" s="12">
        <v>245.72</v>
      </c>
      <c r="E402" s="12">
        <f>SUMIF('Parametros Inventario'!$A:$A,B402,'Parametros Inventario'!$B:$B)+SUMIFS(D$2:D402,B$2:B402,B402,C$2:C402,"ENTRADA")-SUMIFS(D$2:D402,B$2:B402,B402,C$2:C402,"SALIDA")</f>
        <v>3795.7150000000001</v>
      </c>
    </row>
    <row r="403" spans="1:5" x14ac:dyDescent="0.3">
      <c r="A403" s="9">
        <v>44190</v>
      </c>
      <c r="B403" s="10" t="s">
        <v>15</v>
      </c>
      <c r="C403" s="10" t="s">
        <v>28</v>
      </c>
      <c r="D403" s="12">
        <v>85.59</v>
      </c>
      <c r="E403" s="12">
        <f>SUMIF('Parametros Inventario'!$A:$A,B403,'Parametros Inventario'!$B:$B)+SUMIFS(D$2:D403,B$2:B403,B403,C$2:C403,"ENTRADA")-SUMIFS(D$2:D403,B$2:B403,B403,C$2:C403,"SALIDA")</f>
        <v>2566.6860000000006</v>
      </c>
    </row>
    <row r="404" spans="1:5" x14ac:dyDescent="0.3">
      <c r="A404" s="9">
        <f>'Volúmenes DIstribuidos '!B249</f>
        <v>44190</v>
      </c>
      <c r="B404" s="10" t="str">
        <f>IF(OR('Volúmenes DIstribuidos '!C249="Azúcar",'Volúmenes DIstribuidos '!C249="azúcar"),"Azúcar o dulce",IF('Volúmenes DIstribuidos '!C249="Aceite","Aceite o grasas",IF('Volúmenes DIstribuidos '!C249="Avena","Otros almidones",'Volúmenes DIstribuidos '!C249)))</f>
        <v>Salsas</v>
      </c>
      <c r="C404" s="10" t="s">
        <v>29</v>
      </c>
      <c r="D404" s="12">
        <f>'Volúmenes DIstribuidos '!D249</f>
        <v>34.64</v>
      </c>
      <c r="E404" s="12">
        <f>SUMIF('Parametros Inventario'!$A:$A,B404,'Parametros Inventario'!$B:$B)+SUMIFS(D$2:D404,B$2:B404,B404,C$2:C404,"ENTRADA")-SUMIFS(D$2:D404,B$2:B404,B404,C$2:C404,"SALIDA")</f>
        <v>3059.7950000000001</v>
      </c>
    </row>
    <row r="405" spans="1:5" x14ac:dyDescent="0.3">
      <c r="A405" s="9">
        <f>'Volúmenes DIstribuidos '!B249</f>
        <v>44190</v>
      </c>
      <c r="B405" s="10" t="str">
        <f>IF(OR('Volúmenes DIstribuidos '!C250="Azúcar",'Volúmenes DIstribuidos '!C250="azúcar"),"Azúcar o dulce",IF('Volúmenes DIstribuidos '!C250="Aceite","Aceite o grasas",IF('Volúmenes DIstribuidos '!C250="Avena","Otros almidones",'Volúmenes DIstribuidos '!C250)))</f>
        <v>Panadería</v>
      </c>
      <c r="C405" s="10" t="s">
        <v>29</v>
      </c>
      <c r="D405" s="12">
        <f>'Volúmenes DIstribuidos '!D250</f>
        <v>64.099999999999994</v>
      </c>
      <c r="E405" s="12">
        <f>SUMIF('Parametros Inventario'!$A:$A,B405,'Parametros Inventario'!$B:$B)+SUMIFS(D$2:D405,B$2:B405,B405,C$2:C405,"ENTRADA")-SUMIFS(D$2:D405,B$2:B405,B405,C$2:C405,"SALIDA")</f>
        <v>1912.8810000000001</v>
      </c>
    </row>
    <row r="406" spans="1:5" x14ac:dyDescent="0.3">
      <c r="A406" s="9">
        <f>'Volúmenes DIstribuidos '!B249</f>
        <v>44190</v>
      </c>
      <c r="B406" s="10" t="str">
        <f>IF(OR('Volúmenes DIstribuidos '!C251="Azúcar",'Volúmenes DIstribuidos '!C251="azúcar"),"Azúcar o dulce",IF('Volúmenes DIstribuidos '!C251="Aceite","Aceite o grasas",IF('Volúmenes DIstribuidos '!C251="Avena","Otros almidones",'Volúmenes DIstribuidos '!C251)))</f>
        <v>Azúcar o dulce</v>
      </c>
      <c r="C406" s="10" t="s">
        <v>29</v>
      </c>
      <c r="D406" s="12">
        <f>'Volúmenes DIstribuidos '!D251</f>
        <v>14.276999999999999</v>
      </c>
      <c r="E406" s="12">
        <f>SUMIF('Parametros Inventario'!$A:$A,B406,'Parametros Inventario'!$B:$B)+SUMIFS(D$2:D406,B$2:B406,B406,C$2:C406,"ENTRADA")-SUMIFS(D$2:D406,B$2:B406,B406,C$2:C406,"SALIDA")</f>
        <v>3781.4380000000001</v>
      </c>
    </row>
    <row r="407" spans="1:5" x14ac:dyDescent="0.3">
      <c r="A407" s="9">
        <f>'Volúmenes DIstribuidos '!B249</f>
        <v>44190</v>
      </c>
      <c r="B407" s="10" t="str">
        <f>IF(OR('Volúmenes DIstribuidos '!C252="Azúcar",'Volúmenes DIstribuidos '!C252="azúcar"),"Azúcar o dulce",IF('Volúmenes DIstribuidos '!C252="Aceite","Aceite o grasas",IF('Volúmenes DIstribuidos '!C252="Avena","Otros almidones",'Volúmenes DIstribuidos '!C252)))</f>
        <v>Carnes rojas</v>
      </c>
      <c r="C407" s="10" t="s">
        <v>29</v>
      </c>
      <c r="D407" s="12">
        <f>'Volúmenes DIstribuidos '!D252</f>
        <v>12.05</v>
      </c>
      <c r="E407" s="12">
        <f>SUMIF('Parametros Inventario'!$A:$A,B407,'Parametros Inventario'!$B:$B)+SUMIFS(D$2:D407,B$2:B407,B407,C$2:C407,"ENTRADA")-SUMIFS(D$2:D407,B$2:B407,B407,C$2:C407,"SALIDA")</f>
        <v>2739.4069999999997</v>
      </c>
    </row>
    <row r="408" spans="1:5" x14ac:dyDescent="0.3">
      <c r="A408" s="9">
        <f>'Volúmenes DIstribuidos '!B249</f>
        <v>44190</v>
      </c>
      <c r="B408" s="10" t="str">
        <f>IF(OR('Volúmenes DIstribuidos '!C253="Azúcar",'Volúmenes DIstribuidos '!C253="azúcar"),"Azúcar o dulce",IF('Volúmenes DIstribuidos '!C253="Aceite","Aceite o grasas",IF('Volúmenes DIstribuidos '!C253="Avena","Otros almidones",'Volúmenes DIstribuidos '!C253)))</f>
        <v>Menestras</v>
      </c>
      <c r="C408" s="10" t="s">
        <v>29</v>
      </c>
      <c r="D408" s="12">
        <f>'Volúmenes DIstribuidos '!D253</f>
        <v>12.24</v>
      </c>
      <c r="E408" s="12">
        <f>SUMIF('Parametros Inventario'!$A:$A,B408,'Parametros Inventario'!$B:$B)+SUMIFS(D$2:D408,B$2:B408,B408,C$2:C408,"ENTRADA")-SUMIFS(D$2:D408,B$2:B408,B408,C$2:C408,"SALIDA")</f>
        <v>2557.567</v>
      </c>
    </row>
    <row r="409" spans="1:5" x14ac:dyDescent="0.3">
      <c r="A409" s="9">
        <f>'Volúmenes DIstribuidos '!B249</f>
        <v>44190</v>
      </c>
      <c r="B409" s="10" t="str">
        <f>IF(OR('Volúmenes DIstribuidos '!C254="Azúcar",'Volúmenes DIstribuidos '!C254="azúcar"),"Azúcar o dulce",IF('Volúmenes DIstribuidos '!C254="Aceite","Aceite o grasas",IF('Volúmenes DIstribuidos '!C254="Avena","Otros almidones",'Volúmenes DIstribuidos '!C254)))</f>
        <v>Lácteos</v>
      </c>
      <c r="C409" s="10" t="s">
        <v>29</v>
      </c>
      <c r="D409" s="12">
        <f>'Volúmenes DIstribuidos '!D254</f>
        <v>3.02</v>
      </c>
      <c r="E409" s="12">
        <f>SUMIF('Parametros Inventario'!$A:$A,B409,'Parametros Inventario'!$B:$B)+SUMIFS(D$2:D409,B$2:B409,B409,C$2:C409,"ENTRADA")-SUMIFS(D$2:D409,B$2:B409,B409,C$2:C409,"SALIDA")</f>
        <v>2341.3330000000001</v>
      </c>
    </row>
    <row r="410" spans="1:5" x14ac:dyDescent="0.3">
      <c r="A410" s="9">
        <f>'Volúmenes DIstribuidos '!B255</f>
        <v>44194</v>
      </c>
      <c r="B410" s="10" t="str">
        <f>IF(OR('Volúmenes DIstribuidos '!C255="Azúcar",'Volúmenes DIstribuidos '!C255="azúcar"),"Azúcar o dulce",IF('Volúmenes DIstribuidos '!C255="Aceite","Aceite o grasas",IF('Volúmenes DIstribuidos '!C255="Avena","Otros almidones",'Volúmenes DIstribuidos '!C255)))</f>
        <v>Aceite o grasas</v>
      </c>
      <c r="C410" s="10" t="s">
        <v>29</v>
      </c>
      <c r="D410" s="12">
        <f>'Volúmenes DIstribuidos '!D255</f>
        <v>12.02</v>
      </c>
      <c r="E410" s="12">
        <f>SUMIF('Parametros Inventario'!$A:$A,B410,'Parametros Inventario'!$B:$B)+SUMIFS(D$2:D410,B$2:B410,B410,C$2:C410,"ENTRADA")-SUMIFS(D$2:D410,B$2:B410,B410,C$2:C410,"SALIDA")</f>
        <v>3024.3980000000001</v>
      </c>
    </row>
    <row r="411" spans="1:5" x14ac:dyDescent="0.3">
      <c r="A411" s="9">
        <f>'Volúmenes DIstribuidos '!B255</f>
        <v>44194</v>
      </c>
      <c r="B411" s="10" t="str">
        <f>IF(OR('Volúmenes DIstribuidos '!C256="Azúcar",'Volúmenes DIstribuidos '!C256="azúcar"),"Azúcar o dulce",IF('Volúmenes DIstribuidos '!C256="Aceite","Aceite o grasas",IF('Volúmenes DIstribuidos '!C256="Avena","Otros almidones",'Volúmenes DIstribuidos '!C256)))</f>
        <v>Vegetales y hojas</v>
      </c>
      <c r="C411" s="10" t="s">
        <v>29</v>
      </c>
      <c r="D411" s="12">
        <f>'Volúmenes DIstribuidos '!D256</f>
        <v>15.61</v>
      </c>
      <c r="E411" s="12">
        <f>SUMIF('Parametros Inventario'!$A:$A,B411,'Parametros Inventario'!$B:$B)+SUMIFS(D$2:D411,B$2:B411,B411,C$2:C411,"ENTRADA")-SUMIFS(D$2:D411,B$2:B411,B411,C$2:C411,"SALIDA")</f>
        <v>2945.2460000000001</v>
      </c>
    </row>
    <row r="412" spans="1:5" x14ac:dyDescent="0.3">
      <c r="A412" s="9">
        <f>'Volúmenes DIstribuidos '!B255</f>
        <v>44194</v>
      </c>
      <c r="B412" s="10" t="str">
        <f>IF(OR('Volúmenes DIstribuidos '!C257="Azúcar",'Volúmenes DIstribuidos '!C257="azúcar"),"Azúcar o dulce",IF('Volúmenes DIstribuidos '!C257="Aceite","Aceite o grasas",IF('Volúmenes DIstribuidos '!C257="Avena","Otros almidones",'Volúmenes DIstribuidos '!C257)))</f>
        <v>Azúcar o dulce</v>
      </c>
      <c r="C412" s="10" t="s">
        <v>29</v>
      </c>
      <c r="D412" s="12">
        <f>'Volúmenes DIstribuidos '!D257</f>
        <v>36.999000000000002</v>
      </c>
      <c r="E412" s="12">
        <f>SUMIF('Parametros Inventario'!$A:$A,B412,'Parametros Inventario'!$B:$B)+SUMIFS(D$2:D412,B$2:B412,B412,C$2:C412,"ENTRADA")-SUMIFS(D$2:D412,B$2:B412,B412,C$2:C412,"SALIDA")</f>
        <v>3744.4390000000003</v>
      </c>
    </row>
    <row r="413" spans="1:5" x14ac:dyDescent="0.3">
      <c r="A413" s="9">
        <f>'Volúmenes DIstribuidos '!B255</f>
        <v>44194</v>
      </c>
      <c r="B413" s="10" t="str">
        <f>IF(OR('Volúmenes DIstribuidos '!C258="Azúcar",'Volúmenes DIstribuidos '!C258="azúcar"),"Azúcar o dulce",IF('Volúmenes DIstribuidos '!C258="Aceite","Aceite o grasas",IF('Volúmenes DIstribuidos '!C258="Avena","Otros almidones",'Volúmenes DIstribuidos '!C258)))</f>
        <v>Otros almidones</v>
      </c>
      <c r="C413" s="10" t="s">
        <v>29</v>
      </c>
      <c r="D413" s="12">
        <f>'Volúmenes DIstribuidos '!D258</f>
        <v>23.97</v>
      </c>
      <c r="E413" s="12">
        <f>SUMIF('Parametros Inventario'!$A:$A,B413,'Parametros Inventario'!$B:$B)+SUMIFS(D$2:D413,B$2:B413,B413,C$2:C413,"ENTRADA")-SUMIFS(D$2:D413,B$2:B413,B413,C$2:C413,"SALIDA")</f>
        <v>2542.7160000000003</v>
      </c>
    </row>
    <row r="414" spans="1:5" x14ac:dyDescent="0.3">
      <c r="A414" s="9">
        <f>'Volúmenes DIstribuidos '!B255</f>
        <v>44194</v>
      </c>
      <c r="B414" s="10" t="str">
        <f>IF(OR('Volúmenes DIstribuidos '!C259="Azúcar",'Volúmenes DIstribuidos '!C259="azúcar"),"Azúcar o dulce",IF('Volúmenes DIstribuidos '!C259="Aceite","Aceite o grasas",IF('Volúmenes DIstribuidos '!C259="Avena","Otros almidones",'Volúmenes DIstribuidos '!C259)))</f>
        <v>Azúcar o dulce</v>
      </c>
      <c r="C414" s="10" t="s">
        <v>29</v>
      </c>
      <c r="D414" s="12">
        <f>'Volúmenes DIstribuidos '!D259</f>
        <v>8.49</v>
      </c>
      <c r="E414" s="12">
        <f>SUMIF('Parametros Inventario'!$A:$A,B414,'Parametros Inventario'!$B:$B)+SUMIFS(D$2:D414,B$2:B414,B414,C$2:C414,"ENTRADA")-SUMIFS(D$2:D414,B$2:B414,B414,C$2:C414,"SALIDA")</f>
        <v>3735.9490000000001</v>
      </c>
    </row>
    <row r="415" spans="1:5" x14ac:dyDescent="0.3">
      <c r="A415" s="9">
        <f>'Volúmenes DIstribuidos '!B255</f>
        <v>44194</v>
      </c>
      <c r="B415" s="10" t="str">
        <f>IF(OR('Volúmenes DIstribuidos '!C260="Azúcar",'Volúmenes DIstribuidos '!C260="azúcar"),"Azúcar o dulce",IF('Volúmenes DIstribuidos '!C260="Aceite","Aceite o grasas",IF('Volúmenes DIstribuidos '!C260="Avena","Otros almidones",'Volúmenes DIstribuidos '!C260)))</f>
        <v>Menestras</v>
      </c>
      <c r="C415" s="10" t="s">
        <v>29</v>
      </c>
      <c r="D415" s="12">
        <f>'Volúmenes DIstribuidos '!D260</f>
        <v>39.084000000000003</v>
      </c>
      <c r="E415" s="12">
        <f>SUMIF('Parametros Inventario'!$A:$A,B415,'Parametros Inventario'!$B:$B)+SUMIFS(D$2:D415,B$2:B415,B415,C$2:C415,"ENTRADA")-SUMIFS(D$2:D415,B$2:B415,B415,C$2:C415,"SALIDA")</f>
        <v>2518.4830000000002</v>
      </c>
    </row>
    <row r="416" spans="1:5" x14ac:dyDescent="0.3">
      <c r="A416" s="9">
        <f>'Volúmenes DIstribuidos '!B261</f>
        <v>44197</v>
      </c>
      <c r="B416" s="10" t="str">
        <f>IF(OR('Volúmenes DIstribuidos '!C261="Azúcar",'Volúmenes DIstribuidos '!C261="azúcar"),"Azúcar o dulce",IF('Volúmenes DIstribuidos '!C261="Aceite","Aceite o grasas",IF('Volúmenes DIstribuidos '!C261="Avena","Otros almidones",'Volúmenes DIstribuidos '!C261)))</f>
        <v>Fideo</v>
      </c>
      <c r="C416" s="10" t="s">
        <v>29</v>
      </c>
      <c r="D416" s="12">
        <f>'Volúmenes DIstribuidos '!D261</f>
        <v>45.68</v>
      </c>
      <c r="E416" s="12">
        <f>SUMIF('Parametros Inventario'!$A:$A,B416,'Parametros Inventario'!$B:$B)+SUMIFS(D$2:D416,B$2:B416,B416,C$2:C416,"ENTRADA")-SUMIFS(D$2:D416,B$2:B416,B416,C$2:C416,"SALIDA")</f>
        <v>2942.2840000000001</v>
      </c>
    </row>
    <row r="417" spans="1:5" x14ac:dyDescent="0.3">
      <c r="A417" s="9">
        <f>'Volúmenes DIstribuidos '!B261</f>
        <v>44197</v>
      </c>
      <c r="B417" s="10" t="str">
        <f>IF(OR('Volúmenes DIstribuidos '!C262="Azúcar",'Volúmenes DIstribuidos '!C262="azúcar"),"Azúcar o dulce",IF('Volúmenes DIstribuidos '!C262="Aceite","Aceite o grasas",IF('Volúmenes DIstribuidos '!C262="Avena","Otros almidones",'Volúmenes DIstribuidos '!C262)))</f>
        <v>Otros almidones</v>
      </c>
      <c r="C417" s="10" t="s">
        <v>29</v>
      </c>
      <c r="D417" s="12">
        <f>'Volúmenes DIstribuidos '!D262</f>
        <v>15.03</v>
      </c>
      <c r="E417" s="12">
        <f>SUMIF('Parametros Inventario'!$A:$A,B417,'Parametros Inventario'!$B:$B)+SUMIFS(D$2:D417,B$2:B417,B417,C$2:C417,"ENTRADA")-SUMIFS(D$2:D417,B$2:B417,B417,C$2:C417,"SALIDA")</f>
        <v>2527.6860000000006</v>
      </c>
    </row>
    <row r="418" spans="1:5" x14ac:dyDescent="0.3">
      <c r="A418" s="9">
        <f>'Volúmenes DIstribuidos '!B261</f>
        <v>44197</v>
      </c>
      <c r="B418" s="10" t="str">
        <f>IF(OR('Volúmenes DIstribuidos '!C263="Azúcar",'Volúmenes DIstribuidos '!C263="azúcar"),"Azúcar o dulce",IF('Volúmenes DIstribuidos '!C263="Aceite","Aceite o grasas",IF('Volúmenes DIstribuidos '!C263="Avena","Otros almidones",'Volúmenes DIstribuidos '!C263)))</f>
        <v>Menestras</v>
      </c>
      <c r="C418" s="10" t="s">
        <v>29</v>
      </c>
      <c r="D418" s="12">
        <f>'Volúmenes DIstribuidos '!D263</f>
        <v>14.11</v>
      </c>
      <c r="E418" s="12">
        <f>SUMIF('Parametros Inventario'!$A:$A,B418,'Parametros Inventario'!$B:$B)+SUMIFS(D$2:D418,B$2:B418,B418,C$2:C418,"ENTRADA")-SUMIFS(D$2:D418,B$2:B418,B418,C$2:C418,"SALIDA")</f>
        <v>2504.373</v>
      </c>
    </row>
    <row r="419" spans="1:5" x14ac:dyDescent="0.3">
      <c r="A419" s="9">
        <f>'Volúmenes DIstribuidos '!B261</f>
        <v>44197</v>
      </c>
      <c r="B419" s="10" t="str">
        <f>IF(OR('Volúmenes DIstribuidos '!C264="Azúcar",'Volúmenes DIstribuidos '!C264="azúcar"),"Azúcar o dulce",IF('Volúmenes DIstribuidos '!C264="Aceite","Aceite o grasas",IF('Volúmenes DIstribuidos '!C264="Avena","Otros almidones",'Volúmenes DIstribuidos '!C264)))</f>
        <v>Salsas</v>
      </c>
      <c r="C419" s="10" t="s">
        <v>29</v>
      </c>
      <c r="D419" s="12">
        <f>'Volúmenes DIstribuidos '!D264</f>
        <v>28.19</v>
      </c>
      <c r="E419" s="12">
        <f>SUMIF('Parametros Inventario'!$A:$A,B419,'Parametros Inventario'!$B:$B)+SUMIFS(D$2:D419,B$2:B419,B419,C$2:C419,"ENTRADA")-SUMIFS(D$2:D419,B$2:B419,B419,C$2:C419,"SALIDA")</f>
        <v>3031.605</v>
      </c>
    </row>
    <row r="420" spans="1:5" x14ac:dyDescent="0.3">
      <c r="A420" s="9">
        <f>'Volúmenes DIstribuidos '!B261</f>
        <v>44197</v>
      </c>
      <c r="B420" s="10" t="str">
        <f>IF(OR('Volúmenes DIstribuidos '!C265="Azúcar",'Volúmenes DIstribuidos '!C265="azúcar"),"Azúcar o dulce",IF('Volúmenes DIstribuidos '!C265="Aceite","Aceite o grasas",IF('Volúmenes DIstribuidos '!C265="Avena","Otros almidones",'Volúmenes DIstribuidos '!C265)))</f>
        <v>Carnes blancas</v>
      </c>
      <c r="C420" s="10" t="s">
        <v>29</v>
      </c>
      <c r="D420" s="12">
        <f>'Volúmenes DIstribuidos '!D265</f>
        <v>14.58</v>
      </c>
      <c r="E420" s="12">
        <f>SUMIF('Parametros Inventario'!$A:$A,B420,'Parametros Inventario'!$B:$B)+SUMIFS(D$2:D420,B$2:B420,B420,C$2:C420,"ENTRADA")-SUMIFS(D$2:D420,B$2:B420,B420,C$2:C420,"SALIDA")</f>
        <v>2732.105</v>
      </c>
    </row>
    <row r="421" spans="1:5" x14ac:dyDescent="0.3">
      <c r="A421" s="9">
        <f>'Volúmenes DIstribuidos '!B261</f>
        <v>44197</v>
      </c>
      <c r="B421" s="10" t="str">
        <f>IF(OR('Volúmenes DIstribuidos '!C266="Azúcar",'Volúmenes DIstribuidos '!C266="azúcar"),"Azúcar o dulce",IF('Volúmenes DIstribuidos '!C266="Aceite","Aceite o grasas",IF('Volúmenes DIstribuidos '!C266="Avena","Otros almidones",'Volúmenes DIstribuidos '!C266)))</f>
        <v>Panadería</v>
      </c>
      <c r="C421" s="10" t="s">
        <v>29</v>
      </c>
      <c r="D421" s="12">
        <f>'Volúmenes DIstribuidos '!D266</f>
        <v>106.895</v>
      </c>
      <c r="E421" s="12">
        <f>SUMIF('Parametros Inventario'!$A:$A,B421,'Parametros Inventario'!$B:$B)+SUMIFS(D$2:D421,B$2:B421,B421,C$2:C421,"ENTRADA")-SUMIFS(D$2:D421,B$2:B421,B421,C$2:C421,"SALIDA")</f>
        <v>1805.9860000000001</v>
      </c>
    </row>
    <row r="422" spans="1:5" x14ac:dyDescent="0.3">
      <c r="A422" s="9">
        <f>'Volúmenes DIstribuidos '!B267</f>
        <v>44201</v>
      </c>
      <c r="B422" s="10" t="str">
        <f>IF(OR('Volúmenes DIstribuidos '!C267="Azúcar",'Volúmenes DIstribuidos '!C267="azúcar"),"Azúcar o dulce",IF('Volúmenes DIstribuidos '!C267="Aceite","Aceite o grasas",IF('Volúmenes DIstribuidos '!C267="Avena","Otros almidones",'Volúmenes DIstribuidos '!C267)))</f>
        <v>Fideo</v>
      </c>
      <c r="C422" s="10" t="s">
        <v>29</v>
      </c>
      <c r="D422" s="12">
        <f>'Volúmenes DIstribuidos '!D267</f>
        <v>25.94</v>
      </c>
      <c r="E422" s="12">
        <f>SUMIF('Parametros Inventario'!$A:$A,B422,'Parametros Inventario'!$B:$B)+SUMIFS(D$2:D422,B$2:B422,B422,C$2:C422,"ENTRADA")-SUMIFS(D$2:D422,B$2:B422,B422,C$2:C422,"SALIDA")</f>
        <v>2916.3440000000001</v>
      </c>
    </row>
    <row r="423" spans="1:5" x14ac:dyDescent="0.3">
      <c r="A423" s="9">
        <f>'Volúmenes DIstribuidos '!B267</f>
        <v>44201</v>
      </c>
      <c r="B423" s="10" t="str">
        <f>IF(OR('Volúmenes DIstribuidos '!C268="Azúcar",'Volúmenes DIstribuidos '!C268="azúcar"),"Azúcar o dulce",IF('Volúmenes DIstribuidos '!C268="Aceite","Aceite o grasas",IF('Volúmenes DIstribuidos '!C268="Avena","Otros almidones",'Volúmenes DIstribuidos '!C268)))</f>
        <v>Aceite o grasas</v>
      </c>
      <c r="C423" s="10" t="s">
        <v>29</v>
      </c>
      <c r="D423" s="12">
        <f>'Volúmenes DIstribuidos '!D268</f>
        <v>53.67</v>
      </c>
      <c r="E423" s="12">
        <f>SUMIF('Parametros Inventario'!$A:$A,B423,'Parametros Inventario'!$B:$B)+SUMIFS(D$2:D423,B$2:B423,B423,C$2:C423,"ENTRADA")-SUMIFS(D$2:D423,B$2:B423,B423,C$2:C423,"SALIDA")</f>
        <v>2970.7280000000001</v>
      </c>
    </row>
    <row r="424" spans="1:5" x14ac:dyDescent="0.3">
      <c r="A424" s="9">
        <f>'Volúmenes DIstribuidos '!B267</f>
        <v>44201</v>
      </c>
      <c r="B424" s="10" t="str">
        <f>IF(OR('Volúmenes DIstribuidos '!C269="Azúcar",'Volúmenes DIstribuidos '!C269="azúcar"),"Azúcar o dulce",IF('Volúmenes DIstribuidos '!C269="Aceite","Aceite o grasas",IF('Volúmenes DIstribuidos '!C269="Avena","Otros almidones",'Volúmenes DIstribuidos '!C269)))</f>
        <v>Azúcar o dulce</v>
      </c>
      <c r="C424" s="10" t="s">
        <v>29</v>
      </c>
      <c r="D424" s="12">
        <f>'Volúmenes DIstribuidos '!D269</f>
        <v>9.3550000000000004</v>
      </c>
      <c r="E424" s="12">
        <f>SUMIF('Parametros Inventario'!$A:$A,B424,'Parametros Inventario'!$B:$B)+SUMIFS(D$2:D424,B$2:B424,B424,C$2:C424,"ENTRADA")-SUMIFS(D$2:D424,B$2:B424,B424,C$2:C424,"SALIDA")</f>
        <v>3726.5940000000001</v>
      </c>
    </row>
    <row r="425" spans="1:5" x14ac:dyDescent="0.3">
      <c r="A425" s="9">
        <f>'Volúmenes DIstribuidos '!B267</f>
        <v>44201</v>
      </c>
      <c r="B425" s="10" t="str">
        <f>IF(OR('Volúmenes DIstribuidos '!C270="Azúcar",'Volúmenes DIstribuidos '!C270="azúcar"),"Azúcar o dulce",IF('Volúmenes DIstribuidos '!C270="Aceite","Aceite o grasas",IF('Volúmenes DIstribuidos '!C270="Avena","Otros almidones",'Volúmenes DIstribuidos '!C270)))</f>
        <v>Carnes blancas</v>
      </c>
      <c r="C425" s="10" t="s">
        <v>29</v>
      </c>
      <c r="D425" s="12">
        <f>'Volúmenes DIstribuidos '!D270</f>
        <v>21.44</v>
      </c>
      <c r="E425" s="12">
        <f>SUMIF('Parametros Inventario'!$A:$A,B425,'Parametros Inventario'!$B:$B)+SUMIFS(D$2:D425,B$2:B425,B425,C$2:C425,"ENTRADA")-SUMIFS(D$2:D425,B$2:B425,B425,C$2:C425,"SALIDA")</f>
        <v>2710.665</v>
      </c>
    </row>
    <row r="426" spans="1:5" x14ac:dyDescent="0.3">
      <c r="A426" s="9">
        <f>'Volúmenes DIstribuidos '!B267</f>
        <v>44201</v>
      </c>
      <c r="B426" s="10" t="str">
        <f>IF(OR('Volúmenes DIstribuidos '!C271="Azúcar",'Volúmenes DIstribuidos '!C271="azúcar"),"Azúcar o dulce",IF('Volúmenes DIstribuidos '!C271="Aceite","Aceite o grasas",IF('Volúmenes DIstribuidos '!C271="Avena","Otros almidones",'Volúmenes DIstribuidos '!C271)))</f>
        <v>Otros almidones</v>
      </c>
      <c r="C426" s="10" t="s">
        <v>29</v>
      </c>
      <c r="D426" s="12">
        <f>'Volúmenes DIstribuidos '!D271</f>
        <v>11.03</v>
      </c>
      <c r="E426" s="12">
        <f>SUMIF('Parametros Inventario'!$A:$A,B426,'Parametros Inventario'!$B:$B)+SUMIFS(D$2:D426,B$2:B426,B426,C$2:C426,"ENTRADA")-SUMIFS(D$2:D426,B$2:B426,B426,C$2:C426,"SALIDA")</f>
        <v>2516.6560000000004</v>
      </c>
    </row>
    <row r="427" spans="1:5" x14ac:dyDescent="0.3">
      <c r="A427" s="9">
        <f>'Volúmenes DIstribuidos '!B267</f>
        <v>44201</v>
      </c>
      <c r="B427" s="10" t="str">
        <f>IF(OR('Volúmenes DIstribuidos '!C272="Azúcar",'Volúmenes DIstribuidos '!C272="azúcar"),"Azúcar o dulce",IF('Volúmenes DIstribuidos '!C272="Aceite","Aceite o grasas",IF('Volúmenes DIstribuidos '!C272="Avena","Otros almidones",'Volúmenes DIstribuidos '!C272)))</f>
        <v>Panadería</v>
      </c>
      <c r="C427" s="10" t="s">
        <v>29</v>
      </c>
      <c r="D427" s="12">
        <f>'Volúmenes DIstribuidos '!D272</f>
        <v>9.34</v>
      </c>
      <c r="E427" s="12">
        <f>SUMIF('Parametros Inventario'!$A:$A,B427,'Parametros Inventario'!$B:$B)+SUMIFS(D$2:D427,B$2:B427,B427,C$2:C427,"ENTRADA")-SUMIFS(D$2:D427,B$2:B427,B427,C$2:C427,"SALIDA")</f>
        <v>1796.6460000000002</v>
      </c>
    </row>
    <row r="428" spans="1:5" x14ac:dyDescent="0.3">
      <c r="A428" s="9">
        <f>'Volúmenes DIstribuidos '!B273</f>
        <v>44204</v>
      </c>
      <c r="B428" s="10" t="str">
        <f>IF(OR('Volúmenes DIstribuidos '!C273="Azúcar",'Volúmenes DIstribuidos '!C273="azúcar"),"Azúcar o dulce",IF('Volúmenes DIstribuidos '!C273="Aceite","Aceite o grasas",IF('Volúmenes DIstribuidos '!C273="Avena","Otros almidones",'Volúmenes DIstribuidos '!C273)))</f>
        <v>Aceite o grasas</v>
      </c>
      <c r="C428" s="10" t="s">
        <v>29</v>
      </c>
      <c r="D428" s="12">
        <f>'Volúmenes DIstribuidos '!D273</f>
        <v>51.533999999999999</v>
      </c>
      <c r="E428" s="12">
        <f>SUMIF('Parametros Inventario'!$A:$A,B428,'Parametros Inventario'!$B:$B)+SUMIFS(D$2:D428,B$2:B428,B428,C$2:C428,"ENTRADA")-SUMIFS(D$2:D428,B$2:B428,B428,C$2:C428,"SALIDA")</f>
        <v>2919.1940000000004</v>
      </c>
    </row>
    <row r="429" spans="1:5" x14ac:dyDescent="0.3">
      <c r="A429" s="9">
        <f>'Volúmenes DIstribuidos '!B273</f>
        <v>44204</v>
      </c>
      <c r="B429" s="10" t="str">
        <f>IF(OR('Volúmenes DIstribuidos '!C274="Azúcar",'Volúmenes DIstribuidos '!C274="azúcar"),"Azúcar o dulce",IF('Volúmenes DIstribuidos '!C274="Aceite","Aceite o grasas",IF('Volúmenes DIstribuidos '!C274="Avena","Otros almidones",'Volúmenes DIstribuidos '!C274)))</f>
        <v>Otros almidones</v>
      </c>
      <c r="C429" s="10" t="s">
        <v>29</v>
      </c>
      <c r="D429" s="12">
        <f>'Volúmenes DIstribuidos '!D274</f>
        <v>21.52</v>
      </c>
      <c r="E429" s="12">
        <f>SUMIF('Parametros Inventario'!$A:$A,B429,'Parametros Inventario'!$B:$B)+SUMIFS(D$2:D429,B$2:B429,B429,C$2:C429,"ENTRADA")-SUMIFS(D$2:D429,B$2:B429,B429,C$2:C429,"SALIDA")</f>
        <v>2495.1360000000004</v>
      </c>
    </row>
    <row r="430" spans="1:5" x14ac:dyDescent="0.3">
      <c r="A430" s="9">
        <f>'Volúmenes DIstribuidos '!B273</f>
        <v>44204</v>
      </c>
      <c r="B430" s="10" t="str">
        <f>IF(OR('Volúmenes DIstribuidos '!C275="Azúcar",'Volúmenes DIstribuidos '!C275="azúcar"),"Azúcar o dulce",IF('Volúmenes DIstribuidos '!C275="Aceite","Aceite o grasas",IF('Volúmenes DIstribuidos '!C275="Avena","Otros almidones",'Volúmenes DIstribuidos '!C275)))</f>
        <v>Carnes blancas</v>
      </c>
      <c r="C430" s="10" t="s">
        <v>29</v>
      </c>
      <c r="D430" s="12">
        <f>'Volúmenes DIstribuidos '!D275</f>
        <v>13.65</v>
      </c>
      <c r="E430" s="12">
        <f>SUMIF('Parametros Inventario'!$A:$A,B430,'Parametros Inventario'!$B:$B)+SUMIFS(D$2:D430,B$2:B430,B430,C$2:C430,"ENTRADA")-SUMIFS(D$2:D430,B$2:B430,B430,C$2:C430,"SALIDA")</f>
        <v>2697.0149999999999</v>
      </c>
    </row>
    <row r="431" spans="1:5" x14ac:dyDescent="0.3">
      <c r="A431" s="9">
        <f>'Volúmenes DIstribuidos '!B273</f>
        <v>44204</v>
      </c>
      <c r="B431" s="10" t="str">
        <f>IF(OR('Volúmenes DIstribuidos '!C276="Azúcar",'Volúmenes DIstribuidos '!C276="azúcar"),"Azúcar o dulce",IF('Volúmenes DIstribuidos '!C276="Aceite","Aceite o grasas",IF('Volúmenes DIstribuidos '!C276="Avena","Otros almidones",'Volúmenes DIstribuidos '!C276)))</f>
        <v>Vegetales y hojas</v>
      </c>
      <c r="C431" s="10" t="s">
        <v>29</v>
      </c>
      <c r="D431" s="12">
        <f>'Volúmenes DIstribuidos '!D276</f>
        <v>7.3570000000000002</v>
      </c>
      <c r="E431" s="12">
        <f>SUMIF('Parametros Inventario'!$A:$A,B431,'Parametros Inventario'!$B:$B)+SUMIFS(D$2:D431,B$2:B431,B431,C$2:C431,"ENTRADA")-SUMIFS(D$2:D431,B$2:B431,B431,C$2:C431,"SALIDA")</f>
        <v>2937.8890000000001</v>
      </c>
    </row>
    <row r="432" spans="1:5" x14ac:dyDescent="0.3">
      <c r="A432" s="9">
        <f>'Volúmenes DIstribuidos '!B273</f>
        <v>44204</v>
      </c>
      <c r="B432" s="10" t="str">
        <f>IF(OR('Volúmenes DIstribuidos '!C277="Azúcar",'Volúmenes DIstribuidos '!C277="azúcar"),"Azúcar o dulce",IF('Volúmenes DIstribuidos '!C277="Aceite","Aceite o grasas",IF('Volúmenes DIstribuidos '!C277="Avena","Otros almidones",'Volúmenes DIstribuidos '!C277)))</f>
        <v>Salsas</v>
      </c>
      <c r="C432" s="10" t="s">
        <v>29</v>
      </c>
      <c r="D432" s="12">
        <f>'Volúmenes DIstribuidos '!D277</f>
        <v>5.42</v>
      </c>
      <c r="E432" s="12">
        <f>SUMIF('Parametros Inventario'!$A:$A,B432,'Parametros Inventario'!$B:$B)+SUMIFS(D$2:D432,B$2:B432,B432,C$2:C432,"ENTRADA")-SUMIFS(D$2:D432,B$2:B432,B432,C$2:C432,"SALIDA")</f>
        <v>3026.1850000000004</v>
      </c>
    </row>
    <row r="433" spans="1:5" x14ac:dyDescent="0.3">
      <c r="A433" s="9">
        <f>'Volúmenes DIstribuidos '!B273</f>
        <v>44204</v>
      </c>
      <c r="B433" s="10" t="str">
        <f>IF(OR('Volúmenes DIstribuidos '!C278="Azúcar",'Volúmenes DIstribuidos '!C278="azúcar"),"Azúcar o dulce",IF('Volúmenes DIstribuidos '!C278="Aceite","Aceite o grasas",IF('Volúmenes DIstribuidos '!C278="Avena","Otros almidones",'Volúmenes DIstribuidos '!C278)))</f>
        <v>Carnes blancas</v>
      </c>
      <c r="C433" s="10" t="s">
        <v>29</v>
      </c>
      <c r="D433" s="12">
        <f>'Volúmenes DIstribuidos '!D278</f>
        <v>14.57</v>
      </c>
      <c r="E433" s="12">
        <f>SUMIF('Parametros Inventario'!$A:$A,B433,'Parametros Inventario'!$B:$B)+SUMIFS(D$2:D433,B$2:B433,B433,C$2:C433,"ENTRADA")-SUMIFS(D$2:D433,B$2:B433,B433,C$2:C433,"SALIDA")</f>
        <v>2682.4449999999997</v>
      </c>
    </row>
    <row r="434" spans="1:5" x14ac:dyDescent="0.3">
      <c r="A434" s="9">
        <f>'Volúmenes DIstribuidos '!B279</f>
        <v>44208</v>
      </c>
      <c r="B434" s="10" t="str">
        <f>IF(OR('Volúmenes DIstribuidos '!C279="Azúcar",'Volúmenes DIstribuidos '!C279="azúcar"),"Azúcar o dulce",IF('Volúmenes DIstribuidos '!C279="Aceite","Aceite o grasas",IF('Volúmenes DIstribuidos '!C279="Avena","Otros almidones",'Volúmenes DIstribuidos '!C279)))</f>
        <v>Lácteos</v>
      </c>
      <c r="C434" s="10" t="s">
        <v>29</v>
      </c>
      <c r="D434" s="12">
        <f>'Volúmenes DIstribuidos '!D279</f>
        <v>36.53</v>
      </c>
      <c r="E434" s="12">
        <f>SUMIF('Parametros Inventario'!$A:$A,B434,'Parametros Inventario'!$B:$B)+SUMIFS(D$2:D434,B$2:B434,B434,C$2:C434,"ENTRADA")-SUMIFS(D$2:D434,B$2:B434,B434,C$2:C434,"SALIDA")</f>
        <v>2304.8029999999999</v>
      </c>
    </row>
    <row r="435" spans="1:5" x14ac:dyDescent="0.3">
      <c r="A435" s="9">
        <f>'Volúmenes DIstribuidos '!B279</f>
        <v>44208</v>
      </c>
      <c r="B435" s="10" t="str">
        <f>IF(OR('Volúmenes DIstribuidos '!C280="Azúcar",'Volúmenes DIstribuidos '!C280="azúcar"),"Azúcar o dulce",IF('Volúmenes DIstribuidos '!C280="Aceite","Aceite o grasas",IF('Volúmenes DIstribuidos '!C280="Avena","Otros almidones",'Volúmenes DIstribuidos '!C280)))</f>
        <v>Aceite o grasas</v>
      </c>
      <c r="C435" s="10" t="s">
        <v>29</v>
      </c>
      <c r="D435" s="12">
        <f>'Volúmenes DIstribuidos '!D280</f>
        <v>155.58000000000001</v>
      </c>
      <c r="E435" s="12">
        <f>SUMIF('Parametros Inventario'!$A:$A,B435,'Parametros Inventario'!$B:$B)+SUMIFS(D$2:D435,B$2:B435,B435,C$2:C435,"ENTRADA")-SUMIFS(D$2:D435,B$2:B435,B435,C$2:C435,"SALIDA")</f>
        <v>2763.6140000000005</v>
      </c>
    </row>
    <row r="436" spans="1:5" x14ac:dyDescent="0.3">
      <c r="A436" s="9">
        <f>'Volúmenes DIstribuidos '!B279</f>
        <v>44208</v>
      </c>
      <c r="B436" s="10" t="str">
        <f>IF(OR('Volúmenes DIstribuidos '!C281="Azúcar",'Volúmenes DIstribuidos '!C281="azúcar"),"Azúcar o dulce",IF('Volúmenes DIstribuidos '!C281="Aceite","Aceite o grasas",IF('Volúmenes DIstribuidos '!C281="Avena","Otros almidones",'Volúmenes DIstribuidos '!C281)))</f>
        <v>Fideo</v>
      </c>
      <c r="C436" s="10" t="s">
        <v>29</v>
      </c>
      <c r="D436" s="12">
        <f>'Volúmenes DIstribuidos '!D281</f>
        <v>24.47</v>
      </c>
      <c r="E436" s="12">
        <f>SUMIF('Parametros Inventario'!$A:$A,B436,'Parametros Inventario'!$B:$B)+SUMIFS(D$2:D436,B$2:B436,B436,C$2:C436,"ENTRADA")-SUMIFS(D$2:D436,B$2:B436,B436,C$2:C436,"SALIDA")</f>
        <v>2891.8739999999998</v>
      </c>
    </row>
    <row r="437" spans="1:5" x14ac:dyDescent="0.3">
      <c r="A437" s="9">
        <f>'Volúmenes DIstribuidos '!B279</f>
        <v>44208</v>
      </c>
      <c r="B437" s="10" t="str">
        <f>IF(OR('Volúmenes DIstribuidos '!C282="Azúcar",'Volúmenes DIstribuidos '!C282="azúcar"),"Azúcar o dulce",IF('Volúmenes DIstribuidos '!C282="Aceite","Aceite o grasas",IF('Volúmenes DIstribuidos '!C282="Avena","Otros almidones",'Volúmenes DIstribuidos '!C282)))</f>
        <v>Carnes blancas</v>
      </c>
      <c r="C437" s="10" t="s">
        <v>29</v>
      </c>
      <c r="D437" s="12">
        <f>'Volúmenes DIstribuidos '!D282</f>
        <v>33.86</v>
      </c>
      <c r="E437" s="12">
        <f>SUMIF('Parametros Inventario'!$A:$A,B437,'Parametros Inventario'!$B:$B)+SUMIFS(D$2:D437,B$2:B437,B437,C$2:C437,"ENTRADA")-SUMIFS(D$2:D437,B$2:B437,B437,C$2:C437,"SALIDA")</f>
        <v>2648.585</v>
      </c>
    </row>
    <row r="438" spans="1:5" x14ac:dyDescent="0.3">
      <c r="A438" s="9">
        <f>'Volúmenes DIstribuidos '!B279</f>
        <v>44208</v>
      </c>
      <c r="B438" s="10" t="str">
        <f>IF(OR('Volúmenes DIstribuidos '!C283="Azúcar",'Volúmenes DIstribuidos '!C283="azúcar"),"Azúcar o dulce",IF('Volúmenes DIstribuidos '!C283="Aceite","Aceite o grasas",IF('Volúmenes DIstribuidos '!C283="Avena","Otros almidones",'Volúmenes DIstribuidos '!C283)))</f>
        <v>Vegetales y hojas</v>
      </c>
      <c r="C438" s="10" t="s">
        <v>29</v>
      </c>
      <c r="D438" s="12">
        <f>'Volúmenes DIstribuidos '!D283</f>
        <v>36.049999999999997</v>
      </c>
      <c r="E438" s="12">
        <f>SUMIF('Parametros Inventario'!$A:$A,B438,'Parametros Inventario'!$B:$B)+SUMIFS(D$2:D438,B$2:B438,B438,C$2:C438,"ENTRADA")-SUMIFS(D$2:D438,B$2:B438,B438,C$2:C438,"SALIDA")</f>
        <v>2901.8389999999999</v>
      </c>
    </row>
    <row r="439" spans="1:5" x14ac:dyDescent="0.3">
      <c r="A439" s="9">
        <f>'Volúmenes DIstribuidos '!B279</f>
        <v>44208</v>
      </c>
      <c r="B439" s="10" t="str">
        <f>IF(OR('Volúmenes DIstribuidos '!C284="Azúcar",'Volúmenes DIstribuidos '!C284="azúcar"),"Azúcar o dulce",IF('Volúmenes DIstribuidos '!C284="Aceite","Aceite o grasas",IF('Volúmenes DIstribuidos '!C284="Avena","Otros almidones",'Volúmenes DIstribuidos '!C284)))</f>
        <v>Carnes rojas</v>
      </c>
      <c r="C439" s="10" t="s">
        <v>29</v>
      </c>
      <c r="D439" s="12">
        <f>'Volúmenes DIstribuidos '!D284</f>
        <v>39.21</v>
      </c>
      <c r="E439" s="12">
        <f>SUMIF('Parametros Inventario'!$A:$A,B439,'Parametros Inventario'!$B:$B)+SUMIFS(D$2:D439,B$2:B439,B439,C$2:C439,"ENTRADA")-SUMIFS(D$2:D439,B$2:B439,B439,C$2:C439,"SALIDA")</f>
        <v>2700.1969999999997</v>
      </c>
    </row>
    <row r="440" spans="1:5" x14ac:dyDescent="0.3">
      <c r="A440" s="9">
        <f>'Volúmenes DIstribuidos '!B285</f>
        <v>44211</v>
      </c>
      <c r="B440" s="10" t="str">
        <f>IF(OR('Volúmenes DIstribuidos '!C285="Azúcar",'Volúmenes DIstribuidos '!C285="azúcar"),"Azúcar o dulce",IF('Volúmenes DIstribuidos '!C285="Aceite","Aceite o grasas",IF('Volúmenes DIstribuidos '!C285="Avena","Otros almidones",'Volúmenes DIstribuidos '!C285)))</f>
        <v>Menestras</v>
      </c>
      <c r="C440" s="10" t="s">
        <v>29</v>
      </c>
      <c r="D440" s="12">
        <f>'Volúmenes DIstribuidos '!D285</f>
        <v>27.265000000000001</v>
      </c>
      <c r="E440" s="12">
        <f>SUMIF('Parametros Inventario'!$A:$A,B440,'Parametros Inventario'!$B:$B)+SUMIFS(D$2:D440,B$2:B440,B440,C$2:C440,"ENTRADA")-SUMIFS(D$2:D440,B$2:B440,B440,C$2:C440,"SALIDA")</f>
        <v>2477.1080000000002</v>
      </c>
    </row>
    <row r="441" spans="1:5" x14ac:dyDescent="0.3">
      <c r="A441" s="9">
        <f>'Volúmenes DIstribuidos '!B285</f>
        <v>44211</v>
      </c>
      <c r="B441" s="10" t="str">
        <f>IF(OR('Volúmenes DIstribuidos '!C286="Azúcar",'Volúmenes DIstribuidos '!C286="azúcar"),"Azúcar o dulce",IF('Volúmenes DIstribuidos '!C286="Aceite","Aceite o grasas",IF('Volúmenes DIstribuidos '!C286="Avena","Otros almidones",'Volúmenes DIstribuidos '!C286)))</f>
        <v>Carnes blancas</v>
      </c>
      <c r="C441" s="10" t="s">
        <v>29</v>
      </c>
      <c r="D441" s="12">
        <f>'Volúmenes DIstribuidos '!D286</f>
        <v>28.62</v>
      </c>
      <c r="E441" s="12">
        <f>SUMIF('Parametros Inventario'!$A:$A,B441,'Parametros Inventario'!$B:$B)+SUMIFS(D$2:D441,B$2:B441,B441,C$2:C441,"ENTRADA")-SUMIFS(D$2:D441,B$2:B441,B441,C$2:C441,"SALIDA")</f>
        <v>2619.9650000000001</v>
      </c>
    </row>
    <row r="442" spans="1:5" x14ac:dyDescent="0.3">
      <c r="A442" s="9">
        <f>'Volúmenes DIstribuidos '!B285</f>
        <v>44211</v>
      </c>
      <c r="B442" s="10" t="str">
        <f>IF(OR('Volúmenes DIstribuidos '!C287="Azúcar",'Volúmenes DIstribuidos '!C287="azúcar"),"Azúcar o dulce",IF('Volúmenes DIstribuidos '!C287="Aceite","Aceite o grasas",IF('Volúmenes DIstribuidos '!C287="Avena","Otros almidones",'Volúmenes DIstribuidos '!C287)))</f>
        <v>Carnes rojas</v>
      </c>
      <c r="C442" s="10" t="s">
        <v>29</v>
      </c>
      <c r="D442" s="12">
        <f>'Volúmenes DIstribuidos '!D287</f>
        <v>17.78</v>
      </c>
      <c r="E442" s="12">
        <f>SUMIF('Parametros Inventario'!$A:$A,B442,'Parametros Inventario'!$B:$B)+SUMIFS(D$2:D442,B$2:B442,B442,C$2:C442,"ENTRADA")-SUMIFS(D$2:D442,B$2:B442,B442,C$2:C442,"SALIDA")</f>
        <v>2682.4169999999995</v>
      </c>
    </row>
    <row r="443" spans="1:5" x14ac:dyDescent="0.3">
      <c r="A443" s="9">
        <f>'Volúmenes DIstribuidos '!B285</f>
        <v>44211</v>
      </c>
      <c r="B443" s="10" t="str">
        <f>IF(OR('Volúmenes DIstribuidos '!C288="Azúcar",'Volúmenes DIstribuidos '!C288="azúcar"),"Azúcar o dulce",IF('Volúmenes DIstribuidos '!C288="Aceite","Aceite o grasas",IF('Volúmenes DIstribuidos '!C288="Avena","Otros almidones",'Volúmenes DIstribuidos '!C288)))</f>
        <v>Panadería</v>
      </c>
      <c r="C443" s="10" t="s">
        <v>29</v>
      </c>
      <c r="D443" s="12">
        <f>'Volúmenes DIstribuidos '!D288</f>
        <v>30.23</v>
      </c>
      <c r="E443" s="12">
        <f>SUMIF('Parametros Inventario'!$A:$A,B443,'Parametros Inventario'!$B:$B)+SUMIFS(D$2:D443,B$2:B443,B443,C$2:C443,"ENTRADA")-SUMIFS(D$2:D443,B$2:B443,B443,C$2:C443,"SALIDA")</f>
        <v>1766.4160000000002</v>
      </c>
    </row>
    <row r="444" spans="1:5" x14ac:dyDescent="0.3">
      <c r="A444" s="9">
        <f>'Volúmenes DIstribuidos '!B285</f>
        <v>44211</v>
      </c>
      <c r="B444" s="10" t="str">
        <f>IF(OR('Volúmenes DIstribuidos '!C289="Azúcar",'Volúmenes DIstribuidos '!C289="azúcar"),"Azúcar o dulce",IF('Volúmenes DIstribuidos '!C289="Aceite","Aceite o grasas",IF('Volúmenes DIstribuidos '!C289="Avena","Otros almidones",'Volúmenes DIstribuidos '!C289)))</f>
        <v>Otros almidones</v>
      </c>
      <c r="C444" s="10" t="s">
        <v>29</v>
      </c>
      <c r="D444" s="12">
        <f>'Volúmenes DIstribuidos '!D289</f>
        <v>61.94</v>
      </c>
      <c r="E444" s="12">
        <f>SUMIF('Parametros Inventario'!$A:$A,B444,'Parametros Inventario'!$B:$B)+SUMIFS(D$2:D444,B$2:B444,B444,C$2:C444,"ENTRADA")-SUMIFS(D$2:D444,B$2:B444,B444,C$2:C444,"SALIDA")</f>
        <v>2433.1960000000004</v>
      </c>
    </row>
    <row r="445" spans="1:5" x14ac:dyDescent="0.3">
      <c r="A445" s="9">
        <f>'Volúmenes DIstribuidos '!B285</f>
        <v>44211</v>
      </c>
      <c r="B445" s="10" t="str">
        <f>IF(OR('Volúmenes DIstribuidos '!C290="Azúcar",'Volúmenes DIstribuidos '!C290="azúcar"),"Azúcar o dulce",IF('Volúmenes DIstribuidos '!C290="Aceite","Aceite o grasas",IF('Volúmenes DIstribuidos '!C290="Avena","Otros almidones",'Volúmenes DIstribuidos '!C290)))</f>
        <v>Fideo</v>
      </c>
      <c r="C445" s="10" t="s">
        <v>29</v>
      </c>
      <c r="D445" s="12">
        <f>'Volúmenes DIstribuidos '!D290</f>
        <v>18.791</v>
      </c>
      <c r="E445" s="12">
        <f>SUMIF('Parametros Inventario'!$A:$A,B445,'Parametros Inventario'!$B:$B)+SUMIFS(D$2:D445,B$2:B445,B445,C$2:C445,"ENTRADA")-SUMIFS(D$2:D445,B$2:B445,B445,C$2:C445,"SALIDA")</f>
        <v>2873.0829999999996</v>
      </c>
    </row>
    <row r="446" spans="1:5" x14ac:dyDescent="0.3">
      <c r="A446" s="9">
        <f>'Volúmenes DIstribuidos '!B291</f>
        <v>44215</v>
      </c>
      <c r="B446" s="10" t="str">
        <f>IF(OR('Volúmenes DIstribuidos '!C291="Azúcar",'Volúmenes DIstribuidos '!C291="azúcar"),"Azúcar o dulce",IF('Volúmenes DIstribuidos '!C291="Aceite","Aceite o grasas",IF('Volúmenes DIstribuidos '!C291="Avena","Otros almidones",'Volúmenes DIstribuidos '!C291)))</f>
        <v>Carnes blancas</v>
      </c>
      <c r="C446" s="10" t="s">
        <v>29</v>
      </c>
      <c r="D446" s="12">
        <f>'Volúmenes DIstribuidos '!D291</f>
        <v>32.5</v>
      </c>
      <c r="E446" s="12">
        <f>SUMIF('Parametros Inventario'!$A:$A,B446,'Parametros Inventario'!$B:$B)+SUMIFS(D$2:D446,B$2:B446,B446,C$2:C446,"ENTRADA")-SUMIFS(D$2:D446,B$2:B446,B446,C$2:C446,"SALIDA")</f>
        <v>2587.4650000000001</v>
      </c>
    </row>
    <row r="447" spans="1:5" x14ac:dyDescent="0.3">
      <c r="A447" s="9">
        <f>'Volúmenes DIstribuidos '!B291</f>
        <v>44215</v>
      </c>
      <c r="B447" s="10" t="str">
        <f>IF(OR('Volúmenes DIstribuidos '!C292="Azúcar",'Volúmenes DIstribuidos '!C292="azúcar"),"Azúcar o dulce",IF('Volúmenes DIstribuidos '!C292="Aceite","Aceite o grasas",IF('Volúmenes DIstribuidos '!C292="Avena","Otros almidones",'Volúmenes DIstribuidos '!C292)))</f>
        <v>Carnes rojas</v>
      </c>
      <c r="C447" s="10" t="s">
        <v>29</v>
      </c>
      <c r="D447" s="12">
        <f>'Volúmenes DIstribuidos '!D292</f>
        <v>51.95</v>
      </c>
      <c r="E447" s="12">
        <f>SUMIF('Parametros Inventario'!$A:$A,B447,'Parametros Inventario'!$B:$B)+SUMIFS(D$2:D447,B$2:B447,B447,C$2:C447,"ENTRADA")-SUMIFS(D$2:D447,B$2:B447,B447,C$2:C447,"SALIDA")</f>
        <v>2630.4669999999996</v>
      </c>
    </row>
    <row r="448" spans="1:5" x14ac:dyDescent="0.3">
      <c r="A448" s="9">
        <f>'Volúmenes DIstribuidos '!B291</f>
        <v>44215</v>
      </c>
      <c r="B448" s="10" t="str">
        <f>IF(OR('Volúmenes DIstribuidos '!C293="Azúcar",'Volúmenes DIstribuidos '!C293="azúcar"),"Azúcar o dulce",IF('Volúmenes DIstribuidos '!C293="Aceite","Aceite o grasas",IF('Volúmenes DIstribuidos '!C293="Avena","Otros almidones",'Volúmenes DIstribuidos '!C293)))</f>
        <v>Fideo</v>
      </c>
      <c r="C448" s="10" t="s">
        <v>29</v>
      </c>
      <c r="D448" s="12">
        <f>'Volúmenes DIstribuidos '!D293</f>
        <v>20.03</v>
      </c>
      <c r="E448" s="12">
        <f>SUMIF('Parametros Inventario'!$A:$A,B448,'Parametros Inventario'!$B:$B)+SUMIFS(D$2:D448,B$2:B448,B448,C$2:C448,"ENTRADA")-SUMIFS(D$2:D448,B$2:B448,B448,C$2:C448,"SALIDA")</f>
        <v>2853.0529999999999</v>
      </c>
    </row>
    <row r="449" spans="1:5" x14ac:dyDescent="0.3">
      <c r="A449" s="9">
        <f>'Volúmenes DIstribuidos '!B291</f>
        <v>44215</v>
      </c>
      <c r="B449" s="10" t="str">
        <f>IF(OR('Volúmenes DIstribuidos '!C294="Azúcar",'Volúmenes DIstribuidos '!C294="azúcar"),"Azúcar o dulce",IF('Volúmenes DIstribuidos '!C294="Aceite","Aceite o grasas",IF('Volúmenes DIstribuidos '!C294="Avena","Otros almidones",'Volúmenes DIstribuidos '!C294)))</f>
        <v>Salsas</v>
      </c>
      <c r="C449" s="10" t="s">
        <v>29</v>
      </c>
      <c r="D449" s="12">
        <f>'Volúmenes DIstribuidos '!D294</f>
        <v>47.35</v>
      </c>
      <c r="E449" s="12">
        <f>SUMIF('Parametros Inventario'!$A:$A,B449,'Parametros Inventario'!$B:$B)+SUMIFS(D$2:D449,B$2:B449,B449,C$2:C449,"ENTRADA")-SUMIFS(D$2:D449,B$2:B449,B449,C$2:C449,"SALIDA")</f>
        <v>2978.835</v>
      </c>
    </row>
    <row r="450" spans="1:5" x14ac:dyDescent="0.3">
      <c r="A450" s="9">
        <f>'Volúmenes DIstribuidos '!B291</f>
        <v>44215</v>
      </c>
      <c r="B450" s="10" t="str">
        <f>IF(OR('Volúmenes DIstribuidos '!C295="Azúcar",'Volúmenes DIstribuidos '!C295="azúcar"),"Azúcar o dulce",IF('Volúmenes DIstribuidos '!C295="Aceite","Aceite o grasas",IF('Volúmenes DIstribuidos '!C295="Avena","Otros almidones",'Volúmenes DIstribuidos '!C295)))</f>
        <v>Otros almidones</v>
      </c>
      <c r="C450" s="10" t="s">
        <v>29</v>
      </c>
      <c r="D450" s="12">
        <f>'Volúmenes DIstribuidos '!D295</f>
        <v>11.58</v>
      </c>
      <c r="E450" s="12">
        <f>SUMIF('Parametros Inventario'!$A:$A,B450,'Parametros Inventario'!$B:$B)+SUMIFS(D$2:D450,B$2:B450,B450,C$2:C450,"ENTRADA")-SUMIFS(D$2:D450,B$2:B450,B450,C$2:C450,"SALIDA")</f>
        <v>2421.6160000000004</v>
      </c>
    </row>
    <row r="451" spans="1:5" x14ac:dyDescent="0.3">
      <c r="A451" s="9">
        <f>'Volúmenes DIstribuidos '!B291</f>
        <v>44215</v>
      </c>
      <c r="B451" s="10" t="str">
        <f>IF(OR('Volúmenes DIstribuidos '!C296="Azúcar",'Volúmenes DIstribuidos '!C296="azúcar"),"Azúcar o dulce",IF('Volúmenes DIstribuidos '!C296="Aceite","Aceite o grasas",IF('Volúmenes DIstribuidos '!C296="Avena","Otros almidones",'Volúmenes DIstribuidos '!C296)))</f>
        <v>Vegetales y hojas</v>
      </c>
      <c r="C451" s="10" t="s">
        <v>29</v>
      </c>
      <c r="D451" s="12">
        <f>'Volúmenes DIstribuidos '!D296</f>
        <v>151.24299999999999</v>
      </c>
      <c r="E451" s="12">
        <f>SUMIF('Parametros Inventario'!$A:$A,B451,'Parametros Inventario'!$B:$B)+SUMIFS(D$2:D451,B$2:B451,B451,C$2:C451,"ENTRADA")-SUMIFS(D$2:D451,B$2:B451,B451,C$2:C451,"SALIDA")</f>
        <v>2750.596</v>
      </c>
    </row>
    <row r="452" spans="1:5" x14ac:dyDescent="0.3">
      <c r="A452" s="9">
        <f>'Volúmenes DIstribuidos '!B297</f>
        <v>44218</v>
      </c>
      <c r="B452" s="10" t="str">
        <f>IF(OR('Volúmenes DIstribuidos '!C297="Azúcar",'Volúmenes DIstribuidos '!C297="azúcar"),"Azúcar o dulce",IF('Volúmenes DIstribuidos '!C297="Aceite","Aceite o grasas",IF('Volúmenes DIstribuidos '!C297="Avena","Otros almidones",'Volúmenes DIstribuidos '!C297)))</f>
        <v>Azúcar o dulce</v>
      </c>
      <c r="C452" s="10" t="s">
        <v>29</v>
      </c>
      <c r="D452" s="12">
        <f>'Volúmenes DIstribuidos '!D297</f>
        <v>194.98</v>
      </c>
      <c r="E452" s="12">
        <f>SUMIF('Parametros Inventario'!$A:$A,B452,'Parametros Inventario'!$B:$B)+SUMIFS(D$2:D452,B$2:B452,B452,C$2:C452,"ENTRADA")-SUMIFS(D$2:D452,B$2:B452,B452,C$2:C452,"SALIDA")</f>
        <v>3531.614</v>
      </c>
    </row>
    <row r="453" spans="1:5" x14ac:dyDescent="0.3">
      <c r="A453" s="9">
        <f>'Volúmenes DIstribuidos '!B297</f>
        <v>44218</v>
      </c>
      <c r="B453" s="10" t="str">
        <f>IF(OR('Volúmenes DIstribuidos '!C298="Azúcar",'Volúmenes DIstribuidos '!C298="azúcar"),"Azúcar o dulce",IF('Volúmenes DIstribuidos '!C298="Aceite","Aceite o grasas",IF('Volúmenes DIstribuidos '!C298="Avena","Otros almidones",'Volúmenes DIstribuidos '!C298)))</f>
        <v>Fideo</v>
      </c>
      <c r="C453" s="10" t="s">
        <v>29</v>
      </c>
      <c r="D453" s="12">
        <f>'Volúmenes DIstribuidos '!D298</f>
        <v>80</v>
      </c>
      <c r="E453" s="12">
        <f>SUMIF('Parametros Inventario'!$A:$A,B453,'Parametros Inventario'!$B:$B)+SUMIFS(D$2:D453,B$2:B453,B453,C$2:C453,"ENTRADA")-SUMIFS(D$2:D453,B$2:B453,B453,C$2:C453,"SALIDA")</f>
        <v>2773.0529999999999</v>
      </c>
    </row>
    <row r="454" spans="1:5" x14ac:dyDescent="0.3">
      <c r="A454" s="9">
        <f>'Volúmenes DIstribuidos '!B297</f>
        <v>44218</v>
      </c>
      <c r="B454" s="10" t="str">
        <f>IF(OR('Volúmenes DIstribuidos '!C299="Azúcar",'Volúmenes DIstribuidos '!C299="azúcar"),"Azúcar o dulce",IF('Volúmenes DIstribuidos '!C299="Aceite","Aceite o grasas",IF('Volúmenes DIstribuidos '!C299="Avena","Otros almidones",'Volúmenes DIstribuidos '!C299)))</f>
        <v>Menestras</v>
      </c>
      <c r="C454" s="10" t="s">
        <v>29</v>
      </c>
      <c r="D454" s="12">
        <f>'Volúmenes DIstribuidos '!D299</f>
        <v>60</v>
      </c>
      <c r="E454" s="12">
        <f>SUMIF('Parametros Inventario'!$A:$A,B454,'Parametros Inventario'!$B:$B)+SUMIFS(D$2:D454,B$2:B454,B454,C$2:C454,"ENTRADA")-SUMIFS(D$2:D454,B$2:B454,B454,C$2:C454,"SALIDA")</f>
        <v>2417.1080000000002</v>
      </c>
    </row>
    <row r="455" spans="1:5" x14ac:dyDescent="0.3">
      <c r="A455" s="9">
        <f>'Volúmenes DIstribuidos '!B297</f>
        <v>44218</v>
      </c>
      <c r="B455" s="10" t="str">
        <f>IF(OR('Volúmenes DIstribuidos '!C300="Azúcar",'Volúmenes DIstribuidos '!C300="azúcar"),"Azúcar o dulce",IF('Volúmenes DIstribuidos '!C300="Aceite","Aceite o grasas",IF('Volúmenes DIstribuidos '!C300="Avena","Otros almidones",'Volúmenes DIstribuidos '!C300)))</f>
        <v>Lácteos</v>
      </c>
      <c r="C455" s="10" t="s">
        <v>29</v>
      </c>
      <c r="D455" s="12">
        <f>'Volúmenes DIstribuidos '!D300</f>
        <v>9.6180000000000003</v>
      </c>
      <c r="E455" s="12">
        <f>SUMIF('Parametros Inventario'!$A:$A,B455,'Parametros Inventario'!$B:$B)+SUMIFS(D$2:D455,B$2:B455,B455,C$2:C455,"ENTRADA")-SUMIFS(D$2:D455,B$2:B455,B455,C$2:C455,"SALIDA")</f>
        <v>2295.1850000000004</v>
      </c>
    </row>
    <row r="456" spans="1:5" x14ac:dyDescent="0.3">
      <c r="A456" s="9">
        <f>'Volúmenes DIstribuidos '!B297</f>
        <v>44218</v>
      </c>
      <c r="B456" s="10" t="str">
        <f>IF(OR('Volúmenes DIstribuidos '!C301="Azúcar",'Volúmenes DIstribuidos '!C301="azúcar"),"Azúcar o dulce",IF('Volúmenes DIstribuidos '!C301="Aceite","Aceite o grasas",IF('Volúmenes DIstribuidos '!C301="Avena","Otros almidones",'Volúmenes DIstribuidos '!C301)))</f>
        <v>Aceite o grasas</v>
      </c>
      <c r="C456" s="10" t="s">
        <v>29</v>
      </c>
      <c r="D456" s="12">
        <f>'Volúmenes DIstribuidos '!D301</f>
        <v>27.29</v>
      </c>
      <c r="E456" s="12">
        <f>SUMIF('Parametros Inventario'!$A:$A,B456,'Parametros Inventario'!$B:$B)+SUMIFS(D$2:D456,B$2:B456,B456,C$2:C456,"ENTRADA")-SUMIFS(D$2:D456,B$2:B456,B456,C$2:C456,"SALIDA")</f>
        <v>2736.3240000000005</v>
      </c>
    </row>
    <row r="457" spans="1:5" x14ac:dyDescent="0.3">
      <c r="A457" s="9">
        <f>'Volúmenes DIstribuidos '!B297</f>
        <v>44218</v>
      </c>
      <c r="B457" s="10" t="str">
        <f>IF(OR('Volúmenes DIstribuidos '!C302="Azúcar",'Volúmenes DIstribuidos '!C302="azúcar"),"Azúcar o dulce",IF('Volúmenes DIstribuidos '!C302="Aceite","Aceite o grasas",IF('Volúmenes DIstribuidos '!C302="Avena","Otros almidones",'Volúmenes DIstribuidos '!C302)))</f>
        <v>Azúcar o dulce</v>
      </c>
      <c r="C457" s="10" t="s">
        <v>29</v>
      </c>
      <c r="D457" s="12">
        <f>'Volúmenes DIstribuidos '!D302</f>
        <v>13.62</v>
      </c>
      <c r="E457" s="12">
        <f>SUMIF('Parametros Inventario'!$A:$A,B457,'Parametros Inventario'!$B:$B)+SUMIFS(D$2:D457,B$2:B457,B457,C$2:C457,"ENTRADA")-SUMIFS(D$2:D457,B$2:B457,B457,C$2:C457,"SALIDA")</f>
        <v>3517.9940000000001</v>
      </c>
    </row>
    <row r="458" spans="1:5" x14ac:dyDescent="0.3">
      <c r="A458" s="9">
        <f>'Volúmenes DIstribuidos '!B303</f>
        <v>44222</v>
      </c>
      <c r="B458" s="10" t="str">
        <f>IF(OR('Volúmenes DIstribuidos '!C303="Azúcar",'Volúmenes DIstribuidos '!C303="azúcar"),"Azúcar o dulce",IF('Volúmenes DIstribuidos '!C303="Aceite","Aceite o grasas",IF('Volúmenes DIstribuidos '!C303="Avena","Otros almidones",'Volúmenes DIstribuidos '!C303)))</f>
        <v>Otros almidones</v>
      </c>
      <c r="C458" s="10" t="s">
        <v>29</v>
      </c>
      <c r="D458" s="12">
        <f>'Volúmenes DIstribuidos '!D303</f>
        <v>13.72</v>
      </c>
      <c r="E458" s="12">
        <f>SUMIF('Parametros Inventario'!$A:$A,B458,'Parametros Inventario'!$B:$B)+SUMIFS(D$2:D458,B$2:B458,B458,C$2:C458,"ENTRADA")-SUMIFS(D$2:D458,B$2:B458,B458,C$2:C458,"SALIDA")</f>
        <v>2407.8960000000006</v>
      </c>
    </row>
    <row r="459" spans="1:5" x14ac:dyDescent="0.3">
      <c r="A459" s="9">
        <f>'Volúmenes DIstribuidos '!B303</f>
        <v>44222</v>
      </c>
      <c r="B459" s="10" t="str">
        <f>IF(OR('Volúmenes DIstribuidos '!C304="Azúcar",'Volúmenes DIstribuidos '!C304="azúcar"),"Azúcar o dulce",IF('Volúmenes DIstribuidos '!C304="Aceite","Aceite o grasas",IF('Volúmenes DIstribuidos '!C304="Avena","Otros almidones",'Volúmenes DIstribuidos '!C304)))</f>
        <v>Menestras</v>
      </c>
      <c r="C459" s="10" t="s">
        <v>29</v>
      </c>
      <c r="D459" s="12">
        <f>'Volúmenes DIstribuidos '!D304</f>
        <v>6.05</v>
      </c>
      <c r="E459" s="12">
        <f>SUMIF('Parametros Inventario'!$A:$A,B459,'Parametros Inventario'!$B:$B)+SUMIFS(D$2:D459,B$2:B459,B459,C$2:C459,"ENTRADA")-SUMIFS(D$2:D459,B$2:B459,B459,C$2:C459,"SALIDA")</f>
        <v>2411.058</v>
      </c>
    </row>
    <row r="460" spans="1:5" x14ac:dyDescent="0.3">
      <c r="A460" s="9">
        <f>'Volúmenes DIstribuidos '!B303</f>
        <v>44222</v>
      </c>
      <c r="B460" s="10" t="str">
        <f>IF(OR('Volúmenes DIstribuidos '!C305="Azúcar",'Volúmenes DIstribuidos '!C305="azúcar"),"Azúcar o dulce",IF('Volúmenes DIstribuidos '!C305="Aceite","Aceite o grasas",IF('Volúmenes DIstribuidos '!C305="Avena","Otros almidones",'Volúmenes DIstribuidos '!C305)))</f>
        <v>Salsas</v>
      </c>
      <c r="C460" s="10" t="s">
        <v>29</v>
      </c>
      <c r="D460" s="12">
        <f>'Volúmenes DIstribuidos '!D305</f>
        <v>15.62</v>
      </c>
      <c r="E460" s="12">
        <f>SUMIF('Parametros Inventario'!$A:$A,B460,'Parametros Inventario'!$B:$B)+SUMIFS(D$2:D460,B$2:B460,B460,C$2:C460,"ENTRADA")-SUMIFS(D$2:D460,B$2:B460,B460,C$2:C460,"SALIDA")</f>
        <v>2963.2150000000001</v>
      </c>
    </row>
    <row r="461" spans="1:5" x14ac:dyDescent="0.3">
      <c r="A461" s="9">
        <f>'Volúmenes DIstribuidos '!B303</f>
        <v>44222</v>
      </c>
      <c r="B461" s="10" t="str">
        <f>IF(OR('Volúmenes DIstribuidos '!C306="Azúcar",'Volúmenes DIstribuidos '!C306="azúcar"),"Azúcar o dulce",IF('Volúmenes DIstribuidos '!C306="Aceite","Aceite o grasas",IF('Volúmenes DIstribuidos '!C306="Avena","Otros almidones",'Volúmenes DIstribuidos '!C306)))</f>
        <v>Panadería</v>
      </c>
      <c r="C461" s="10" t="s">
        <v>29</v>
      </c>
      <c r="D461" s="12">
        <f>'Volúmenes DIstribuidos '!D306</f>
        <v>76.8</v>
      </c>
      <c r="E461" s="12">
        <f>SUMIF('Parametros Inventario'!$A:$A,B461,'Parametros Inventario'!$B:$B)+SUMIFS(D$2:D461,B$2:B461,B461,C$2:C461,"ENTRADA")-SUMIFS(D$2:D461,B$2:B461,B461,C$2:C461,"SALIDA")</f>
        <v>1689.6160000000002</v>
      </c>
    </row>
    <row r="462" spans="1:5" x14ac:dyDescent="0.3">
      <c r="A462" s="9">
        <f>'Volúmenes DIstribuidos '!B303</f>
        <v>44222</v>
      </c>
      <c r="B462" s="10" t="str">
        <f>IF(OR('Volúmenes DIstribuidos '!C307="Azúcar",'Volúmenes DIstribuidos '!C307="azúcar"),"Azúcar o dulce",IF('Volúmenes DIstribuidos '!C307="Aceite","Aceite o grasas",IF('Volúmenes DIstribuidos '!C307="Avena","Otros almidones",'Volúmenes DIstribuidos '!C307)))</f>
        <v>Carnes blancas</v>
      </c>
      <c r="C462" s="10" t="s">
        <v>29</v>
      </c>
      <c r="D462" s="12">
        <f>'Volúmenes DIstribuidos '!D307</f>
        <v>32.53</v>
      </c>
      <c r="E462" s="12">
        <f>SUMIF('Parametros Inventario'!$A:$A,B462,'Parametros Inventario'!$B:$B)+SUMIFS(D$2:D462,B$2:B462,B462,C$2:C462,"ENTRADA")-SUMIFS(D$2:D462,B$2:B462,B462,C$2:C462,"SALIDA")</f>
        <v>2554.9349999999999</v>
      </c>
    </row>
    <row r="463" spans="1:5" x14ac:dyDescent="0.3">
      <c r="A463" s="9">
        <f>'Volúmenes DIstribuidos '!B303</f>
        <v>44222</v>
      </c>
      <c r="B463" s="10" t="str">
        <f>IF(OR('Volúmenes DIstribuidos '!C308="Azúcar",'Volúmenes DIstribuidos '!C308="azúcar"),"Azúcar o dulce",IF('Volúmenes DIstribuidos '!C308="Aceite","Aceite o grasas",IF('Volúmenes DIstribuidos '!C308="Avena","Otros almidones",'Volúmenes DIstribuidos '!C308)))</f>
        <v>Carnes rojas</v>
      </c>
      <c r="C463" s="10" t="s">
        <v>29</v>
      </c>
      <c r="D463" s="12">
        <f>'Volúmenes DIstribuidos '!D308</f>
        <v>14.98</v>
      </c>
      <c r="E463" s="12">
        <f>SUMIF('Parametros Inventario'!$A:$A,B463,'Parametros Inventario'!$B:$B)+SUMIFS(D$2:D463,B$2:B463,B463,C$2:C463,"ENTRADA")-SUMIFS(D$2:D463,B$2:B463,B463,C$2:C463,"SALIDA")</f>
        <v>2615.4869999999996</v>
      </c>
    </row>
    <row r="464" spans="1:5" x14ac:dyDescent="0.3">
      <c r="A464" s="9">
        <v>44225</v>
      </c>
      <c r="B464" s="10" t="s">
        <v>11</v>
      </c>
      <c r="C464" s="10" t="s">
        <v>28</v>
      </c>
      <c r="D464" s="12">
        <v>185.11</v>
      </c>
      <c r="E464" s="12">
        <f>SUMIF('Parametros Inventario'!$A:$A,B464,'Parametros Inventario'!$B:$B)+SUMIFS(D$2:D464,B$2:B464,B464,C$2:C464,"ENTRADA")-SUMIFS(D$2:D464,B$2:B464,B464,C$2:C464,"SALIDA")</f>
        <v>2958.163</v>
      </c>
    </row>
    <row r="465" spans="1:5" x14ac:dyDescent="0.3">
      <c r="A465" s="9">
        <v>44225</v>
      </c>
      <c r="B465" s="10" t="s">
        <v>9</v>
      </c>
      <c r="C465" s="10" t="s">
        <v>28</v>
      </c>
      <c r="D465" s="12">
        <v>92.05</v>
      </c>
      <c r="E465" s="12">
        <f>SUMIF('Parametros Inventario'!$A:$A,B465,'Parametros Inventario'!$B:$B)+SUMIFS(D$2:D465,B$2:B465,B465,C$2:C465,"ENTRADA")-SUMIFS(D$2:D465,B$2:B465,B465,C$2:C465,"SALIDA")</f>
        <v>1781.6660000000004</v>
      </c>
    </row>
    <row r="466" spans="1:5" x14ac:dyDescent="0.3">
      <c r="A466" s="9">
        <v>44225</v>
      </c>
      <c r="B466" s="10" t="s">
        <v>14</v>
      </c>
      <c r="C466" s="10" t="s">
        <v>28</v>
      </c>
      <c r="D466" s="12">
        <v>111.29</v>
      </c>
      <c r="E466" s="12">
        <f>SUMIF('Parametros Inventario'!$A:$A,B466,'Parametros Inventario'!$B:$B)+SUMIFS(D$2:D466,B$2:B466,B466,C$2:C466,"ENTRADA")-SUMIFS(D$2:D466,B$2:B466,B466,C$2:C466,"SALIDA")</f>
        <v>2522.348</v>
      </c>
    </row>
    <row r="467" spans="1:5" x14ac:dyDescent="0.3">
      <c r="A467" s="9">
        <v>44225</v>
      </c>
      <c r="B467" s="10" t="s">
        <v>12</v>
      </c>
      <c r="C467" s="10" t="s">
        <v>28</v>
      </c>
      <c r="D467" s="12">
        <v>288.14999999999998</v>
      </c>
      <c r="E467" s="12">
        <f>SUMIF('Parametros Inventario'!$A:$A,B467,'Parametros Inventario'!$B:$B)+SUMIFS(D$2:D467,B$2:B467,B467,C$2:C467,"ENTRADA")-SUMIFS(D$2:D467,B$2:B467,B467,C$2:C467,"SALIDA")</f>
        <v>2903.6369999999997</v>
      </c>
    </row>
    <row r="468" spans="1:5" x14ac:dyDescent="0.3">
      <c r="A468" s="9">
        <v>44225</v>
      </c>
      <c r="B468" s="10" t="s">
        <v>16</v>
      </c>
      <c r="C468" s="10" t="s">
        <v>28</v>
      </c>
      <c r="D468" s="12">
        <v>290.33999999999997</v>
      </c>
      <c r="E468" s="12">
        <f>SUMIF('Parametros Inventario'!$A:$A,B468,'Parametros Inventario'!$B:$B)+SUMIFS(D$2:D468,B$2:B468,B468,C$2:C468,"ENTRADA")-SUMIFS(D$2:D468,B$2:B468,B468,C$2:C468,"SALIDA")</f>
        <v>2845.2750000000001</v>
      </c>
    </row>
    <row r="469" spans="1:5" x14ac:dyDescent="0.3">
      <c r="A469" s="9">
        <v>44225</v>
      </c>
      <c r="B469" s="10" t="s">
        <v>17</v>
      </c>
      <c r="C469" s="10" t="s">
        <v>28</v>
      </c>
      <c r="D469" s="12">
        <v>188.79</v>
      </c>
      <c r="E469" s="12">
        <f>SUMIF('Parametros Inventario'!$A:$A,B469,'Parametros Inventario'!$B:$B)+SUMIFS(D$2:D469,B$2:B469,B469,C$2:C469,"ENTRADA")-SUMIFS(D$2:D469,B$2:B469,B469,C$2:C469,"SALIDA")</f>
        <v>2483.9750000000004</v>
      </c>
    </row>
    <row r="470" spans="1:5" x14ac:dyDescent="0.3">
      <c r="A470" s="9">
        <v>44225</v>
      </c>
      <c r="B470" s="10" t="s">
        <v>18</v>
      </c>
      <c r="C470" s="10" t="s">
        <v>28</v>
      </c>
      <c r="D470" s="12">
        <v>60.45</v>
      </c>
      <c r="E470" s="12">
        <f>SUMIF('Parametros Inventario'!$A:$A,B470,'Parametros Inventario'!$B:$B)+SUMIFS(D$2:D470,B$2:B470,B470,C$2:C470,"ENTRADA")-SUMIFS(D$2:D470,B$2:B470,B470,C$2:C470,"SALIDA")</f>
        <v>3023.665</v>
      </c>
    </row>
    <row r="471" spans="1:5" x14ac:dyDescent="0.3">
      <c r="A471" s="9">
        <v>44225</v>
      </c>
      <c r="B471" s="10" t="s">
        <v>10</v>
      </c>
      <c r="C471" s="10" t="s">
        <v>28</v>
      </c>
      <c r="D471" s="12">
        <v>253.16</v>
      </c>
      <c r="E471" s="12">
        <f>SUMIF('Parametros Inventario'!$A:$A,B471,'Parametros Inventario'!$B:$B)+SUMIFS(D$2:D471,B$2:B471,B471,C$2:C471,"ENTRADA")-SUMIFS(D$2:D471,B$2:B471,B471,C$2:C471,"SALIDA")</f>
        <v>3003.7559999999999</v>
      </c>
    </row>
    <row r="472" spans="1:5" x14ac:dyDescent="0.3">
      <c r="A472" s="9">
        <v>44225</v>
      </c>
      <c r="B472" s="10" t="s">
        <v>8</v>
      </c>
      <c r="C472" s="10" t="s">
        <v>28</v>
      </c>
      <c r="D472" s="12">
        <v>290.27999999999997</v>
      </c>
      <c r="E472" s="12">
        <f>SUMIF('Parametros Inventario'!$A:$A,B472,'Parametros Inventario'!$B:$B)+SUMIFS(D$2:D472,B$2:B472,B472,C$2:C472,"ENTRADA")-SUMIFS(D$2:D472,B$2:B472,B472,C$2:C472,"SALIDA")</f>
        <v>3026.6040000000003</v>
      </c>
    </row>
    <row r="473" spans="1:5" x14ac:dyDescent="0.3">
      <c r="A473" s="9">
        <v>44225</v>
      </c>
      <c r="B473" s="10" t="s">
        <v>13</v>
      </c>
      <c r="C473" s="10" t="s">
        <v>28</v>
      </c>
      <c r="D473" s="12">
        <v>205.18</v>
      </c>
      <c r="E473" s="12">
        <f>SUMIF('Parametros Inventario'!$A:$A,B473,'Parametros Inventario'!$B:$B)+SUMIFS(D$2:D473,B$2:B473,B473,C$2:C473,"ENTRADA")-SUMIFS(D$2:D473,B$2:B473,B473,C$2:C473,"SALIDA")</f>
        <v>3723.1739999999995</v>
      </c>
    </row>
    <row r="474" spans="1:5" x14ac:dyDescent="0.3">
      <c r="A474" s="9">
        <f>'Volúmenes DIstribuidos '!B309</f>
        <v>44225</v>
      </c>
      <c r="B474" s="10" t="str">
        <f>IF(OR('Volúmenes DIstribuidos '!C309="Azúcar",'Volúmenes DIstribuidos '!C309="azúcar"),"Azúcar o dulce",IF('Volúmenes DIstribuidos '!C309="Aceite","Aceite o grasas",IF('Volúmenes DIstribuidos '!C309="Avena","Otros almidones",'Volúmenes DIstribuidos '!C309)))</f>
        <v>Salsas</v>
      </c>
      <c r="C474" s="10" t="s">
        <v>29</v>
      </c>
      <c r="D474" s="12">
        <f>'Volúmenes DIstribuidos '!D309</f>
        <v>34.71</v>
      </c>
      <c r="E474" s="12">
        <f>SUMIF('Parametros Inventario'!$A:$A,B474,'Parametros Inventario'!$B:$B)+SUMIFS(D$2:D474,B$2:B474,B474,C$2:C474,"ENTRADA")-SUMIFS(D$2:D474,B$2:B474,B474,C$2:C474,"SALIDA")</f>
        <v>2988.9549999999999</v>
      </c>
    </row>
    <row r="475" spans="1:5" x14ac:dyDescent="0.3">
      <c r="A475" s="9">
        <f>'Volúmenes DIstribuidos '!B309</f>
        <v>44225</v>
      </c>
      <c r="B475" s="10" t="str">
        <f>IF(OR('Volúmenes DIstribuidos '!C310="Azúcar",'Volúmenes DIstribuidos '!C310="azúcar"),"Azúcar o dulce",IF('Volúmenes DIstribuidos '!C310="Aceite","Aceite o grasas",IF('Volúmenes DIstribuidos '!C310="Avena","Otros almidones",'Volúmenes DIstribuidos '!C310)))</f>
        <v>Menestras</v>
      </c>
      <c r="C475" s="10" t="s">
        <v>29</v>
      </c>
      <c r="D475" s="12">
        <f>'Volúmenes DIstribuidos '!D310</f>
        <v>65.040000000000006</v>
      </c>
      <c r="E475" s="12">
        <f>SUMIF('Parametros Inventario'!$A:$A,B475,'Parametros Inventario'!$B:$B)+SUMIFS(D$2:D475,B$2:B475,B475,C$2:C475,"ENTRADA")-SUMIFS(D$2:D475,B$2:B475,B475,C$2:C475,"SALIDA")</f>
        <v>2457.308</v>
      </c>
    </row>
    <row r="476" spans="1:5" x14ac:dyDescent="0.3">
      <c r="A476" s="9">
        <f>'Volúmenes DIstribuidos '!B309</f>
        <v>44225</v>
      </c>
      <c r="B476" s="10" t="str">
        <f>IF(OR('Volúmenes DIstribuidos '!C311="Azúcar",'Volúmenes DIstribuidos '!C311="azúcar"),"Azúcar o dulce",IF('Volúmenes DIstribuidos '!C311="Aceite","Aceite o grasas",IF('Volúmenes DIstribuidos '!C311="Avena","Otros almidones",'Volúmenes DIstribuidos '!C311)))</f>
        <v>Fideo</v>
      </c>
      <c r="C476" s="10" t="s">
        <v>29</v>
      </c>
      <c r="D476" s="12">
        <f>'Volúmenes DIstribuidos '!D311</f>
        <v>9.6319999999999997</v>
      </c>
      <c r="E476" s="12">
        <f>SUMIF('Parametros Inventario'!$A:$A,B476,'Parametros Inventario'!$B:$B)+SUMIFS(D$2:D476,B$2:B476,B476,C$2:C476,"ENTRADA")-SUMIFS(D$2:D476,B$2:B476,B476,C$2:C476,"SALIDA")</f>
        <v>2948.5309999999999</v>
      </c>
    </row>
    <row r="477" spans="1:5" x14ac:dyDescent="0.3">
      <c r="A477" s="9">
        <f>'Volúmenes DIstribuidos '!B309</f>
        <v>44225</v>
      </c>
      <c r="B477" s="10" t="str">
        <f>IF(OR('Volúmenes DIstribuidos '!C312="Azúcar",'Volúmenes DIstribuidos '!C312="azúcar"),"Azúcar o dulce",IF('Volúmenes DIstribuidos '!C312="Aceite","Aceite o grasas",IF('Volúmenes DIstribuidos '!C312="Avena","Otros almidones",'Volúmenes DIstribuidos '!C312)))</f>
        <v>Salsas</v>
      </c>
      <c r="C477" s="10" t="s">
        <v>29</v>
      </c>
      <c r="D477" s="12">
        <f>'Volúmenes DIstribuidos '!D312</f>
        <v>10.53</v>
      </c>
      <c r="E477" s="12">
        <f>SUMIF('Parametros Inventario'!$A:$A,B477,'Parametros Inventario'!$B:$B)+SUMIFS(D$2:D477,B$2:B477,B477,C$2:C477,"ENTRADA")-SUMIFS(D$2:D477,B$2:B477,B477,C$2:C477,"SALIDA")</f>
        <v>2978.4250000000002</v>
      </c>
    </row>
    <row r="478" spans="1:5" x14ac:dyDescent="0.3">
      <c r="A478" s="9">
        <f>'Volúmenes DIstribuidos '!B309</f>
        <v>44225</v>
      </c>
      <c r="B478" s="10" t="str">
        <f>IF(OR('Volúmenes DIstribuidos '!C313="Azúcar",'Volúmenes DIstribuidos '!C313="azúcar"),"Azúcar o dulce",IF('Volúmenes DIstribuidos '!C313="Aceite","Aceite o grasas",IF('Volúmenes DIstribuidos '!C313="Avena","Otros almidones",'Volúmenes DIstribuidos '!C313)))</f>
        <v>Panadería</v>
      </c>
      <c r="C478" s="10" t="s">
        <v>29</v>
      </c>
      <c r="D478" s="12">
        <f>'Volúmenes DIstribuidos '!D313</f>
        <v>8.4</v>
      </c>
      <c r="E478" s="12">
        <f>SUMIF('Parametros Inventario'!$A:$A,B478,'Parametros Inventario'!$B:$B)+SUMIFS(D$2:D478,B$2:B478,B478,C$2:C478,"ENTRADA")-SUMIFS(D$2:D478,B$2:B478,B478,C$2:C478,"SALIDA")</f>
        <v>1773.2660000000003</v>
      </c>
    </row>
    <row r="479" spans="1:5" x14ac:dyDescent="0.3">
      <c r="A479" s="9">
        <f>'Volúmenes DIstribuidos '!B309</f>
        <v>44225</v>
      </c>
      <c r="B479" s="10" t="str">
        <f>IF(OR('Volúmenes DIstribuidos '!C314="Azúcar",'Volúmenes DIstribuidos '!C314="azúcar"),"Azúcar o dulce",IF('Volúmenes DIstribuidos '!C314="Aceite","Aceite o grasas",IF('Volúmenes DIstribuidos '!C314="Avena","Otros almidones",'Volúmenes DIstribuidos '!C314)))</f>
        <v>Aceite o grasas</v>
      </c>
      <c r="C479" s="10" t="s">
        <v>29</v>
      </c>
      <c r="D479" s="12">
        <f>'Volúmenes DIstribuidos '!D314</f>
        <v>12.36</v>
      </c>
      <c r="E479" s="12">
        <f>SUMIF('Parametros Inventario'!$A:$A,B479,'Parametros Inventario'!$B:$B)+SUMIFS(D$2:D479,B$2:B479,B479,C$2:C479,"ENTRADA")-SUMIFS(D$2:D479,B$2:B479,B479,C$2:C479,"SALIDA")</f>
        <v>3014.2440000000006</v>
      </c>
    </row>
    <row r="480" spans="1:5" x14ac:dyDescent="0.3">
      <c r="A480" s="9">
        <f>'Volúmenes DIstribuidos '!B315</f>
        <v>44229</v>
      </c>
      <c r="B480" s="10" t="str">
        <f>IF(OR('Volúmenes DIstribuidos '!C315="Azúcar",'Volúmenes DIstribuidos '!C315="azúcar"),"Azúcar o dulce",IF('Volúmenes DIstribuidos '!C315="Aceite","Aceite o grasas",IF('Volúmenes DIstribuidos '!C315="Avena","Otros almidones",'Volúmenes DIstribuidos '!C315)))</f>
        <v>Lácteos</v>
      </c>
      <c r="C480" s="10" t="s">
        <v>29</v>
      </c>
      <c r="D480" s="12">
        <f>'Volúmenes DIstribuidos '!D315</f>
        <v>5.33</v>
      </c>
      <c r="E480" s="12">
        <f>SUMIF('Parametros Inventario'!$A:$A,B480,'Parametros Inventario'!$B:$B)+SUMIFS(D$2:D480,B$2:B480,B480,C$2:C480,"ENTRADA")-SUMIFS(D$2:D480,B$2:B480,B480,C$2:C480,"SALIDA")</f>
        <v>2478.6450000000004</v>
      </c>
    </row>
    <row r="481" spans="1:5" x14ac:dyDescent="0.3">
      <c r="A481" s="9">
        <f>'Volúmenes DIstribuidos '!B315</f>
        <v>44229</v>
      </c>
      <c r="B481" s="10" t="str">
        <f>IF(OR('Volúmenes DIstribuidos '!C316="Azúcar",'Volúmenes DIstribuidos '!C316="azúcar"),"Azúcar o dulce",IF('Volúmenes DIstribuidos '!C316="Aceite","Aceite o grasas",IF('Volúmenes DIstribuidos '!C316="Avena","Otros almidones",'Volúmenes DIstribuidos '!C316)))</f>
        <v>Vegetales y hojas</v>
      </c>
      <c r="C481" s="10" t="s">
        <v>29</v>
      </c>
      <c r="D481" s="12">
        <f>'Volúmenes DIstribuidos '!D316</f>
        <v>9.5500000000000007</v>
      </c>
      <c r="E481" s="12">
        <f>SUMIF('Parametros Inventario'!$A:$A,B481,'Parametros Inventario'!$B:$B)+SUMIFS(D$2:D481,B$2:B481,B481,C$2:C481,"ENTRADA")-SUMIFS(D$2:D481,B$2:B481,B481,C$2:C481,"SALIDA")</f>
        <v>2994.2060000000001</v>
      </c>
    </row>
    <row r="482" spans="1:5" x14ac:dyDescent="0.3">
      <c r="A482" s="9">
        <f>'Volúmenes DIstribuidos '!B315</f>
        <v>44229</v>
      </c>
      <c r="B482" s="10" t="str">
        <f>IF(OR('Volúmenes DIstribuidos '!C317="Azúcar",'Volúmenes DIstribuidos '!C317="azúcar"),"Azúcar o dulce",IF('Volúmenes DIstribuidos '!C317="Aceite","Aceite o grasas",IF('Volúmenes DIstribuidos '!C317="Avena","Otros almidones",'Volúmenes DIstribuidos '!C317)))</f>
        <v>Panadería</v>
      </c>
      <c r="C482" s="10" t="s">
        <v>29</v>
      </c>
      <c r="D482" s="12">
        <f>'Volúmenes DIstribuidos '!D317</f>
        <v>7.69</v>
      </c>
      <c r="E482" s="12">
        <f>SUMIF('Parametros Inventario'!$A:$A,B482,'Parametros Inventario'!$B:$B)+SUMIFS(D$2:D482,B$2:B482,B482,C$2:C482,"ENTRADA")-SUMIFS(D$2:D482,B$2:B482,B482,C$2:C482,"SALIDA")</f>
        <v>1765.5760000000002</v>
      </c>
    </row>
    <row r="483" spans="1:5" x14ac:dyDescent="0.3">
      <c r="A483" s="9">
        <f>'Volúmenes DIstribuidos '!B315</f>
        <v>44229</v>
      </c>
      <c r="B483" s="10" t="str">
        <f>IF(OR('Volúmenes DIstribuidos '!C318="Azúcar",'Volúmenes DIstribuidos '!C318="azúcar"),"Azúcar o dulce",IF('Volúmenes DIstribuidos '!C318="Aceite","Aceite o grasas",IF('Volúmenes DIstribuidos '!C318="Avena","Otros almidones",'Volúmenes DIstribuidos '!C318)))</f>
        <v>Menestras</v>
      </c>
      <c r="C483" s="10" t="s">
        <v>29</v>
      </c>
      <c r="D483" s="12">
        <f>'Volúmenes DIstribuidos '!D318</f>
        <v>27.7</v>
      </c>
      <c r="E483" s="12">
        <f>SUMIF('Parametros Inventario'!$A:$A,B483,'Parametros Inventario'!$B:$B)+SUMIFS(D$2:D483,B$2:B483,B483,C$2:C483,"ENTRADA")-SUMIFS(D$2:D483,B$2:B483,B483,C$2:C483,"SALIDA")</f>
        <v>2429.6080000000002</v>
      </c>
    </row>
    <row r="484" spans="1:5" x14ac:dyDescent="0.3">
      <c r="A484" s="9">
        <f>'Volúmenes DIstribuidos '!B315</f>
        <v>44229</v>
      </c>
      <c r="B484" s="10" t="str">
        <f>IF(OR('Volúmenes DIstribuidos '!C319="Azúcar",'Volúmenes DIstribuidos '!C319="azúcar"),"Azúcar o dulce",IF('Volúmenes DIstribuidos '!C319="Aceite","Aceite o grasas",IF('Volúmenes DIstribuidos '!C319="Avena","Otros almidones",'Volúmenes DIstribuidos '!C319)))</f>
        <v>Azúcar o dulce</v>
      </c>
      <c r="C484" s="10" t="s">
        <v>29</v>
      </c>
      <c r="D484" s="12">
        <f>'Volúmenes DIstribuidos '!D319</f>
        <v>11.47</v>
      </c>
      <c r="E484" s="12">
        <f>SUMIF('Parametros Inventario'!$A:$A,B484,'Parametros Inventario'!$B:$B)+SUMIFS(D$2:D484,B$2:B484,B484,C$2:C484,"ENTRADA")-SUMIFS(D$2:D484,B$2:B484,B484,C$2:C484,"SALIDA")</f>
        <v>3711.7039999999997</v>
      </c>
    </row>
    <row r="485" spans="1:5" x14ac:dyDescent="0.3">
      <c r="A485" s="9">
        <f>'Volúmenes DIstribuidos '!B315</f>
        <v>44229</v>
      </c>
      <c r="B485" s="10" t="str">
        <f>IF(OR('Volúmenes DIstribuidos '!C320="Azúcar",'Volúmenes DIstribuidos '!C320="azúcar"),"Azúcar o dulce",IF('Volúmenes DIstribuidos '!C320="Aceite","Aceite o grasas",IF('Volúmenes DIstribuidos '!C320="Avena","Otros almidones",'Volúmenes DIstribuidos '!C320)))</f>
        <v>Carnes rojas</v>
      </c>
      <c r="C485" s="10" t="s">
        <v>29</v>
      </c>
      <c r="D485" s="12">
        <f>'Volúmenes DIstribuidos '!D320</f>
        <v>21.45</v>
      </c>
      <c r="E485" s="12">
        <f>SUMIF('Parametros Inventario'!$A:$A,B485,'Parametros Inventario'!$B:$B)+SUMIFS(D$2:D485,B$2:B485,B485,C$2:C485,"ENTRADA")-SUMIFS(D$2:D485,B$2:B485,B485,C$2:C485,"SALIDA")</f>
        <v>2882.1869999999999</v>
      </c>
    </row>
    <row r="486" spans="1:5" x14ac:dyDescent="0.3">
      <c r="A486" s="9">
        <f>'Volúmenes DIstribuidos '!B321</f>
        <v>44232</v>
      </c>
      <c r="B486" s="10" t="str">
        <f>IF(OR('Volúmenes DIstribuidos '!C321="Azúcar",'Volúmenes DIstribuidos '!C321="azúcar"),"Azúcar o dulce",IF('Volúmenes DIstribuidos '!C321="Aceite","Aceite o grasas",IF('Volúmenes DIstribuidos '!C321="Avena","Otros almidones",'Volúmenes DIstribuidos '!C321)))</f>
        <v>Otros almidones</v>
      </c>
      <c r="C486" s="10" t="s">
        <v>29</v>
      </c>
      <c r="D486" s="12">
        <f>'Volúmenes DIstribuidos '!D321</f>
        <v>3.76</v>
      </c>
      <c r="E486" s="12">
        <f>SUMIF('Parametros Inventario'!$A:$A,B486,'Parametros Inventario'!$B:$B)+SUMIFS(D$2:D486,B$2:B486,B486,C$2:C486,"ENTRADA")-SUMIFS(D$2:D486,B$2:B486,B486,C$2:C486,"SALIDA")</f>
        <v>2404.1360000000004</v>
      </c>
    </row>
    <row r="487" spans="1:5" x14ac:dyDescent="0.3">
      <c r="A487" s="9">
        <f>'Volúmenes DIstribuidos '!B321</f>
        <v>44232</v>
      </c>
      <c r="B487" s="10" t="str">
        <f>IF(OR('Volúmenes DIstribuidos '!C322="Azúcar",'Volúmenes DIstribuidos '!C322="azúcar"),"Azúcar o dulce",IF('Volúmenes DIstribuidos '!C322="Aceite","Aceite o grasas",IF('Volúmenes DIstribuidos '!C322="Avena","Otros almidones",'Volúmenes DIstribuidos '!C322)))</f>
        <v>Vegetales y hojas</v>
      </c>
      <c r="C487" s="10" t="s">
        <v>29</v>
      </c>
      <c r="D487" s="12">
        <f>'Volúmenes DIstribuidos '!D322</f>
        <v>5.1280000000000001</v>
      </c>
      <c r="E487" s="12">
        <f>SUMIF('Parametros Inventario'!$A:$A,B487,'Parametros Inventario'!$B:$B)+SUMIFS(D$2:D487,B$2:B487,B487,C$2:C487,"ENTRADA")-SUMIFS(D$2:D487,B$2:B487,B487,C$2:C487,"SALIDA")</f>
        <v>2989.078</v>
      </c>
    </row>
    <row r="488" spans="1:5" x14ac:dyDescent="0.3">
      <c r="A488" s="9">
        <f>'Volúmenes DIstribuidos '!B321</f>
        <v>44232</v>
      </c>
      <c r="B488" s="10" t="str">
        <f>IF(OR('Volúmenes DIstribuidos '!C323="Azúcar",'Volúmenes DIstribuidos '!C323="azúcar"),"Azúcar o dulce",IF('Volúmenes DIstribuidos '!C323="Aceite","Aceite o grasas",IF('Volúmenes DIstribuidos '!C323="Avena","Otros almidones",'Volúmenes DIstribuidos '!C323)))</f>
        <v>Lácteos</v>
      </c>
      <c r="C488" s="10" t="s">
        <v>29</v>
      </c>
      <c r="D488" s="12">
        <f>'Volúmenes DIstribuidos '!D323</f>
        <v>7.19</v>
      </c>
      <c r="E488" s="12">
        <f>SUMIF('Parametros Inventario'!$A:$A,B488,'Parametros Inventario'!$B:$B)+SUMIFS(D$2:D488,B$2:B488,B488,C$2:C488,"ENTRADA")-SUMIFS(D$2:D488,B$2:B488,B488,C$2:C488,"SALIDA")</f>
        <v>2471.4549999999999</v>
      </c>
    </row>
    <row r="489" spans="1:5" x14ac:dyDescent="0.3">
      <c r="A489" s="9">
        <f>'Volúmenes DIstribuidos '!B321</f>
        <v>44232</v>
      </c>
      <c r="B489" s="10" t="str">
        <f>IF(OR('Volúmenes DIstribuidos '!C324="Azúcar",'Volúmenes DIstribuidos '!C324="azúcar"),"Azúcar o dulce",IF('Volúmenes DIstribuidos '!C324="Aceite","Aceite o grasas",IF('Volúmenes DIstribuidos '!C324="Avena","Otros almidones",'Volúmenes DIstribuidos '!C324)))</f>
        <v>Aceite o grasas</v>
      </c>
      <c r="C489" s="10" t="s">
        <v>29</v>
      </c>
      <c r="D489" s="12">
        <f>'Volúmenes DIstribuidos '!D324</f>
        <v>11.61</v>
      </c>
      <c r="E489" s="12">
        <f>SUMIF('Parametros Inventario'!$A:$A,B489,'Parametros Inventario'!$B:$B)+SUMIFS(D$2:D489,B$2:B489,B489,C$2:C489,"ENTRADA")-SUMIFS(D$2:D489,B$2:B489,B489,C$2:C489,"SALIDA")</f>
        <v>3002.6340000000009</v>
      </c>
    </row>
    <row r="490" spans="1:5" x14ac:dyDescent="0.3">
      <c r="A490" s="9">
        <f>'Volúmenes DIstribuidos '!B321</f>
        <v>44232</v>
      </c>
      <c r="B490" s="10" t="str">
        <f>IF(OR('Volúmenes DIstribuidos '!C325="Azúcar",'Volúmenes DIstribuidos '!C325="azúcar"),"Azúcar o dulce",IF('Volúmenes DIstribuidos '!C325="Aceite","Aceite o grasas",IF('Volúmenes DIstribuidos '!C325="Avena","Otros almidones",'Volúmenes DIstribuidos '!C325)))</f>
        <v>Menestras</v>
      </c>
      <c r="C490" s="10" t="s">
        <v>29</v>
      </c>
      <c r="D490" s="12">
        <f>'Volúmenes DIstribuidos '!D325</f>
        <v>116.688</v>
      </c>
      <c r="E490" s="12">
        <f>SUMIF('Parametros Inventario'!$A:$A,B490,'Parametros Inventario'!$B:$B)+SUMIFS(D$2:D490,B$2:B490,B490,C$2:C490,"ENTRADA")-SUMIFS(D$2:D490,B$2:B490,B490,C$2:C490,"SALIDA")</f>
        <v>2312.92</v>
      </c>
    </row>
    <row r="491" spans="1:5" x14ac:dyDescent="0.3">
      <c r="A491" s="9">
        <f>'Volúmenes DIstribuidos '!B321</f>
        <v>44232</v>
      </c>
      <c r="B491" s="10" t="str">
        <f>IF(OR('Volúmenes DIstribuidos '!C326="Azúcar",'Volúmenes DIstribuidos '!C326="azúcar"),"Azúcar o dulce",IF('Volúmenes DIstribuidos '!C326="Aceite","Aceite o grasas",IF('Volúmenes DIstribuidos '!C326="Avena","Otros almidones",'Volúmenes DIstribuidos '!C326)))</f>
        <v>Fideo</v>
      </c>
      <c r="C491" s="10" t="s">
        <v>29</v>
      </c>
      <c r="D491" s="12">
        <f>'Volúmenes DIstribuidos '!D326</f>
        <v>14.85</v>
      </c>
      <c r="E491" s="12">
        <f>SUMIF('Parametros Inventario'!$A:$A,B491,'Parametros Inventario'!$B:$B)+SUMIFS(D$2:D491,B$2:B491,B491,C$2:C491,"ENTRADA")-SUMIFS(D$2:D491,B$2:B491,B491,C$2:C491,"SALIDA")</f>
        <v>2933.681</v>
      </c>
    </row>
    <row r="492" spans="1:5" x14ac:dyDescent="0.3">
      <c r="A492" s="9">
        <f>'Volúmenes DIstribuidos '!B327</f>
        <v>44236</v>
      </c>
      <c r="B492" s="10" t="str">
        <f>IF(OR('Volúmenes DIstribuidos '!C327="Azúcar",'Volúmenes DIstribuidos '!C327="azúcar"),"Azúcar o dulce",IF('Volúmenes DIstribuidos '!C327="Aceite","Aceite o grasas",IF('Volúmenes DIstribuidos '!C327="Avena","Otros almidones",'Volúmenes DIstribuidos '!C327)))</f>
        <v>Salsas</v>
      </c>
      <c r="C492" s="10" t="s">
        <v>29</v>
      </c>
      <c r="D492" s="12">
        <f>'Volúmenes DIstribuidos '!D327</f>
        <v>45.7</v>
      </c>
      <c r="E492" s="12">
        <f>SUMIF('Parametros Inventario'!$A:$A,B492,'Parametros Inventario'!$B:$B)+SUMIFS(D$2:D492,B$2:B492,B492,C$2:C492,"ENTRADA")-SUMIFS(D$2:D492,B$2:B492,B492,C$2:C492,"SALIDA")</f>
        <v>2932.7249999999999</v>
      </c>
    </row>
    <row r="493" spans="1:5" x14ac:dyDescent="0.3">
      <c r="A493" s="9">
        <f>'Volúmenes DIstribuidos '!B327</f>
        <v>44236</v>
      </c>
      <c r="B493" s="10" t="str">
        <f>IF(OR('Volúmenes DIstribuidos '!C328="Azúcar",'Volúmenes DIstribuidos '!C328="azúcar"),"Azúcar o dulce",IF('Volúmenes DIstribuidos '!C328="Aceite","Aceite o grasas",IF('Volúmenes DIstribuidos '!C328="Avena","Otros almidones",'Volúmenes DIstribuidos '!C328)))</f>
        <v>Otros almidones</v>
      </c>
      <c r="C493" s="10" t="s">
        <v>29</v>
      </c>
      <c r="D493" s="12">
        <f>'Volúmenes DIstribuidos '!D328</f>
        <v>22.47</v>
      </c>
      <c r="E493" s="12">
        <f>SUMIF('Parametros Inventario'!$A:$A,B493,'Parametros Inventario'!$B:$B)+SUMIFS(D$2:D493,B$2:B493,B493,C$2:C493,"ENTRADA")-SUMIFS(D$2:D493,B$2:B493,B493,C$2:C493,"SALIDA")</f>
        <v>2381.6660000000002</v>
      </c>
    </row>
    <row r="494" spans="1:5" x14ac:dyDescent="0.3">
      <c r="A494" s="9">
        <f>'Volúmenes DIstribuidos '!B327</f>
        <v>44236</v>
      </c>
      <c r="B494" s="10" t="str">
        <f>IF(OR('Volúmenes DIstribuidos '!C329="Azúcar",'Volúmenes DIstribuidos '!C329="azúcar"),"Azúcar o dulce",IF('Volúmenes DIstribuidos '!C329="Aceite","Aceite o grasas",IF('Volúmenes DIstribuidos '!C329="Avena","Otros almidones",'Volúmenes DIstribuidos '!C329)))</f>
        <v>Vegetales y hojas</v>
      </c>
      <c r="C494" s="10" t="s">
        <v>29</v>
      </c>
      <c r="D494" s="12">
        <f>'Volúmenes DIstribuidos '!D329</f>
        <v>17.46</v>
      </c>
      <c r="E494" s="12">
        <f>SUMIF('Parametros Inventario'!$A:$A,B494,'Parametros Inventario'!$B:$B)+SUMIFS(D$2:D494,B$2:B494,B494,C$2:C494,"ENTRADA")-SUMIFS(D$2:D494,B$2:B494,B494,C$2:C494,"SALIDA")</f>
        <v>2971.6179999999999</v>
      </c>
    </row>
    <row r="495" spans="1:5" x14ac:dyDescent="0.3">
      <c r="A495" s="9">
        <f>'Volúmenes DIstribuidos '!B327</f>
        <v>44236</v>
      </c>
      <c r="B495" s="10" t="str">
        <f>IF(OR('Volúmenes DIstribuidos '!C330="Azúcar",'Volúmenes DIstribuidos '!C330="azúcar"),"Azúcar o dulce",IF('Volúmenes DIstribuidos '!C330="Aceite","Aceite o grasas",IF('Volúmenes DIstribuidos '!C330="Avena","Otros almidones",'Volúmenes DIstribuidos '!C330)))</f>
        <v>Menestras</v>
      </c>
      <c r="C495" s="10" t="s">
        <v>29</v>
      </c>
      <c r="D495" s="12">
        <f>'Volúmenes DIstribuidos '!D330</f>
        <v>31.177</v>
      </c>
      <c r="E495" s="12">
        <f>SUMIF('Parametros Inventario'!$A:$A,B495,'Parametros Inventario'!$B:$B)+SUMIFS(D$2:D495,B$2:B495,B495,C$2:C495,"ENTRADA")-SUMIFS(D$2:D495,B$2:B495,B495,C$2:C495,"SALIDA")</f>
        <v>2281.7429999999999</v>
      </c>
    </row>
    <row r="496" spans="1:5" x14ac:dyDescent="0.3">
      <c r="A496" s="9">
        <f>'Volúmenes DIstribuidos '!B327</f>
        <v>44236</v>
      </c>
      <c r="B496" s="10" t="str">
        <f>IF(OR('Volúmenes DIstribuidos '!C331="Azúcar",'Volúmenes DIstribuidos '!C331="azúcar"),"Azúcar o dulce",IF('Volúmenes DIstribuidos '!C331="Aceite","Aceite o grasas",IF('Volúmenes DIstribuidos '!C331="Avena","Otros almidones",'Volúmenes DIstribuidos '!C331)))</f>
        <v>Vegetales y hojas</v>
      </c>
      <c r="C496" s="10" t="s">
        <v>29</v>
      </c>
      <c r="D496" s="12">
        <f>'Volúmenes DIstribuidos '!D331</f>
        <v>42.02</v>
      </c>
      <c r="E496" s="12">
        <f>SUMIF('Parametros Inventario'!$A:$A,B496,'Parametros Inventario'!$B:$B)+SUMIFS(D$2:D496,B$2:B496,B496,C$2:C496,"ENTRADA")-SUMIFS(D$2:D496,B$2:B496,B496,C$2:C496,"SALIDA")</f>
        <v>2929.598</v>
      </c>
    </row>
    <row r="497" spans="1:5" x14ac:dyDescent="0.3">
      <c r="A497" s="9">
        <f>'Volúmenes DIstribuidos '!B327</f>
        <v>44236</v>
      </c>
      <c r="B497" s="10" t="str">
        <f>IF(OR('Volúmenes DIstribuidos '!C332="Azúcar",'Volúmenes DIstribuidos '!C332="azúcar"),"Azúcar o dulce",IF('Volúmenes DIstribuidos '!C332="Aceite","Aceite o grasas",IF('Volúmenes DIstribuidos '!C332="Avena","Otros almidones",'Volúmenes DIstribuidos '!C332)))</f>
        <v>Panadería</v>
      </c>
      <c r="C497" s="10" t="s">
        <v>29</v>
      </c>
      <c r="D497" s="12">
        <f>'Volúmenes DIstribuidos '!D332</f>
        <v>41.14</v>
      </c>
      <c r="E497" s="12">
        <f>SUMIF('Parametros Inventario'!$A:$A,B497,'Parametros Inventario'!$B:$B)+SUMIFS(D$2:D497,B$2:B497,B497,C$2:C497,"ENTRADA")-SUMIFS(D$2:D497,B$2:B497,B497,C$2:C497,"SALIDA")</f>
        <v>1724.4360000000001</v>
      </c>
    </row>
    <row r="498" spans="1:5" x14ac:dyDescent="0.3">
      <c r="A498" s="9">
        <v>44239</v>
      </c>
      <c r="B498" s="10" t="s">
        <v>15</v>
      </c>
      <c r="C498" s="10" t="s">
        <v>28</v>
      </c>
      <c r="D498" s="12">
        <v>213.26</v>
      </c>
      <c r="E498" s="12">
        <f>SUMIF('Parametros Inventario'!$A:$A,B498,'Parametros Inventario'!$B:$B)+SUMIFS(D$2:D498,B$2:B498,B498,C$2:C498,"ENTRADA")-SUMIFS(D$2:D498,B$2:B498,B498,C$2:C498,"SALIDA")</f>
        <v>2594.9260000000004</v>
      </c>
    </row>
    <row r="499" spans="1:5" x14ac:dyDescent="0.3">
      <c r="A499" s="9">
        <v>44239</v>
      </c>
      <c r="B499" s="10" t="s">
        <v>11</v>
      </c>
      <c r="C499" s="10" t="s">
        <v>28</v>
      </c>
      <c r="D499" s="12">
        <v>91.85</v>
      </c>
      <c r="E499" s="12">
        <f>SUMIF('Parametros Inventario'!$A:$A,B499,'Parametros Inventario'!$B:$B)+SUMIFS(D$2:D499,B$2:B499,B499,C$2:C499,"ENTRADA")-SUMIFS(D$2:D499,B$2:B499,B499,C$2:C499,"SALIDA")</f>
        <v>3025.5309999999999</v>
      </c>
    </row>
    <row r="500" spans="1:5" x14ac:dyDescent="0.3">
      <c r="A500" s="9">
        <v>44239</v>
      </c>
      <c r="B500" s="10" t="s">
        <v>9</v>
      </c>
      <c r="C500" s="10" t="s">
        <v>28</v>
      </c>
      <c r="D500" s="12">
        <v>65.040000000000006</v>
      </c>
      <c r="E500" s="12">
        <f>SUMIF('Parametros Inventario'!$A:$A,B500,'Parametros Inventario'!$B:$B)+SUMIFS(D$2:D500,B$2:B500,B500,C$2:C500,"ENTRADA")-SUMIFS(D$2:D500,B$2:B500,B500,C$2:C500,"SALIDA")</f>
        <v>1789.4760000000001</v>
      </c>
    </row>
    <row r="501" spans="1:5" x14ac:dyDescent="0.3">
      <c r="A501" s="9">
        <v>44239</v>
      </c>
      <c r="B501" s="10" t="s">
        <v>14</v>
      </c>
      <c r="C501" s="10" t="s">
        <v>28</v>
      </c>
      <c r="D501" s="12">
        <v>280.45</v>
      </c>
      <c r="E501" s="12">
        <f>SUMIF('Parametros Inventario'!$A:$A,B501,'Parametros Inventario'!$B:$B)+SUMIFS(D$2:D501,B$2:B501,B501,C$2:C501,"ENTRADA")-SUMIFS(D$2:D501,B$2:B501,B501,C$2:C501,"SALIDA")</f>
        <v>2562.1929999999998</v>
      </c>
    </row>
    <row r="502" spans="1:5" x14ac:dyDescent="0.3">
      <c r="A502" s="9">
        <v>44239</v>
      </c>
      <c r="B502" s="10" t="s">
        <v>12</v>
      </c>
      <c r="C502" s="10" t="s">
        <v>28</v>
      </c>
      <c r="D502" s="12">
        <v>118.33</v>
      </c>
      <c r="E502" s="12">
        <f>SUMIF('Parametros Inventario'!$A:$A,B502,'Parametros Inventario'!$B:$B)+SUMIFS(D$2:D502,B$2:B502,B502,C$2:C502,"ENTRADA")-SUMIFS(D$2:D502,B$2:B502,B502,C$2:C502,"SALIDA")</f>
        <v>3000.5169999999998</v>
      </c>
    </row>
    <row r="503" spans="1:5" x14ac:dyDescent="0.3">
      <c r="A503" s="9">
        <v>44239</v>
      </c>
      <c r="B503" s="10" t="s">
        <v>16</v>
      </c>
      <c r="C503" s="10" t="s">
        <v>28</v>
      </c>
      <c r="D503" s="12">
        <v>112.72</v>
      </c>
      <c r="E503" s="12">
        <f>SUMIF('Parametros Inventario'!$A:$A,B503,'Parametros Inventario'!$B:$B)+SUMIFS(D$2:D503,B$2:B503,B503,C$2:C503,"ENTRADA")-SUMIFS(D$2:D503,B$2:B503,B503,C$2:C503,"SALIDA")</f>
        <v>2957.9949999999999</v>
      </c>
    </row>
    <row r="504" spans="1:5" x14ac:dyDescent="0.3">
      <c r="A504" s="9">
        <v>44239</v>
      </c>
      <c r="B504" s="10" t="s">
        <v>17</v>
      </c>
      <c r="C504" s="10" t="s">
        <v>28</v>
      </c>
      <c r="D504" s="12">
        <v>220</v>
      </c>
      <c r="E504" s="12">
        <f>SUMIF('Parametros Inventario'!$A:$A,B504,'Parametros Inventario'!$B:$B)+SUMIFS(D$2:D504,B$2:B504,B504,C$2:C504,"ENTRADA")-SUMIFS(D$2:D504,B$2:B504,B504,C$2:C504,"SALIDA")</f>
        <v>2691.4549999999999</v>
      </c>
    </row>
    <row r="505" spans="1:5" x14ac:dyDescent="0.3">
      <c r="A505" s="9">
        <v>44239</v>
      </c>
      <c r="B505" s="10" t="s">
        <v>18</v>
      </c>
      <c r="C505" s="10" t="s">
        <v>28</v>
      </c>
      <c r="D505" s="12">
        <v>299.81</v>
      </c>
      <c r="E505" s="12">
        <f>SUMIF('Parametros Inventario'!$A:$A,B505,'Parametros Inventario'!$B:$B)+SUMIFS(D$2:D505,B$2:B505,B505,C$2:C505,"ENTRADA")-SUMIFS(D$2:D505,B$2:B505,B505,C$2:C505,"SALIDA")</f>
        <v>3232.5349999999999</v>
      </c>
    </row>
    <row r="506" spans="1:5" x14ac:dyDescent="0.3">
      <c r="A506" s="9">
        <v>44239</v>
      </c>
      <c r="B506" s="10" t="s">
        <v>10</v>
      </c>
      <c r="C506" s="10" t="s">
        <v>28</v>
      </c>
      <c r="D506" s="12">
        <v>260.61</v>
      </c>
      <c r="E506" s="12">
        <f>SUMIF('Parametros Inventario'!$A:$A,B506,'Parametros Inventario'!$B:$B)+SUMIFS(D$2:D506,B$2:B506,B506,C$2:C506,"ENTRADA")-SUMIFS(D$2:D506,B$2:B506,B506,C$2:C506,"SALIDA")</f>
        <v>3190.2080000000001</v>
      </c>
    </row>
    <row r="507" spans="1:5" x14ac:dyDescent="0.3">
      <c r="A507" s="9">
        <v>44239</v>
      </c>
      <c r="B507" s="10" t="s">
        <v>8</v>
      </c>
      <c r="C507" s="10" t="s">
        <v>28</v>
      </c>
      <c r="D507" s="12">
        <v>103.19</v>
      </c>
      <c r="E507" s="12">
        <f>SUMIF('Parametros Inventario'!$A:$A,B507,'Parametros Inventario'!$B:$B)+SUMIFS(D$2:D507,B$2:B507,B507,C$2:C507,"ENTRADA")-SUMIFS(D$2:D507,B$2:B507,B507,C$2:C507,"SALIDA")</f>
        <v>3105.8240000000005</v>
      </c>
    </row>
    <row r="508" spans="1:5" x14ac:dyDescent="0.3">
      <c r="A508" s="9">
        <f>'Volúmenes DIstribuidos '!B333</f>
        <v>44239</v>
      </c>
      <c r="B508" s="10" t="str">
        <f>IF(OR('Volúmenes DIstribuidos '!C333="Azúcar",'Volúmenes DIstribuidos '!C333="azúcar"),"Azúcar o dulce",IF('Volúmenes DIstribuidos '!C333="Aceite","Aceite o grasas",IF('Volúmenes DIstribuidos '!C333="Avena","Otros almidones",'Volúmenes DIstribuidos '!C333)))</f>
        <v>Otros almidones</v>
      </c>
      <c r="C508" s="10" t="s">
        <v>29</v>
      </c>
      <c r="D508" s="12">
        <f>'Volúmenes DIstribuidos '!D333</f>
        <v>16.652000000000001</v>
      </c>
      <c r="E508" s="12">
        <f>SUMIF('Parametros Inventario'!$A:$A,B508,'Parametros Inventario'!$B:$B)+SUMIFS(D$2:D508,B$2:B508,B508,C$2:C508,"ENTRADA")-SUMIFS(D$2:D508,B$2:B508,B508,C$2:C508,"SALIDA")</f>
        <v>2578.2740000000003</v>
      </c>
    </row>
    <row r="509" spans="1:5" x14ac:dyDescent="0.3">
      <c r="A509" s="9">
        <f>'Volúmenes DIstribuidos '!B333</f>
        <v>44239</v>
      </c>
      <c r="B509" s="10" t="str">
        <f>IF(OR('Volúmenes DIstribuidos '!C334="Azúcar",'Volúmenes DIstribuidos '!C334="azúcar"),"Azúcar o dulce",IF('Volúmenes DIstribuidos '!C334="Aceite","Aceite o grasas",IF('Volúmenes DIstribuidos '!C334="Avena","Otros almidones",'Volúmenes DIstribuidos '!C334)))</f>
        <v>Vegetales y hojas</v>
      </c>
      <c r="C509" s="10" t="s">
        <v>29</v>
      </c>
      <c r="D509" s="12">
        <f>'Volúmenes DIstribuidos '!D334</f>
        <v>14.9</v>
      </c>
      <c r="E509" s="12">
        <f>SUMIF('Parametros Inventario'!$A:$A,B509,'Parametros Inventario'!$B:$B)+SUMIFS(D$2:D509,B$2:B509,B509,C$2:C509,"ENTRADA")-SUMIFS(D$2:D509,B$2:B509,B509,C$2:C509,"SALIDA")</f>
        <v>3175.308</v>
      </c>
    </row>
    <row r="510" spans="1:5" x14ac:dyDescent="0.3">
      <c r="A510" s="9">
        <f>'Volúmenes DIstribuidos '!B333</f>
        <v>44239</v>
      </c>
      <c r="B510" s="10" t="str">
        <f>IF(OR('Volúmenes DIstribuidos '!C335="Azúcar",'Volúmenes DIstribuidos '!C335="azúcar"),"Azúcar o dulce",IF('Volúmenes DIstribuidos '!C335="Aceite","Aceite o grasas",IF('Volúmenes DIstribuidos '!C335="Avena","Otros almidones",'Volúmenes DIstribuidos '!C335)))</f>
        <v>Salsas</v>
      </c>
      <c r="C510" s="10" t="s">
        <v>29</v>
      </c>
      <c r="D510" s="12">
        <f>'Volúmenes DIstribuidos '!D335</f>
        <v>12.82</v>
      </c>
      <c r="E510" s="12">
        <f>SUMIF('Parametros Inventario'!$A:$A,B510,'Parametros Inventario'!$B:$B)+SUMIFS(D$2:D510,B$2:B510,B510,C$2:C510,"ENTRADA")-SUMIFS(D$2:D510,B$2:B510,B510,C$2:C510,"SALIDA")</f>
        <v>3219.7149999999997</v>
      </c>
    </row>
    <row r="511" spans="1:5" x14ac:dyDescent="0.3">
      <c r="A511" s="9">
        <f>'Volúmenes DIstribuidos '!B333</f>
        <v>44239</v>
      </c>
      <c r="B511" s="10" t="str">
        <f>IF(OR('Volúmenes DIstribuidos '!C336="Azúcar",'Volúmenes DIstribuidos '!C336="azúcar"),"Azúcar o dulce",IF('Volúmenes DIstribuidos '!C336="Aceite","Aceite o grasas",IF('Volúmenes DIstribuidos '!C336="Avena","Otros almidones",'Volúmenes DIstribuidos '!C336)))</f>
        <v>Carnes blancas</v>
      </c>
      <c r="C511" s="10" t="s">
        <v>29</v>
      </c>
      <c r="D511" s="12">
        <f>'Volúmenes DIstribuidos '!D336</f>
        <v>16.760000000000002</v>
      </c>
      <c r="E511" s="12">
        <f>SUMIF('Parametros Inventario'!$A:$A,B511,'Parametros Inventario'!$B:$B)+SUMIFS(D$2:D511,B$2:B511,B511,C$2:C511,"ENTRADA")-SUMIFS(D$2:D511,B$2:B511,B511,C$2:C511,"SALIDA")</f>
        <v>2941.2349999999997</v>
      </c>
    </row>
    <row r="512" spans="1:5" x14ac:dyDescent="0.3">
      <c r="A512" s="9">
        <f>'Volúmenes DIstribuidos '!B333</f>
        <v>44239</v>
      </c>
      <c r="B512" s="10" t="str">
        <f>IF(OR('Volúmenes DIstribuidos '!C337="Azúcar",'Volúmenes DIstribuidos '!C337="azúcar"),"Azúcar o dulce",IF('Volúmenes DIstribuidos '!C337="Aceite","Aceite o grasas",IF('Volúmenes DIstribuidos '!C337="Avena","Otros almidones",'Volúmenes DIstribuidos '!C337)))</f>
        <v>Lácteos</v>
      </c>
      <c r="C512" s="10" t="s">
        <v>29</v>
      </c>
      <c r="D512" s="12">
        <f>'Volúmenes DIstribuidos '!D337</f>
        <v>14.621</v>
      </c>
      <c r="E512" s="12">
        <f>SUMIF('Parametros Inventario'!$A:$A,B512,'Parametros Inventario'!$B:$B)+SUMIFS(D$2:D512,B$2:B512,B512,C$2:C512,"ENTRADA")-SUMIFS(D$2:D512,B$2:B512,B512,C$2:C512,"SALIDA")</f>
        <v>2676.8339999999998</v>
      </c>
    </row>
    <row r="513" spans="1:5" x14ac:dyDescent="0.3">
      <c r="A513" s="9">
        <f>'Volúmenes DIstribuidos '!B333</f>
        <v>44239</v>
      </c>
      <c r="B513" s="10" t="str">
        <f>IF(OR('Volúmenes DIstribuidos '!C338="Azúcar",'Volúmenes DIstribuidos '!C338="azúcar"),"Azúcar o dulce",IF('Volúmenes DIstribuidos '!C338="Aceite","Aceite o grasas",IF('Volúmenes DIstribuidos '!C338="Avena","Otros almidones",'Volúmenes DIstribuidos '!C338)))</f>
        <v>Carnes blancas</v>
      </c>
      <c r="C513" s="10" t="s">
        <v>29</v>
      </c>
      <c r="D513" s="12">
        <f>'Volúmenes DIstribuidos '!D338</f>
        <v>21.56</v>
      </c>
      <c r="E513" s="12">
        <f>SUMIF('Parametros Inventario'!$A:$A,B513,'Parametros Inventario'!$B:$B)+SUMIFS(D$2:D513,B$2:B513,B513,C$2:C513,"ENTRADA")-SUMIFS(D$2:D513,B$2:B513,B513,C$2:C513,"SALIDA")</f>
        <v>2919.6750000000002</v>
      </c>
    </row>
    <row r="514" spans="1:5" x14ac:dyDescent="0.3">
      <c r="A514" s="9">
        <v>44243</v>
      </c>
      <c r="B514" s="10" t="s">
        <v>13</v>
      </c>
      <c r="C514" s="10" t="s">
        <v>28</v>
      </c>
      <c r="D514" s="12">
        <v>260.17</v>
      </c>
      <c r="E514" s="12">
        <f>SUMIF('Parametros Inventario'!$A:$A,B514,'Parametros Inventario'!$B:$B)+SUMIFS(D$2:D514,B$2:B514,B514,C$2:C514,"ENTRADA")-SUMIFS(D$2:D514,B$2:B514,B514,C$2:C514,"SALIDA")</f>
        <v>3971.8739999999998</v>
      </c>
    </row>
    <row r="515" spans="1:5" x14ac:dyDescent="0.3">
      <c r="A515" s="9">
        <v>44243</v>
      </c>
      <c r="B515" s="10" t="s">
        <v>15</v>
      </c>
      <c r="C515" s="10" t="s">
        <v>28</v>
      </c>
      <c r="D515" s="12">
        <v>120.33</v>
      </c>
      <c r="E515" s="12">
        <f>SUMIF('Parametros Inventario'!$A:$A,B515,'Parametros Inventario'!$B:$B)+SUMIFS(D$2:D515,B$2:B515,B515,C$2:C515,"ENTRADA")-SUMIFS(D$2:D515,B$2:B515,B515,C$2:C515,"SALIDA")</f>
        <v>2698.6040000000003</v>
      </c>
    </row>
    <row r="516" spans="1:5" x14ac:dyDescent="0.3">
      <c r="A516" s="9">
        <v>44243</v>
      </c>
      <c r="B516" s="10" t="s">
        <v>11</v>
      </c>
      <c r="C516" s="10" t="s">
        <v>28</v>
      </c>
      <c r="D516" s="12">
        <v>90.35</v>
      </c>
      <c r="E516" s="12">
        <f>SUMIF('Parametros Inventario'!$A:$A,B516,'Parametros Inventario'!$B:$B)+SUMIFS(D$2:D516,B$2:B516,B516,C$2:C516,"ENTRADA")-SUMIFS(D$2:D516,B$2:B516,B516,C$2:C516,"SALIDA")</f>
        <v>3115.8809999999999</v>
      </c>
    </row>
    <row r="517" spans="1:5" x14ac:dyDescent="0.3">
      <c r="A517" s="9">
        <v>44243</v>
      </c>
      <c r="B517" s="10" t="s">
        <v>9</v>
      </c>
      <c r="C517" s="10" t="s">
        <v>28</v>
      </c>
      <c r="D517" s="12">
        <v>183.52</v>
      </c>
      <c r="E517" s="12">
        <f>SUMIF('Parametros Inventario'!$A:$A,B517,'Parametros Inventario'!$B:$B)+SUMIFS(D$2:D517,B$2:B517,B517,C$2:C517,"ENTRADA")-SUMIFS(D$2:D517,B$2:B517,B517,C$2:C517,"SALIDA")</f>
        <v>1972.9960000000001</v>
      </c>
    </row>
    <row r="518" spans="1:5" x14ac:dyDescent="0.3">
      <c r="A518" s="9">
        <v>44243</v>
      </c>
      <c r="B518" s="10" t="s">
        <v>14</v>
      </c>
      <c r="C518" s="10" t="s">
        <v>28</v>
      </c>
      <c r="D518" s="12">
        <v>67.48</v>
      </c>
      <c r="E518" s="12">
        <f>SUMIF('Parametros Inventario'!$A:$A,B518,'Parametros Inventario'!$B:$B)+SUMIFS(D$2:D518,B$2:B518,B518,C$2:C518,"ENTRADA")-SUMIFS(D$2:D518,B$2:B518,B518,C$2:C518,"SALIDA")</f>
        <v>2629.6729999999998</v>
      </c>
    </row>
    <row r="519" spans="1:5" x14ac:dyDescent="0.3">
      <c r="A519" s="9">
        <v>44243</v>
      </c>
      <c r="B519" s="10" t="s">
        <v>12</v>
      </c>
      <c r="C519" s="10" t="s">
        <v>28</v>
      </c>
      <c r="D519" s="12">
        <v>72.430000000000007</v>
      </c>
      <c r="E519" s="12">
        <f>SUMIF('Parametros Inventario'!$A:$A,B519,'Parametros Inventario'!$B:$B)+SUMIFS(D$2:D519,B$2:B519,B519,C$2:C519,"ENTRADA")-SUMIFS(D$2:D519,B$2:B519,B519,C$2:C519,"SALIDA")</f>
        <v>3072.9469999999992</v>
      </c>
    </row>
    <row r="520" spans="1:5" x14ac:dyDescent="0.3">
      <c r="A520" s="9">
        <v>44243</v>
      </c>
      <c r="B520" s="10" t="s">
        <v>16</v>
      </c>
      <c r="C520" s="10" t="s">
        <v>28</v>
      </c>
      <c r="D520" s="12">
        <v>224.61</v>
      </c>
      <c r="E520" s="12">
        <f>SUMIF('Parametros Inventario'!$A:$A,B520,'Parametros Inventario'!$B:$B)+SUMIFS(D$2:D520,B$2:B520,B520,C$2:C520,"ENTRADA")-SUMIFS(D$2:D520,B$2:B520,B520,C$2:C520,"SALIDA")</f>
        <v>3144.2850000000008</v>
      </c>
    </row>
    <row r="521" spans="1:5" x14ac:dyDescent="0.3">
      <c r="A521" s="9">
        <v>44243</v>
      </c>
      <c r="B521" s="10" t="s">
        <v>17</v>
      </c>
      <c r="C521" s="10" t="s">
        <v>28</v>
      </c>
      <c r="D521" s="12">
        <v>257.62</v>
      </c>
      <c r="E521" s="12">
        <f>SUMIF('Parametros Inventario'!$A:$A,B521,'Parametros Inventario'!$B:$B)+SUMIFS(D$2:D521,B$2:B521,B521,C$2:C521,"ENTRADA")-SUMIFS(D$2:D521,B$2:B521,B521,C$2:C521,"SALIDA")</f>
        <v>2934.4539999999997</v>
      </c>
    </row>
    <row r="522" spans="1:5" x14ac:dyDescent="0.3">
      <c r="A522" s="9">
        <v>44243</v>
      </c>
      <c r="B522" s="10" t="s">
        <v>18</v>
      </c>
      <c r="C522" s="10" t="s">
        <v>28</v>
      </c>
      <c r="D522" s="12">
        <v>231.27</v>
      </c>
      <c r="E522" s="12">
        <f>SUMIF('Parametros Inventario'!$A:$A,B522,'Parametros Inventario'!$B:$B)+SUMIFS(D$2:D522,B$2:B522,B522,C$2:C522,"ENTRADA")-SUMIFS(D$2:D522,B$2:B522,B522,C$2:C522,"SALIDA")</f>
        <v>3450.9849999999997</v>
      </c>
    </row>
    <row r="523" spans="1:5" x14ac:dyDescent="0.3">
      <c r="A523" s="9">
        <v>44243</v>
      </c>
      <c r="B523" s="10" t="s">
        <v>10</v>
      </c>
      <c r="C523" s="10" t="s">
        <v>28</v>
      </c>
      <c r="D523" s="12">
        <v>299.70999999999998</v>
      </c>
      <c r="E523" s="12">
        <f>SUMIF('Parametros Inventario'!$A:$A,B523,'Parametros Inventario'!$B:$B)+SUMIFS(D$2:D523,B$2:B523,B523,C$2:C523,"ENTRADA")-SUMIFS(D$2:D523,B$2:B523,B523,C$2:C523,"SALIDA")</f>
        <v>3475.0180000000005</v>
      </c>
    </row>
    <row r="524" spans="1:5" x14ac:dyDescent="0.3">
      <c r="A524" s="9">
        <v>44243</v>
      </c>
      <c r="B524" s="10" t="s">
        <v>8</v>
      </c>
      <c r="C524" s="10" t="s">
        <v>28</v>
      </c>
      <c r="D524" s="12">
        <v>269.57</v>
      </c>
      <c r="E524" s="12">
        <f>SUMIF('Parametros Inventario'!$A:$A,B524,'Parametros Inventario'!$B:$B)+SUMIFS(D$2:D524,B$2:B524,B524,C$2:C524,"ENTRADA")-SUMIFS(D$2:D524,B$2:B524,B524,C$2:C524,"SALIDA")</f>
        <v>3375.3940000000011</v>
      </c>
    </row>
    <row r="525" spans="1:5" x14ac:dyDescent="0.3">
      <c r="A525" s="9">
        <f>'Volúmenes DIstribuidos '!B339</f>
        <v>44243</v>
      </c>
      <c r="B525" s="10" t="str">
        <f>IF(OR('Volúmenes DIstribuidos '!C339="Azúcar",'Volúmenes DIstribuidos '!C339="azúcar"),"Azúcar o dulce",IF('Volúmenes DIstribuidos '!C339="Aceite","Aceite o grasas",IF('Volúmenes DIstribuidos '!C339="Avena","Otros almidones",'Volúmenes DIstribuidos '!C339)))</f>
        <v>Aceite o grasas</v>
      </c>
      <c r="C525" s="10" t="s">
        <v>29</v>
      </c>
      <c r="D525" s="12">
        <f>'Volúmenes DIstribuidos '!D339</f>
        <v>20.98</v>
      </c>
      <c r="E525" s="12">
        <f>SUMIF('Parametros Inventario'!$A:$A,B525,'Parametros Inventario'!$B:$B)+SUMIFS(D$2:D525,B$2:B525,B525,C$2:C525,"ENTRADA")-SUMIFS(D$2:D525,B$2:B525,B525,C$2:C525,"SALIDA")</f>
        <v>3354.4140000000007</v>
      </c>
    </row>
    <row r="526" spans="1:5" x14ac:dyDescent="0.3">
      <c r="A526" s="9">
        <f>'Volúmenes DIstribuidos '!B339</f>
        <v>44243</v>
      </c>
      <c r="B526" s="10" t="str">
        <f>IF(OR('Volúmenes DIstribuidos '!C340="Azúcar",'Volúmenes DIstribuidos '!C340="azúcar"),"Azúcar o dulce",IF('Volúmenes DIstribuidos '!C340="Aceite","Aceite o grasas",IF('Volúmenes DIstribuidos '!C340="Avena","Otros almidones",'Volúmenes DIstribuidos '!C340)))</f>
        <v>Otros almidones</v>
      </c>
      <c r="C526" s="10" t="s">
        <v>29</v>
      </c>
      <c r="D526" s="12">
        <f>'Volúmenes DIstribuidos '!D340</f>
        <v>30.879000000000001</v>
      </c>
      <c r="E526" s="12">
        <f>SUMIF('Parametros Inventario'!$A:$A,B526,'Parametros Inventario'!$B:$B)+SUMIFS(D$2:D526,B$2:B526,B526,C$2:C526,"ENTRADA")-SUMIFS(D$2:D526,B$2:B526,B526,C$2:C526,"SALIDA")</f>
        <v>2667.7250000000004</v>
      </c>
    </row>
    <row r="527" spans="1:5" x14ac:dyDescent="0.3">
      <c r="A527" s="9">
        <f>'Volúmenes DIstribuidos '!B339</f>
        <v>44243</v>
      </c>
      <c r="B527" s="10" t="str">
        <f>IF(OR('Volúmenes DIstribuidos '!C341="Azúcar",'Volúmenes DIstribuidos '!C341="azúcar"),"Azúcar o dulce",IF('Volúmenes DIstribuidos '!C341="Aceite","Aceite o grasas",IF('Volúmenes DIstribuidos '!C341="Avena","Otros almidones",'Volúmenes DIstribuidos '!C341)))</f>
        <v>Panadería</v>
      </c>
      <c r="C527" s="10" t="s">
        <v>29</v>
      </c>
      <c r="D527" s="12">
        <f>'Volúmenes DIstribuidos '!D341</f>
        <v>50.86</v>
      </c>
      <c r="E527" s="12">
        <f>SUMIF('Parametros Inventario'!$A:$A,B527,'Parametros Inventario'!$B:$B)+SUMIFS(D$2:D527,B$2:B527,B527,C$2:C527,"ENTRADA")-SUMIFS(D$2:D527,B$2:B527,B527,C$2:C527,"SALIDA")</f>
        <v>1922.1360000000002</v>
      </c>
    </row>
    <row r="528" spans="1:5" x14ac:dyDescent="0.3">
      <c r="A528" s="9">
        <f>'Volúmenes DIstribuidos '!B339</f>
        <v>44243</v>
      </c>
      <c r="B528" s="10" t="str">
        <f>IF(OR('Volúmenes DIstribuidos '!C342="Azúcar",'Volúmenes DIstribuidos '!C342="azúcar"),"Azúcar o dulce",IF('Volúmenes DIstribuidos '!C342="Aceite","Aceite o grasas",IF('Volúmenes DIstribuidos '!C342="Avena","Otros almidones",'Volúmenes DIstribuidos '!C342)))</f>
        <v>Fideo</v>
      </c>
      <c r="C528" s="10" t="s">
        <v>29</v>
      </c>
      <c r="D528" s="12">
        <f>'Volúmenes DIstribuidos '!D342</f>
        <v>18.38</v>
      </c>
      <c r="E528" s="12">
        <f>SUMIF('Parametros Inventario'!$A:$A,B528,'Parametros Inventario'!$B:$B)+SUMIFS(D$2:D528,B$2:B528,B528,C$2:C528,"ENTRADA")-SUMIFS(D$2:D528,B$2:B528,B528,C$2:C528,"SALIDA")</f>
        <v>3097.5009999999997</v>
      </c>
    </row>
    <row r="529" spans="1:5" x14ac:dyDescent="0.3">
      <c r="A529" s="9">
        <f>'Volúmenes DIstribuidos '!B339</f>
        <v>44243</v>
      </c>
      <c r="B529" s="10" t="str">
        <f>IF(OR('Volúmenes DIstribuidos '!C343="Azúcar",'Volúmenes DIstribuidos '!C343="azúcar"),"Azúcar o dulce",IF('Volúmenes DIstribuidos '!C343="Aceite","Aceite o grasas",IF('Volúmenes DIstribuidos '!C343="Avena","Otros almidones",'Volúmenes DIstribuidos '!C343)))</f>
        <v>Menestras</v>
      </c>
      <c r="C529" s="10" t="s">
        <v>29</v>
      </c>
      <c r="D529" s="12">
        <f>'Volúmenes DIstribuidos '!D343</f>
        <v>68.724000000000004</v>
      </c>
      <c r="E529" s="12">
        <f>SUMIF('Parametros Inventario'!$A:$A,B529,'Parametros Inventario'!$B:$B)+SUMIFS(D$2:D529,B$2:B529,B529,C$2:C529,"ENTRADA")-SUMIFS(D$2:D529,B$2:B529,B529,C$2:C529,"SALIDA")</f>
        <v>2560.9489999999996</v>
      </c>
    </row>
    <row r="530" spans="1:5" x14ac:dyDescent="0.3">
      <c r="A530" s="9">
        <f>'Volúmenes DIstribuidos '!B339</f>
        <v>44243</v>
      </c>
      <c r="B530" s="10" t="str">
        <f>IF(OR('Volúmenes DIstribuidos '!C344="Azúcar",'Volúmenes DIstribuidos '!C344="azúcar"),"Azúcar o dulce",IF('Volúmenes DIstribuidos '!C344="Aceite","Aceite o grasas",IF('Volúmenes DIstribuidos '!C344="Avena","Otros almidones",'Volúmenes DIstribuidos '!C344)))</f>
        <v>Azúcar o dulce</v>
      </c>
      <c r="C530" s="10" t="s">
        <v>29</v>
      </c>
      <c r="D530" s="12">
        <f>'Volúmenes DIstribuidos '!D344</f>
        <v>26.58</v>
      </c>
      <c r="E530" s="12">
        <f>SUMIF('Parametros Inventario'!$A:$A,B530,'Parametros Inventario'!$B:$B)+SUMIFS(D$2:D530,B$2:B530,B530,C$2:C530,"ENTRADA")-SUMIFS(D$2:D530,B$2:B530,B530,C$2:C530,"SALIDA")</f>
        <v>3945.2939999999999</v>
      </c>
    </row>
    <row r="531" spans="1:5" x14ac:dyDescent="0.3">
      <c r="A531" s="9">
        <f>'Volúmenes DIstribuidos '!B345</f>
        <v>44246</v>
      </c>
      <c r="B531" s="10" t="str">
        <f>IF(OR('Volúmenes DIstribuidos '!C345="Azúcar",'Volúmenes DIstribuidos '!C345="azúcar"),"Azúcar o dulce",IF('Volúmenes DIstribuidos '!C345="Aceite","Aceite o grasas",IF('Volúmenes DIstribuidos '!C345="Avena","Otros almidones",'Volúmenes DIstribuidos '!C345)))</f>
        <v>Carnes rojas</v>
      </c>
      <c r="C531" s="10" t="s">
        <v>29</v>
      </c>
      <c r="D531" s="12">
        <f>'Volúmenes DIstribuidos '!D345</f>
        <v>83.95</v>
      </c>
      <c r="E531" s="12">
        <f>SUMIF('Parametros Inventario'!$A:$A,B531,'Parametros Inventario'!$B:$B)+SUMIFS(D$2:D531,B$2:B531,B531,C$2:C531,"ENTRADA")-SUMIFS(D$2:D531,B$2:B531,B531,C$2:C531,"SALIDA")</f>
        <v>2988.9969999999994</v>
      </c>
    </row>
    <row r="532" spans="1:5" x14ac:dyDescent="0.3">
      <c r="A532" s="9">
        <f>'Volúmenes DIstribuidos '!B345</f>
        <v>44246</v>
      </c>
      <c r="B532" s="10" t="str">
        <f>IF(OR('Volúmenes DIstribuidos '!C346="Azúcar",'Volúmenes DIstribuidos '!C346="azúcar"),"Azúcar o dulce",IF('Volúmenes DIstribuidos '!C346="Aceite","Aceite o grasas",IF('Volúmenes DIstribuidos '!C346="Avena","Otros almidones",'Volúmenes DIstribuidos '!C346)))</f>
        <v>Otros almidones</v>
      </c>
      <c r="C532" s="10" t="s">
        <v>29</v>
      </c>
      <c r="D532" s="12">
        <f>'Volúmenes DIstribuidos '!D346</f>
        <v>20.63</v>
      </c>
      <c r="E532" s="12">
        <f>SUMIF('Parametros Inventario'!$A:$A,B532,'Parametros Inventario'!$B:$B)+SUMIFS(D$2:D532,B$2:B532,B532,C$2:C532,"ENTRADA")-SUMIFS(D$2:D532,B$2:B532,B532,C$2:C532,"SALIDA")</f>
        <v>2647.0950000000003</v>
      </c>
    </row>
    <row r="533" spans="1:5" x14ac:dyDescent="0.3">
      <c r="A533" s="9">
        <f>'Volúmenes DIstribuidos '!B345</f>
        <v>44246</v>
      </c>
      <c r="B533" s="10" t="str">
        <f>IF(OR('Volúmenes DIstribuidos '!C347="Azúcar",'Volúmenes DIstribuidos '!C347="azúcar"),"Azúcar o dulce",IF('Volúmenes DIstribuidos '!C347="Aceite","Aceite o grasas",IF('Volúmenes DIstribuidos '!C347="Avena","Otros almidones",'Volúmenes DIstribuidos '!C347)))</f>
        <v>Menestras</v>
      </c>
      <c r="C533" s="10" t="s">
        <v>29</v>
      </c>
      <c r="D533" s="12">
        <f>'Volúmenes DIstribuidos '!D347</f>
        <v>32.869999999999997</v>
      </c>
      <c r="E533" s="12">
        <f>SUMIF('Parametros Inventario'!$A:$A,B533,'Parametros Inventario'!$B:$B)+SUMIFS(D$2:D533,B$2:B533,B533,C$2:C533,"ENTRADA")-SUMIFS(D$2:D533,B$2:B533,B533,C$2:C533,"SALIDA")</f>
        <v>2528.0789999999997</v>
      </c>
    </row>
    <row r="534" spans="1:5" x14ac:dyDescent="0.3">
      <c r="A534" s="9">
        <f>'Volúmenes DIstribuidos '!B345</f>
        <v>44246</v>
      </c>
      <c r="B534" s="10" t="str">
        <f>IF(OR('Volúmenes DIstribuidos '!C348="Azúcar",'Volúmenes DIstribuidos '!C348="azúcar"),"Azúcar o dulce",IF('Volúmenes DIstribuidos '!C348="Aceite","Aceite o grasas",IF('Volúmenes DIstribuidos '!C348="Avena","Otros almidones",'Volúmenes DIstribuidos '!C348)))</f>
        <v>Panadería</v>
      </c>
      <c r="C534" s="10" t="s">
        <v>29</v>
      </c>
      <c r="D534" s="12">
        <f>'Volúmenes DIstribuidos '!D348</f>
        <v>25.74</v>
      </c>
      <c r="E534" s="12">
        <f>SUMIF('Parametros Inventario'!$A:$A,B534,'Parametros Inventario'!$B:$B)+SUMIFS(D$2:D534,B$2:B534,B534,C$2:C534,"ENTRADA")-SUMIFS(D$2:D534,B$2:B534,B534,C$2:C534,"SALIDA")</f>
        <v>1896.3960000000002</v>
      </c>
    </row>
    <row r="535" spans="1:5" x14ac:dyDescent="0.3">
      <c r="A535" s="9">
        <f>'Volúmenes DIstribuidos '!B345</f>
        <v>44246</v>
      </c>
      <c r="B535" s="10" t="str">
        <f>IF(OR('Volúmenes DIstribuidos '!C349="Azúcar",'Volúmenes DIstribuidos '!C349="azúcar"),"Azúcar o dulce",IF('Volúmenes DIstribuidos '!C349="Aceite","Aceite o grasas",IF('Volúmenes DIstribuidos '!C349="Avena","Otros almidones",'Volúmenes DIstribuidos '!C349)))</f>
        <v>Carnes blancas</v>
      </c>
      <c r="C535" s="10" t="s">
        <v>29</v>
      </c>
      <c r="D535" s="12">
        <f>'Volúmenes DIstribuidos '!D349</f>
        <v>8.3979999999999997</v>
      </c>
      <c r="E535" s="12">
        <f>SUMIF('Parametros Inventario'!$A:$A,B535,'Parametros Inventario'!$B:$B)+SUMIFS(D$2:D535,B$2:B535,B535,C$2:C535,"ENTRADA")-SUMIFS(D$2:D535,B$2:B535,B535,C$2:C535,"SALIDA")</f>
        <v>3135.8870000000006</v>
      </c>
    </row>
    <row r="536" spans="1:5" x14ac:dyDescent="0.3">
      <c r="A536" s="9">
        <f>'Volúmenes DIstribuidos '!B345</f>
        <v>44246</v>
      </c>
      <c r="B536" s="10" t="str">
        <f>IF(OR('Volúmenes DIstribuidos '!C350="Azúcar",'Volúmenes DIstribuidos '!C350="azúcar"),"Azúcar o dulce",IF('Volúmenes DIstribuidos '!C350="Aceite","Aceite o grasas",IF('Volúmenes DIstribuidos '!C350="Avena","Otros almidones",'Volúmenes DIstribuidos '!C350)))</f>
        <v>Aceite o grasas</v>
      </c>
      <c r="C536" s="10" t="s">
        <v>29</v>
      </c>
      <c r="D536" s="12">
        <f>'Volúmenes DIstribuidos '!D350</f>
        <v>12.74</v>
      </c>
      <c r="E536" s="12">
        <f>SUMIF('Parametros Inventario'!$A:$A,B536,'Parametros Inventario'!$B:$B)+SUMIFS(D$2:D536,B$2:B536,B536,C$2:C536,"ENTRADA")-SUMIFS(D$2:D536,B$2:B536,B536,C$2:C536,"SALIDA")</f>
        <v>3341.6740000000009</v>
      </c>
    </row>
    <row r="537" spans="1:5" x14ac:dyDescent="0.3">
      <c r="A537" s="9">
        <f>'Volúmenes DIstribuidos '!B351</f>
        <v>44250</v>
      </c>
      <c r="B537" s="10" t="str">
        <f>IF(OR('Volúmenes DIstribuidos '!C351="Azúcar",'Volúmenes DIstribuidos '!C351="azúcar"),"Azúcar o dulce",IF('Volúmenes DIstribuidos '!C351="Aceite","Aceite o grasas",IF('Volúmenes DIstribuidos '!C351="Avena","Otros almidones",'Volúmenes DIstribuidos '!C351)))</f>
        <v>Carnes blancas</v>
      </c>
      <c r="C537" s="10" t="s">
        <v>29</v>
      </c>
      <c r="D537" s="12">
        <f>'Volúmenes DIstribuidos '!D351</f>
        <v>25.67</v>
      </c>
      <c r="E537" s="12">
        <f>SUMIF('Parametros Inventario'!$A:$A,B537,'Parametros Inventario'!$B:$B)+SUMIFS(D$2:D537,B$2:B537,B537,C$2:C537,"ENTRADA")-SUMIFS(D$2:D537,B$2:B537,B537,C$2:C537,"SALIDA")</f>
        <v>3110.2170000000006</v>
      </c>
    </row>
    <row r="538" spans="1:5" x14ac:dyDescent="0.3">
      <c r="A538" s="9">
        <f>'Volúmenes DIstribuidos '!B351</f>
        <v>44250</v>
      </c>
      <c r="B538" s="10" t="str">
        <f>IF(OR('Volúmenes DIstribuidos '!C352="Azúcar",'Volúmenes DIstribuidos '!C352="azúcar"),"Azúcar o dulce",IF('Volúmenes DIstribuidos '!C352="Aceite","Aceite o grasas",IF('Volúmenes DIstribuidos '!C352="Avena","Otros almidones",'Volúmenes DIstribuidos '!C352)))</f>
        <v>Otros almidones</v>
      </c>
      <c r="C538" s="10" t="s">
        <v>29</v>
      </c>
      <c r="D538" s="12">
        <f>'Volúmenes DIstribuidos '!D352</f>
        <v>21.53</v>
      </c>
      <c r="E538" s="12">
        <f>SUMIF('Parametros Inventario'!$A:$A,B538,'Parametros Inventario'!$B:$B)+SUMIFS(D$2:D538,B$2:B538,B538,C$2:C538,"ENTRADA")-SUMIFS(D$2:D538,B$2:B538,B538,C$2:C538,"SALIDA")</f>
        <v>2625.5650000000001</v>
      </c>
    </row>
    <row r="539" spans="1:5" x14ac:dyDescent="0.3">
      <c r="A539" s="9">
        <f>'Volúmenes DIstribuidos '!B351</f>
        <v>44250</v>
      </c>
      <c r="B539" s="10" t="str">
        <f>IF(OR('Volúmenes DIstribuidos '!C353="Azúcar",'Volúmenes DIstribuidos '!C353="azúcar"),"Azúcar o dulce",IF('Volúmenes DIstribuidos '!C353="Aceite","Aceite o grasas",IF('Volúmenes DIstribuidos '!C353="Avena","Otros almidones",'Volúmenes DIstribuidos '!C353)))</f>
        <v>Panadería</v>
      </c>
      <c r="C539" s="10" t="s">
        <v>29</v>
      </c>
      <c r="D539" s="12">
        <f>'Volúmenes DIstribuidos '!D353</f>
        <v>12.17</v>
      </c>
      <c r="E539" s="12">
        <f>SUMIF('Parametros Inventario'!$A:$A,B539,'Parametros Inventario'!$B:$B)+SUMIFS(D$2:D539,B$2:B539,B539,C$2:C539,"ENTRADA")-SUMIFS(D$2:D539,B$2:B539,B539,C$2:C539,"SALIDA")</f>
        <v>1884.2260000000001</v>
      </c>
    </row>
    <row r="540" spans="1:5" x14ac:dyDescent="0.3">
      <c r="A540" s="9">
        <f>'Volúmenes DIstribuidos '!B351</f>
        <v>44250</v>
      </c>
      <c r="B540" s="10" t="str">
        <f>IF(OR('Volúmenes DIstribuidos '!C354="Azúcar",'Volúmenes DIstribuidos '!C354="azúcar"),"Azúcar o dulce",IF('Volúmenes DIstribuidos '!C354="Aceite","Aceite o grasas",IF('Volúmenes DIstribuidos '!C354="Avena","Otros almidones",'Volúmenes DIstribuidos '!C354)))</f>
        <v>Otros almidones</v>
      </c>
      <c r="C540" s="10" t="s">
        <v>29</v>
      </c>
      <c r="D540" s="12">
        <f>'Volúmenes DIstribuidos '!D354</f>
        <v>10.06</v>
      </c>
      <c r="E540" s="12">
        <f>SUMIF('Parametros Inventario'!$A:$A,B540,'Parametros Inventario'!$B:$B)+SUMIFS(D$2:D540,B$2:B540,B540,C$2:C540,"ENTRADA")-SUMIFS(D$2:D540,B$2:B540,B540,C$2:C540,"SALIDA")</f>
        <v>2615.5050000000001</v>
      </c>
    </row>
    <row r="541" spans="1:5" x14ac:dyDescent="0.3">
      <c r="A541" s="9">
        <f>'Volúmenes DIstribuidos '!B351</f>
        <v>44250</v>
      </c>
      <c r="B541" s="10" t="str">
        <f>IF(OR('Volúmenes DIstribuidos '!C355="Azúcar",'Volúmenes DIstribuidos '!C355="azúcar"),"Azúcar o dulce",IF('Volúmenes DIstribuidos '!C355="Aceite","Aceite o grasas",IF('Volúmenes DIstribuidos '!C355="Avena","Otros almidones",'Volúmenes DIstribuidos '!C355)))</f>
        <v>Aceite o grasas</v>
      </c>
      <c r="C541" s="10" t="s">
        <v>29</v>
      </c>
      <c r="D541" s="12">
        <f>'Volúmenes DIstribuidos '!D355</f>
        <v>11.35</v>
      </c>
      <c r="E541" s="12">
        <f>SUMIF('Parametros Inventario'!$A:$A,B541,'Parametros Inventario'!$B:$B)+SUMIFS(D$2:D541,B$2:B541,B541,C$2:C541,"ENTRADA")-SUMIFS(D$2:D541,B$2:B541,B541,C$2:C541,"SALIDA")</f>
        <v>3330.324000000001</v>
      </c>
    </row>
    <row r="542" spans="1:5" x14ac:dyDescent="0.3">
      <c r="A542" s="9">
        <f>'Volúmenes DIstribuidos '!B351</f>
        <v>44250</v>
      </c>
      <c r="B542" s="10" t="str">
        <f>IF(OR('Volúmenes DIstribuidos '!C356="Azúcar",'Volúmenes DIstribuidos '!C356="azúcar"),"Azúcar o dulce",IF('Volúmenes DIstribuidos '!C356="Aceite","Aceite o grasas",IF('Volúmenes DIstribuidos '!C356="Avena","Otros almidones",'Volúmenes DIstribuidos '!C356)))</f>
        <v>Carnes rojas</v>
      </c>
      <c r="C542" s="10" t="s">
        <v>29</v>
      </c>
      <c r="D542" s="12">
        <f>'Volúmenes DIstribuidos '!D356</f>
        <v>7.73</v>
      </c>
      <c r="E542" s="12">
        <f>SUMIF('Parametros Inventario'!$A:$A,B542,'Parametros Inventario'!$B:$B)+SUMIFS(D$2:D542,B$2:B542,B542,C$2:C542,"ENTRADA")-SUMIFS(D$2:D542,B$2:B542,B542,C$2:C542,"SALIDA")</f>
        <v>2981.2669999999994</v>
      </c>
    </row>
    <row r="543" spans="1:5" x14ac:dyDescent="0.3">
      <c r="A543" s="9">
        <v>44253</v>
      </c>
      <c r="B543" s="10" t="s">
        <v>13</v>
      </c>
      <c r="C543" s="10" t="s">
        <v>28</v>
      </c>
      <c r="D543" s="12">
        <v>102.71</v>
      </c>
      <c r="E543" s="12">
        <f>SUMIF('Parametros Inventario'!$A:$A,B543,'Parametros Inventario'!$B:$B)+SUMIFS(D$2:D543,B$2:B543,B543,C$2:C543,"ENTRADA")-SUMIFS(D$2:D543,B$2:B543,B543,C$2:C543,"SALIDA")</f>
        <v>4048.0040000000008</v>
      </c>
    </row>
    <row r="544" spans="1:5" x14ac:dyDescent="0.3">
      <c r="A544" s="9">
        <v>44253</v>
      </c>
      <c r="B544" s="10" t="s">
        <v>15</v>
      </c>
      <c r="C544" s="10" t="s">
        <v>28</v>
      </c>
      <c r="D544" s="12">
        <v>176.21</v>
      </c>
      <c r="E544" s="12">
        <f>SUMIF('Parametros Inventario'!$A:$A,B544,'Parametros Inventario'!$B:$B)+SUMIFS(D$2:D544,B$2:B544,B544,C$2:C544,"ENTRADA")-SUMIFS(D$2:D544,B$2:B544,B544,C$2:C544,"SALIDA")</f>
        <v>2791.7150000000001</v>
      </c>
    </row>
    <row r="545" spans="1:5" x14ac:dyDescent="0.3">
      <c r="A545" s="9">
        <v>44253</v>
      </c>
      <c r="B545" s="10" t="s">
        <v>11</v>
      </c>
      <c r="C545" s="10" t="s">
        <v>28</v>
      </c>
      <c r="D545" s="12">
        <v>250.51</v>
      </c>
      <c r="E545" s="12">
        <f>SUMIF('Parametros Inventario'!$A:$A,B545,'Parametros Inventario'!$B:$B)+SUMIFS(D$2:D545,B$2:B545,B545,C$2:C545,"ENTRADA")-SUMIFS(D$2:D545,B$2:B545,B545,C$2:C545,"SALIDA")</f>
        <v>3348.0109999999995</v>
      </c>
    </row>
    <row r="546" spans="1:5" x14ac:dyDescent="0.3">
      <c r="A546" s="9">
        <v>44253</v>
      </c>
      <c r="B546" s="10" t="s">
        <v>9</v>
      </c>
      <c r="C546" s="10" t="s">
        <v>28</v>
      </c>
      <c r="D546" s="12">
        <v>270.98</v>
      </c>
      <c r="E546" s="12">
        <f>SUMIF('Parametros Inventario'!$A:$A,B546,'Parametros Inventario'!$B:$B)+SUMIFS(D$2:D546,B$2:B546,B546,C$2:C546,"ENTRADA")-SUMIFS(D$2:D546,B$2:B546,B546,C$2:C546,"SALIDA")</f>
        <v>2155.2060000000001</v>
      </c>
    </row>
    <row r="547" spans="1:5" x14ac:dyDescent="0.3">
      <c r="A547" s="9">
        <v>44253</v>
      </c>
      <c r="B547" s="10" t="s">
        <v>14</v>
      </c>
      <c r="C547" s="10" t="s">
        <v>28</v>
      </c>
      <c r="D547" s="12">
        <v>286.35000000000002</v>
      </c>
      <c r="E547" s="12">
        <f>SUMIF('Parametros Inventario'!$A:$A,B547,'Parametros Inventario'!$B:$B)+SUMIFS(D$2:D547,B$2:B547,B547,C$2:C547,"ENTRADA")-SUMIFS(D$2:D547,B$2:B547,B547,C$2:C547,"SALIDA")</f>
        <v>2814.4290000000001</v>
      </c>
    </row>
    <row r="548" spans="1:5" x14ac:dyDescent="0.3">
      <c r="A548" s="9">
        <v>44253</v>
      </c>
      <c r="B548" s="10" t="s">
        <v>12</v>
      </c>
      <c r="C548" s="10" t="s">
        <v>28</v>
      </c>
      <c r="D548" s="12">
        <v>208.79</v>
      </c>
      <c r="E548" s="12">
        <f>SUMIF('Parametros Inventario'!$A:$A,B548,'Parametros Inventario'!$B:$B)+SUMIFS(D$2:D548,B$2:B548,B548,C$2:C548,"ENTRADA")-SUMIFS(D$2:D548,B$2:B548,B548,C$2:C548,"SALIDA")</f>
        <v>3190.0569999999993</v>
      </c>
    </row>
    <row r="549" spans="1:5" x14ac:dyDescent="0.3">
      <c r="A549" s="9">
        <v>44253</v>
      </c>
      <c r="B549" s="10" t="s">
        <v>16</v>
      </c>
      <c r="C549" s="10" t="s">
        <v>28</v>
      </c>
      <c r="D549" s="12">
        <v>294.91000000000003</v>
      </c>
      <c r="E549" s="12">
        <f>SUMIF('Parametros Inventario'!$A:$A,B549,'Parametros Inventario'!$B:$B)+SUMIFS(D$2:D549,B$2:B549,B549,C$2:C549,"ENTRADA")-SUMIFS(D$2:D549,B$2:B549,B549,C$2:C549,"SALIDA")</f>
        <v>3405.1270000000004</v>
      </c>
    </row>
    <row r="550" spans="1:5" x14ac:dyDescent="0.3">
      <c r="A550" s="9">
        <v>44253</v>
      </c>
      <c r="B550" s="10" t="s">
        <v>17</v>
      </c>
      <c r="C550" s="10" t="s">
        <v>28</v>
      </c>
      <c r="D550" s="12">
        <v>226.94</v>
      </c>
      <c r="E550" s="12">
        <f>SUMIF('Parametros Inventario'!$A:$A,B550,'Parametros Inventario'!$B:$B)+SUMIFS(D$2:D550,B$2:B550,B550,C$2:C550,"ENTRADA")-SUMIFS(D$2:D550,B$2:B550,B550,C$2:C550,"SALIDA")</f>
        <v>3161.3940000000002</v>
      </c>
    </row>
    <row r="551" spans="1:5" x14ac:dyDescent="0.3">
      <c r="A551" s="9">
        <v>44253</v>
      </c>
      <c r="B551" s="10" t="s">
        <v>18</v>
      </c>
      <c r="C551" s="10" t="s">
        <v>28</v>
      </c>
      <c r="D551" s="12">
        <v>118.25</v>
      </c>
      <c r="E551" s="12">
        <f>SUMIF('Parametros Inventario'!$A:$A,B551,'Parametros Inventario'!$B:$B)+SUMIFS(D$2:D551,B$2:B551,B551,C$2:C551,"ENTRADA")-SUMIFS(D$2:D551,B$2:B551,B551,C$2:C551,"SALIDA")</f>
        <v>3569.2349999999997</v>
      </c>
    </row>
    <row r="552" spans="1:5" x14ac:dyDescent="0.3">
      <c r="A552" s="9">
        <v>44253</v>
      </c>
      <c r="B552" s="10" t="s">
        <v>10</v>
      </c>
      <c r="C552" s="10" t="s">
        <v>28</v>
      </c>
      <c r="D552" s="12">
        <v>215.57</v>
      </c>
      <c r="E552" s="12">
        <f>SUMIF('Parametros Inventario'!$A:$A,B552,'Parametros Inventario'!$B:$B)+SUMIFS(D$2:D552,B$2:B552,B552,C$2:C552,"ENTRADA")-SUMIFS(D$2:D552,B$2:B552,B552,C$2:C552,"SALIDA")</f>
        <v>3690.5880000000002</v>
      </c>
    </row>
    <row r="553" spans="1:5" x14ac:dyDescent="0.3">
      <c r="A553" s="9">
        <v>44253</v>
      </c>
      <c r="B553" s="10" t="s">
        <v>8</v>
      </c>
      <c r="C553" s="10" t="s">
        <v>28</v>
      </c>
      <c r="D553" s="12">
        <v>130.41</v>
      </c>
      <c r="E553" s="12">
        <f>SUMIF('Parametros Inventario'!$A:$A,B553,'Parametros Inventario'!$B:$B)+SUMIFS(D$2:D553,B$2:B553,B553,C$2:C553,"ENTRADA")-SUMIFS(D$2:D553,B$2:B553,B553,C$2:C553,"SALIDA")</f>
        <v>3460.7340000000008</v>
      </c>
    </row>
    <row r="554" spans="1:5" x14ac:dyDescent="0.3">
      <c r="A554" s="9">
        <f>'Volúmenes DIstribuidos '!B357</f>
        <v>44253</v>
      </c>
      <c r="B554" s="10" t="str">
        <f>IF(OR('Volúmenes DIstribuidos '!C357="Azúcar",'Volúmenes DIstribuidos '!C357="azúcar"),"Azúcar o dulce",IF('Volúmenes DIstribuidos '!C357="Aceite","Aceite o grasas",IF('Volúmenes DIstribuidos '!C357="Avena","Otros almidones",'Volúmenes DIstribuidos '!C357)))</f>
        <v>Salsas</v>
      </c>
      <c r="C554" s="10" t="s">
        <v>29</v>
      </c>
      <c r="D554" s="12">
        <f>'Volúmenes DIstribuidos '!D357</f>
        <v>23.53</v>
      </c>
      <c r="E554" s="12">
        <f>SUMIF('Parametros Inventario'!$A:$A,B554,'Parametros Inventario'!$B:$B)+SUMIFS(D$2:D554,B$2:B554,B554,C$2:C554,"ENTRADA")-SUMIFS(D$2:D554,B$2:B554,B554,C$2:C554,"SALIDA")</f>
        <v>3545.7049999999999</v>
      </c>
    </row>
    <row r="555" spans="1:5" x14ac:dyDescent="0.3">
      <c r="A555" s="9">
        <f>'Volúmenes DIstribuidos '!B357</f>
        <v>44253</v>
      </c>
      <c r="B555" s="10" t="str">
        <f>IF(OR('Volúmenes DIstribuidos '!C358="Azúcar",'Volúmenes DIstribuidos '!C358="azúcar"),"Azúcar o dulce",IF('Volúmenes DIstribuidos '!C358="Aceite","Aceite o grasas",IF('Volúmenes DIstribuidos '!C358="Avena","Otros almidones",'Volúmenes DIstribuidos '!C358)))</f>
        <v>Azúcar o dulce</v>
      </c>
      <c r="C555" s="10" t="s">
        <v>29</v>
      </c>
      <c r="D555" s="12">
        <f>'Volúmenes DIstribuidos '!D358</f>
        <v>11.166</v>
      </c>
      <c r="E555" s="12">
        <f>SUMIF('Parametros Inventario'!$A:$A,B555,'Parametros Inventario'!$B:$B)+SUMIFS(D$2:D555,B$2:B555,B555,C$2:C555,"ENTRADA")-SUMIFS(D$2:D555,B$2:B555,B555,C$2:C555,"SALIDA")</f>
        <v>4036.8380000000006</v>
      </c>
    </row>
    <row r="556" spans="1:5" x14ac:dyDescent="0.3">
      <c r="A556" s="9">
        <f>'Volúmenes DIstribuidos '!B357</f>
        <v>44253</v>
      </c>
      <c r="B556" s="10" t="str">
        <f>IF(OR('Volúmenes DIstribuidos '!C359="Azúcar",'Volúmenes DIstribuidos '!C359="azúcar"),"Azúcar o dulce",IF('Volúmenes DIstribuidos '!C359="Aceite","Aceite o grasas",IF('Volúmenes DIstribuidos '!C359="Avena","Otros almidones",'Volúmenes DIstribuidos '!C359)))</f>
        <v>Salsas</v>
      </c>
      <c r="C556" s="10" t="s">
        <v>29</v>
      </c>
      <c r="D556" s="12">
        <f>'Volúmenes DIstribuidos '!D359</f>
        <v>20.51</v>
      </c>
      <c r="E556" s="12">
        <f>SUMIF('Parametros Inventario'!$A:$A,B556,'Parametros Inventario'!$B:$B)+SUMIFS(D$2:D556,B$2:B556,B556,C$2:C556,"ENTRADA")-SUMIFS(D$2:D556,B$2:B556,B556,C$2:C556,"SALIDA")</f>
        <v>3525.1949999999997</v>
      </c>
    </row>
    <row r="557" spans="1:5" x14ac:dyDescent="0.3">
      <c r="A557" s="9">
        <f>'Volúmenes DIstribuidos '!B357</f>
        <v>44253</v>
      </c>
      <c r="B557" s="10" t="str">
        <f>IF(OR('Volúmenes DIstribuidos '!C360="Azúcar",'Volúmenes DIstribuidos '!C360="azúcar"),"Azúcar o dulce",IF('Volúmenes DIstribuidos '!C360="Aceite","Aceite o grasas",IF('Volúmenes DIstribuidos '!C360="Avena","Otros almidones",'Volúmenes DIstribuidos '!C360)))</f>
        <v>Aceite o grasas</v>
      </c>
      <c r="C557" s="10" t="s">
        <v>29</v>
      </c>
      <c r="D557" s="12">
        <f>'Volúmenes DIstribuidos '!D360</f>
        <v>51.05</v>
      </c>
      <c r="E557" s="12">
        <f>SUMIF('Parametros Inventario'!$A:$A,B557,'Parametros Inventario'!$B:$B)+SUMIFS(D$2:D557,B$2:B557,B557,C$2:C557,"ENTRADA")-SUMIFS(D$2:D557,B$2:B557,B557,C$2:C557,"SALIDA")</f>
        <v>3409.6840000000011</v>
      </c>
    </row>
    <row r="558" spans="1:5" x14ac:dyDescent="0.3">
      <c r="A558" s="9">
        <f>'Volúmenes DIstribuidos '!B357</f>
        <v>44253</v>
      </c>
      <c r="B558" s="10" t="str">
        <f>IF(OR('Volúmenes DIstribuidos '!C361="Azúcar",'Volúmenes DIstribuidos '!C361="azúcar"),"Azúcar o dulce",IF('Volúmenes DIstribuidos '!C361="Aceite","Aceite o grasas",IF('Volúmenes DIstribuidos '!C361="Avena","Otros almidones",'Volúmenes DIstribuidos '!C361)))</f>
        <v>Azúcar o dulce</v>
      </c>
      <c r="C558" s="10" t="s">
        <v>29</v>
      </c>
      <c r="D558" s="12">
        <f>'Volúmenes DIstribuidos '!D361</f>
        <v>14.01</v>
      </c>
      <c r="E558" s="12">
        <f>SUMIF('Parametros Inventario'!$A:$A,B558,'Parametros Inventario'!$B:$B)+SUMIFS(D$2:D558,B$2:B558,B558,C$2:C558,"ENTRADA")-SUMIFS(D$2:D558,B$2:B558,B558,C$2:C558,"SALIDA")</f>
        <v>4022.8280000000004</v>
      </c>
    </row>
    <row r="559" spans="1:5" x14ac:dyDescent="0.3">
      <c r="A559" s="9">
        <f>'Volúmenes DIstribuidos '!B357</f>
        <v>44253</v>
      </c>
      <c r="B559" s="10" t="str">
        <f>IF(OR('Volúmenes DIstribuidos '!C362="Azúcar",'Volúmenes DIstribuidos '!C362="azúcar"),"Azúcar o dulce",IF('Volúmenes DIstribuidos '!C362="Aceite","Aceite o grasas",IF('Volúmenes DIstribuidos '!C362="Avena","Otros almidones",'Volúmenes DIstribuidos '!C362)))</f>
        <v>Vegetales y hojas</v>
      </c>
      <c r="C559" s="10" t="s">
        <v>29</v>
      </c>
      <c r="D559" s="12">
        <f>'Volúmenes DIstribuidos '!D362</f>
        <v>69.98</v>
      </c>
      <c r="E559" s="12">
        <f>SUMIF('Parametros Inventario'!$A:$A,B559,'Parametros Inventario'!$B:$B)+SUMIFS(D$2:D559,B$2:B559,B559,C$2:C559,"ENTRADA")-SUMIFS(D$2:D559,B$2:B559,B559,C$2:C559,"SALIDA")</f>
        <v>3620.6080000000002</v>
      </c>
    </row>
    <row r="560" spans="1:5" x14ac:dyDescent="0.3">
      <c r="A560" s="9">
        <f>'Volúmenes DIstribuidos '!B363</f>
        <v>44257</v>
      </c>
      <c r="B560" s="10" t="str">
        <f>IF(OR('Volúmenes DIstribuidos '!C363="Azúcar",'Volúmenes DIstribuidos '!C363="azúcar"),"Azúcar o dulce",IF('Volúmenes DIstribuidos '!C363="Aceite","Aceite o grasas",IF('Volúmenes DIstribuidos '!C363="Avena","Otros almidones",'Volúmenes DIstribuidos '!C363)))</f>
        <v>Panadería</v>
      </c>
      <c r="C560" s="10" t="s">
        <v>29</v>
      </c>
      <c r="D560" s="12">
        <f>'Volúmenes DIstribuidos '!D363</f>
        <v>75.06</v>
      </c>
      <c r="E560" s="12">
        <f>SUMIF('Parametros Inventario'!$A:$A,B560,'Parametros Inventario'!$B:$B)+SUMIFS(D$2:D560,B$2:B560,B560,C$2:C560,"ENTRADA")-SUMIFS(D$2:D560,B$2:B560,B560,C$2:C560,"SALIDA")</f>
        <v>2080.1460000000002</v>
      </c>
    </row>
    <row r="561" spans="1:5" x14ac:dyDescent="0.3">
      <c r="A561" s="9">
        <f>'Volúmenes DIstribuidos '!B363</f>
        <v>44257</v>
      </c>
      <c r="B561" s="10" t="str">
        <f>IF(OR('Volúmenes DIstribuidos '!C364="Azúcar",'Volúmenes DIstribuidos '!C364="azúcar"),"Azúcar o dulce",IF('Volúmenes DIstribuidos '!C364="Aceite","Aceite o grasas",IF('Volúmenes DIstribuidos '!C364="Avena","Otros almidones",'Volúmenes DIstribuidos '!C364)))</f>
        <v>Azúcar o dulce</v>
      </c>
      <c r="C561" s="10" t="s">
        <v>29</v>
      </c>
      <c r="D561" s="12">
        <f>'Volúmenes DIstribuidos '!D364</f>
        <v>13.644</v>
      </c>
      <c r="E561" s="12">
        <f>SUMIF('Parametros Inventario'!$A:$A,B561,'Parametros Inventario'!$B:$B)+SUMIFS(D$2:D561,B$2:B561,B561,C$2:C561,"ENTRADA")-SUMIFS(D$2:D561,B$2:B561,B561,C$2:C561,"SALIDA")</f>
        <v>4009.1840000000007</v>
      </c>
    </row>
    <row r="562" spans="1:5" x14ac:dyDescent="0.3">
      <c r="A562" s="9">
        <f>'Volúmenes DIstribuidos '!B363</f>
        <v>44257</v>
      </c>
      <c r="B562" s="10" t="str">
        <f>IF(OR('Volúmenes DIstribuidos '!C365="Azúcar",'Volúmenes DIstribuidos '!C365="azúcar"),"Azúcar o dulce",IF('Volúmenes DIstribuidos '!C365="Aceite","Aceite o grasas",IF('Volúmenes DIstribuidos '!C365="Avena","Otros almidones",'Volúmenes DIstribuidos '!C365)))</f>
        <v>Menestras</v>
      </c>
      <c r="C562" s="10" t="s">
        <v>29</v>
      </c>
      <c r="D562" s="12">
        <f>'Volúmenes DIstribuidos '!D365</f>
        <v>9.3699999999999992</v>
      </c>
      <c r="E562" s="12">
        <f>SUMIF('Parametros Inventario'!$A:$A,B562,'Parametros Inventario'!$B:$B)+SUMIFS(D$2:D562,B$2:B562,B562,C$2:C562,"ENTRADA")-SUMIFS(D$2:D562,B$2:B562,B562,C$2:C562,"SALIDA")</f>
        <v>2805.0590000000002</v>
      </c>
    </row>
    <row r="563" spans="1:5" x14ac:dyDescent="0.3">
      <c r="A563" s="9">
        <f>'Volúmenes DIstribuidos '!B363</f>
        <v>44257</v>
      </c>
      <c r="B563" s="10" t="str">
        <f>IF(OR('Volúmenes DIstribuidos '!C366="Azúcar",'Volúmenes DIstribuidos '!C366="azúcar"),"Azúcar o dulce",IF('Volúmenes DIstribuidos '!C366="Aceite","Aceite o grasas",IF('Volúmenes DIstribuidos '!C366="Avena","Otros almidones",'Volúmenes DIstribuidos '!C366)))</f>
        <v>Salsas</v>
      </c>
      <c r="C563" s="10" t="s">
        <v>29</v>
      </c>
      <c r="D563" s="12">
        <f>'Volúmenes DIstribuidos '!D366</f>
        <v>4.3099999999999996</v>
      </c>
      <c r="E563" s="12">
        <f>SUMIF('Parametros Inventario'!$A:$A,B563,'Parametros Inventario'!$B:$B)+SUMIFS(D$2:D563,B$2:B563,B563,C$2:C563,"ENTRADA")-SUMIFS(D$2:D563,B$2:B563,B563,C$2:C563,"SALIDA")</f>
        <v>3520.8849999999998</v>
      </c>
    </row>
    <row r="564" spans="1:5" x14ac:dyDescent="0.3">
      <c r="A564" s="9">
        <f>'Volúmenes DIstribuidos '!B363</f>
        <v>44257</v>
      </c>
      <c r="B564" s="10" t="str">
        <f>IF(OR('Volúmenes DIstribuidos '!C367="Azúcar",'Volúmenes DIstribuidos '!C367="azúcar"),"Azúcar o dulce",IF('Volúmenes DIstribuidos '!C367="Aceite","Aceite o grasas",IF('Volúmenes DIstribuidos '!C367="Avena","Otros almidones",'Volúmenes DIstribuidos '!C367)))</f>
        <v>Vegetales y hojas</v>
      </c>
      <c r="C564" s="10" t="s">
        <v>29</v>
      </c>
      <c r="D564" s="12">
        <f>'Volúmenes DIstribuidos '!D367</f>
        <v>8.35</v>
      </c>
      <c r="E564" s="12">
        <f>SUMIF('Parametros Inventario'!$A:$A,B564,'Parametros Inventario'!$B:$B)+SUMIFS(D$2:D564,B$2:B564,B564,C$2:C564,"ENTRADA")-SUMIFS(D$2:D564,B$2:B564,B564,C$2:C564,"SALIDA")</f>
        <v>3612.2580000000003</v>
      </c>
    </row>
    <row r="565" spans="1:5" x14ac:dyDescent="0.3">
      <c r="A565" s="9">
        <f>'Volúmenes DIstribuidos '!B363</f>
        <v>44257</v>
      </c>
      <c r="B565" s="10" t="str">
        <f>IF(OR('Volúmenes DIstribuidos '!C368="Azúcar",'Volúmenes DIstribuidos '!C368="azúcar"),"Azúcar o dulce",IF('Volúmenes DIstribuidos '!C368="Aceite","Aceite o grasas",IF('Volúmenes DIstribuidos '!C368="Avena","Otros almidones",'Volúmenes DIstribuidos '!C368)))</f>
        <v>Aceite o grasas</v>
      </c>
      <c r="C565" s="10" t="s">
        <v>29</v>
      </c>
      <c r="D565" s="12">
        <f>'Volúmenes DIstribuidos '!D368</f>
        <v>19.155999999999999</v>
      </c>
      <c r="E565" s="12">
        <f>SUMIF('Parametros Inventario'!$A:$A,B565,'Parametros Inventario'!$B:$B)+SUMIFS(D$2:D565,B$2:B565,B565,C$2:C565,"ENTRADA")-SUMIFS(D$2:D565,B$2:B565,B565,C$2:C565,"SALIDA")</f>
        <v>3390.5280000000012</v>
      </c>
    </row>
    <row r="566" spans="1:5" x14ac:dyDescent="0.3">
      <c r="A566" s="9">
        <v>44260</v>
      </c>
      <c r="B566" s="10" t="s">
        <v>13</v>
      </c>
      <c r="C566" s="10" t="s">
        <v>28</v>
      </c>
      <c r="D566" s="12">
        <v>102.66</v>
      </c>
      <c r="E566" s="12">
        <f>SUMIF('Parametros Inventario'!$A:$A,B566,'Parametros Inventario'!$B:$B)+SUMIFS(D$2:D566,B$2:B566,B566,C$2:C566,"ENTRADA")-SUMIFS(D$2:D566,B$2:B566,B566,C$2:C566,"SALIDA")</f>
        <v>4111.844000000001</v>
      </c>
    </row>
    <row r="567" spans="1:5" x14ac:dyDescent="0.3">
      <c r="A567" s="9">
        <v>44260</v>
      </c>
      <c r="B567" s="10" t="s">
        <v>15</v>
      </c>
      <c r="C567" s="10" t="s">
        <v>28</v>
      </c>
      <c r="D567" s="12">
        <v>289.75</v>
      </c>
      <c r="E567" s="12">
        <f>SUMIF('Parametros Inventario'!$A:$A,B567,'Parametros Inventario'!$B:$B)+SUMIFS(D$2:D567,B$2:B567,B567,C$2:C567,"ENTRADA")-SUMIFS(D$2:D567,B$2:B567,B567,C$2:C567,"SALIDA")</f>
        <v>3081.4650000000001</v>
      </c>
    </row>
    <row r="568" spans="1:5" x14ac:dyDescent="0.3">
      <c r="A568" s="9">
        <v>44260</v>
      </c>
      <c r="B568" s="10" t="s">
        <v>11</v>
      </c>
      <c r="C568" s="10" t="s">
        <v>28</v>
      </c>
      <c r="D568" s="12">
        <v>132.11000000000001</v>
      </c>
      <c r="E568" s="12">
        <f>SUMIF('Parametros Inventario'!$A:$A,B568,'Parametros Inventario'!$B:$B)+SUMIFS(D$2:D568,B$2:B568,B568,C$2:C568,"ENTRADA")-SUMIFS(D$2:D568,B$2:B568,B568,C$2:C568,"SALIDA")</f>
        <v>3480.1210000000001</v>
      </c>
    </row>
    <row r="569" spans="1:5" x14ac:dyDescent="0.3">
      <c r="A569" s="9">
        <v>44260</v>
      </c>
      <c r="B569" s="10" t="s">
        <v>9</v>
      </c>
      <c r="C569" s="10" t="s">
        <v>28</v>
      </c>
      <c r="D569" s="12">
        <v>278.5</v>
      </c>
      <c r="E569" s="12">
        <f>SUMIF('Parametros Inventario'!$A:$A,B569,'Parametros Inventario'!$B:$B)+SUMIFS(D$2:D569,B$2:B569,B569,C$2:C569,"ENTRADA")-SUMIFS(D$2:D569,B$2:B569,B569,C$2:C569,"SALIDA")</f>
        <v>2358.6460000000002</v>
      </c>
    </row>
    <row r="570" spans="1:5" x14ac:dyDescent="0.3">
      <c r="A570" s="9">
        <v>44260</v>
      </c>
      <c r="B570" s="10" t="s">
        <v>14</v>
      </c>
      <c r="C570" s="10" t="s">
        <v>28</v>
      </c>
      <c r="D570" s="12">
        <v>83.43</v>
      </c>
      <c r="E570" s="12">
        <f>SUMIF('Parametros Inventario'!$A:$A,B570,'Parametros Inventario'!$B:$B)+SUMIFS(D$2:D570,B$2:B570,B570,C$2:C570,"ENTRADA")-SUMIFS(D$2:D570,B$2:B570,B570,C$2:C570,"SALIDA")</f>
        <v>2888.4890000000005</v>
      </c>
    </row>
    <row r="571" spans="1:5" x14ac:dyDescent="0.3">
      <c r="A571" s="9">
        <v>44260</v>
      </c>
      <c r="B571" s="10" t="s">
        <v>12</v>
      </c>
      <c r="C571" s="10" t="s">
        <v>28</v>
      </c>
      <c r="D571" s="12">
        <v>280.56</v>
      </c>
      <c r="E571" s="12">
        <f>SUMIF('Parametros Inventario'!$A:$A,B571,'Parametros Inventario'!$B:$B)+SUMIFS(D$2:D571,B$2:B571,B571,C$2:C571,"ENTRADA")-SUMIFS(D$2:D571,B$2:B571,B571,C$2:C571,"SALIDA")</f>
        <v>3470.6169999999988</v>
      </c>
    </row>
    <row r="572" spans="1:5" x14ac:dyDescent="0.3">
      <c r="A572" s="9">
        <v>44260</v>
      </c>
      <c r="B572" s="10" t="s">
        <v>16</v>
      </c>
      <c r="C572" s="10" t="s">
        <v>28</v>
      </c>
      <c r="D572" s="12">
        <v>202.2</v>
      </c>
      <c r="E572" s="12">
        <f>SUMIF('Parametros Inventario'!$A:$A,B572,'Parametros Inventario'!$B:$B)+SUMIFS(D$2:D572,B$2:B572,B572,C$2:C572,"ENTRADA")-SUMIFS(D$2:D572,B$2:B572,B572,C$2:C572,"SALIDA")</f>
        <v>3607.3269999999993</v>
      </c>
    </row>
    <row r="573" spans="1:5" x14ac:dyDescent="0.3">
      <c r="A573" s="9">
        <v>44260</v>
      </c>
      <c r="B573" s="10" t="s">
        <v>17</v>
      </c>
      <c r="C573" s="10" t="s">
        <v>28</v>
      </c>
      <c r="D573" s="12">
        <v>51.07</v>
      </c>
      <c r="E573" s="12">
        <f>SUMIF('Parametros Inventario'!$A:$A,B573,'Parametros Inventario'!$B:$B)+SUMIFS(D$2:D573,B$2:B573,B573,C$2:C573,"ENTRADA")-SUMIFS(D$2:D573,B$2:B573,B573,C$2:C573,"SALIDA")</f>
        <v>3212.4639999999999</v>
      </c>
    </row>
    <row r="574" spans="1:5" x14ac:dyDescent="0.3">
      <c r="A574" s="9">
        <v>44260</v>
      </c>
      <c r="B574" s="10" t="s">
        <v>18</v>
      </c>
      <c r="C574" s="10" t="s">
        <v>28</v>
      </c>
      <c r="D574" s="12">
        <v>52.39</v>
      </c>
      <c r="E574" s="12">
        <f>SUMIF('Parametros Inventario'!$A:$A,B574,'Parametros Inventario'!$B:$B)+SUMIFS(D$2:D574,B$2:B574,B574,C$2:C574,"ENTRADA")-SUMIFS(D$2:D574,B$2:B574,B574,C$2:C574,"SALIDA")</f>
        <v>3573.2750000000001</v>
      </c>
    </row>
    <row r="575" spans="1:5" x14ac:dyDescent="0.3">
      <c r="A575" s="9">
        <f>'Volúmenes DIstribuidos '!B369</f>
        <v>44260</v>
      </c>
      <c r="B575" s="10" t="str">
        <f>IF(OR('Volúmenes DIstribuidos '!C369="Azúcar",'Volúmenes DIstribuidos '!C369="azúcar"),"Azúcar o dulce",IF('Volúmenes DIstribuidos '!C369="Aceite","Aceite o grasas",IF('Volúmenes DIstribuidos '!C369="Avena","Otros almidones",'Volúmenes DIstribuidos '!C369)))</f>
        <v>Aceite o grasas</v>
      </c>
      <c r="C575" s="10" t="s">
        <v>29</v>
      </c>
      <c r="D575" s="12">
        <f>'Volúmenes DIstribuidos '!D369</f>
        <v>15.29</v>
      </c>
      <c r="E575" s="12">
        <f>SUMIF('Parametros Inventario'!$A:$A,B575,'Parametros Inventario'!$B:$B)+SUMIFS(D$2:D575,B$2:B575,B575,C$2:C575,"ENTRADA")-SUMIFS(D$2:D575,B$2:B575,B575,C$2:C575,"SALIDA")</f>
        <v>3375.2380000000012</v>
      </c>
    </row>
    <row r="576" spans="1:5" x14ac:dyDescent="0.3">
      <c r="A576" s="9">
        <f>'Volúmenes DIstribuidos '!B369</f>
        <v>44260</v>
      </c>
      <c r="B576" s="10" t="str">
        <f>IF(OR('Volúmenes DIstribuidos '!C370="Azúcar",'Volúmenes DIstribuidos '!C370="azúcar"),"Azúcar o dulce",IF('Volúmenes DIstribuidos '!C370="Aceite","Aceite o grasas",IF('Volúmenes DIstribuidos '!C370="Avena","Otros almidones",'Volúmenes DIstribuidos '!C370)))</f>
        <v>Lácteos</v>
      </c>
      <c r="C576" s="10" t="s">
        <v>29</v>
      </c>
      <c r="D576" s="12">
        <f>'Volúmenes DIstribuidos '!D370</f>
        <v>15</v>
      </c>
      <c r="E576" s="12">
        <f>SUMIF('Parametros Inventario'!$A:$A,B576,'Parametros Inventario'!$B:$B)+SUMIFS(D$2:D576,B$2:B576,B576,C$2:C576,"ENTRADA")-SUMIFS(D$2:D576,B$2:B576,B576,C$2:C576,"SALIDA")</f>
        <v>3197.4639999999999</v>
      </c>
    </row>
    <row r="577" spans="1:5" x14ac:dyDescent="0.3">
      <c r="A577" s="9">
        <f>'Volúmenes DIstribuidos '!B369</f>
        <v>44260</v>
      </c>
      <c r="B577" s="10" t="str">
        <f>IF(OR('Volúmenes DIstribuidos '!C371="Azúcar",'Volúmenes DIstribuidos '!C371="azúcar"),"Azúcar o dulce",IF('Volúmenes DIstribuidos '!C371="Aceite","Aceite o grasas",IF('Volúmenes DIstribuidos '!C371="Avena","Otros almidones",'Volúmenes DIstribuidos '!C371)))</f>
        <v>Carnes rojas</v>
      </c>
      <c r="C577" s="10" t="s">
        <v>29</v>
      </c>
      <c r="D577" s="12">
        <f>'Volúmenes DIstribuidos '!D371</f>
        <v>49.308999999999997</v>
      </c>
      <c r="E577" s="12">
        <f>SUMIF('Parametros Inventario'!$A:$A,B577,'Parametros Inventario'!$B:$B)+SUMIFS(D$2:D577,B$2:B577,B577,C$2:C577,"ENTRADA")-SUMIFS(D$2:D577,B$2:B577,B577,C$2:C577,"SALIDA")</f>
        <v>3421.3079999999991</v>
      </c>
    </row>
    <row r="578" spans="1:5" x14ac:dyDescent="0.3">
      <c r="A578" s="9">
        <f>'Volúmenes DIstribuidos '!B369</f>
        <v>44260</v>
      </c>
      <c r="B578" s="10" t="str">
        <f>IF(OR('Volúmenes DIstribuidos '!C372="Azúcar",'Volúmenes DIstribuidos '!C372="azúcar"),"Azúcar o dulce",IF('Volúmenes DIstribuidos '!C372="Aceite","Aceite o grasas",IF('Volúmenes DIstribuidos '!C372="Avena","Otros almidones",'Volúmenes DIstribuidos '!C372)))</f>
        <v>Otros almidones</v>
      </c>
      <c r="C578" s="10" t="s">
        <v>29</v>
      </c>
      <c r="D578" s="12">
        <f>'Volúmenes DIstribuidos '!D372</f>
        <v>28.79</v>
      </c>
      <c r="E578" s="12">
        <f>SUMIF('Parametros Inventario'!$A:$A,B578,'Parametros Inventario'!$B:$B)+SUMIFS(D$2:D578,B$2:B578,B578,C$2:C578,"ENTRADA")-SUMIFS(D$2:D578,B$2:B578,B578,C$2:C578,"SALIDA")</f>
        <v>3052.6750000000002</v>
      </c>
    </row>
    <row r="579" spans="1:5" x14ac:dyDescent="0.3">
      <c r="A579" s="9">
        <f>'Volúmenes DIstribuidos '!B369</f>
        <v>44260</v>
      </c>
      <c r="B579" s="10" t="str">
        <f>IF(OR('Volúmenes DIstribuidos '!C373="Azúcar",'Volúmenes DIstribuidos '!C373="azúcar"),"Azúcar o dulce",IF('Volúmenes DIstribuidos '!C373="Aceite","Aceite o grasas",IF('Volúmenes DIstribuidos '!C373="Avena","Otros almidones",'Volúmenes DIstribuidos '!C373)))</f>
        <v>Lácteos</v>
      </c>
      <c r="C579" s="10" t="s">
        <v>29</v>
      </c>
      <c r="D579" s="12">
        <f>'Volúmenes DIstribuidos '!D373</f>
        <v>17.2</v>
      </c>
      <c r="E579" s="12">
        <f>SUMIF('Parametros Inventario'!$A:$A,B579,'Parametros Inventario'!$B:$B)+SUMIFS(D$2:D579,B$2:B579,B579,C$2:C579,"ENTRADA")-SUMIFS(D$2:D579,B$2:B579,B579,C$2:C579,"SALIDA")</f>
        <v>3180.2640000000001</v>
      </c>
    </row>
    <row r="580" spans="1:5" x14ac:dyDescent="0.3">
      <c r="A580" s="9">
        <f>'Volúmenes DIstribuidos '!B369</f>
        <v>44260</v>
      </c>
      <c r="B580" s="10" t="str">
        <f>IF(OR('Volúmenes DIstribuidos '!C374="Azúcar",'Volúmenes DIstribuidos '!C374="azúcar"),"Azúcar o dulce",IF('Volúmenes DIstribuidos '!C374="Aceite","Aceite o grasas",IF('Volúmenes DIstribuidos '!C374="Avena","Otros almidones",'Volúmenes DIstribuidos '!C374)))</f>
        <v>Salsas</v>
      </c>
      <c r="C580" s="10" t="s">
        <v>29</v>
      </c>
      <c r="D580" s="12">
        <f>'Volúmenes DIstribuidos '!D374</f>
        <v>22.85</v>
      </c>
      <c r="E580" s="12">
        <f>SUMIF('Parametros Inventario'!$A:$A,B580,'Parametros Inventario'!$B:$B)+SUMIFS(D$2:D580,B$2:B580,B580,C$2:C580,"ENTRADA")-SUMIFS(D$2:D580,B$2:B580,B580,C$2:C580,"SALIDA")</f>
        <v>3550.4250000000002</v>
      </c>
    </row>
    <row r="581" spans="1:5" x14ac:dyDescent="0.3">
      <c r="A581" s="9">
        <f>'Volúmenes DIstribuidos '!B375</f>
        <v>44264</v>
      </c>
      <c r="B581" s="10" t="str">
        <f>IF(OR('Volúmenes DIstribuidos '!C375="Azúcar",'Volúmenes DIstribuidos '!C375="azúcar"),"Azúcar o dulce",IF('Volúmenes DIstribuidos '!C375="Aceite","Aceite o grasas",IF('Volúmenes DIstribuidos '!C375="Avena","Otros almidones",'Volúmenes DIstribuidos '!C375)))</f>
        <v>Carnes rojas</v>
      </c>
      <c r="C581" s="10" t="s">
        <v>29</v>
      </c>
      <c r="D581" s="12">
        <f>'Volúmenes DIstribuidos '!D375</f>
        <v>20.28</v>
      </c>
      <c r="E581" s="12">
        <f>SUMIF('Parametros Inventario'!$A:$A,B581,'Parametros Inventario'!$B:$B)+SUMIFS(D$2:D581,B$2:B581,B581,C$2:C581,"ENTRADA")-SUMIFS(D$2:D581,B$2:B581,B581,C$2:C581,"SALIDA")</f>
        <v>3401.0279999999989</v>
      </c>
    </row>
    <row r="582" spans="1:5" x14ac:dyDescent="0.3">
      <c r="A582" s="9">
        <f>'Volúmenes DIstribuidos '!B375</f>
        <v>44264</v>
      </c>
      <c r="B582" s="10" t="str">
        <f>IF(OR('Volúmenes DIstribuidos '!C376="Azúcar",'Volúmenes DIstribuidos '!C376="azúcar"),"Azúcar o dulce",IF('Volúmenes DIstribuidos '!C376="Aceite","Aceite o grasas",IF('Volúmenes DIstribuidos '!C376="Avena","Otros almidones",'Volúmenes DIstribuidos '!C376)))</f>
        <v>Carnes blancas</v>
      </c>
      <c r="C582" s="10" t="s">
        <v>29</v>
      </c>
      <c r="D582" s="12">
        <f>'Volúmenes DIstribuidos '!D376</f>
        <v>7.407</v>
      </c>
      <c r="E582" s="12">
        <f>SUMIF('Parametros Inventario'!$A:$A,B582,'Parametros Inventario'!$B:$B)+SUMIFS(D$2:D582,B$2:B582,B582,C$2:C582,"ENTRADA")-SUMIFS(D$2:D582,B$2:B582,B582,C$2:C582,"SALIDA")</f>
        <v>3599.9199999999992</v>
      </c>
    </row>
    <row r="583" spans="1:5" x14ac:dyDescent="0.3">
      <c r="A583" s="9">
        <f>'Volúmenes DIstribuidos '!B375</f>
        <v>44264</v>
      </c>
      <c r="B583" s="10" t="str">
        <f>IF(OR('Volúmenes DIstribuidos '!C377="Azúcar",'Volúmenes DIstribuidos '!C377="azúcar"),"Azúcar o dulce",IF('Volúmenes DIstribuidos '!C377="Aceite","Aceite o grasas",IF('Volúmenes DIstribuidos '!C377="Avena","Otros almidones",'Volúmenes DIstribuidos '!C377)))</f>
        <v>Carnes rojas</v>
      </c>
      <c r="C583" s="10" t="s">
        <v>29</v>
      </c>
      <c r="D583" s="12">
        <f>'Volúmenes DIstribuidos '!D377</f>
        <v>13.07</v>
      </c>
      <c r="E583" s="12">
        <f>SUMIF('Parametros Inventario'!$A:$A,B583,'Parametros Inventario'!$B:$B)+SUMIFS(D$2:D583,B$2:B583,B583,C$2:C583,"ENTRADA")-SUMIFS(D$2:D583,B$2:B583,B583,C$2:C583,"SALIDA")</f>
        <v>3387.9579999999987</v>
      </c>
    </row>
    <row r="584" spans="1:5" x14ac:dyDescent="0.3">
      <c r="A584" s="9">
        <f>'Volúmenes DIstribuidos '!B375</f>
        <v>44264</v>
      </c>
      <c r="B584" s="10" t="str">
        <f>IF(OR('Volúmenes DIstribuidos '!C378="Azúcar",'Volúmenes DIstribuidos '!C378="azúcar"),"Azúcar o dulce",IF('Volúmenes DIstribuidos '!C378="Aceite","Aceite o grasas",IF('Volúmenes DIstribuidos '!C378="Avena","Otros almidones",'Volúmenes DIstribuidos '!C378)))</f>
        <v>Lácteos</v>
      </c>
      <c r="C584" s="10" t="s">
        <v>29</v>
      </c>
      <c r="D584" s="12">
        <f>'Volúmenes DIstribuidos '!D378</f>
        <v>2.5099999999999998</v>
      </c>
      <c r="E584" s="12">
        <f>SUMIF('Parametros Inventario'!$A:$A,B584,'Parametros Inventario'!$B:$B)+SUMIFS(D$2:D584,B$2:B584,B584,C$2:C584,"ENTRADA")-SUMIFS(D$2:D584,B$2:B584,B584,C$2:C584,"SALIDA")</f>
        <v>3177.7539999999999</v>
      </c>
    </row>
    <row r="585" spans="1:5" x14ac:dyDescent="0.3">
      <c r="A585" s="9">
        <f>'Volúmenes DIstribuidos '!B375</f>
        <v>44264</v>
      </c>
      <c r="B585" s="10" t="str">
        <f>IF(OR('Volúmenes DIstribuidos '!C379="Azúcar",'Volúmenes DIstribuidos '!C379="azúcar"),"Azúcar o dulce",IF('Volúmenes DIstribuidos '!C379="Aceite","Aceite o grasas",IF('Volúmenes DIstribuidos '!C379="Avena","Otros almidones",'Volúmenes DIstribuidos '!C379)))</f>
        <v>Vegetales y hojas</v>
      </c>
      <c r="C585" s="10" t="s">
        <v>29</v>
      </c>
      <c r="D585" s="12">
        <f>'Volúmenes DIstribuidos '!D379</f>
        <v>5.9649999999999999</v>
      </c>
      <c r="E585" s="12">
        <f>SUMIF('Parametros Inventario'!$A:$A,B585,'Parametros Inventario'!$B:$B)+SUMIFS(D$2:D585,B$2:B585,B585,C$2:C585,"ENTRADA")-SUMIFS(D$2:D585,B$2:B585,B585,C$2:C585,"SALIDA")</f>
        <v>3606.2930000000001</v>
      </c>
    </row>
    <row r="586" spans="1:5" x14ac:dyDescent="0.3">
      <c r="A586" s="9">
        <f>'Volúmenes DIstribuidos '!B375</f>
        <v>44264</v>
      </c>
      <c r="B586" s="10" t="str">
        <f>IF(OR('Volúmenes DIstribuidos '!C380="Azúcar",'Volúmenes DIstribuidos '!C380="azúcar"),"Azúcar o dulce",IF('Volúmenes DIstribuidos '!C380="Aceite","Aceite o grasas",IF('Volúmenes DIstribuidos '!C380="Avena","Otros almidones",'Volúmenes DIstribuidos '!C380)))</f>
        <v>Salsas</v>
      </c>
      <c r="C586" s="10" t="s">
        <v>29</v>
      </c>
      <c r="D586" s="12">
        <f>'Volúmenes DIstribuidos '!D380</f>
        <v>12.24</v>
      </c>
      <c r="E586" s="12">
        <f>SUMIF('Parametros Inventario'!$A:$A,B586,'Parametros Inventario'!$B:$B)+SUMIFS(D$2:D586,B$2:B586,B586,C$2:C586,"ENTRADA")-SUMIFS(D$2:D586,B$2:B586,B586,C$2:C586,"SALIDA")</f>
        <v>3538.1850000000004</v>
      </c>
    </row>
    <row r="587" spans="1:5" x14ac:dyDescent="0.3">
      <c r="A587" s="9">
        <f>'Volúmenes DIstribuidos '!B381</f>
        <v>44267</v>
      </c>
      <c r="B587" s="10" t="str">
        <f>IF(OR('Volúmenes DIstribuidos '!C381="Azúcar",'Volúmenes DIstribuidos '!C381="azúcar"),"Azúcar o dulce",IF('Volúmenes DIstribuidos '!C381="Aceite","Aceite o grasas",IF('Volúmenes DIstribuidos '!C381="Avena","Otros almidones",'Volúmenes DIstribuidos '!C381)))</f>
        <v>Panadería</v>
      </c>
      <c r="C587" s="10" t="s">
        <v>29</v>
      </c>
      <c r="D587" s="12">
        <f>'Volúmenes DIstribuidos '!D381</f>
        <v>10.06</v>
      </c>
      <c r="E587" s="12">
        <f>SUMIF('Parametros Inventario'!$A:$A,B587,'Parametros Inventario'!$B:$B)+SUMIFS(D$2:D587,B$2:B587,B587,C$2:C587,"ENTRADA")-SUMIFS(D$2:D587,B$2:B587,B587,C$2:C587,"SALIDA")</f>
        <v>2348.5860000000002</v>
      </c>
    </row>
    <row r="588" spans="1:5" x14ac:dyDescent="0.3">
      <c r="A588" s="9">
        <f>'Volúmenes DIstribuidos '!B381</f>
        <v>44267</v>
      </c>
      <c r="B588" s="10" t="str">
        <f>IF(OR('Volúmenes DIstribuidos '!C382="Azúcar",'Volúmenes DIstribuidos '!C382="azúcar"),"Azúcar o dulce",IF('Volúmenes DIstribuidos '!C382="Aceite","Aceite o grasas",IF('Volúmenes DIstribuidos '!C382="Avena","Otros almidones",'Volúmenes DIstribuidos '!C382)))</f>
        <v>Vegetales y hojas</v>
      </c>
      <c r="C588" s="10" t="s">
        <v>29</v>
      </c>
      <c r="D588" s="12">
        <f>'Volúmenes DIstribuidos '!D382</f>
        <v>15.225</v>
      </c>
      <c r="E588" s="12">
        <f>SUMIF('Parametros Inventario'!$A:$A,B588,'Parametros Inventario'!$B:$B)+SUMIFS(D$2:D588,B$2:B588,B588,C$2:C588,"ENTRADA")-SUMIFS(D$2:D588,B$2:B588,B588,C$2:C588,"SALIDA")</f>
        <v>3591.0680000000002</v>
      </c>
    </row>
    <row r="589" spans="1:5" x14ac:dyDescent="0.3">
      <c r="A589" s="9">
        <f>'Volúmenes DIstribuidos '!B381</f>
        <v>44267</v>
      </c>
      <c r="B589" s="10" t="str">
        <f>IF(OR('Volúmenes DIstribuidos '!C383="Azúcar",'Volúmenes DIstribuidos '!C383="azúcar"),"Azúcar o dulce",IF('Volúmenes DIstribuidos '!C383="Aceite","Aceite o grasas",IF('Volúmenes DIstribuidos '!C383="Avena","Otros almidones",'Volúmenes DIstribuidos '!C383)))</f>
        <v>Aceite o grasas</v>
      </c>
      <c r="C589" s="10" t="s">
        <v>29</v>
      </c>
      <c r="D589" s="12">
        <f>'Volúmenes DIstribuidos '!D383</f>
        <v>35.17</v>
      </c>
      <c r="E589" s="12">
        <f>SUMIF('Parametros Inventario'!$A:$A,B589,'Parametros Inventario'!$B:$B)+SUMIFS(D$2:D589,B$2:B589,B589,C$2:C589,"ENTRADA")-SUMIFS(D$2:D589,B$2:B589,B589,C$2:C589,"SALIDA")</f>
        <v>3340.0680000000011</v>
      </c>
    </row>
    <row r="590" spans="1:5" x14ac:dyDescent="0.3">
      <c r="A590" s="9">
        <f>'Volúmenes DIstribuidos '!B381</f>
        <v>44267</v>
      </c>
      <c r="B590" s="10" t="str">
        <f>IF(OR('Volúmenes DIstribuidos '!C384="Azúcar",'Volúmenes DIstribuidos '!C384="azúcar"),"Azúcar o dulce",IF('Volúmenes DIstribuidos '!C384="Aceite","Aceite o grasas",IF('Volúmenes DIstribuidos '!C384="Avena","Otros almidones",'Volúmenes DIstribuidos '!C384)))</f>
        <v>Panadería</v>
      </c>
      <c r="C590" s="10" t="s">
        <v>29</v>
      </c>
      <c r="D590" s="12">
        <f>'Volúmenes DIstribuidos '!D384</f>
        <v>41.61</v>
      </c>
      <c r="E590" s="12">
        <f>SUMIF('Parametros Inventario'!$A:$A,B590,'Parametros Inventario'!$B:$B)+SUMIFS(D$2:D590,B$2:B590,B590,C$2:C590,"ENTRADA")-SUMIFS(D$2:D590,B$2:B590,B590,C$2:C590,"SALIDA")</f>
        <v>2306.9760000000006</v>
      </c>
    </row>
    <row r="591" spans="1:5" x14ac:dyDescent="0.3">
      <c r="A591" s="9">
        <f>'Volúmenes DIstribuidos '!B381</f>
        <v>44267</v>
      </c>
      <c r="B591" s="10" t="str">
        <f>IF(OR('Volúmenes DIstribuidos '!C385="Azúcar",'Volúmenes DIstribuidos '!C385="azúcar"),"Azúcar o dulce",IF('Volúmenes DIstribuidos '!C385="Aceite","Aceite o grasas",IF('Volúmenes DIstribuidos '!C385="Avena","Otros almidones",'Volúmenes DIstribuidos '!C385)))</f>
        <v>Menestras</v>
      </c>
      <c r="C591" s="10" t="s">
        <v>29</v>
      </c>
      <c r="D591" s="12">
        <f>'Volúmenes DIstribuidos '!D385</f>
        <v>24.640999999999998</v>
      </c>
      <c r="E591" s="12">
        <f>SUMIF('Parametros Inventario'!$A:$A,B591,'Parametros Inventario'!$B:$B)+SUMIFS(D$2:D591,B$2:B591,B591,C$2:C591,"ENTRADA")-SUMIFS(D$2:D591,B$2:B591,B591,C$2:C591,"SALIDA")</f>
        <v>2863.848</v>
      </c>
    </row>
    <row r="592" spans="1:5" x14ac:dyDescent="0.3">
      <c r="A592" s="9">
        <f>'Volúmenes DIstribuidos '!B381</f>
        <v>44267</v>
      </c>
      <c r="B592" s="10" t="str">
        <f>IF(OR('Volúmenes DIstribuidos '!C386="Azúcar",'Volúmenes DIstribuidos '!C386="azúcar"),"Azúcar o dulce",IF('Volúmenes DIstribuidos '!C386="Aceite","Aceite o grasas",IF('Volúmenes DIstribuidos '!C386="Avena","Otros almidones",'Volúmenes DIstribuidos '!C386)))</f>
        <v>Lácteos</v>
      </c>
      <c r="C592" s="10" t="s">
        <v>29</v>
      </c>
      <c r="D592" s="12">
        <f>'Volúmenes DIstribuidos '!D386</f>
        <v>24.69</v>
      </c>
      <c r="E592" s="12">
        <f>SUMIF('Parametros Inventario'!$A:$A,B592,'Parametros Inventario'!$B:$B)+SUMIFS(D$2:D592,B$2:B592,B592,C$2:C592,"ENTRADA")-SUMIFS(D$2:D592,B$2:B592,B592,C$2:C592,"SALIDA")</f>
        <v>3153.0640000000003</v>
      </c>
    </row>
    <row r="593" spans="1:5" x14ac:dyDescent="0.3">
      <c r="A593" s="9">
        <f>'Volúmenes DIstribuidos '!B387</f>
        <v>44271</v>
      </c>
      <c r="B593" s="10" t="str">
        <f>IF(OR('Volúmenes DIstribuidos '!C387="Azúcar",'Volúmenes DIstribuidos '!C387="azúcar"),"Azúcar o dulce",IF('Volúmenes DIstribuidos '!C387="Aceite","Aceite o grasas",IF('Volúmenes DIstribuidos '!C387="Avena","Otros almidones",'Volúmenes DIstribuidos '!C387)))</f>
        <v>Otros almidones</v>
      </c>
      <c r="C593" s="10" t="s">
        <v>29</v>
      </c>
      <c r="D593" s="12">
        <f>'Volúmenes DIstribuidos '!D387</f>
        <v>18.62</v>
      </c>
      <c r="E593" s="12">
        <f>SUMIF('Parametros Inventario'!$A:$A,B593,'Parametros Inventario'!$B:$B)+SUMIFS(D$2:D593,B$2:B593,B593,C$2:C593,"ENTRADA")-SUMIFS(D$2:D593,B$2:B593,B593,C$2:C593,"SALIDA")</f>
        <v>3034.0550000000003</v>
      </c>
    </row>
    <row r="594" spans="1:5" x14ac:dyDescent="0.3">
      <c r="A594" s="9">
        <f>'Volúmenes DIstribuidos '!B387</f>
        <v>44271</v>
      </c>
      <c r="B594" s="10" t="str">
        <f>IF(OR('Volúmenes DIstribuidos '!C388="Azúcar",'Volúmenes DIstribuidos '!C388="azúcar"),"Azúcar o dulce",IF('Volúmenes DIstribuidos '!C388="Aceite","Aceite o grasas",IF('Volúmenes DIstribuidos '!C388="Avena","Otros almidones",'Volúmenes DIstribuidos '!C388)))</f>
        <v>Azúcar o dulce</v>
      </c>
      <c r="C594" s="10" t="s">
        <v>29</v>
      </c>
      <c r="D594" s="12">
        <f>'Volúmenes DIstribuidos '!D388</f>
        <v>23.69</v>
      </c>
      <c r="E594" s="12">
        <f>SUMIF('Parametros Inventario'!$A:$A,B594,'Parametros Inventario'!$B:$B)+SUMIFS(D$2:D594,B$2:B594,B594,C$2:C594,"ENTRADA")-SUMIFS(D$2:D594,B$2:B594,B594,C$2:C594,"SALIDA")</f>
        <v>4088.1540000000005</v>
      </c>
    </row>
    <row r="595" spans="1:5" x14ac:dyDescent="0.3">
      <c r="A595" s="9">
        <f>'Volúmenes DIstribuidos '!B387</f>
        <v>44271</v>
      </c>
      <c r="B595" s="10" t="str">
        <f>IF(OR('Volúmenes DIstribuidos '!C389="Azúcar",'Volúmenes DIstribuidos '!C389="azúcar"),"Azúcar o dulce",IF('Volúmenes DIstribuidos '!C389="Aceite","Aceite o grasas",IF('Volúmenes DIstribuidos '!C389="Avena","Otros almidones",'Volúmenes DIstribuidos '!C389)))</f>
        <v>Panadería</v>
      </c>
      <c r="C595" s="10" t="s">
        <v>29</v>
      </c>
      <c r="D595" s="12">
        <f>'Volúmenes DIstribuidos '!D389</f>
        <v>12.66</v>
      </c>
      <c r="E595" s="12">
        <f>SUMIF('Parametros Inventario'!$A:$A,B595,'Parametros Inventario'!$B:$B)+SUMIFS(D$2:D595,B$2:B595,B595,C$2:C595,"ENTRADA")-SUMIFS(D$2:D595,B$2:B595,B595,C$2:C595,"SALIDA")</f>
        <v>2294.3160000000003</v>
      </c>
    </row>
    <row r="596" spans="1:5" x14ac:dyDescent="0.3">
      <c r="A596" s="9">
        <f>'Volúmenes DIstribuidos '!B387</f>
        <v>44271</v>
      </c>
      <c r="B596" s="10" t="str">
        <f>IF(OR('Volúmenes DIstribuidos '!C390="Azúcar",'Volúmenes DIstribuidos '!C390="azúcar"),"Azúcar o dulce",IF('Volúmenes DIstribuidos '!C390="Aceite","Aceite o grasas",IF('Volúmenes DIstribuidos '!C390="Avena","Otros almidones",'Volúmenes DIstribuidos '!C390)))</f>
        <v>Carnes rojas</v>
      </c>
      <c r="C596" s="10" t="s">
        <v>29</v>
      </c>
      <c r="D596" s="12">
        <f>'Volúmenes DIstribuidos '!D390</f>
        <v>19.649999999999999</v>
      </c>
      <c r="E596" s="12">
        <f>SUMIF('Parametros Inventario'!$A:$A,B596,'Parametros Inventario'!$B:$B)+SUMIFS(D$2:D596,B$2:B596,B596,C$2:C596,"ENTRADA")-SUMIFS(D$2:D596,B$2:B596,B596,C$2:C596,"SALIDA")</f>
        <v>3368.3079999999991</v>
      </c>
    </row>
    <row r="597" spans="1:5" x14ac:dyDescent="0.3">
      <c r="A597" s="9">
        <f>'Volúmenes DIstribuidos '!B387</f>
        <v>44271</v>
      </c>
      <c r="B597" s="10" t="str">
        <f>IF(OR('Volúmenes DIstribuidos '!C391="Azúcar",'Volúmenes DIstribuidos '!C391="azúcar"),"Azúcar o dulce",IF('Volúmenes DIstribuidos '!C391="Aceite","Aceite o grasas",IF('Volúmenes DIstribuidos '!C391="Avena","Otros almidones",'Volúmenes DIstribuidos '!C391)))</f>
        <v>Aceite o grasas</v>
      </c>
      <c r="C597" s="10" t="s">
        <v>29</v>
      </c>
      <c r="D597" s="12">
        <f>'Volúmenes DIstribuidos '!D391</f>
        <v>46.841000000000001</v>
      </c>
      <c r="E597" s="12">
        <f>SUMIF('Parametros Inventario'!$A:$A,B597,'Parametros Inventario'!$B:$B)+SUMIFS(D$2:D597,B$2:B597,B597,C$2:C597,"ENTRADA")-SUMIFS(D$2:D597,B$2:B597,B597,C$2:C597,"SALIDA")</f>
        <v>3293.2270000000008</v>
      </c>
    </row>
    <row r="598" spans="1:5" x14ac:dyDescent="0.3">
      <c r="A598" s="9">
        <f>'Volúmenes DIstribuidos '!B387</f>
        <v>44271</v>
      </c>
      <c r="B598" s="10" t="str">
        <f>IF(OR('Volúmenes DIstribuidos '!C392="Azúcar",'Volúmenes DIstribuidos '!C392="azúcar"),"Azúcar o dulce",IF('Volúmenes DIstribuidos '!C392="Aceite","Aceite o grasas",IF('Volúmenes DIstribuidos '!C392="Avena","Otros almidones",'Volúmenes DIstribuidos '!C392)))</f>
        <v>Otros almidones</v>
      </c>
      <c r="C598" s="10" t="s">
        <v>29</v>
      </c>
      <c r="D598" s="12">
        <f>'Volúmenes DIstribuidos '!D392</f>
        <v>66.23</v>
      </c>
      <c r="E598" s="12">
        <f>SUMIF('Parametros Inventario'!$A:$A,B598,'Parametros Inventario'!$B:$B)+SUMIFS(D$2:D598,B$2:B598,B598,C$2:C598,"ENTRADA")-SUMIFS(D$2:D598,B$2:B598,B598,C$2:C598,"SALIDA")</f>
        <v>2967.8250000000003</v>
      </c>
    </row>
    <row r="599" spans="1:5" x14ac:dyDescent="0.3">
      <c r="A599" s="9">
        <v>44274</v>
      </c>
      <c r="B599" s="10" t="s">
        <v>10</v>
      </c>
      <c r="C599" s="10" t="s">
        <v>28</v>
      </c>
      <c r="D599" s="12">
        <v>93.38</v>
      </c>
      <c r="E599" s="12">
        <f>SUMIF('Parametros Inventario'!$A:$A,B599,'Parametros Inventario'!$B:$B)+SUMIFS(D$2:D599,B$2:B599,B599,C$2:C599,"ENTRADA")-SUMIFS(D$2:D599,B$2:B599,B599,C$2:C599,"SALIDA")</f>
        <v>3684.4480000000003</v>
      </c>
    </row>
    <row r="600" spans="1:5" x14ac:dyDescent="0.3">
      <c r="A600" s="9">
        <v>44274</v>
      </c>
      <c r="B600" s="10" t="s">
        <v>8</v>
      </c>
      <c r="C600" s="10" t="s">
        <v>28</v>
      </c>
      <c r="D600" s="12">
        <v>188.95</v>
      </c>
      <c r="E600" s="12">
        <f>SUMIF('Parametros Inventario'!$A:$A,B600,'Parametros Inventario'!$B:$B)+SUMIFS(D$2:D600,B$2:B600,B600,C$2:C600,"ENTRADA")-SUMIFS(D$2:D600,B$2:B600,B600,C$2:C600,"SALIDA")</f>
        <v>3482.1770000000006</v>
      </c>
    </row>
    <row r="601" spans="1:5" x14ac:dyDescent="0.3">
      <c r="A601" s="9">
        <v>44274</v>
      </c>
      <c r="B601" s="10" t="s">
        <v>13</v>
      </c>
      <c r="C601" s="10" t="s">
        <v>28</v>
      </c>
      <c r="D601" s="12">
        <v>224.12</v>
      </c>
      <c r="E601" s="12">
        <f>SUMIF('Parametros Inventario'!$A:$A,B601,'Parametros Inventario'!$B:$B)+SUMIFS(D$2:D601,B$2:B601,B601,C$2:C601,"ENTRADA")-SUMIFS(D$2:D601,B$2:B601,B601,C$2:C601,"SALIDA")</f>
        <v>4312.2739999999994</v>
      </c>
    </row>
    <row r="602" spans="1:5" x14ac:dyDescent="0.3">
      <c r="A602" s="9">
        <v>44274</v>
      </c>
      <c r="B602" s="10" t="s">
        <v>15</v>
      </c>
      <c r="C602" s="10" t="s">
        <v>28</v>
      </c>
      <c r="D602" s="12">
        <v>172.24</v>
      </c>
      <c r="E602" s="12">
        <f>SUMIF('Parametros Inventario'!$A:$A,B602,'Parametros Inventario'!$B:$B)+SUMIFS(D$2:D602,B$2:B602,B602,C$2:C602,"ENTRADA")-SUMIFS(D$2:D602,B$2:B602,B602,C$2:C602,"SALIDA")</f>
        <v>3140.0650000000001</v>
      </c>
    </row>
    <row r="603" spans="1:5" x14ac:dyDescent="0.3">
      <c r="A603" s="9">
        <v>44274</v>
      </c>
      <c r="B603" s="10" t="s">
        <v>11</v>
      </c>
      <c r="C603" s="10" t="s">
        <v>28</v>
      </c>
      <c r="D603" s="12">
        <v>148.19999999999999</v>
      </c>
      <c r="E603" s="12">
        <f>SUMIF('Parametros Inventario'!$A:$A,B603,'Parametros Inventario'!$B:$B)+SUMIFS(D$2:D603,B$2:B603,B603,C$2:C603,"ENTRADA")-SUMIFS(D$2:D603,B$2:B603,B603,C$2:C603,"SALIDA")</f>
        <v>3628.320999999999</v>
      </c>
    </row>
    <row r="604" spans="1:5" x14ac:dyDescent="0.3">
      <c r="A604" s="9">
        <v>44274</v>
      </c>
      <c r="B604" s="10" t="s">
        <v>9</v>
      </c>
      <c r="C604" s="10" t="s">
        <v>28</v>
      </c>
      <c r="D604" s="12">
        <v>70.290000000000006</v>
      </c>
      <c r="E604" s="12">
        <f>SUMIF('Parametros Inventario'!$A:$A,B604,'Parametros Inventario'!$B:$B)+SUMIFS(D$2:D604,B$2:B604,B604,C$2:C604,"ENTRADA")-SUMIFS(D$2:D604,B$2:B604,B604,C$2:C604,"SALIDA")</f>
        <v>2364.6060000000002</v>
      </c>
    </row>
    <row r="605" spans="1:5" x14ac:dyDescent="0.3">
      <c r="A605" s="9">
        <v>44274</v>
      </c>
      <c r="B605" s="10" t="s">
        <v>14</v>
      </c>
      <c r="C605" s="10" t="s">
        <v>28</v>
      </c>
      <c r="D605" s="12">
        <v>269.18</v>
      </c>
      <c r="E605" s="12">
        <f>SUMIF('Parametros Inventario'!$A:$A,B605,'Parametros Inventario'!$B:$B)+SUMIFS(D$2:D605,B$2:B605,B605,C$2:C605,"ENTRADA")-SUMIFS(D$2:D605,B$2:B605,B605,C$2:C605,"SALIDA")</f>
        <v>3133.0279999999993</v>
      </c>
    </row>
    <row r="606" spans="1:5" x14ac:dyDescent="0.3">
      <c r="A606" s="9">
        <f>'Volúmenes DIstribuidos '!B393</f>
        <v>44274</v>
      </c>
      <c r="B606" s="10" t="str">
        <f>IF(OR('Volúmenes DIstribuidos '!C393="Azúcar",'Volúmenes DIstribuidos '!C393="azúcar"),"Azúcar o dulce",IF('Volúmenes DIstribuidos '!C393="Aceite","Aceite o grasas",IF('Volúmenes DIstribuidos '!C393="Avena","Otros almidones",'Volúmenes DIstribuidos '!C393)))</f>
        <v>Panadería</v>
      </c>
      <c r="C606" s="10" t="s">
        <v>29</v>
      </c>
      <c r="D606" s="12">
        <f>'Volúmenes DIstribuidos '!D393</f>
        <v>13.13</v>
      </c>
      <c r="E606" s="12">
        <f>SUMIF('Parametros Inventario'!$A:$A,B606,'Parametros Inventario'!$B:$B)+SUMIFS(D$2:D606,B$2:B606,B606,C$2:C606,"ENTRADA")-SUMIFS(D$2:D606,B$2:B606,B606,C$2:C606,"SALIDA")</f>
        <v>2351.4760000000001</v>
      </c>
    </row>
    <row r="607" spans="1:5" x14ac:dyDescent="0.3">
      <c r="A607" s="9">
        <f>'Volúmenes DIstribuidos '!B393</f>
        <v>44274</v>
      </c>
      <c r="B607" s="10" t="str">
        <f>IF(OR('Volúmenes DIstribuidos '!C394="Azúcar",'Volúmenes DIstribuidos '!C394="azúcar"),"Azúcar o dulce",IF('Volúmenes DIstribuidos '!C394="Aceite","Aceite o grasas",IF('Volúmenes DIstribuidos '!C394="Avena","Otros almidones",'Volúmenes DIstribuidos '!C394)))</f>
        <v>Salsas</v>
      </c>
      <c r="C607" s="10" t="s">
        <v>29</v>
      </c>
      <c r="D607" s="12">
        <f>'Volúmenes DIstribuidos '!D394</f>
        <v>11.231999999999999</v>
      </c>
      <c r="E607" s="12">
        <f>SUMIF('Parametros Inventario'!$A:$A,B607,'Parametros Inventario'!$B:$B)+SUMIFS(D$2:D607,B$2:B607,B607,C$2:C607,"ENTRADA")-SUMIFS(D$2:D607,B$2:B607,B607,C$2:C607,"SALIDA")</f>
        <v>3526.9530000000004</v>
      </c>
    </row>
    <row r="608" spans="1:5" x14ac:dyDescent="0.3">
      <c r="A608" s="9">
        <f>'Volúmenes DIstribuidos '!B393</f>
        <v>44274</v>
      </c>
      <c r="B608" s="10" t="str">
        <f>IF(OR('Volúmenes DIstribuidos '!C395="Azúcar",'Volúmenes DIstribuidos '!C395="azúcar"),"Azúcar o dulce",IF('Volúmenes DIstribuidos '!C395="Aceite","Aceite o grasas",IF('Volúmenes DIstribuidos '!C395="Avena","Otros almidones",'Volúmenes DIstribuidos '!C395)))</f>
        <v>Menestras</v>
      </c>
      <c r="C608" s="10" t="s">
        <v>29</v>
      </c>
      <c r="D608" s="12">
        <f>'Volúmenes DIstribuidos '!D395</f>
        <v>5.38</v>
      </c>
      <c r="E608" s="12">
        <f>SUMIF('Parametros Inventario'!$A:$A,B608,'Parametros Inventario'!$B:$B)+SUMIFS(D$2:D608,B$2:B608,B608,C$2:C608,"ENTRADA")-SUMIFS(D$2:D608,B$2:B608,B608,C$2:C608,"SALIDA")</f>
        <v>3127.6479999999992</v>
      </c>
    </row>
    <row r="609" spans="1:5" x14ac:dyDescent="0.3">
      <c r="A609" s="9">
        <f>'Volúmenes DIstribuidos '!B393</f>
        <v>44274</v>
      </c>
      <c r="B609" s="10" t="str">
        <f>IF(OR('Volúmenes DIstribuidos '!C396="Azúcar",'Volúmenes DIstribuidos '!C396="azúcar"),"Azúcar o dulce",IF('Volúmenes DIstribuidos '!C396="Aceite","Aceite o grasas",IF('Volúmenes DIstribuidos '!C396="Avena","Otros almidones",'Volúmenes DIstribuidos '!C396)))</f>
        <v>Salsas</v>
      </c>
      <c r="C609" s="10" t="s">
        <v>29</v>
      </c>
      <c r="D609" s="12">
        <f>'Volúmenes DIstribuidos '!D396</f>
        <v>23.44</v>
      </c>
      <c r="E609" s="12">
        <f>SUMIF('Parametros Inventario'!$A:$A,B609,'Parametros Inventario'!$B:$B)+SUMIFS(D$2:D609,B$2:B609,B609,C$2:C609,"ENTRADA")-SUMIFS(D$2:D609,B$2:B609,B609,C$2:C609,"SALIDA")</f>
        <v>3503.5129999999999</v>
      </c>
    </row>
    <row r="610" spans="1:5" x14ac:dyDescent="0.3">
      <c r="A610" s="9">
        <f>'Volúmenes DIstribuidos '!B393</f>
        <v>44274</v>
      </c>
      <c r="B610" s="10" t="str">
        <f>IF(OR('Volúmenes DIstribuidos '!C397="Azúcar",'Volúmenes DIstribuidos '!C397="azúcar"),"Azúcar o dulce",IF('Volúmenes DIstribuidos '!C397="Aceite","Aceite o grasas",IF('Volúmenes DIstribuidos '!C397="Avena","Otros almidones",'Volúmenes DIstribuidos '!C397)))</f>
        <v>Panadería</v>
      </c>
      <c r="C610" s="10" t="s">
        <v>29</v>
      </c>
      <c r="D610" s="12">
        <f>'Volúmenes DIstribuidos '!D397</f>
        <v>7.58</v>
      </c>
      <c r="E610" s="12">
        <f>SUMIF('Parametros Inventario'!$A:$A,B610,'Parametros Inventario'!$B:$B)+SUMIFS(D$2:D610,B$2:B610,B610,C$2:C610,"ENTRADA")-SUMIFS(D$2:D610,B$2:B610,B610,C$2:C610,"SALIDA")</f>
        <v>2343.8960000000002</v>
      </c>
    </row>
    <row r="611" spans="1:5" x14ac:dyDescent="0.3">
      <c r="A611" s="9">
        <f>'Volúmenes DIstribuidos '!B393</f>
        <v>44274</v>
      </c>
      <c r="B611" s="10" t="str">
        <f>IF(OR('Volúmenes DIstribuidos '!C398="Azúcar",'Volúmenes DIstribuidos '!C398="azúcar"),"Azúcar o dulce",IF('Volúmenes DIstribuidos '!C398="Aceite","Aceite o grasas",IF('Volúmenes DIstribuidos '!C398="Avena","Otros almidones",'Volúmenes DIstribuidos '!C398)))</f>
        <v>Aceite o grasas</v>
      </c>
      <c r="C611" s="10" t="s">
        <v>29</v>
      </c>
      <c r="D611" s="12">
        <f>'Volúmenes DIstribuidos '!D398</f>
        <v>15.87</v>
      </c>
      <c r="E611" s="12">
        <f>SUMIF('Parametros Inventario'!$A:$A,B611,'Parametros Inventario'!$B:$B)+SUMIFS(D$2:D611,B$2:B611,B611,C$2:C611,"ENTRADA")-SUMIFS(D$2:D611,B$2:B611,B611,C$2:C611,"SALIDA")</f>
        <v>3466.3070000000007</v>
      </c>
    </row>
    <row r="612" spans="1:5" x14ac:dyDescent="0.3">
      <c r="A612" s="9">
        <f>'Volúmenes DIstribuidos '!B399</f>
        <v>44278</v>
      </c>
      <c r="B612" s="10" t="str">
        <f>IF(OR('Volúmenes DIstribuidos '!C399="Azúcar",'Volúmenes DIstribuidos '!C399="azúcar"),"Azúcar o dulce",IF('Volúmenes DIstribuidos '!C399="Aceite","Aceite o grasas",IF('Volúmenes DIstribuidos '!C399="Avena","Otros almidones",'Volúmenes DIstribuidos '!C399)))</f>
        <v>Carnes rojas</v>
      </c>
      <c r="C612" s="10" t="s">
        <v>29</v>
      </c>
      <c r="D612" s="12">
        <f>'Volúmenes DIstribuidos '!D399</f>
        <v>24.78</v>
      </c>
      <c r="E612" s="12">
        <f>SUMIF('Parametros Inventario'!$A:$A,B612,'Parametros Inventario'!$B:$B)+SUMIFS(D$2:D612,B$2:B612,B612,C$2:C612,"ENTRADA")-SUMIFS(D$2:D612,B$2:B612,B612,C$2:C612,"SALIDA")</f>
        <v>3343.5279999999989</v>
      </c>
    </row>
    <row r="613" spans="1:5" x14ac:dyDescent="0.3">
      <c r="A613" s="9">
        <f>'Volúmenes DIstribuidos '!B399</f>
        <v>44278</v>
      </c>
      <c r="B613" s="10" t="str">
        <f>IF(OR('Volúmenes DIstribuidos '!C400="Azúcar",'Volúmenes DIstribuidos '!C400="azúcar"),"Azúcar o dulce",IF('Volúmenes DIstribuidos '!C400="Aceite","Aceite o grasas",IF('Volúmenes DIstribuidos '!C400="Avena","Otros almidones",'Volúmenes DIstribuidos '!C400)))</f>
        <v>Otros almidones</v>
      </c>
      <c r="C613" s="10" t="s">
        <v>29</v>
      </c>
      <c r="D613" s="12">
        <f>'Volúmenes DIstribuidos '!D400</f>
        <v>23.225999999999999</v>
      </c>
      <c r="E613" s="12">
        <f>SUMIF('Parametros Inventario'!$A:$A,B613,'Parametros Inventario'!$B:$B)+SUMIFS(D$2:D613,B$2:B613,B613,C$2:C613,"ENTRADA")-SUMIFS(D$2:D613,B$2:B613,B613,C$2:C613,"SALIDA")</f>
        <v>3116.8389999999999</v>
      </c>
    </row>
    <row r="614" spans="1:5" x14ac:dyDescent="0.3">
      <c r="A614" s="9">
        <f>'Volúmenes DIstribuidos '!B399</f>
        <v>44278</v>
      </c>
      <c r="B614" s="10" t="str">
        <f>IF(OR('Volúmenes DIstribuidos '!C401="Azúcar",'Volúmenes DIstribuidos '!C401="azúcar"),"Azúcar o dulce",IF('Volúmenes DIstribuidos '!C401="Aceite","Aceite o grasas",IF('Volúmenes DIstribuidos '!C401="Avena","Otros almidones",'Volúmenes DIstribuidos '!C401)))</f>
        <v>Menestras</v>
      </c>
      <c r="C614" s="10" t="s">
        <v>29</v>
      </c>
      <c r="D614" s="12">
        <f>'Volúmenes DIstribuidos '!D401</f>
        <v>10.95</v>
      </c>
      <c r="E614" s="12">
        <f>SUMIF('Parametros Inventario'!$A:$A,B614,'Parametros Inventario'!$B:$B)+SUMIFS(D$2:D614,B$2:B614,B614,C$2:C614,"ENTRADA")-SUMIFS(D$2:D614,B$2:B614,B614,C$2:C614,"SALIDA")</f>
        <v>3116.6979999999994</v>
      </c>
    </row>
    <row r="615" spans="1:5" x14ac:dyDescent="0.3">
      <c r="A615" s="9">
        <f>'Volúmenes DIstribuidos '!B399</f>
        <v>44278</v>
      </c>
      <c r="B615" s="10" t="str">
        <f>IF(OR('Volúmenes DIstribuidos '!C402="Azúcar",'Volúmenes DIstribuidos '!C402="azúcar"),"Azúcar o dulce",IF('Volúmenes DIstribuidos '!C402="Aceite","Aceite o grasas",IF('Volúmenes DIstribuidos '!C402="Avena","Otros almidones",'Volúmenes DIstribuidos '!C402)))</f>
        <v>Carnes blancas</v>
      </c>
      <c r="C615" s="10" t="s">
        <v>29</v>
      </c>
      <c r="D615" s="12">
        <f>'Volúmenes DIstribuidos '!D402</f>
        <v>7.68</v>
      </c>
      <c r="E615" s="12">
        <f>SUMIF('Parametros Inventario'!$A:$A,B615,'Parametros Inventario'!$B:$B)+SUMIFS(D$2:D615,B$2:B615,B615,C$2:C615,"ENTRADA")-SUMIFS(D$2:D615,B$2:B615,B615,C$2:C615,"SALIDA")</f>
        <v>3592.2399999999993</v>
      </c>
    </row>
    <row r="616" spans="1:5" x14ac:dyDescent="0.3">
      <c r="A616" s="9">
        <f>'Volúmenes DIstribuidos '!B399</f>
        <v>44278</v>
      </c>
      <c r="B616" s="10" t="str">
        <f>IF(OR('Volúmenes DIstribuidos '!C403="Azúcar",'Volúmenes DIstribuidos '!C403="azúcar"),"Azúcar o dulce",IF('Volúmenes DIstribuidos '!C403="Aceite","Aceite o grasas",IF('Volúmenes DIstribuidos '!C403="Avena","Otros almidones",'Volúmenes DIstribuidos '!C403)))</f>
        <v>Vegetales y hojas</v>
      </c>
      <c r="C616" s="10" t="s">
        <v>29</v>
      </c>
      <c r="D616" s="12">
        <f>'Volúmenes DIstribuidos '!D403</f>
        <v>16.690000000000001</v>
      </c>
      <c r="E616" s="12">
        <f>SUMIF('Parametros Inventario'!$A:$A,B616,'Parametros Inventario'!$B:$B)+SUMIFS(D$2:D616,B$2:B616,B616,C$2:C616,"ENTRADA")-SUMIFS(D$2:D616,B$2:B616,B616,C$2:C616,"SALIDA")</f>
        <v>3667.7580000000003</v>
      </c>
    </row>
    <row r="617" spans="1:5" x14ac:dyDescent="0.3">
      <c r="A617" s="9">
        <f>'Volúmenes DIstribuidos '!B399</f>
        <v>44278</v>
      </c>
      <c r="B617" s="10" t="str">
        <f>IF(OR('Volúmenes DIstribuidos '!C404="Azúcar",'Volúmenes DIstribuidos '!C404="azúcar"),"Azúcar o dulce",IF('Volúmenes DIstribuidos '!C404="Aceite","Aceite o grasas",IF('Volúmenes DIstribuidos '!C404="Avena","Otros almidones",'Volúmenes DIstribuidos '!C404)))</f>
        <v>Carnes rojas</v>
      </c>
      <c r="C617" s="10" t="s">
        <v>29</v>
      </c>
      <c r="D617" s="12">
        <f>'Volúmenes DIstribuidos '!D404</f>
        <v>20.98</v>
      </c>
      <c r="E617" s="12">
        <f>SUMIF('Parametros Inventario'!$A:$A,B617,'Parametros Inventario'!$B:$B)+SUMIFS(D$2:D617,B$2:B617,B617,C$2:C617,"ENTRADA")-SUMIFS(D$2:D617,B$2:B617,B617,C$2:C617,"SALIDA")</f>
        <v>3322.5479999999989</v>
      </c>
    </row>
    <row r="618" spans="1:5" x14ac:dyDescent="0.3">
      <c r="A618" s="9">
        <f>'Volúmenes DIstribuidos '!B405</f>
        <v>44281</v>
      </c>
      <c r="B618" s="10" t="str">
        <f>IF(OR('Volúmenes DIstribuidos '!C405="Azúcar",'Volúmenes DIstribuidos '!C405="azúcar"),"Azúcar o dulce",IF('Volúmenes DIstribuidos '!C405="Aceite","Aceite o grasas",IF('Volúmenes DIstribuidos '!C405="Avena","Otros almidones",'Volúmenes DIstribuidos '!C405)))</f>
        <v>Lácteos</v>
      </c>
      <c r="C618" s="10" t="s">
        <v>29</v>
      </c>
      <c r="D618" s="12">
        <f>'Volúmenes DIstribuidos '!D405</f>
        <v>31.14</v>
      </c>
      <c r="E618" s="12">
        <f>SUMIF('Parametros Inventario'!$A:$A,B618,'Parametros Inventario'!$B:$B)+SUMIFS(D$2:D618,B$2:B618,B618,C$2:C618,"ENTRADA")-SUMIFS(D$2:D618,B$2:B618,B618,C$2:C618,"SALIDA")</f>
        <v>3121.924</v>
      </c>
    </row>
    <row r="619" spans="1:5" x14ac:dyDescent="0.3">
      <c r="A619" s="9">
        <f>'Volúmenes DIstribuidos '!B405</f>
        <v>44281</v>
      </c>
      <c r="B619" s="10" t="str">
        <f>IF(OR('Volúmenes DIstribuidos '!C406="Azúcar",'Volúmenes DIstribuidos '!C406="azúcar"),"Azúcar o dulce",IF('Volúmenes DIstribuidos '!C406="Aceite","Aceite o grasas",IF('Volúmenes DIstribuidos '!C406="Avena","Otros almidones",'Volúmenes DIstribuidos '!C406)))</f>
        <v>Azúcar o dulce</v>
      </c>
      <c r="C619" s="10" t="s">
        <v>29</v>
      </c>
      <c r="D619" s="12">
        <f>'Volúmenes DIstribuidos '!D406</f>
        <v>44.579000000000001</v>
      </c>
      <c r="E619" s="12">
        <f>SUMIF('Parametros Inventario'!$A:$A,B619,'Parametros Inventario'!$B:$B)+SUMIFS(D$2:D619,B$2:B619,B619,C$2:C619,"ENTRADA")-SUMIFS(D$2:D619,B$2:B619,B619,C$2:C619,"SALIDA")</f>
        <v>4267.6949999999997</v>
      </c>
    </row>
    <row r="620" spans="1:5" x14ac:dyDescent="0.3">
      <c r="A620" s="9">
        <f>'Volúmenes DIstribuidos '!B405</f>
        <v>44281</v>
      </c>
      <c r="B620" s="10" t="str">
        <f>IF(OR('Volúmenes DIstribuidos '!C407="Azúcar",'Volúmenes DIstribuidos '!C407="azúcar"),"Azúcar o dulce",IF('Volúmenes DIstribuidos '!C407="Aceite","Aceite o grasas",IF('Volúmenes DIstribuidos '!C407="Avena","Otros almidones",'Volúmenes DIstribuidos '!C407)))</f>
        <v>Fideo</v>
      </c>
      <c r="C620" s="10" t="s">
        <v>29</v>
      </c>
      <c r="D620" s="12">
        <f>'Volúmenes DIstribuidos '!D407</f>
        <v>25.18</v>
      </c>
      <c r="E620" s="12">
        <f>SUMIF('Parametros Inventario'!$A:$A,B620,'Parametros Inventario'!$B:$B)+SUMIFS(D$2:D620,B$2:B620,B620,C$2:C620,"ENTRADA")-SUMIFS(D$2:D620,B$2:B620,B620,C$2:C620,"SALIDA")</f>
        <v>3603.1409999999992</v>
      </c>
    </row>
    <row r="621" spans="1:5" x14ac:dyDescent="0.3">
      <c r="A621" s="9">
        <f>'Volúmenes DIstribuidos '!B405</f>
        <v>44281</v>
      </c>
      <c r="B621" s="10" t="str">
        <f>IF(OR('Volúmenes DIstribuidos '!C408="Azúcar",'Volúmenes DIstribuidos '!C408="azúcar"),"Azúcar o dulce",IF('Volúmenes DIstribuidos '!C408="Aceite","Aceite o grasas",IF('Volúmenes DIstribuidos '!C408="Avena","Otros almidones",'Volúmenes DIstribuidos '!C408)))</f>
        <v>Carnes blancas</v>
      </c>
      <c r="C621" s="10" t="s">
        <v>29</v>
      </c>
      <c r="D621" s="12">
        <f>'Volúmenes DIstribuidos '!D408</f>
        <v>19.690000000000001</v>
      </c>
      <c r="E621" s="12">
        <f>SUMIF('Parametros Inventario'!$A:$A,B621,'Parametros Inventario'!$B:$B)+SUMIFS(D$2:D621,B$2:B621,B621,C$2:C621,"ENTRADA")-SUMIFS(D$2:D621,B$2:B621,B621,C$2:C621,"SALIDA")</f>
        <v>3572.5499999999993</v>
      </c>
    </row>
    <row r="622" spans="1:5" x14ac:dyDescent="0.3">
      <c r="A622" s="9">
        <f>'Volúmenes DIstribuidos '!B405</f>
        <v>44281</v>
      </c>
      <c r="B622" s="10" t="str">
        <f>IF(OR('Volúmenes DIstribuidos '!C409="Azúcar",'Volúmenes DIstribuidos '!C409="azúcar"),"Azúcar o dulce",IF('Volúmenes DIstribuidos '!C409="Aceite","Aceite o grasas",IF('Volúmenes DIstribuidos '!C409="Avena","Otros almidones",'Volúmenes DIstribuidos '!C409)))</f>
        <v>Aceite o grasas</v>
      </c>
      <c r="C622" s="10" t="s">
        <v>29</v>
      </c>
      <c r="D622" s="12">
        <f>'Volúmenes DIstribuidos '!D409</f>
        <v>10.6</v>
      </c>
      <c r="E622" s="12">
        <f>SUMIF('Parametros Inventario'!$A:$A,B622,'Parametros Inventario'!$B:$B)+SUMIFS(D$2:D622,B$2:B622,B622,C$2:C622,"ENTRADA")-SUMIFS(D$2:D622,B$2:B622,B622,C$2:C622,"SALIDA")</f>
        <v>3455.7070000000012</v>
      </c>
    </row>
    <row r="623" spans="1:5" x14ac:dyDescent="0.3">
      <c r="A623" s="9">
        <f>'Volúmenes DIstribuidos '!B405</f>
        <v>44281</v>
      </c>
      <c r="B623" s="10" t="str">
        <f>IF(OR('Volúmenes DIstribuidos '!C410="Azúcar",'Volúmenes DIstribuidos '!C410="azúcar"),"Azúcar o dulce",IF('Volúmenes DIstribuidos '!C410="Aceite","Aceite o grasas",IF('Volúmenes DIstribuidos '!C410="Avena","Otros almidones",'Volúmenes DIstribuidos '!C410)))</f>
        <v>Lácteos</v>
      </c>
      <c r="C623" s="10" t="s">
        <v>29</v>
      </c>
      <c r="D623" s="12">
        <f>'Volúmenes DIstribuidos '!D410</f>
        <v>17.190000000000001</v>
      </c>
      <c r="E623" s="12">
        <f>SUMIF('Parametros Inventario'!$A:$A,B623,'Parametros Inventario'!$B:$B)+SUMIFS(D$2:D623,B$2:B623,B623,C$2:C623,"ENTRADA")-SUMIFS(D$2:D623,B$2:B623,B623,C$2:C623,"SALIDA")</f>
        <v>3104.7339999999999</v>
      </c>
    </row>
    <row r="624" spans="1:5" x14ac:dyDescent="0.3">
      <c r="A624" s="9">
        <f>'Volúmenes DIstribuidos '!B411</f>
        <v>44285</v>
      </c>
      <c r="B624" s="10" t="str">
        <f>IF(OR('Volúmenes DIstribuidos '!C411="Azúcar",'Volúmenes DIstribuidos '!C411="azúcar"),"Azúcar o dulce",IF('Volúmenes DIstribuidos '!C411="Aceite","Aceite o grasas",IF('Volúmenes DIstribuidos '!C411="Avena","Otros almidones",'Volúmenes DIstribuidos '!C411)))</f>
        <v>Menestras</v>
      </c>
      <c r="C624" s="10" t="s">
        <v>29</v>
      </c>
      <c r="D624" s="12">
        <f>'Volúmenes DIstribuidos '!D411</f>
        <v>35.39</v>
      </c>
      <c r="E624" s="12">
        <f>SUMIF('Parametros Inventario'!$A:$A,B624,'Parametros Inventario'!$B:$B)+SUMIFS(D$2:D624,B$2:B624,B624,C$2:C624,"ENTRADA")-SUMIFS(D$2:D624,B$2:B624,B624,C$2:C624,"SALIDA")</f>
        <v>3081.3079999999991</v>
      </c>
    </row>
    <row r="625" spans="1:5" x14ac:dyDescent="0.3">
      <c r="A625" s="9">
        <f>'Volúmenes DIstribuidos '!B411</f>
        <v>44285</v>
      </c>
      <c r="B625" s="10" t="str">
        <f>IF(OR('Volúmenes DIstribuidos '!C412="Azúcar",'Volúmenes DIstribuidos '!C412="azúcar"),"Azúcar o dulce",IF('Volúmenes DIstribuidos '!C412="Aceite","Aceite o grasas",IF('Volúmenes DIstribuidos '!C412="Avena","Otros almidones",'Volúmenes DIstribuidos '!C412)))</f>
        <v>Panadería</v>
      </c>
      <c r="C625" s="10" t="s">
        <v>29</v>
      </c>
      <c r="D625" s="12">
        <f>'Volúmenes DIstribuidos '!D412</f>
        <v>15.603</v>
      </c>
      <c r="E625" s="12">
        <f>SUMIF('Parametros Inventario'!$A:$A,B625,'Parametros Inventario'!$B:$B)+SUMIFS(D$2:D625,B$2:B625,B625,C$2:C625,"ENTRADA")-SUMIFS(D$2:D625,B$2:B625,B625,C$2:C625,"SALIDA")</f>
        <v>2328.2930000000001</v>
      </c>
    </row>
    <row r="626" spans="1:5" x14ac:dyDescent="0.3">
      <c r="A626" s="9">
        <f>'Volúmenes DIstribuidos '!B411</f>
        <v>44285</v>
      </c>
      <c r="B626" s="10" t="str">
        <f>IF(OR('Volúmenes DIstribuidos '!C413="Azúcar",'Volúmenes DIstribuidos '!C413="azúcar"),"Azúcar o dulce",IF('Volúmenes DIstribuidos '!C413="Aceite","Aceite o grasas",IF('Volúmenes DIstribuidos '!C413="Avena","Otros almidones",'Volúmenes DIstribuidos '!C413)))</f>
        <v>Carnes blancas</v>
      </c>
      <c r="C626" s="10" t="s">
        <v>29</v>
      </c>
      <c r="D626" s="12">
        <f>'Volúmenes DIstribuidos '!D413</f>
        <v>18.32</v>
      </c>
      <c r="E626" s="12">
        <f>SUMIF('Parametros Inventario'!$A:$A,B626,'Parametros Inventario'!$B:$B)+SUMIFS(D$2:D626,B$2:B626,B626,C$2:C626,"ENTRADA")-SUMIFS(D$2:D626,B$2:B626,B626,C$2:C626,"SALIDA")</f>
        <v>3554.2299999999996</v>
      </c>
    </row>
    <row r="627" spans="1:5" x14ac:dyDescent="0.3">
      <c r="A627" s="9">
        <f>'Volúmenes DIstribuidos '!B411</f>
        <v>44285</v>
      </c>
      <c r="B627" s="10" t="str">
        <f>IF(OR('Volúmenes DIstribuidos '!C414="Azúcar",'Volúmenes DIstribuidos '!C414="azúcar"),"Azúcar o dulce",IF('Volúmenes DIstribuidos '!C414="Aceite","Aceite o grasas",IF('Volúmenes DIstribuidos '!C414="Avena","Otros almidones",'Volúmenes DIstribuidos '!C414)))</f>
        <v>Lácteos</v>
      </c>
      <c r="C627" s="10" t="s">
        <v>29</v>
      </c>
      <c r="D627" s="12">
        <f>'Volúmenes DIstribuidos '!D414</f>
        <v>41.32</v>
      </c>
      <c r="E627" s="12">
        <f>SUMIF('Parametros Inventario'!$A:$A,B627,'Parametros Inventario'!$B:$B)+SUMIFS(D$2:D627,B$2:B627,B627,C$2:C627,"ENTRADA")-SUMIFS(D$2:D627,B$2:B627,B627,C$2:C627,"SALIDA")</f>
        <v>3063.4139999999998</v>
      </c>
    </row>
    <row r="628" spans="1:5" x14ac:dyDescent="0.3">
      <c r="A628" s="9">
        <f>'Volúmenes DIstribuidos '!B411</f>
        <v>44285</v>
      </c>
      <c r="B628" s="10" t="str">
        <f>IF(OR('Volúmenes DIstribuidos '!C415="Azúcar",'Volúmenes DIstribuidos '!C415="azúcar"),"Azúcar o dulce",IF('Volúmenes DIstribuidos '!C415="Aceite","Aceite o grasas",IF('Volúmenes DIstribuidos '!C415="Avena","Otros almidones",'Volúmenes DIstribuidos '!C415)))</f>
        <v>Aceite o grasas</v>
      </c>
      <c r="C628" s="10" t="s">
        <v>29</v>
      </c>
      <c r="D628" s="12">
        <f>'Volúmenes DIstribuidos '!D415</f>
        <v>79.150000000000006</v>
      </c>
      <c r="E628" s="12">
        <f>SUMIF('Parametros Inventario'!$A:$A,B628,'Parametros Inventario'!$B:$B)+SUMIFS(D$2:D628,B$2:B628,B628,C$2:C628,"ENTRADA")-SUMIFS(D$2:D628,B$2:B628,B628,C$2:C628,"SALIDA")</f>
        <v>3376.5570000000007</v>
      </c>
    </row>
    <row r="629" spans="1:5" x14ac:dyDescent="0.3">
      <c r="A629" s="9">
        <f>'Volúmenes DIstribuidos '!B411</f>
        <v>44285</v>
      </c>
      <c r="B629" s="10" t="str">
        <f>IF(OR('Volúmenes DIstribuidos '!C416="Azúcar",'Volúmenes DIstribuidos '!C416="azúcar"),"Azúcar o dulce",IF('Volúmenes DIstribuidos '!C416="Aceite","Aceite o grasas",IF('Volúmenes DIstribuidos '!C416="Avena","Otros almidones",'Volúmenes DIstribuidos '!C416)))</f>
        <v>Fideo</v>
      </c>
      <c r="C629" s="10" t="s">
        <v>29</v>
      </c>
      <c r="D629" s="12">
        <f>'Volúmenes DIstribuidos '!D416</f>
        <v>23.82</v>
      </c>
      <c r="E629" s="12">
        <f>SUMIF('Parametros Inventario'!$A:$A,B629,'Parametros Inventario'!$B:$B)+SUMIFS(D$2:D629,B$2:B629,B629,C$2:C629,"ENTRADA")-SUMIFS(D$2:D629,B$2:B629,B629,C$2:C629,"SALIDA")</f>
        <v>3579.320999999999</v>
      </c>
    </row>
    <row r="630" spans="1:5" x14ac:dyDescent="0.3">
      <c r="A630" s="9">
        <v>44288</v>
      </c>
      <c r="B630" s="10" t="s">
        <v>12</v>
      </c>
      <c r="C630" s="10" t="s">
        <v>28</v>
      </c>
      <c r="D630" s="12">
        <v>212.82</v>
      </c>
      <c r="E630" s="12">
        <f>SUMIF('Parametros Inventario'!$A:$A,B630,'Parametros Inventario'!$B:$B)+SUMIFS(D$2:D630,B$2:B630,B630,C$2:C630,"ENTRADA")-SUMIFS(D$2:D630,B$2:B630,B630,C$2:C630,"SALIDA")</f>
        <v>3535.3679999999995</v>
      </c>
    </row>
    <row r="631" spans="1:5" x14ac:dyDescent="0.3">
      <c r="A631" s="9">
        <v>44288</v>
      </c>
      <c r="B631" s="10" t="s">
        <v>16</v>
      </c>
      <c r="C631" s="10" t="s">
        <v>28</v>
      </c>
      <c r="D631" s="12">
        <v>184.66</v>
      </c>
      <c r="E631" s="12">
        <f>SUMIF('Parametros Inventario'!$A:$A,B631,'Parametros Inventario'!$B:$B)+SUMIFS(D$2:D631,B$2:B631,B631,C$2:C631,"ENTRADA")-SUMIFS(D$2:D631,B$2:B631,B631,C$2:C631,"SALIDA")</f>
        <v>3738.8899999999994</v>
      </c>
    </row>
    <row r="632" spans="1:5" x14ac:dyDescent="0.3">
      <c r="A632" s="9">
        <v>44288</v>
      </c>
      <c r="B632" s="10" t="s">
        <v>17</v>
      </c>
      <c r="C632" s="10" t="s">
        <v>28</v>
      </c>
      <c r="D632" s="12">
        <v>273.14</v>
      </c>
      <c r="E632" s="12">
        <f>SUMIF('Parametros Inventario'!$A:$A,B632,'Parametros Inventario'!$B:$B)+SUMIFS(D$2:D632,B$2:B632,B632,C$2:C632,"ENTRADA")-SUMIFS(D$2:D632,B$2:B632,B632,C$2:C632,"SALIDA")</f>
        <v>3336.5539999999992</v>
      </c>
    </row>
    <row r="633" spans="1:5" x14ac:dyDescent="0.3">
      <c r="A633" s="9">
        <v>44288</v>
      </c>
      <c r="B633" s="10" t="s">
        <v>18</v>
      </c>
      <c r="C633" s="10" t="s">
        <v>28</v>
      </c>
      <c r="D633" s="12">
        <v>254.01</v>
      </c>
      <c r="E633" s="12">
        <f>SUMIF('Parametros Inventario'!$A:$A,B633,'Parametros Inventario'!$B:$B)+SUMIFS(D$2:D633,B$2:B633,B633,C$2:C633,"ENTRADA")-SUMIFS(D$2:D633,B$2:B633,B633,C$2:C633,"SALIDA")</f>
        <v>3757.5229999999992</v>
      </c>
    </row>
    <row r="634" spans="1:5" x14ac:dyDescent="0.3">
      <c r="A634" s="9">
        <v>44288</v>
      </c>
      <c r="B634" s="10" t="s">
        <v>10</v>
      </c>
      <c r="C634" s="10" t="s">
        <v>28</v>
      </c>
      <c r="D634" s="12">
        <v>161.29</v>
      </c>
      <c r="E634" s="12">
        <f>SUMIF('Parametros Inventario'!$A:$A,B634,'Parametros Inventario'!$B:$B)+SUMIFS(D$2:D634,B$2:B634,B634,C$2:C634,"ENTRADA")-SUMIFS(D$2:D634,B$2:B634,B634,C$2:C634,"SALIDA")</f>
        <v>3829.0480000000002</v>
      </c>
    </row>
    <row r="635" spans="1:5" x14ac:dyDescent="0.3">
      <c r="A635" s="9">
        <v>44288</v>
      </c>
      <c r="B635" s="10" t="s">
        <v>8</v>
      </c>
      <c r="C635" s="10" t="s">
        <v>28</v>
      </c>
      <c r="D635" s="12">
        <v>80.849999999999994</v>
      </c>
      <c r="E635" s="12">
        <f>SUMIF('Parametros Inventario'!$A:$A,B635,'Parametros Inventario'!$B:$B)+SUMIFS(D$2:D635,B$2:B635,B635,C$2:C635,"ENTRADA")-SUMIFS(D$2:D635,B$2:B635,B635,C$2:C635,"SALIDA")</f>
        <v>3457.4070000000011</v>
      </c>
    </row>
    <row r="636" spans="1:5" x14ac:dyDescent="0.3">
      <c r="A636" s="9">
        <v>44288</v>
      </c>
      <c r="B636" s="10" t="s">
        <v>13</v>
      </c>
      <c r="C636" s="10" t="s">
        <v>28</v>
      </c>
      <c r="D636" s="12">
        <v>293.01</v>
      </c>
      <c r="E636" s="12">
        <f>SUMIF('Parametros Inventario'!$A:$A,B636,'Parametros Inventario'!$B:$B)+SUMIFS(D$2:D636,B$2:B636,B636,C$2:C636,"ENTRADA")-SUMIFS(D$2:D636,B$2:B636,B636,C$2:C636,"SALIDA")</f>
        <v>4560.7049999999999</v>
      </c>
    </row>
    <row r="637" spans="1:5" x14ac:dyDescent="0.3">
      <c r="A637" s="9">
        <v>44288</v>
      </c>
      <c r="B637" s="10" t="s">
        <v>15</v>
      </c>
      <c r="C637" s="10" t="s">
        <v>28</v>
      </c>
      <c r="D637" s="12">
        <v>144.09</v>
      </c>
      <c r="E637" s="12">
        <f>SUMIF('Parametros Inventario'!$A:$A,B637,'Parametros Inventario'!$B:$B)+SUMIFS(D$2:D637,B$2:B637,B637,C$2:C637,"ENTRADA")-SUMIFS(D$2:D637,B$2:B637,B637,C$2:C637,"SALIDA")</f>
        <v>3260.9290000000001</v>
      </c>
    </row>
    <row r="638" spans="1:5" x14ac:dyDescent="0.3">
      <c r="A638" s="9">
        <v>44288</v>
      </c>
      <c r="B638" s="10" t="s">
        <v>11</v>
      </c>
      <c r="C638" s="10" t="s">
        <v>28</v>
      </c>
      <c r="D638" s="12">
        <v>200.33</v>
      </c>
      <c r="E638" s="12">
        <f>SUMIF('Parametros Inventario'!$A:$A,B638,'Parametros Inventario'!$B:$B)+SUMIFS(D$2:D638,B$2:B638,B638,C$2:C638,"ENTRADA")-SUMIFS(D$2:D638,B$2:B638,B638,C$2:C638,"SALIDA")</f>
        <v>3779.6509999999989</v>
      </c>
    </row>
    <row r="639" spans="1:5" x14ac:dyDescent="0.3">
      <c r="A639" s="9">
        <f>'Volúmenes DIstribuidos '!B417</f>
        <v>44288</v>
      </c>
      <c r="B639" s="10" t="str">
        <f>IF(OR('Volúmenes DIstribuidos '!C417="Azúcar",'Volúmenes DIstribuidos '!C417="azúcar"),"Azúcar o dulce",IF('Volúmenes DIstribuidos '!C417="Aceite","Aceite o grasas",IF('Volúmenes DIstribuidos '!C417="Avena","Otros almidones",'Volúmenes DIstribuidos '!C417)))</f>
        <v>Panadería</v>
      </c>
      <c r="C639" s="10" t="s">
        <v>29</v>
      </c>
      <c r="D639" s="12">
        <f>'Volúmenes DIstribuidos '!D417</f>
        <v>105.83</v>
      </c>
      <c r="E639" s="12">
        <f>SUMIF('Parametros Inventario'!$A:$A,B639,'Parametros Inventario'!$B:$B)+SUMIFS(D$2:D639,B$2:B639,B639,C$2:C639,"ENTRADA")-SUMIFS(D$2:D639,B$2:B639,B639,C$2:C639,"SALIDA")</f>
        <v>2222.4630000000002</v>
      </c>
    </row>
    <row r="640" spans="1:5" x14ac:dyDescent="0.3">
      <c r="A640" s="9">
        <f>'Volúmenes DIstribuidos '!B417</f>
        <v>44288</v>
      </c>
      <c r="B640" s="10" t="str">
        <f>IF(OR('Volúmenes DIstribuidos '!C418="Azúcar",'Volúmenes DIstribuidos '!C418="azúcar"),"Azúcar o dulce",IF('Volúmenes DIstribuidos '!C418="Aceite","Aceite o grasas",IF('Volúmenes DIstribuidos '!C418="Avena","Otros almidones",'Volúmenes DIstribuidos '!C418)))</f>
        <v>Azúcar o dulce</v>
      </c>
      <c r="C640" s="10" t="s">
        <v>29</v>
      </c>
      <c r="D640" s="12">
        <f>'Volúmenes DIstribuidos '!D418</f>
        <v>18.018999999999998</v>
      </c>
      <c r="E640" s="12">
        <f>SUMIF('Parametros Inventario'!$A:$A,B640,'Parametros Inventario'!$B:$B)+SUMIFS(D$2:D640,B$2:B640,B640,C$2:C640,"ENTRADA")-SUMIFS(D$2:D640,B$2:B640,B640,C$2:C640,"SALIDA")</f>
        <v>4542.6859999999997</v>
      </c>
    </row>
    <row r="641" spans="1:5" x14ac:dyDescent="0.3">
      <c r="A641" s="9">
        <f>'Volúmenes DIstribuidos '!B417</f>
        <v>44288</v>
      </c>
      <c r="B641" s="10" t="str">
        <f>IF(OR('Volúmenes DIstribuidos '!C419="Azúcar",'Volúmenes DIstribuidos '!C419="azúcar"),"Azúcar o dulce",IF('Volúmenes DIstribuidos '!C419="Aceite","Aceite o grasas",IF('Volúmenes DIstribuidos '!C419="Avena","Otros almidones",'Volúmenes DIstribuidos '!C419)))</f>
        <v>Otros almidones</v>
      </c>
      <c r="C641" s="10" t="s">
        <v>29</v>
      </c>
      <c r="D641" s="12">
        <f>'Volúmenes DIstribuidos '!D419</f>
        <v>34.25</v>
      </c>
      <c r="E641" s="12">
        <f>SUMIF('Parametros Inventario'!$A:$A,B641,'Parametros Inventario'!$B:$B)+SUMIFS(D$2:D641,B$2:B641,B641,C$2:C641,"ENTRADA")-SUMIFS(D$2:D641,B$2:B641,B641,C$2:C641,"SALIDA")</f>
        <v>3226.6790000000001</v>
      </c>
    </row>
    <row r="642" spans="1:5" x14ac:dyDescent="0.3">
      <c r="A642" s="9">
        <f>'Volúmenes DIstribuidos '!B417</f>
        <v>44288</v>
      </c>
      <c r="B642" s="10" t="str">
        <f>IF(OR('Volúmenes DIstribuidos '!C420="Azúcar",'Volúmenes DIstribuidos '!C420="azúcar"),"Azúcar o dulce",IF('Volúmenes DIstribuidos '!C420="Aceite","Aceite o grasas",IF('Volúmenes DIstribuidos '!C420="Avena","Otros almidones",'Volúmenes DIstribuidos '!C420)))</f>
        <v>Azúcar o dulce</v>
      </c>
      <c r="C642" s="10" t="s">
        <v>29</v>
      </c>
      <c r="D642" s="12">
        <f>'Volúmenes DIstribuidos '!D420</f>
        <v>6.5</v>
      </c>
      <c r="E642" s="12">
        <f>SUMIF('Parametros Inventario'!$A:$A,B642,'Parametros Inventario'!$B:$B)+SUMIFS(D$2:D642,B$2:B642,B642,C$2:C642,"ENTRADA")-SUMIFS(D$2:D642,B$2:B642,B642,C$2:C642,"SALIDA")</f>
        <v>4536.1859999999997</v>
      </c>
    </row>
    <row r="643" spans="1:5" x14ac:dyDescent="0.3">
      <c r="A643" s="9">
        <f>'Volúmenes DIstribuidos '!B417</f>
        <v>44288</v>
      </c>
      <c r="B643" s="10" t="str">
        <f>IF(OR('Volúmenes DIstribuidos '!C421="Azúcar",'Volúmenes DIstribuidos '!C421="azúcar"),"Azúcar o dulce",IF('Volúmenes DIstribuidos '!C421="Aceite","Aceite o grasas",IF('Volúmenes DIstribuidos '!C421="Avena","Otros almidones",'Volúmenes DIstribuidos '!C421)))</f>
        <v>Panadería</v>
      </c>
      <c r="C643" s="10" t="s">
        <v>29</v>
      </c>
      <c r="D643" s="12">
        <f>'Volúmenes DIstribuidos '!D421</f>
        <v>12.6</v>
      </c>
      <c r="E643" s="12">
        <f>SUMIF('Parametros Inventario'!$A:$A,B643,'Parametros Inventario'!$B:$B)+SUMIFS(D$2:D643,B$2:B643,B643,C$2:C643,"ENTRADA")-SUMIFS(D$2:D643,B$2:B643,B643,C$2:C643,"SALIDA")</f>
        <v>2209.8630000000003</v>
      </c>
    </row>
    <row r="644" spans="1:5" x14ac:dyDescent="0.3">
      <c r="A644" s="9">
        <f>'Volúmenes DIstribuidos '!B417</f>
        <v>44288</v>
      </c>
      <c r="B644" s="10" t="str">
        <f>IF(OR('Volúmenes DIstribuidos '!C422="Azúcar",'Volúmenes DIstribuidos '!C422="azúcar"),"Azúcar o dulce",IF('Volúmenes DIstribuidos '!C422="Aceite","Aceite o grasas",IF('Volúmenes DIstribuidos '!C422="Avena","Otros almidones",'Volúmenes DIstribuidos '!C422)))</f>
        <v>Lácteos</v>
      </c>
      <c r="C644" s="10" t="s">
        <v>29</v>
      </c>
      <c r="D644" s="12">
        <f>'Volúmenes DIstribuidos '!D422</f>
        <v>4.49</v>
      </c>
      <c r="E644" s="12">
        <f>SUMIF('Parametros Inventario'!$A:$A,B644,'Parametros Inventario'!$B:$B)+SUMIFS(D$2:D644,B$2:B644,B644,C$2:C644,"ENTRADA")-SUMIFS(D$2:D644,B$2:B644,B644,C$2:C644,"SALIDA")</f>
        <v>3332.0639999999994</v>
      </c>
    </row>
    <row r="645" spans="1:5" x14ac:dyDescent="0.3">
      <c r="A645" s="9">
        <f>'Volúmenes DIstribuidos '!B423</f>
        <v>44292</v>
      </c>
      <c r="B645" s="10" t="str">
        <f>IF(OR('Volúmenes DIstribuidos '!C423="Azúcar",'Volúmenes DIstribuidos '!C423="azúcar"),"Azúcar o dulce",IF('Volúmenes DIstribuidos '!C423="Aceite","Aceite o grasas",IF('Volúmenes DIstribuidos '!C423="Avena","Otros almidones",'Volúmenes DIstribuidos '!C423)))</f>
        <v>Salsas</v>
      </c>
      <c r="C645" s="10" t="s">
        <v>29</v>
      </c>
      <c r="D645" s="12">
        <f>'Volúmenes DIstribuidos '!D423</f>
        <v>12.41</v>
      </c>
      <c r="E645" s="12">
        <f>SUMIF('Parametros Inventario'!$A:$A,B645,'Parametros Inventario'!$B:$B)+SUMIFS(D$2:D645,B$2:B645,B645,C$2:C645,"ENTRADA")-SUMIFS(D$2:D645,B$2:B645,B645,C$2:C645,"SALIDA")</f>
        <v>3745.1129999999994</v>
      </c>
    </row>
    <row r="646" spans="1:5" x14ac:dyDescent="0.3">
      <c r="A646" s="9">
        <f>'Volúmenes DIstribuidos '!B423</f>
        <v>44292</v>
      </c>
      <c r="B646" s="10" t="str">
        <f>IF(OR('Volúmenes DIstribuidos '!C424="Azúcar",'Volúmenes DIstribuidos '!C424="azúcar"),"Azúcar o dulce",IF('Volúmenes DIstribuidos '!C424="Aceite","Aceite o grasas",IF('Volúmenes DIstribuidos '!C424="Avena","Otros almidones",'Volúmenes DIstribuidos '!C424)))</f>
        <v>Carnes blancas</v>
      </c>
      <c r="C646" s="10" t="s">
        <v>29</v>
      </c>
      <c r="D646" s="12">
        <f>'Volúmenes DIstribuidos '!D424</f>
        <v>30.655000000000001</v>
      </c>
      <c r="E646" s="12">
        <f>SUMIF('Parametros Inventario'!$A:$A,B646,'Parametros Inventario'!$B:$B)+SUMIFS(D$2:D646,B$2:B646,B646,C$2:C646,"ENTRADA")-SUMIFS(D$2:D646,B$2:B646,B646,C$2:C646,"SALIDA")</f>
        <v>3708.2349999999992</v>
      </c>
    </row>
    <row r="647" spans="1:5" x14ac:dyDescent="0.3">
      <c r="A647" s="9">
        <f>'Volúmenes DIstribuidos '!B423</f>
        <v>44292</v>
      </c>
      <c r="B647" s="10" t="str">
        <f>IF(OR('Volúmenes DIstribuidos '!C425="Azúcar",'Volúmenes DIstribuidos '!C425="azúcar"),"Azúcar o dulce",IF('Volúmenes DIstribuidos '!C425="Aceite","Aceite o grasas",IF('Volúmenes DIstribuidos '!C425="Avena","Otros almidones",'Volúmenes DIstribuidos '!C425)))</f>
        <v>Carnes blancas</v>
      </c>
      <c r="C647" s="10" t="s">
        <v>29</v>
      </c>
      <c r="D647" s="12">
        <f>'Volúmenes DIstribuidos '!D425</f>
        <v>23.25</v>
      </c>
      <c r="E647" s="12">
        <f>SUMIF('Parametros Inventario'!$A:$A,B647,'Parametros Inventario'!$B:$B)+SUMIFS(D$2:D647,B$2:B647,B647,C$2:C647,"ENTRADA")-SUMIFS(D$2:D647,B$2:B647,B647,C$2:C647,"SALIDA")</f>
        <v>3684.9849999999992</v>
      </c>
    </row>
    <row r="648" spans="1:5" x14ac:dyDescent="0.3">
      <c r="A648" s="9">
        <f>'Volúmenes DIstribuidos '!B423</f>
        <v>44292</v>
      </c>
      <c r="B648" s="10" t="str">
        <f>IF(OR('Volúmenes DIstribuidos '!C426="Azúcar",'Volúmenes DIstribuidos '!C426="azúcar"),"Azúcar o dulce",IF('Volúmenes DIstribuidos '!C426="Aceite","Aceite o grasas",IF('Volúmenes DIstribuidos '!C426="Avena","Otros almidones",'Volúmenes DIstribuidos '!C426)))</f>
        <v>Vegetales y hojas</v>
      </c>
      <c r="C648" s="10" t="s">
        <v>29</v>
      </c>
      <c r="D648" s="12">
        <f>'Volúmenes DIstribuidos '!D426</f>
        <v>29.65</v>
      </c>
      <c r="E648" s="12">
        <f>SUMIF('Parametros Inventario'!$A:$A,B648,'Parametros Inventario'!$B:$B)+SUMIFS(D$2:D648,B$2:B648,B648,C$2:C648,"ENTRADA")-SUMIFS(D$2:D648,B$2:B648,B648,C$2:C648,"SALIDA")</f>
        <v>3799.3980000000001</v>
      </c>
    </row>
    <row r="649" spans="1:5" x14ac:dyDescent="0.3">
      <c r="A649" s="9">
        <f>'Volúmenes DIstribuidos '!B423</f>
        <v>44292</v>
      </c>
      <c r="B649" s="10" t="str">
        <f>IF(OR('Volúmenes DIstribuidos '!C427="Azúcar",'Volúmenes DIstribuidos '!C427="azúcar"),"Azúcar o dulce",IF('Volúmenes DIstribuidos '!C427="Aceite","Aceite o grasas",IF('Volúmenes DIstribuidos '!C427="Avena","Otros almidones",'Volúmenes DIstribuidos '!C427)))</f>
        <v>Lácteos</v>
      </c>
      <c r="C649" s="10" t="s">
        <v>29</v>
      </c>
      <c r="D649" s="12">
        <f>'Volúmenes DIstribuidos '!D427</f>
        <v>37.869999999999997</v>
      </c>
      <c r="E649" s="12">
        <f>SUMIF('Parametros Inventario'!$A:$A,B649,'Parametros Inventario'!$B:$B)+SUMIFS(D$2:D649,B$2:B649,B649,C$2:C649,"ENTRADA")-SUMIFS(D$2:D649,B$2:B649,B649,C$2:C649,"SALIDA")</f>
        <v>3294.1939999999995</v>
      </c>
    </row>
    <row r="650" spans="1:5" x14ac:dyDescent="0.3">
      <c r="A650" s="9">
        <f>'Volúmenes DIstribuidos '!B423</f>
        <v>44292</v>
      </c>
      <c r="B650" s="10" t="str">
        <f>IF(OR('Volúmenes DIstribuidos '!C428="Azúcar",'Volúmenes DIstribuidos '!C428="azúcar"),"Azúcar o dulce",IF('Volúmenes DIstribuidos '!C428="Aceite","Aceite o grasas",IF('Volúmenes DIstribuidos '!C428="Avena","Otros almidones",'Volúmenes DIstribuidos '!C428)))</f>
        <v>Carnes rojas</v>
      </c>
      <c r="C650" s="10" t="s">
        <v>29</v>
      </c>
      <c r="D650" s="12">
        <f>'Volúmenes DIstribuidos '!D428</f>
        <v>6.65</v>
      </c>
      <c r="E650" s="12">
        <f>SUMIF('Parametros Inventario'!$A:$A,B650,'Parametros Inventario'!$B:$B)+SUMIFS(D$2:D650,B$2:B650,B650,C$2:C650,"ENTRADA")-SUMIFS(D$2:D650,B$2:B650,B650,C$2:C650,"SALIDA")</f>
        <v>3528.7179999999994</v>
      </c>
    </row>
    <row r="651" spans="1:5" x14ac:dyDescent="0.3">
      <c r="A651" s="9">
        <f>'Volúmenes DIstribuidos '!B429</f>
        <v>44295</v>
      </c>
      <c r="B651" s="10" t="str">
        <f>IF(OR('Volúmenes DIstribuidos '!C429="Azúcar",'Volúmenes DIstribuidos '!C429="azúcar"),"Azúcar o dulce",IF('Volúmenes DIstribuidos '!C429="Aceite","Aceite o grasas",IF('Volúmenes DIstribuidos '!C429="Avena","Otros almidones",'Volúmenes DIstribuidos '!C429)))</f>
        <v>Salsas</v>
      </c>
      <c r="C651" s="10" t="s">
        <v>29</v>
      </c>
      <c r="D651" s="12">
        <f>'Volúmenes DIstribuidos '!D429</f>
        <v>29.268999999999998</v>
      </c>
      <c r="E651" s="12">
        <f>SUMIF('Parametros Inventario'!$A:$A,B651,'Parametros Inventario'!$B:$B)+SUMIFS(D$2:D651,B$2:B651,B651,C$2:C651,"ENTRADA")-SUMIFS(D$2:D651,B$2:B651,B651,C$2:C651,"SALIDA")</f>
        <v>3715.8439999999996</v>
      </c>
    </row>
    <row r="652" spans="1:5" x14ac:dyDescent="0.3">
      <c r="A652" s="9">
        <f>'Volúmenes DIstribuidos '!B429</f>
        <v>44295</v>
      </c>
      <c r="B652" s="10" t="str">
        <f>IF(OR('Volúmenes DIstribuidos '!C430="Azúcar",'Volúmenes DIstribuidos '!C430="azúcar"),"Azúcar o dulce",IF('Volúmenes DIstribuidos '!C430="Aceite","Aceite o grasas",IF('Volúmenes DIstribuidos '!C430="Avena","Otros almidones",'Volúmenes DIstribuidos '!C430)))</f>
        <v>Otros almidones</v>
      </c>
      <c r="C652" s="10" t="s">
        <v>29</v>
      </c>
      <c r="D652" s="12">
        <f>'Volúmenes DIstribuidos '!D430</f>
        <v>39.369999999999997</v>
      </c>
      <c r="E652" s="12">
        <f>SUMIF('Parametros Inventario'!$A:$A,B652,'Parametros Inventario'!$B:$B)+SUMIFS(D$2:D652,B$2:B652,B652,C$2:C652,"ENTRADA")-SUMIFS(D$2:D652,B$2:B652,B652,C$2:C652,"SALIDA")</f>
        <v>3187.3090000000002</v>
      </c>
    </row>
    <row r="653" spans="1:5" x14ac:dyDescent="0.3">
      <c r="A653" s="9">
        <f>'Volúmenes DIstribuidos '!B429</f>
        <v>44295</v>
      </c>
      <c r="B653" s="10" t="str">
        <f>IF(OR('Volúmenes DIstribuidos '!C431="Azúcar",'Volúmenes DIstribuidos '!C431="azúcar"),"Azúcar o dulce",IF('Volúmenes DIstribuidos '!C431="Aceite","Aceite o grasas",IF('Volúmenes DIstribuidos '!C431="Avena","Otros almidones",'Volúmenes DIstribuidos '!C431)))</f>
        <v>Menestras</v>
      </c>
      <c r="C653" s="10" t="s">
        <v>29</v>
      </c>
      <c r="D653" s="12">
        <f>'Volúmenes DIstribuidos '!D431</f>
        <v>91.57</v>
      </c>
      <c r="E653" s="12">
        <f>SUMIF('Parametros Inventario'!$A:$A,B653,'Parametros Inventario'!$B:$B)+SUMIFS(D$2:D653,B$2:B653,B653,C$2:C653,"ENTRADA")-SUMIFS(D$2:D653,B$2:B653,B653,C$2:C653,"SALIDA")</f>
        <v>2989.7379999999994</v>
      </c>
    </row>
    <row r="654" spans="1:5" x14ac:dyDescent="0.3">
      <c r="A654" s="9">
        <f>'Volúmenes DIstribuidos '!B429</f>
        <v>44295</v>
      </c>
      <c r="B654" s="10" t="str">
        <f>IF(OR('Volúmenes DIstribuidos '!C432="Azúcar",'Volúmenes DIstribuidos '!C432="azúcar"),"Azúcar o dulce",IF('Volúmenes DIstribuidos '!C432="Aceite","Aceite o grasas",IF('Volúmenes DIstribuidos '!C432="Avena","Otros almidones",'Volúmenes DIstribuidos '!C432)))</f>
        <v>Fideo</v>
      </c>
      <c r="C654" s="10" t="s">
        <v>29</v>
      </c>
      <c r="D654" s="12">
        <f>'Volúmenes DIstribuidos '!D432</f>
        <v>12.25</v>
      </c>
      <c r="E654" s="12">
        <f>SUMIF('Parametros Inventario'!$A:$A,B654,'Parametros Inventario'!$B:$B)+SUMIFS(D$2:D654,B$2:B654,B654,C$2:C654,"ENTRADA")-SUMIFS(D$2:D654,B$2:B654,B654,C$2:C654,"SALIDA")</f>
        <v>3767.4009999999989</v>
      </c>
    </row>
    <row r="655" spans="1:5" x14ac:dyDescent="0.3">
      <c r="A655" s="9">
        <f>'Volúmenes DIstribuidos '!B429</f>
        <v>44295</v>
      </c>
      <c r="B655" s="10" t="str">
        <f>IF(OR('Volúmenes DIstribuidos '!C433="Azúcar",'Volúmenes DIstribuidos '!C433="azúcar"),"Azúcar o dulce",IF('Volúmenes DIstribuidos '!C433="Aceite","Aceite o grasas",IF('Volúmenes DIstribuidos '!C433="Avena","Otros almidones",'Volúmenes DIstribuidos '!C433)))</f>
        <v>Lácteos</v>
      </c>
      <c r="C655" s="10" t="s">
        <v>29</v>
      </c>
      <c r="D655" s="12">
        <f>'Volúmenes DIstribuidos '!D433</f>
        <v>33.979999999999997</v>
      </c>
      <c r="E655" s="12">
        <f>SUMIF('Parametros Inventario'!$A:$A,B655,'Parametros Inventario'!$B:$B)+SUMIFS(D$2:D655,B$2:B655,B655,C$2:C655,"ENTRADA")-SUMIFS(D$2:D655,B$2:B655,B655,C$2:C655,"SALIDA")</f>
        <v>3260.2139999999995</v>
      </c>
    </row>
    <row r="656" spans="1:5" x14ac:dyDescent="0.3">
      <c r="A656" s="9">
        <f>'Volúmenes DIstribuidos '!B429</f>
        <v>44295</v>
      </c>
      <c r="B656" s="10" t="str">
        <f>IF(OR('Volúmenes DIstribuidos '!C434="Azúcar",'Volúmenes DIstribuidos '!C434="azúcar"),"Azúcar o dulce",IF('Volúmenes DIstribuidos '!C434="Aceite","Aceite o grasas",IF('Volúmenes DIstribuidos '!C434="Avena","Otros almidones",'Volúmenes DIstribuidos '!C434)))</f>
        <v>Azúcar o dulce</v>
      </c>
      <c r="C656" s="10" t="s">
        <v>29</v>
      </c>
      <c r="D656" s="12">
        <f>'Volúmenes DIstribuidos '!D434</f>
        <v>92.757000000000005</v>
      </c>
      <c r="E656" s="12">
        <f>SUMIF('Parametros Inventario'!$A:$A,B656,'Parametros Inventario'!$B:$B)+SUMIFS(D$2:D656,B$2:B656,B656,C$2:C656,"ENTRADA")-SUMIFS(D$2:D656,B$2:B656,B656,C$2:C656,"SALIDA")</f>
        <v>4443.4290000000001</v>
      </c>
    </row>
    <row r="657" spans="1:5" x14ac:dyDescent="0.3">
      <c r="A657" s="9">
        <f>'Volúmenes DIstribuidos '!B435</f>
        <v>44299</v>
      </c>
      <c r="B657" s="10" t="str">
        <f>IF(OR('Volúmenes DIstribuidos '!C435="Azúcar",'Volúmenes DIstribuidos '!C435="azúcar"),"Azúcar o dulce",IF('Volúmenes DIstribuidos '!C435="Aceite","Aceite o grasas",IF('Volúmenes DIstribuidos '!C435="Avena","Otros almidones",'Volúmenes DIstribuidos '!C435)))</f>
        <v>Menestras</v>
      </c>
      <c r="C657" s="10" t="s">
        <v>29</v>
      </c>
      <c r="D657" s="12">
        <f>'Volúmenes DIstribuidos '!D435</f>
        <v>39.799999999999997</v>
      </c>
      <c r="E657" s="12">
        <f>SUMIF('Parametros Inventario'!$A:$A,B657,'Parametros Inventario'!$B:$B)+SUMIFS(D$2:D657,B$2:B657,B657,C$2:C657,"ENTRADA")-SUMIFS(D$2:D657,B$2:B657,B657,C$2:C657,"SALIDA")</f>
        <v>2949.9379999999992</v>
      </c>
    </row>
    <row r="658" spans="1:5" x14ac:dyDescent="0.3">
      <c r="A658" s="9">
        <f>'Volúmenes DIstribuidos '!B435</f>
        <v>44299</v>
      </c>
      <c r="B658" s="10" t="str">
        <f>IF(OR('Volúmenes DIstribuidos '!C436="Azúcar",'Volúmenes DIstribuidos '!C436="azúcar"),"Azúcar o dulce",IF('Volúmenes DIstribuidos '!C436="Aceite","Aceite o grasas",IF('Volúmenes DIstribuidos '!C436="Avena","Otros almidones",'Volúmenes DIstribuidos '!C436)))</f>
        <v>Carnes blancas</v>
      </c>
      <c r="C658" s="10" t="s">
        <v>29</v>
      </c>
      <c r="D658" s="12">
        <f>'Volúmenes DIstribuidos '!D436</f>
        <v>96.86</v>
      </c>
      <c r="E658" s="12">
        <f>SUMIF('Parametros Inventario'!$A:$A,B658,'Parametros Inventario'!$B:$B)+SUMIFS(D$2:D658,B$2:B658,B658,C$2:C658,"ENTRADA")-SUMIFS(D$2:D658,B$2:B658,B658,C$2:C658,"SALIDA")</f>
        <v>3588.1249999999991</v>
      </c>
    </row>
    <row r="659" spans="1:5" x14ac:dyDescent="0.3">
      <c r="A659" s="9">
        <f>'Volúmenes DIstribuidos '!B435</f>
        <v>44299</v>
      </c>
      <c r="B659" s="10" t="str">
        <f>IF(OR('Volúmenes DIstribuidos '!C437="Azúcar",'Volúmenes DIstribuidos '!C437="azúcar"),"Azúcar o dulce",IF('Volúmenes DIstribuidos '!C437="Aceite","Aceite o grasas",IF('Volúmenes DIstribuidos '!C437="Avena","Otros almidones",'Volúmenes DIstribuidos '!C437)))</f>
        <v>Azúcar o dulce</v>
      </c>
      <c r="C659" s="10" t="s">
        <v>29</v>
      </c>
      <c r="D659" s="12">
        <f>'Volúmenes DIstribuidos '!D437</f>
        <v>19.768000000000001</v>
      </c>
      <c r="E659" s="12">
        <f>SUMIF('Parametros Inventario'!$A:$A,B659,'Parametros Inventario'!$B:$B)+SUMIFS(D$2:D659,B$2:B659,B659,C$2:C659,"ENTRADA")-SUMIFS(D$2:D659,B$2:B659,B659,C$2:C659,"SALIDA")</f>
        <v>4423.6610000000001</v>
      </c>
    </row>
    <row r="660" spans="1:5" x14ac:dyDescent="0.3">
      <c r="A660" s="9">
        <f>'Volúmenes DIstribuidos '!B435</f>
        <v>44299</v>
      </c>
      <c r="B660" s="10" t="str">
        <f>IF(OR('Volúmenes DIstribuidos '!C438="Azúcar",'Volúmenes DIstribuidos '!C438="azúcar"),"Azúcar o dulce",IF('Volúmenes DIstribuidos '!C438="Aceite","Aceite o grasas",IF('Volúmenes DIstribuidos '!C438="Avena","Otros almidones",'Volúmenes DIstribuidos '!C438)))</f>
        <v>Fideo</v>
      </c>
      <c r="C660" s="10" t="s">
        <v>29</v>
      </c>
      <c r="D660" s="12">
        <f>'Volúmenes DIstribuidos '!D438</f>
        <v>8.59</v>
      </c>
      <c r="E660" s="12">
        <f>SUMIF('Parametros Inventario'!$A:$A,B660,'Parametros Inventario'!$B:$B)+SUMIFS(D$2:D660,B$2:B660,B660,C$2:C660,"ENTRADA")-SUMIFS(D$2:D660,B$2:B660,B660,C$2:C660,"SALIDA")</f>
        <v>3758.8109999999988</v>
      </c>
    </row>
    <row r="661" spans="1:5" x14ac:dyDescent="0.3">
      <c r="A661" s="9">
        <f>'Volúmenes DIstribuidos '!B435</f>
        <v>44299</v>
      </c>
      <c r="B661" s="10" t="str">
        <f>IF(OR('Volúmenes DIstribuidos '!C439="Azúcar",'Volúmenes DIstribuidos '!C439="azúcar"),"Azúcar o dulce",IF('Volúmenes DIstribuidos '!C439="Aceite","Aceite o grasas",IF('Volúmenes DIstribuidos '!C439="Avena","Otros almidones",'Volúmenes DIstribuidos '!C439)))</f>
        <v>Aceite o grasas</v>
      </c>
      <c r="C661" s="10" t="s">
        <v>29</v>
      </c>
      <c r="D661" s="12">
        <f>'Volúmenes DIstribuidos '!D439</f>
        <v>12.65</v>
      </c>
      <c r="E661" s="12">
        <f>SUMIF('Parametros Inventario'!$A:$A,B661,'Parametros Inventario'!$B:$B)+SUMIFS(D$2:D661,B$2:B661,B661,C$2:C661,"ENTRADA")-SUMIFS(D$2:D661,B$2:B661,B661,C$2:C661,"SALIDA")</f>
        <v>3444.7570000000014</v>
      </c>
    </row>
    <row r="662" spans="1:5" x14ac:dyDescent="0.3">
      <c r="A662" s="9">
        <f>'Volúmenes DIstribuidos '!B435</f>
        <v>44299</v>
      </c>
      <c r="B662" s="10" t="str">
        <f>IF(OR('Volúmenes DIstribuidos '!C440="Azúcar",'Volúmenes DIstribuidos '!C440="azúcar"),"Azúcar o dulce",IF('Volúmenes DIstribuidos '!C440="Aceite","Aceite o grasas",IF('Volúmenes DIstribuidos '!C440="Avena","Otros almidones",'Volúmenes DIstribuidos '!C440)))</f>
        <v>Panadería</v>
      </c>
      <c r="C662" s="10" t="s">
        <v>29</v>
      </c>
      <c r="D662" s="12">
        <f>'Volúmenes DIstribuidos '!D440</f>
        <v>9.33</v>
      </c>
      <c r="E662" s="12">
        <f>SUMIF('Parametros Inventario'!$A:$A,B662,'Parametros Inventario'!$B:$B)+SUMIFS(D$2:D662,B$2:B662,B662,C$2:C662,"ENTRADA")-SUMIFS(D$2:D662,B$2:B662,B662,C$2:C662,"SALIDA")</f>
        <v>2200.5330000000004</v>
      </c>
    </row>
    <row r="663" spans="1:5" x14ac:dyDescent="0.3">
      <c r="A663" s="9">
        <f>'Volúmenes DIstribuidos '!B441</f>
        <v>44302</v>
      </c>
      <c r="B663" s="10" t="str">
        <f>IF(OR('Volúmenes DIstribuidos '!C441="Azúcar",'Volúmenes DIstribuidos '!C441="azúcar"),"Azúcar o dulce",IF('Volúmenes DIstribuidos '!C441="Aceite","Aceite o grasas",IF('Volúmenes DIstribuidos '!C441="Avena","Otros almidones",'Volúmenes DIstribuidos '!C441)))</f>
        <v>Vegetales y hojas</v>
      </c>
      <c r="C663" s="10" t="s">
        <v>29</v>
      </c>
      <c r="D663" s="12">
        <f>'Volúmenes DIstribuidos '!D441</f>
        <v>17.45</v>
      </c>
      <c r="E663" s="12">
        <f>SUMIF('Parametros Inventario'!$A:$A,B663,'Parametros Inventario'!$B:$B)+SUMIFS(D$2:D663,B$2:B663,B663,C$2:C663,"ENTRADA")-SUMIFS(D$2:D663,B$2:B663,B663,C$2:C663,"SALIDA")</f>
        <v>3781.9480000000003</v>
      </c>
    </row>
    <row r="664" spans="1:5" x14ac:dyDescent="0.3">
      <c r="A664" s="9">
        <f>'Volúmenes DIstribuidos '!B441</f>
        <v>44302</v>
      </c>
      <c r="B664" s="10" t="str">
        <f>IF(OR('Volúmenes DIstribuidos '!C442="Azúcar",'Volúmenes DIstribuidos '!C442="azúcar"),"Azúcar o dulce",IF('Volúmenes DIstribuidos '!C442="Aceite","Aceite o grasas",IF('Volúmenes DIstribuidos '!C442="Avena","Otros almidones",'Volúmenes DIstribuidos '!C442)))</f>
        <v>Otros almidones</v>
      </c>
      <c r="C664" s="10" t="s">
        <v>29</v>
      </c>
      <c r="D664" s="12">
        <f>'Volúmenes DIstribuidos '!D442</f>
        <v>24.58</v>
      </c>
      <c r="E664" s="12">
        <f>SUMIF('Parametros Inventario'!$A:$A,B664,'Parametros Inventario'!$B:$B)+SUMIFS(D$2:D664,B$2:B664,B664,C$2:C664,"ENTRADA")-SUMIFS(D$2:D664,B$2:B664,B664,C$2:C664,"SALIDA")</f>
        <v>3162.7290000000003</v>
      </c>
    </row>
    <row r="665" spans="1:5" x14ac:dyDescent="0.3">
      <c r="A665" s="9">
        <f>'Volúmenes DIstribuidos '!B441</f>
        <v>44302</v>
      </c>
      <c r="B665" s="10" t="str">
        <f>IF(OR('Volúmenes DIstribuidos '!C443="Azúcar",'Volúmenes DIstribuidos '!C443="azúcar"),"Azúcar o dulce",IF('Volúmenes DIstribuidos '!C443="Aceite","Aceite o grasas",IF('Volúmenes DIstribuidos '!C443="Avena","Otros almidones",'Volúmenes DIstribuidos '!C443)))</f>
        <v>Azúcar o dulce</v>
      </c>
      <c r="C665" s="10" t="s">
        <v>29</v>
      </c>
      <c r="D665" s="12">
        <f>'Volúmenes DIstribuidos '!D443</f>
        <v>14.223000000000001</v>
      </c>
      <c r="E665" s="12">
        <f>SUMIF('Parametros Inventario'!$A:$A,B665,'Parametros Inventario'!$B:$B)+SUMIFS(D$2:D665,B$2:B665,B665,C$2:C665,"ENTRADA")-SUMIFS(D$2:D665,B$2:B665,B665,C$2:C665,"SALIDA")</f>
        <v>4409.4380000000001</v>
      </c>
    </row>
    <row r="666" spans="1:5" x14ac:dyDescent="0.3">
      <c r="A666" s="9">
        <f>'Volúmenes DIstribuidos '!B441</f>
        <v>44302</v>
      </c>
      <c r="B666" s="10" t="str">
        <f>IF(OR('Volúmenes DIstribuidos '!C444="Azúcar",'Volúmenes DIstribuidos '!C444="azúcar"),"Azúcar o dulce",IF('Volúmenes DIstribuidos '!C444="Aceite","Aceite o grasas",IF('Volúmenes DIstribuidos '!C444="Avena","Otros almidones",'Volúmenes DIstribuidos '!C444)))</f>
        <v>Panadería</v>
      </c>
      <c r="C666" s="10" t="s">
        <v>29</v>
      </c>
      <c r="D666" s="12">
        <f>'Volúmenes DIstribuidos '!D444</f>
        <v>5.99</v>
      </c>
      <c r="E666" s="12">
        <f>SUMIF('Parametros Inventario'!$A:$A,B666,'Parametros Inventario'!$B:$B)+SUMIFS(D$2:D666,B$2:B666,B666,C$2:C666,"ENTRADA")-SUMIFS(D$2:D666,B$2:B666,B666,C$2:C666,"SALIDA")</f>
        <v>2194.5430000000006</v>
      </c>
    </row>
    <row r="667" spans="1:5" x14ac:dyDescent="0.3">
      <c r="A667" s="9">
        <f>'Volúmenes DIstribuidos '!B441</f>
        <v>44302</v>
      </c>
      <c r="B667" s="10" t="str">
        <f>IF(OR('Volúmenes DIstribuidos '!C445="Azúcar",'Volúmenes DIstribuidos '!C445="azúcar"),"Azúcar o dulce",IF('Volúmenes DIstribuidos '!C445="Aceite","Aceite o grasas",IF('Volúmenes DIstribuidos '!C445="Avena","Otros almidones",'Volúmenes DIstribuidos '!C445)))</f>
        <v>Salsas</v>
      </c>
      <c r="C667" s="10" t="s">
        <v>29</v>
      </c>
      <c r="D667" s="12">
        <f>'Volúmenes DIstribuidos '!D445</f>
        <v>7.88</v>
      </c>
      <c r="E667" s="12">
        <f>SUMIF('Parametros Inventario'!$A:$A,B667,'Parametros Inventario'!$B:$B)+SUMIFS(D$2:D667,B$2:B667,B667,C$2:C667,"ENTRADA")-SUMIFS(D$2:D667,B$2:B667,B667,C$2:C667,"SALIDA")</f>
        <v>3707.9639999999995</v>
      </c>
    </row>
    <row r="668" spans="1:5" x14ac:dyDescent="0.3">
      <c r="A668" s="9">
        <f>'Volúmenes DIstribuidos '!B441</f>
        <v>44302</v>
      </c>
      <c r="B668" s="10" t="str">
        <f>IF(OR('Volúmenes DIstribuidos '!C446="Azúcar",'Volúmenes DIstribuidos '!C446="azúcar"),"Azúcar o dulce",IF('Volúmenes DIstribuidos '!C446="Aceite","Aceite o grasas",IF('Volúmenes DIstribuidos '!C446="Avena","Otros almidones",'Volúmenes DIstribuidos '!C446)))</f>
        <v>Carnes rojas</v>
      </c>
      <c r="C668" s="10" t="s">
        <v>29</v>
      </c>
      <c r="D668" s="12">
        <f>'Volúmenes DIstribuidos '!D446</f>
        <v>23.66</v>
      </c>
      <c r="E668" s="12">
        <f>SUMIF('Parametros Inventario'!$A:$A,B668,'Parametros Inventario'!$B:$B)+SUMIFS(D$2:D668,B$2:B668,B668,C$2:C668,"ENTRADA")-SUMIFS(D$2:D668,B$2:B668,B668,C$2:C668,"SALIDA")</f>
        <v>3505.0579999999995</v>
      </c>
    </row>
    <row r="669" spans="1:5" x14ac:dyDescent="0.3">
      <c r="A669" s="9">
        <f>'Volúmenes DIstribuidos '!B447</f>
        <v>44306</v>
      </c>
      <c r="B669" s="10" t="str">
        <f>IF(OR('Volúmenes DIstribuidos '!C447="Azúcar",'Volúmenes DIstribuidos '!C447="azúcar"),"Azúcar o dulce",IF('Volúmenes DIstribuidos '!C447="Aceite","Aceite o grasas",IF('Volúmenes DIstribuidos '!C447="Avena","Otros almidones",'Volúmenes DIstribuidos '!C447)))</f>
        <v>Azúcar o dulce</v>
      </c>
      <c r="C669" s="10" t="s">
        <v>29</v>
      </c>
      <c r="D669" s="12">
        <f>'Volúmenes DIstribuidos '!D447</f>
        <v>4.8099999999999996</v>
      </c>
      <c r="E669" s="12">
        <f>SUMIF('Parametros Inventario'!$A:$A,B669,'Parametros Inventario'!$B:$B)+SUMIFS(D$2:D669,B$2:B669,B669,C$2:C669,"ENTRADA")-SUMIFS(D$2:D669,B$2:B669,B669,C$2:C669,"SALIDA")</f>
        <v>4404.6279999999997</v>
      </c>
    </row>
    <row r="670" spans="1:5" x14ac:dyDescent="0.3">
      <c r="A670" s="9">
        <f>'Volúmenes DIstribuidos '!B447</f>
        <v>44306</v>
      </c>
      <c r="B670" s="10" t="str">
        <f>IF(OR('Volúmenes DIstribuidos '!C448="Azúcar",'Volúmenes DIstribuidos '!C448="azúcar"),"Azúcar o dulce",IF('Volúmenes DIstribuidos '!C448="Aceite","Aceite o grasas",IF('Volúmenes DIstribuidos '!C448="Avena","Otros almidones",'Volúmenes DIstribuidos '!C448)))</f>
        <v>Lácteos</v>
      </c>
      <c r="C670" s="10" t="s">
        <v>29</v>
      </c>
      <c r="D670" s="12">
        <f>'Volúmenes DIstribuidos '!D448</f>
        <v>17.332999999999998</v>
      </c>
      <c r="E670" s="12">
        <f>SUMIF('Parametros Inventario'!$A:$A,B670,'Parametros Inventario'!$B:$B)+SUMIFS(D$2:D670,B$2:B670,B670,C$2:C670,"ENTRADA")-SUMIFS(D$2:D670,B$2:B670,B670,C$2:C670,"SALIDA")</f>
        <v>3242.8809999999994</v>
      </c>
    </row>
    <row r="671" spans="1:5" x14ac:dyDescent="0.3">
      <c r="A671" s="9">
        <f>'Volúmenes DIstribuidos '!B447</f>
        <v>44306</v>
      </c>
      <c r="B671" s="10" t="str">
        <f>IF(OR('Volúmenes DIstribuidos '!C449="Azúcar",'Volúmenes DIstribuidos '!C449="azúcar"),"Azúcar o dulce",IF('Volúmenes DIstribuidos '!C449="Aceite","Aceite o grasas",IF('Volúmenes DIstribuidos '!C449="Avena","Otros almidones",'Volúmenes DIstribuidos '!C449)))</f>
        <v>Carnes rojas</v>
      </c>
      <c r="C671" s="10" t="s">
        <v>29</v>
      </c>
      <c r="D671" s="12">
        <f>'Volúmenes DIstribuidos '!D449</f>
        <v>7.32</v>
      </c>
      <c r="E671" s="12">
        <f>SUMIF('Parametros Inventario'!$A:$A,B671,'Parametros Inventario'!$B:$B)+SUMIFS(D$2:D671,B$2:B671,B671,C$2:C671,"ENTRADA")-SUMIFS(D$2:D671,B$2:B671,B671,C$2:C671,"SALIDA")</f>
        <v>3497.7379999999994</v>
      </c>
    </row>
    <row r="672" spans="1:5" x14ac:dyDescent="0.3">
      <c r="A672" s="9">
        <f>'Volúmenes DIstribuidos '!B447</f>
        <v>44306</v>
      </c>
      <c r="B672" s="10" t="str">
        <f>IF(OR('Volúmenes DIstribuidos '!C450="Azúcar",'Volúmenes DIstribuidos '!C450="azúcar"),"Azúcar o dulce",IF('Volúmenes DIstribuidos '!C450="Aceite","Aceite o grasas",IF('Volúmenes DIstribuidos '!C450="Avena","Otros almidones",'Volúmenes DIstribuidos '!C450)))</f>
        <v>Lácteos</v>
      </c>
      <c r="C672" s="10" t="s">
        <v>29</v>
      </c>
      <c r="D672" s="12">
        <f>'Volúmenes DIstribuidos '!D450</f>
        <v>19.989999999999998</v>
      </c>
      <c r="E672" s="12">
        <f>SUMIF('Parametros Inventario'!$A:$A,B672,'Parametros Inventario'!$B:$B)+SUMIFS(D$2:D672,B$2:B672,B672,C$2:C672,"ENTRADA")-SUMIFS(D$2:D672,B$2:B672,B672,C$2:C672,"SALIDA")</f>
        <v>3222.8909999999996</v>
      </c>
    </row>
    <row r="673" spans="1:5" x14ac:dyDescent="0.3">
      <c r="A673" s="9">
        <f>'Volúmenes DIstribuidos '!B447</f>
        <v>44306</v>
      </c>
      <c r="B673" s="10" t="str">
        <f>IF(OR('Volúmenes DIstribuidos '!C451="Azúcar",'Volúmenes DIstribuidos '!C451="azúcar"),"Azúcar o dulce",IF('Volúmenes DIstribuidos '!C451="Aceite","Aceite o grasas",IF('Volúmenes DIstribuidos '!C451="Avena","Otros almidones",'Volúmenes DIstribuidos '!C451)))</f>
        <v>Menestras</v>
      </c>
      <c r="C673" s="10" t="s">
        <v>29</v>
      </c>
      <c r="D673" s="12">
        <f>'Volúmenes DIstribuidos '!D451</f>
        <v>8.9</v>
      </c>
      <c r="E673" s="12">
        <f>SUMIF('Parametros Inventario'!$A:$A,B673,'Parametros Inventario'!$B:$B)+SUMIFS(D$2:D673,B$2:B673,B673,C$2:C673,"ENTRADA")-SUMIFS(D$2:D673,B$2:B673,B673,C$2:C673,"SALIDA")</f>
        <v>2941.0379999999996</v>
      </c>
    </row>
    <row r="674" spans="1:5" x14ac:dyDescent="0.3">
      <c r="A674" s="9">
        <f>'Volúmenes DIstribuidos '!B447</f>
        <v>44306</v>
      </c>
      <c r="B674" s="10" t="str">
        <f>IF(OR('Volúmenes DIstribuidos '!C452="Azúcar",'Volúmenes DIstribuidos '!C452="azúcar"),"Azúcar o dulce",IF('Volúmenes DIstribuidos '!C452="Aceite","Aceite o grasas",IF('Volúmenes DIstribuidos '!C452="Avena","Otros almidones",'Volúmenes DIstribuidos '!C452)))</f>
        <v>Salsas</v>
      </c>
      <c r="C674" s="10" t="s">
        <v>29</v>
      </c>
      <c r="D674" s="12">
        <f>'Volúmenes DIstribuidos '!D452</f>
        <v>3.57</v>
      </c>
      <c r="E674" s="12">
        <f>SUMIF('Parametros Inventario'!$A:$A,B674,'Parametros Inventario'!$B:$B)+SUMIFS(D$2:D674,B$2:B674,B674,C$2:C674,"ENTRADA")-SUMIFS(D$2:D674,B$2:B674,B674,C$2:C674,"SALIDA")</f>
        <v>3704.3939999999993</v>
      </c>
    </row>
    <row r="675" spans="1:5" x14ac:dyDescent="0.3">
      <c r="A675" s="9">
        <f>'Volúmenes DIstribuidos '!B453</f>
        <v>44309</v>
      </c>
      <c r="B675" s="10" t="str">
        <f>IF(OR('Volúmenes DIstribuidos '!C453="Azúcar",'Volúmenes DIstribuidos '!C453="azúcar"),"Azúcar o dulce",IF('Volúmenes DIstribuidos '!C453="Aceite","Aceite o grasas",IF('Volúmenes DIstribuidos '!C453="Avena","Otros almidones",'Volúmenes DIstribuidos '!C453)))</f>
        <v>Aceite o grasas</v>
      </c>
      <c r="C675" s="10" t="s">
        <v>29</v>
      </c>
      <c r="D675" s="12">
        <f>'Volúmenes DIstribuidos '!D453</f>
        <v>11.721</v>
      </c>
      <c r="E675" s="12">
        <f>SUMIF('Parametros Inventario'!$A:$A,B675,'Parametros Inventario'!$B:$B)+SUMIFS(D$2:D675,B$2:B675,B675,C$2:C675,"ENTRADA")-SUMIFS(D$2:D675,B$2:B675,B675,C$2:C675,"SALIDA")</f>
        <v>3433.036000000001</v>
      </c>
    </row>
    <row r="676" spans="1:5" x14ac:dyDescent="0.3">
      <c r="A676" s="9">
        <f>'Volúmenes DIstribuidos '!B453</f>
        <v>44309</v>
      </c>
      <c r="B676" s="10" t="str">
        <f>IF(OR('Volúmenes DIstribuidos '!C454="Azúcar",'Volúmenes DIstribuidos '!C454="azúcar"),"Azúcar o dulce",IF('Volúmenes DIstribuidos '!C454="Aceite","Aceite o grasas",IF('Volúmenes DIstribuidos '!C454="Avena","Otros almidones",'Volúmenes DIstribuidos '!C454)))</f>
        <v>Carnes blancas</v>
      </c>
      <c r="C676" s="10" t="s">
        <v>29</v>
      </c>
      <c r="D676" s="12">
        <f>'Volúmenes DIstribuidos '!D454</f>
        <v>5.12</v>
      </c>
      <c r="E676" s="12">
        <f>SUMIF('Parametros Inventario'!$A:$A,B676,'Parametros Inventario'!$B:$B)+SUMIFS(D$2:D676,B$2:B676,B676,C$2:C676,"ENTRADA")-SUMIFS(D$2:D676,B$2:B676,B676,C$2:C676,"SALIDA")</f>
        <v>3583.0049999999992</v>
      </c>
    </row>
    <row r="677" spans="1:5" x14ac:dyDescent="0.3">
      <c r="A677" s="9">
        <f>'Volúmenes DIstribuidos '!B453</f>
        <v>44309</v>
      </c>
      <c r="B677" s="10" t="str">
        <f>IF(OR('Volúmenes DIstribuidos '!C455="Azúcar",'Volúmenes DIstribuidos '!C455="azúcar"),"Azúcar o dulce",IF('Volúmenes DIstribuidos '!C455="Aceite","Aceite o grasas",IF('Volúmenes DIstribuidos '!C455="Avena","Otros almidones",'Volúmenes DIstribuidos '!C455)))</f>
        <v>Menestras</v>
      </c>
      <c r="C677" s="10" t="s">
        <v>29</v>
      </c>
      <c r="D677" s="12">
        <f>'Volúmenes DIstribuidos '!D455</f>
        <v>31.63</v>
      </c>
      <c r="E677" s="12">
        <f>SUMIF('Parametros Inventario'!$A:$A,B677,'Parametros Inventario'!$B:$B)+SUMIFS(D$2:D677,B$2:B677,B677,C$2:C677,"ENTRADA")-SUMIFS(D$2:D677,B$2:B677,B677,C$2:C677,"SALIDA")</f>
        <v>2909.4079999999994</v>
      </c>
    </row>
    <row r="678" spans="1:5" x14ac:dyDescent="0.3">
      <c r="A678" s="9">
        <f>'Volúmenes DIstribuidos '!B453</f>
        <v>44309</v>
      </c>
      <c r="B678" s="10" t="str">
        <f>IF(OR('Volúmenes DIstribuidos '!C456="Azúcar",'Volúmenes DIstribuidos '!C456="azúcar"),"Azúcar o dulce",IF('Volúmenes DIstribuidos '!C456="Aceite","Aceite o grasas",IF('Volúmenes DIstribuidos '!C456="Avena","Otros almidones",'Volúmenes DIstribuidos '!C456)))</f>
        <v>Azúcar o dulce</v>
      </c>
      <c r="C678" s="10" t="s">
        <v>29</v>
      </c>
      <c r="D678" s="12">
        <f>'Volúmenes DIstribuidos '!D456</f>
        <v>12.56</v>
      </c>
      <c r="E678" s="12">
        <f>SUMIF('Parametros Inventario'!$A:$A,B678,'Parametros Inventario'!$B:$B)+SUMIFS(D$2:D678,B$2:B678,B678,C$2:C678,"ENTRADA")-SUMIFS(D$2:D678,B$2:B678,B678,C$2:C678,"SALIDA")</f>
        <v>4392.0679999999993</v>
      </c>
    </row>
    <row r="679" spans="1:5" x14ac:dyDescent="0.3">
      <c r="A679" s="9">
        <f>'Volúmenes DIstribuidos '!B453</f>
        <v>44309</v>
      </c>
      <c r="B679" s="10" t="str">
        <f>IF(OR('Volúmenes DIstribuidos '!C457="Azúcar",'Volúmenes DIstribuidos '!C457="azúcar"),"Azúcar o dulce",IF('Volúmenes DIstribuidos '!C457="Aceite","Aceite o grasas",IF('Volúmenes DIstribuidos '!C457="Avena","Otros almidones",'Volúmenes DIstribuidos '!C457)))</f>
        <v>Lácteos</v>
      </c>
      <c r="C679" s="10" t="s">
        <v>29</v>
      </c>
      <c r="D679" s="12">
        <f>'Volúmenes DIstribuidos '!D457</f>
        <v>48.94</v>
      </c>
      <c r="E679" s="12">
        <f>SUMIF('Parametros Inventario'!$A:$A,B679,'Parametros Inventario'!$B:$B)+SUMIFS(D$2:D679,B$2:B679,B679,C$2:C679,"ENTRADA")-SUMIFS(D$2:D679,B$2:B679,B679,C$2:C679,"SALIDA")</f>
        <v>3173.9509999999991</v>
      </c>
    </row>
    <row r="680" spans="1:5" x14ac:dyDescent="0.3">
      <c r="A680" s="9">
        <f>'Volúmenes DIstribuidos '!B453</f>
        <v>44309</v>
      </c>
      <c r="B680" s="10" t="str">
        <f>IF(OR('Volúmenes DIstribuidos '!C458="Azúcar",'Volúmenes DIstribuidos '!C458="azúcar"),"Azúcar o dulce",IF('Volúmenes DIstribuidos '!C458="Aceite","Aceite o grasas",IF('Volúmenes DIstribuidos '!C458="Avena","Otros almidones",'Volúmenes DIstribuidos '!C458)))</f>
        <v>Fideo</v>
      </c>
      <c r="C680" s="10" t="s">
        <v>29</v>
      </c>
      <c r="D680" s="12">
        <f>'Volúmenes DIstribuidos '!D458</f>
        <v>51.749000000000002</v>
      </c>
      <c r="E680" s="12">
        <f>SUMIF('Parametros Inventario'!$A:$A,B680,'Parametros Inventario'!$B:$B)+SUMIFS(D$2:D680,B$2:B680,B680,C$2:C680,"ENTRADA")-SUMIFS(D$2:D680,B$2:B680,B680,C$2:C680,"SALIDA")</f>
        <v>3707.061999999999</v>
      </c>
    </row>
    <row r="681" spans="1:5" x14ac:dyDescent="0.3">
      <c r="A681" s="9">
        <f>'Volúmenes DIstribuidos '!B459</f>
        <v>44313</v>
      </c>
      <c r="B681" s="10" t="str">
        <f>IF(OR('Volúmenes DIstribuidos '!C459="Azúcar",'Volúmenes DIstribuidos '!C459="azúcar"),"Azúcar o dulce",IF('Volúmenes DIstribuidos '!C459="Aceite","Aceite o grasas",IF('Volúmenes DIstribuidos '!C459="Avena","Otros almidones",'Volúmenes DIstribuidos '!C459)))</f>
        <v>Vegetales y hojas</v>
      </c>
      <c r="C681" s="10" t="s">
        <v>29</v>
      </c>
      <c r="D681" s="12">
        <f>'Volúmenes DIstribuidos '!D459</f>
        <v>45.77</v>
      </c>
      <c r="E681" s="12">
        <f>SUMIF('Parametros Inventario'!$A:$A,B681,'Parametros Inventario'!$B:$B)+SUMIFS(D$2:D681,B$2:B681,B681,C$2:C681,"ENTRADA")-SUMIFS(D$2:D681,B$2:B681,B681,C$2:C681,"SALIDA")</f>
        <v>3736.1779999999999</v>
      </c>
    </row>
    <row r="682" spans="1:5" x14ac:dyDescent="0.3">
      <c r="A682" s="9">
        <f>'Volúmenes DIstribuidos '!B459</f>
        <v>44313</v>
      </c>
      <c r="B682" s="10" t="str">
        <f>IF(OR('Volúmenes DIstribuidos '!C460="Azúcar",'Volúmenes DIstribuidos '!C460="azúcar"),"Azúcar o dulce",IF('Volúmenes DIstribuidos '!C460="Aceite","Aceite o grasas",IF('Volúmenes DIstribuidos '!C460="Avena","Otros almidones",'Volúmenes DIstribuidos '!C460)))</f>
        <v>Panadería</v>
      </c>
      <c r="C682" s="10" t="s">
        <v>29</v>
      </c>
      <c r="D682" s="12">
        <f>'Volúmenes DIstribuidos '!D460</f>
        <v>38.39</v>
      </c>
      <c r="E682" s="12">
        <f>SUMIF('Parametros Inventario'!$A:$A,B682,'Parametros Inventario'!$B:$B)+SUMIFS(D$2:D682,B$2:B682,B682,C$2:C682,"ENTRADA")-SUMIFS(D$2:D682,B$2:B682,B682,C$2:C682,"SALIDA")</f>
        <v>2156.1530000000002</v>
      </c>
    </row>
    <row r="683" spans="1:5" x14ac:dyDescent="0.3">
      <c r="A683" s="9">
        <f>'Volúmenes DIstribuidos '!B459</f>
        <v>44313</v>
      </c>
      <c r="B683" s="10" t="str">
        <f>IF(OR('Volúmenes DIstribuidos '!C461="Azúcar",'Volúmenes DIstribuidos '!C461="azúcar"),"Azúcar o dulce",IF('Volúmenes DIstribuidos '!C461="Aceite","Aceite o grasas",IF('Volúmenes DIstribuidos '!C461="Avena","Otros almidones",'Volúmenes DIstribuidos '!C461)))</f>
        <v>Carnes rojas</v>
      </c>
      <c r="C683" s="10" t="s">
        <v>29</v>
      </c>
      <c r="D683" s="12">
        <f>'Volúmenes DIstribuidos '!D461</f>
        <v>50</v>
      </c>
      <c r="E683" s="12">
        <f>SUMIF('Parametros Inventario'!$A:$A,B683,'Parametros Inventario'!$B:$B)+SUMIFS(D$2:D683,B$2:B683,B683,C$2:C683,"ENTRADA")-SUMIFS(D$2:D683,B$2:B683,B683,C$2:C683,"SALIDA")</f>
        <v>3447.7379999999994</v>
      </c>
    </row>
    <row r="684" spans="1:5" x14ac:dyDescent="0.3">
      <c r="A684" s="9">
        <f>'Volúmenes DIstribuidos '!B459</f>
        <v>44313</v>
      </c>
      <c r="B684" s="10" t="str">
        <f>IF(OR('Volúmenes DIstribuidos '!C462="Azúcar",'Volúmenes DIstribuidos '!C462="azúcar"),"Azúcar o dulce",IF('Volúmenes DIstribuidos '!C462="Aceite","Aceite o grasas",IF('Volúmenes DIstribuidos '!C462="Avena","Otros almidones",'Volúmenes DIstribuidos '!C462)))</f>
        <v>Aceite o grasas</v>
      </c>
      <c r="C684" s="10" t="s">
        <v>29</v>
      </c>
      <c r="D684" s="12">
        <f>'Volúmenes DIstribuidos '!D462</f>
        <v>40</v>
      </c>
      <c r="E684" s="12">
        <f>SUMIF('Parametros Inventario'!$A:$A,B684,'Parametros Inventario'!$B:$B)+SUMIFS(D$2:D684,B$2:B684,B684,C$2:C684,"ENTRADA")-SUMIFS(D$2:D684,B$2:B684,B684,C$2:C684,"SALIDA")</f>
        <v>3393.036000000001</v>
      </c>
    </row>
    <row r="685" spans="1:5" x14ac:dyDescent="0.3">
      <c r="A685" s="9">
        <f>'Volúmenes DIstribuidos '!B459</f>
        <v>44313</v>
      </c>
      <c r="B685" s="10" t="str">
        <f>IF(OR('Volúmenes DIstribuidos '!C463="Azúcar",'Volúmenes DIstribuidos '!C463="azúcar"),"Azúcar o dulce",IF('Volúmenes DIstribuidos '!C463="Aceite","Aceite o grasas",IF('Volúmenes DIstribuidos '!C463="Avena","Otros almidones",'Volúmenes DIstribuidos '!C463)))</f>
        <v>Salsas</v>
      </c>
      <c r="C685" s="10" t="s">
        <v>29</v>
      </c>
      <c r="D685" s="12">
        <f>'Volúmenes DIstribuidos '!D463</f>
        <v>10.882999999999999</v>
      </c>
      <c r="E685" s="12">
        <f>SUMIF('Parametros Inventario'!$A:$A,B685,'Parametros Inventario'!$B:$B)+SUMIFS(D$2:D685,B$2:B685,B685,C$2:C685,"ENTRADA")-SUMIFS(D$2:D685,B$2:B685,B685,C$2:C685,"SALIDA")</f>
        <v>3693.5109999999995</v>
      </c>
    </row>
    <row r="686" spans="1:5" x14ac:dyDescent="0.3">
      <c r="A686" s="9">
        <f>'Volúmenes DIstribuidos '!B459</f>
        <v>44313</v>
      </c>
      <c r="B686" s="10" t="str">
        <f>IF(OR('Volúmenes DIstribuidos '!C464="Azúcar",'Volúmenes DIstribuidos '!C464="azúcar"),"Azúcar o dulce",IF('Volúmenes DIstribuidos '!C464="Aceite","Aceite o grasas",IF('Volúmenes DIstribuidos '!C464="Avena","Otros almidones",'Volúmenes DIstribuidos '!C464)))</f>
        <v>Aceite o grasas</v>
      </c>
      <c r="C686" s="10" t="s">
        <v>29</v>
      </c>
      <c r="D686" s="12">
        <f>'Volúmenes DIstribuidos '!D464</f>
        <v>29.72</v>
      </c>
      <c r="E686" s="12">
        <f>SUMIF('Parametros Inventario'!$A:$A,B686,'Parametros Inventario'!$B:$B)+SUMIFS(D$2:D686,B$2:B686,B686,C$2:C686,"ENTRADA")-SUMIFS(D$2:D686,B$2:B686,B686,C$2:C686,"SALIDA")</f>
        <v>3363.3160000000012</v>
      </c>
    </row>
    <row r="687" spans="1:5" x14ac:dyDescent="0.3">
      <c r="A687" s="9">
        <v>44316</v>
      </c>
      <c r="B687" s="10" t="s">
        <v>9</v>
      </c>
      <c r="C687" s="10" t="s">
        <v>28</v>
      </c>
      <c r="D687" s="12">
        <v>146.69</v>
      </c>
      <c r="E687" s="12">
        <f>SUMIF('Parametros Inventario'!$A:$A,B687,'Parametros Inventario'!$B:$B)+SUMIFS(D$2:D687,B$2:B687,B687,C$2:C687,"ENTRADA")-SUMIFS(D$2:D687,B$2:B687,B687,C$2:C687,"SALIDA")</f>
        <v>2302.8430000000003</v>
      </c>
    </row>
    <row r="688" spans="1:5" x14ac:dyDescent="0.3">
      <c r="A688" s="9">
        <v>44316</v>
      </c>
      <c r="B688" s="10" t="s">
        <v>14</v>
      </c>
      <c r="C688" s="10" t="s">
        <v>28</v>
      </c>
      <c r="D688" s="12">
        <v>259.79000000000002</v>
      </c>
      <c r="E688" s="12">
        <f>SUMIF('Parametros Inventario'!$A:$A,B688,'Parametros Inventario'!$B:$B)+SUMIFS(D$2:D688,B$2:B688,B688,C$2:C688,"ENTRADA")-SUMIFS(D$2:D688,B$2:B688,B688,C$2:C688,"SALIDA")</f>
        <v>3169.1979999999994</v>
      </c>
    </row>
    <row r="689" spans="1:5" x14ac:dyDescent="0.3">
      <c r="A689" s="9">
        <v>44316</v>
      </c>
      <c r="B689" s="10" t="s">
        <v>12</v>
      </c>
      <c r="C689" s="10" t="s">
        <v>28</v>
      </c>
      <c r="D689" s="12">
        <v>252.97</v>
      </c>
      <c r="E689" s="12">
        <f>SUMIF('Parametros Inventario'!$A:$A,B689,'Parametros Inventario'!$B:$B)+SUMIFS(D$2:D689,B$2:B689,B689,C$2:C689,"ENTRADA")-SUMIFS(D$2:D689,B$2:B689,B689,C$2:C689,"SALIDA")</f>
        <v>3700.7079999999996</v>
      </c>
    </row>
    <row r="690" spans="1:5" x14ac:dyDescent="0.3">
      <c r="A690" s="9">
        <v>44316</v>
      </c>
      <c r="B690" s="10" t="s">
        <v>16</v>
      </c>
      <c r="C690" s="10" t="s">
        <v>28</v>
      </c>
      <c r="D690" s="12">
        <v>295.95</v>
      </c>
      <c r="E690" s="12">
        <f>SUMIF('Parametros Inventario'!$A:$A,B690,'Parametros Inventario'!$B:$B)+SUMIFS(D$2:D690,B$2:B690,B690,C$2:C690,"ENTRADA")-SUMIFS(D$2:D690,B$2:B690,B690,C$2:C690,"SALIDA")</f>
        <v>3878.9549999999999</v>
      </c>
    </row>
    <row r="691" spans="1:5" x14ac:dyDescent="0.3">
      <c r="A691" s="9">
        <v>44316</v>
      </c>
      <c r="B691" s="10" t="s">
        <v>17</v>
      </c>
      <c r="C691" s="10" t="s">
        <v>28</v>
      </c>
      <c r="D691" s="12">
        <v>81.19</v>
      </c>
      <c r="E691" s="12">
        <f>SUMIF('Parametros Inventario'!$A:$A,B691,'Parametros Inventario'!$B:$B)+SUMIFS(D$2:D691,B$2:B691,B691,C$2:C691,"ENTRADA")-SUMIFS(D$2:D691,B$2:B691,B691,C$2:C691,"SALIDA")</f>
        <v>3255.1409999999996</v>
      </c>
    </row>
    <row r="692" spans="1:5" x14ac:dyDescent="0.3">
      <c r="A692" s="9">
        <v>44316</v>
      </c>
      <c r="B692" s="10" t="s">
        <v>18</v>
      </c>
      <c r="C692" s="10" t="s">
        <v>28</v>
      </c>
      <c r="D692" s="12">
        <v>142.62</v>
      </c>
      <c r="E692" s="12">
        <f>SUMIF('Parametros Inventario'!$A:$A,B692,'Parametros Inventario'!$B:$B)+SUMIFS(D$2:D692,B$2:B692,B692,C$2:C692,"ENTRADA")-SUMIFS(D$2:D692,B$2:B692,B692,C$2:C692,"SALIDA")</f>
        <v>3836.1309999999994</v>
      </c>
    </row>
    <row r="693" spans="1:5" x14ac:dyDescent="0.3">
      <c r="A693" s="9">
        <v>44316</v>
      </c>
      <c r="B693" s="10" t="s">
        <v>10</v>
      </c>
      <c r="C693" s="10" t="s">
        <v>28</v>
      </c>
      <c r="D693" s="12">
        <v>98.25</v>
      </c>
      <c r="E693" s="12">
        <f>SUMIF('Parametros Inventario'!$A:$A,B693,'Parametros Inventario'!$B:$B)+SUMIFS(D$2:D693,B$2:B693,B693,C$2:C693,"ENTRADA")-SUMIFS(D$2:D693,B$2:B693,B693,C$2:C693,"SALIDA")</f>
        <v>3834.4279999999999</v>
      </c>
    </row>
    <row r="694" spans="1:5" x14ac:dyDescent="0.3">
      <c r="A694" s="9">
        <v>44316</v>
      </c>
      <c r="B694" s="10" t="s">
        <v>8</v>
      </c>
      <c r="C694" s="10" t="s">
        <v>28</v>
      </c>
      <c r="D694" s="12">
        <v>52.34</v>
      </c>
      <c r="E694" s="12">
        <f>SUMIF('Parametros Inventario'!$A:$A,B694,'Parametros Inventario'!$B:$B)+SUMIFS(D$2:D694,B$2:B694,B694,C$2:C694,"ENTRADA")-SUMIFS(D$2:D694,B$2:B694,B694,C$2:C694,"SALIDA")</f>
        <v>3415.6560000000013</v>
      </c>
    </row>
    <row r="695" spans="1:5" x14ac:dyDescent="0.3">
      <c r="A695" s="9">
        <v>44316</v>
      </c>
      <c r="B695" s="10" t="s">
        <v>13</v>
      </c>
      <c r="C695" s="10" t="s">
        <v>28</v>
      </c>
      <c r="D695" s="12">
        <v>235.79</v>
      </c>
      <c r="E695" s="12">
        <f>SUMIF('Parametros Inventario'!$A:$A,B695,'Parametros Inventario'!$B:$B)+SUMIFS(D$2:D695,B$2:B695,B695,C$2:C695,"ENTRADA")-SUMIFS(D$2:D695,B$2:B695,B695,C$2:C695,"SALIDA")</f>
        <v>4627.8580000000002</v>
      </c>
    </row>
    <row r="696" spans="1:5" x14ac:dyDescent="0.3">
      <c r="A696" s="9">
        <v>44316</v>
      </c>
      <c r="B696" s="10" t="s">
        <v>15</v>
      </c>
      <c r="C696" s="10" t="s">
        <v>28</v>
      </c>
      <c r="D696" s="12">
        <v>239.61</v>
      </c>
      <c r="E696" s="12">
        <f>SUMIF('Parametros Inventario'!$A:$A,B696,'Parametros Inventario'!$B:$B)+SUMIFS(D$2:D696,B$2:B696,B696,C$2:C696,"ENTRADA")-SUMIFS(D$2:D696,B$2:B696,B696,C$2:C696,"SALIDA")</f>
        <v>3402.3389999999999</v>
      </c>
    </row>
    <row r="697" spans="1:5" x14ac:dyDescent="0.3">
      <c r="A697" s="9">
        <f>'Volúmenes DIstribuidos '!B465</f>
        <v>44316</v>
      </c>
      <c r="B697" s="10" t="str">
        <f>IF(OR('Volúmenes DIstribuidos '!C465="Azúcar",'Volúmenes DIstribuidos '!C465="azúcar"),"Azúcar o dulce",IF('Volúmenes DIstribuidos '!C465="Aceite","Aceite o grasas",IF('Volúmenes DIstribuidos '!C465="Avena","Otros almidones",'Volúmenes DIstribuidos '!C465)))</f>
        <v>Azúcar o dulce</v>
      </c>
      <c r="C697" s="10" t="s">
        <v>29</v>
      </c>
      <c r="D697" s="12">
        <f>'Volúmenes DIstribuidos '!D465</f>
        <v>5.5</v>
      </c>
      <c r="E697" s="12">
        <f>SUMIF('Parametros Inventario'!$A:$A,B697,'Parametros Inventario'!$B:$B)+SUMIFS(D$2:D697,B$2:B697,B697,C$2:C697,"ENTRADA")-SUMIFS(D$2:D697,B$2:B697,B697,C$2:C697,"SALIDA")</f>
        <v>4622.3580000000002</v>
      </c>
    </row>
    <row r="698" spans="1:5" x14ac:dyDescent="0.3">
      <c r="A698" s="9">
        <f>'Volúmenes DIstribuidos '!B465</f>
        <v>44316</v>
      </c>
      <c r="B698" s="10" t="str">
        <f>IF(OR('Volúmenes DIstribuidos '!C466="Azúcar",'Volúmenes DIstribuidos '!C466="azúcar"),"Azúcar o dulce",IF('Volúmenes DIstribuidos '!C466="Aceite","Aceite o grasas",IF('Volúmenes DIstribuidos '!C466="Avena","Otros almidones",'Volúmenes DIstribuidos '!C466)))</f>
        <v>Menestras</v>
      </c>
      <c r="C698" s="10" t="s">
        <v>29</v>
      </c>
      <c r="D698" s="12">
        <f>'Volúmenes DIstribuidos '!D466</f>
        <v>13.887</v>
      </c>
      <c r="E698" s="12">
        <f>SUMIF('Parametros Inventario'!$A:$A,B698,'Parametros Inventario'!$B:$B)+SUMIFS(D$2:D698,B$2:B698,B698,C$2:C698,"ENTRADA")-SUMIFS(D$2:D698,B$2:B698,B698,C$2:C698,"SALIDA")</f>
        <v>3155.3109999999992</v>
      </c>
    </row>
    <row r="699" spans="1:5" x14ac:dyDescent="0.3">
      <c r="A699" s="9">
        <f>'Volúmenes DIstribuidos '!B465</f>
        <v>44316</v>
      </c>
      <c r="B699" s="10" t="str">
        <f>IF(OR('Volúmenes DIstribuidos '!C467="Azúcar",'Volúmenes DIstribuidos '!C467="azúcar"),"Azúcar o dulce",IF('Volúmenes DIstribuidos '!C467="Aceite","Aceite o grasas",IF('Volúmenes DIstribuidos '!C467="Avena","Otros almidones",'Volúmenes DIstribuidos '!C467)))</f>
        <v>Carnes rojas</v>
      </c>
      <c r="C699" s="10" t="s">
        <v>29</v>
      </c>
      <c r="D699" s="12">
        <f>'Volúmenes DIstribuidos '!D467</f>
        <v>16.21</v>
      </c>
      <c r="E699" s="12">
        <f>SUMIF('Parametros Inventario'!$A:$A,B699,'Parametros Inventario'!$B:$B)+SUMIFS(D$2:D699,B$2:B699,B699,C$2:C699,"ENTRADA")-SUMIFS(D$2:D699,B$2:B699,B699,C$2:C699,"SALIDA")</f>
        <v>3684.4979999999996</v>
      </c>
    </row>
    <row r="700" spans="1:5" x14ac:dyDescent="0.3">
      <c r="A700" s="9">
        <f>'Volúmenes DIstribuidos '!B465</f>
        <v>44316</v>
      </c>
      <c r="B700" s="10" t="str">
        <f>IF(OR('Volúmenes DIstribuidos '!C468="Azúcar",'Volúmenes DIstribuidos '!C468="azúcar"),"Azúcar o dulce",IF('Volúmenes DIstribuidos '!C468="Aceite","Aceite o grasas",IF('Volúmenes DIstribuidos '!C468="Avena","Otros almidones",'Volúmenes DIstribuidos '!C468)))</f>
        <v>Menestras</v>
      </c>
      <c r="C700" s="10" t="s">
        <v>29</v>
      </c>
      <c r="D700" s="12">
        <f>'Volúmenes DIstribuidos '!D468</f>
        <v>6.37</v>
      </c>
      <c r="E700" s="12">
        <f>SUMIF('Parametros Inventario'!$A:$A,B700,'Parametros Inventario'!$B:$B)+SUMIFS(D$2:D700,B$2:B700,B700,C$2:C700,"ENTRADA")-SUMIFS(D$2:D700,B$2:B700,B700,C$2:C700,"SALIDA")</f>
        <v>3148.9409999999993</v>
      </c>
    </row>
    <row r="701" spans="1:5" x14ac:dyDescent="0.3">
      <c r="A701" s="9">
        <f>'Volúmenes DIstribuidos '!B465</f>
        <v>44316</v>
      </c>
      <c r="B701" s="10" t="str">
        <f>IF(OR('Volúmenes DIstribuidos '!C469="Azúcar",'Volúmenes DIstribuidos '!C469="azúcar"),"Azúcar o dulce",IF('Volúmenes DIstribuidos '!C469="Aceite","Aceite o grasas",IF('Volúmenes DIstribuidos '!C469="Avena","Otros almidones",'Volúmenes DIstribuidos '!C469)))</f>
        <v>Carnes blancas</v>
      </c>
      <c r="C701" s="10" t="s">
        <v>29</v>
      </c>
      <c r="D701" s="12">
        <f>'Volúmenes DIstribuidos '!D469</f>
        <v>182.42599999999999</v>
      </c>
      <c r="E701" s="12">
        <f>SUMIF('Parametros Inventario'!$A:$A,B701,'Parametros Inventario'!$B:$B)+SUMIFS(D$2:D701,B$2:B701,B701,C$2:C701,"ENTRADA")-SUMIFS(D$2:D701,B$2:B701,B701,C$2:C701,"SALIDA")</f>
        <v>3696.5290000000005</v>
      </c>
    </row>
    <row r="702" spans="1:5" x14ac:dyDescent="0.3">
      <c r="A702" s="9">
        <f>'Volúmenes DIstribuidos '!B465</f>
        <v>44316</v>
      </c>
      <c r="B702" s="10" t="str">
        <f>IF(OR('Volúmenes DIstribuidos '!C470="Azúcar",'Volúmenes DIstribuidos '!C470="azúcar"),"Azúcar o dulce",IF('Volúmenes DIstribuidos '!C470="Aceite","Aceite o grasas",IF('Volúmenes DIstribuidos '!C470="Avena","Otros almidones",'Volúmenes DIstribuidos '!C470)))</f>
        <v>Fideo</v>
      </c>
      <c r="C702" s="10" t="s">
        <v>29</v>
      </c>
      <c r="D702" s="12">
        <f>'Volúmenes DIstribuidos '!D470</f>
        <v>18.239999999999998</v>
      </c>
      <c r="E702" s="12">
        <f>SUMIF('Parametros Inventario'!$A:$A,B702,'Parametros Inventario'!$B:$B)+SUMIFS(D$2:D702,B$2:B702,B702,C$2:C702,"ENTRADA")-SUMIFS(D$2:D702,B$2:B702,B702,C$2:C702,"SALIDA")</f>
        <v>3688.8219999999992</v>
      </c>
    </row>
    <row r="703" spans="1:5" x14ac:dyDescent="0.3">
      <c r="A703" s="9">
        <f>'Volúmenes DIstribuidos '!B471</f>
        <v>44320</v>
      </c>
      <c r="B703" s="10" t="str">
        <f>IF(OR('Volúmenes DIstribuidos '!C471="Azúcar",'Volúmenes DIstribuidos '!C471="azúcar"),"Azúcar o dulce",IF('Volúmenes DIstribuidos '!C471="Aceite","Aceite o grasas",IF('Volúmenes DIstribuidos '!C471="Avena","Otros almidones",'Volúmenes DIstribuidos '!C471)))</f>
        <v>Vegetales y hojas</v>
      </c>
      <c r="C703" s="10" t="s">
        <v>29</v>
      </c>
      <c r="D703" s="12">
        <f>'Volúmenes DIstribuidos '!D471</f>
        <v>50</v>
      </c>
      <c r="E703" s="12">
        <f>SUMIF('Parametros Inventario'!$A:$A,B703,'Parametros Inventario'!$B:$B)+SUMIFS(D$2:D703,B$2:B703,B703,C$2:C703,"ENTRADA")-SUMIFS(D$2:D703,B$2:B703,B703,C$2:C703,"SALIDA")</f>
        <v>3784.4279999999999</v>
      </c>
    </row>
    <row r="704" spans="1:5" x14ac:dyDescent="0.3">
      <c r="A704" s="9">
        <f>'Volúmenes DIstribuidos '!B471</f>
        <v>44320</v>
      </c>
      <c r="B704" s="10" t="str">
        <f>IF(OR('Volúmenes DIstribuidos '!C472="Azúcar",'Volúmenes DIstribuidos '!C472="azúcar"),"Azúcar o dulce",IF('Volúmenes DIstribuidos '!C472="Aceite","Aceite o grasas",IF('Volúmenes DIstribuidos '!C472="Avena","Otros almidones",'Volúmenes DIstribuidos '!C472)))</f>
        <v>Aceite o grasas</v>
      </c>
      <c r="C704" s="10" t="s">
        <v>29</v>
      </c>
      <c r="D704" s="12">
        <f>'Volúmenes DIstribuidos '!D472</f>
        <v>70</v>
      </c>
      <c r="E704" s="12">
        <f>SUMIF('Parametros Inventario'!$A:$A,B704,'Parametros Inventario'!$B:$B)+SUMIFS(D$2:D704,B$2:B704,B704,C$2:C704,"ENTRADA")-SUMIFS(D$2:D704,B$2:B704,B704,C$2:C704,"SALIDA")</f>
        <v>3345.6560000000013</v>
      </c>
    </row>
    <row r="705" spans="1:5" x14ac:dyDescent="0.3">
      <c r="A705" s="9">
        <f>'Volúmenes DIstribuidos '!B471</f>
        <v>44320</v>
      </c>
      <c r="B705" s="10" t="str">
        <f>IF(OR('Volúmenes DIstribuidos '!C473="Azúcar",'Volúmenes DIstribuidos '!C473="azúcar"),"Azúcar o dulce",IF('Volúmenes DIstribuidos '!C473="Aceite","Aceite o grasas",IF('Volúmenes DIstribuidos '!C473="Avena","Otros almidones",'Volúmenes DIstribuidos '!C473)))</f>
        <v>Carnes rojas</v>
      </c>
      <c r="C705" s="10" t="s">
        <v>29</v>
      </c>
      <c r="D705" s="12">
        <f>'Volúmenes DIstribuidos '!D473</f>
        <v>60</v>
      </c>
      <c r="E705" s="12">
        <f>SUMIF('Parametros Inventario'!$A:$A,B705,'Parametros Inventario'!$B:$B)+SUMIFS(D$2:D705,B$2:B705,B705,C$2:C705,"ENTRADA")-SUMIFS(D$2:D705,B$2:B705,B705,C$2:C705,"SALIDA")</f>
        <v>3624.4979999999996</v>
      </c>
    </row>
    <row r="706" spans="1:5" x14ac:dyDescent="0.3">
      <c r="A706" s="9">
        <f>'Volúmenes DIstribuidos '!B471</f>
        <v>44320</v>
      </c>
      <c r="B706" s="10" t="str">
        <f>IF(OR('Volúmenes DIstribuidos '!C474="Azúcar",'Volúmenes DIstribuidos '!C474="azúcar"),"Azúcar o dulce",IF('Volúmenes DIstribuidos '!C474="Aceite","Aceite o grasas",IF('Volúmenes DIstribuidos '!C474="Avena","Otros almidones",'Volúmenes DIstribuidos '!C474)))</f>
        <v>Lácteos</v>
      </c>
      <c r="C706" s="10" t="s">
        <v>29</v>
      </c>
      <c r="D706" s="12">
        <f>'Volúmenes DIstribuidos '!D474</f>
        <v>16.198</v>
      </c>
      <c r="E706" s="12">
        <f>SUMIF('Parametros Inventario'!$A:$A,B706,'Parametros Inventario'!$B:$B)+SUMIFS(D$2:D706,B$2:B706,B706,C$2:C706,"ENTRADA")-SUMIFS(D$2:D706,B$2:B706,B706,C$2:C706,"SALIDA")</f>
        <v>3238.9429999999998</v>
      </c>
    </row>
    <row r="707" spans="1:5" x14ac:dyDescent="0.3">
      <c r="A707" s="9">
        <f>'Volúmenes DIstribuidos '!B471</f>
        <v>44320</v>
      </c>
      <c r="B707" s="10" t="str">
        <f>IF(OR('Volúmenes DIstribuidos '!C475="Azúcar",'Volúmenes DIstribuidos '!C475="azúcar"),"Azúcar o dulce",IF('Volúmenes DIstribuidos '!C475="Aceite","Aceite o grasas",IF('Volúmenes DIstribuidos '!C475="Avena","Otros almidones",'Volúmenes DIstribuidos '!C475)))</f>
        <v>Menestras</v>
      </c>
      <c r="C707" s="10" t="s">
        <v>29</v>
      </c>
      <c r="D707" s="12">
        <f>'Volúmenes DIstribuidos '!D475</f>
        <v>22.58</v>
      </c>
      <c r="E707" s="12">
        <f>SUMIF('Parametros Inventario'!$A:$A,B707,'Parametros Inventario'!$B:$B)+SUMIFS(D$2:D707,B$2:B707,B707,C$2:C707,"ENTRADA")-SUMIFS(D$2:D707,B$2:B707,B707,C$2:C707,"SALIDA")</f>
        <v>3126.3609999999994</v>
      </c>
    </row>
    <row r="708" spans="1:5" x14ac:dyDescent="0.3">
      <c r="A708" s="9">
        <f>'Volúmenes DIstribuidos '!B471</f>
        <v>44320</v>
      </c>
      <c r="B708" s="10" t="str">
        <f>IF(OR('Volúmenes DIstribuidos '!C476="Azúcar",'Volúmenes DIstribuidos '!C476="azúcar"),"Azúcar o dulce",IF('Volúmenes DIstribuidos '!C476="Aceite","Aceite o grasas",IF('Volúmenes DIstribuidos '!C476="Avena","Otros almidones",'Volúmenes DIstribuidos '!C476)))</f>
        <v>Otros almidones</v>
      </c>
      <c r="C708" s="10" t="s">
        <v>29</v>
      </c>
      <c r="D708" s="12">
        <f>'Volúmenes DIstribuidos '!D476</f>
        <v>4.1900000000000004</v>
      </c>
      <c r="E708" s="12">
        <f>SUMIF('Parametros Inventario'!$A:$A,B708,'Parametros Inventario'!$B:$B)+SUMIFS(D$2:D708,B$2:B708,B708,C$2:C708,"ENTRADA")-SUMIFS(D$2:D708,B$2:B708,B708,C$2:C708,"SALIDA")</f>
        <v>3398.1489999999999</v>
      </c>
    </row>
    <row r="709" spans="1:5" x14ac:dyDescent="0.3">
      <c r="A709" s="9">
        <f>'Volúmenes DIstribuidos '!B477</f>
        <v>44323</v>
      </c>
      <c r="B709" s="10" t="str">
        <f>IF(OR('Volúmenes DIstribuidos '!C477="Azúcar",'Volúmenes DIstribuidos '!C477="azúcar"),"Azúcar o dulce",IF('Volúmenes DIstribuidos '!C477="Aceite","Aceite o grasas",IF('Volúmenes DIstribuidos '!C477="Avena","Otros almidones",'Volúmenes DIstribuidos '!C477)))</f>
        <v>Salsas</v>
      </c>
      <c r="C709" s="10" t="s">
        <v>29</v>
      </c>
      <c r="D709" s="12">
        <f>'Volúmenes DIstribuidos '!D477</f>
        <v>9.26</v>
      </c>
      <c r="E709" s="12">
        <f>SUMIF('Parametros Inventario'!$A:$A,B709,'Parametros Inventario'!$B:$B)+SUMIFS(D$2:D709,B$2:B709,B709,C$2:C709,"ENTRADA")-SUMIFS(D$2:D709,B$2:B709,B709,C$2:C709,"SALIDA")</f>
        <v>3826.8709999999992</v>
      </c>
    </row>
    <row r="710" spans="1:5" x14ac:dyDescent="0.3">
      <c r="A710" s="9">
        <f>'Volúmenes DIstribuidos '!B477</f>
        <v>44323</v>
      </c>
      <c r="B710" s="10" t="str">
        <f>IF(OR('Volúmenes DIstribuidos '!C478="Azúcar",'Volúmenes DIstribuidos '!C478="azúcar"),"Azúcar o dulce",IF('Volúmenes DIstribuidos '!C478="Aceite","Aceite o grasas",IF('Volúmenes DIstribuidos '!C478="Avena","Otros almidones",'Volúmenes DIstribuidos '!C478)))</f>
        <v>Aceite o grasas</v>
      </c>
      <c r="C710" s="10" t="s">
        <v>29</v>
      </c>
      <c r="D710" s="12">
        <f>'Volúmenes DIstribuidos '!D478</f>
        <v>9.24</v>
      </c>
      <c r="E710" s="12">
        <f>SUMIF('Parametros Inventario'!$A:$A,B710,'Parametros Inventario'!$B:$B)+SUMIFS(D$2:D710,B$2:B710,B710,C$2:C710,"ENTRADA")-SUMIFS(D$2:D710,B$2:B710,B710,C$2:C710,"SALIDA")</f>
        <v>3336.4160000000011</v>
      </c>
    </row>
    <row r="711" spans="1:5" x14ac:dyDescent="0.3">
      <c r="A711" s="9">
        <f>'Volúmenes DIstribuidos '!B477</f>
        <v>44323</v>
      </c>
      <c r="B711" s="10" t="str">
        <f>IF(OR('Volúmenes DIstribuidos '!C479="Azúcar",'Volúmenes DIstribuidos '!C479="azúcar"),"Azúcar o dulce",IF('Volúmenes DIstribuidos '!C479="Aceite","Aceite o grasas",IF('Volúmenes DIstribuidos '!C479="Avena","Otros almidones",'Volúmenes DIstribuidos '!C479)))</f>
        <v>Vegetales y hojas</v>
      </c>
      <c r="C711" s="10" t="s">
        <v>29</v>
      </c>
      <c r="D711" s="12">
        <f>'Volúmenes DIstribuidos '!D479</f>
        <v>57.997999999999998</v>
      </c>
      <c r="E711" s="12">
        <f>SUMIF('Parametros Inventario'!$A:$A,B711,'Parametros Inventario'!$B:$B)+SUMIFS(D$2:D711,B$2:B711,B711,C$2:C711,"ENTRADA")-SUMIFS(D$2:D711,B$2:B711,B711,C$2:C711,"SALIDA")</f>
        <v>3726.4300000000003</v>
      </c>
    </row>
    <row r="712" spans="1:5" x14ac:dyDescent="0.3">
      <c r="A712" s="9">
        <f>'Volúmenes DIstribuidos '!B477</f>
        <v>44323</v>
      </c>
      <c r="B712" s="10" t="str">
        <f>IF(OR('Volúmenes DIstribuidos '!C480="Azúcar",'Volúmenes DIstribuidos '!C480="azúcar"),"Azúcar o dulce",IF('Volúmenes DIstribuidos '!C480="Aceite","Aceite o grasas",IF('Volúmenes DIstribuidos '!C480="Avena","Otros almidones",'Volúmenes DIstribuidos '!C480)))</f>
        <v>Carnes blancas</v>
      </c>
      <c r="C712" s="10" t="s">
        <v>29</v>
      </c>
      <c r="D712" s="12">
        <f>'Volúmenes DIstribuidos '!D480</f>
        <v>61.99</v>
      </c>
      <c r="E712" s="12">
        <f>SUMIF('Parametros Inventario'!$A:$A,B712,'Parametros Inventario'!$B:$B)+SUMIFS(D$2:D712,B$2:B712,B712,C$2:C712,"ENTRADA")-SUMIFS(D$2:D712,B$2:B712,B712,C$2:C712,"SALIDA")</f>
        <v>3634.5390000000002</v>
      </c>
    </row>
    <row r="713" spans="1:5" x14ac:dyDescent="0.3">
      <c r="A713" s="9">
        <f>'Volúmenes DIstribuidos '!B477</f>
        <v>44323</v>
      </c>
      <c r="B713" s="10" t="str">
        <f>IF(OR('Volúmenes DIstribuidos '!C481="Azúcar",'Volúmenes DIstribuidos '!C481="azúcar"),"Azúcar o dulce",IF('Volúmenes DIstribuidos '!C481="Aceite","Aceite o grasas",IF('Volúmenes DIstribuidos '!C481="Avena","Otros almidones",'Volúmenes DIstribuidos '!C481)))</f>
        <v>Otros almidones</v>
      </c>
      <c r="C713" s="10" t="s">
        <v>29</v>
      </c>
      <c r="D713" s="12">
        <f>'Volúmenes DIstribuidos '!D481</f>
        <v>30.61</v>
      </c>
      <c r="E713" s="12">
        <f>SUMIF('Parametros Inventario'!$A:$A,B713,'Parametros Inventario'!$B:$B)+SUMIFS(D$2:D713,B$2:B713,B713,C$2:C713,"ENTRADA")-SUMIFS(D$2:D713,B$2:B713,B713,C$2:C713,"SALIDA")</f>
        <v>3367.5389999999998</v>
      </c>
    </row>
    <row r="714" spans="1:5" x14ac:dyDescent="0.3">
      <c r="A714" s="9">
        <f>'Volúmenes DIstribuidos '!B477</f>
        <v>44323</v>
      </c>
      <c r="B714" s="10" t="str">
        <f>IF(OR('Volúmenes DIstribuidos '!C482="Azúcar",'Volúmenes DIstribuidos '!C482="azúcar"),"Azúcar o dulce",IF('Volúmenes DIstribuidos '!C482="Aceite","Aceite o grasas",IF('Volúmenes DIstribuidos '!C482="Avena","Otros almidones",'Volúmenes DIstribuidos '!C482)))</f>
        <v>Lácteos</v>
      </c>
      <c r="C714" s="10" t="s">
        <v>29</v>
      </c>
      <c r="D714" s="12">
        <f>'Volúmenes DIstribuidos '!D482</f>
        <v>91.19</v>
      </c>
      <c r="E714" s="12">
        <f>SUMIF('Parametros Inventario'!$A:$A,B714,'Parametros Inventario'!$B:$B)+SUMIFS(D$2:D714,B$2:B714,B714,C$2:C714,"ENTRADA")-SUMIFS(D$2:D714,B$2:B714,B714,C$2:C714,"SALIDA")</f>
        <v>3147.7529999999997</v>
      </c>
    </row>
    <row r="715" spans="1:5" x14ac:dyDescent="0.3">
      <c r="A715" s="9">
        <f>'Volúmenes DIstribuidos '!B483</f>
        <v>44327</v>
      </c>
      <c r="B715" s="10" t="str">
        <f>IF(OR('Volúmenes DIstribuidos '!C483="Azúcar",'Volúmenes DIstribuidos '!C483="azúcar"),"Azúcar o dulce",IF('Volúmenes DIstribuidos '!C483="Aceite","Aceite o grasas",IF('Volúmenes DIstribuidos '!C483="Avena","Otros almidones",'Volúmenes DIstribuidos '!C483)))</f>
        <v>Azúcar o dulce</v>
      </c>
      <c r="C715" s="10" t="s">
        <v>29</v>
      </c>
      <c r="D715" s="12">
        <f>'Volúmenes DIstribuidos '!D483</f>
        <v>125.44</v>
      </c>
      <c r="E715" s="12">
        <f>SUMIF('Parametros Inventario'!$A:$A,B715,'Parametros Inventario'!$B:$B)+SUMIFS(D$2:D715,B$2:B715,B715,C$2:C715,"ENTRADA")-SUMIFS(D$2:D715,B$2:B715,B715,C$2:C715,"SALIDA")</f>
        <v>4496.9179999999997</v>
      </c>
    </row>
    <row r="716" spans="1:5" x14ac:dyDescent="0.3">
      <c r="A716" s="9">
        <f>'Volúmenes DIstribuidos '!B483</f>
        <v>44327</v>
      </c>
      <c r="B716" s="10" t="str">
        <f>IF(OR('Volúmenes DIstribuidos '!C484="Azúcar",'Volúmenes DIstribuidos '!C484="azúcar"),"Azúcar o dulce",IF('Volúmenes DIstribuidos '!C484="Aceite","Aceite o grasas",IF('Volúmenes DIstribuidos '!C484="Avena","Otros almidones",'Volúmenes DIstribuidos '!C484)))</f>
        <v>Fideo</v>
      </c>
      <c r="C716" s="10" t="s">
        <v>29</v>
      </c>
      <c r="D716" s="12">
        <f>'Volúmenes DIstribuidos '!D484</f>
        <v>6.31</v>
      </c>
      <c r="E716" s="12">
        <f>SUMIF('Parametros Inventario'!$A:$A,B716,'Parametros Inventario'!$B:$B)+SUMIFS(D$2:D716,B$2:B716,B716,C$2:C716,"ENTRADA")-SUMIFS(D$2:D716,B$2:B716,B716,C$2:C716,"SALIDA")</f>
        <v>3682.5119999999988</v>
      </c>
    </row>
    <row r="717" spans="1:5" x14ac:dyDescent="0.3">
      <c r="A717" s="9">
        <f>'Volúmenes DIstribuidos '!B483</f>
        <v>44327</v>
      </c>
      <c r="B717" s="10" t="str">
        <f>IF(OR('Volúmenes DIstribuidos '!C485="Azúcar",'Volúmenes DIstribuidos '!C485="azúcar"),"Azúcar o dulce",IF('Volúmenes DIstribuidos '!C485="Aceite","Aceite o grasas",IF('Volúmenes DIstribuidos '!C485="Avena","Otros almidones",'Volúmenes DIstribuidos '!C485)))</f>
        <v>Vegetales y hojas</v>
      </c>
      <c r="C717" s="10" t="s">
        <v>29</v>
      </c>
      <c r="D717" s="12">
        <f>'Volúmenes DIstribuidos '!D485</f>
        <v>19.89</v>
      </c>
      <c r="E717" s="12">
        <f>SUMIF('Parametros Inventario'!$A:$A,B717,'Parametros Inventario'!$B:$B)+SUMIFS(D$2:D717,B$2:B717,B717,C$2:C717,"ENTRADA")-SUMIFS(D$2:D717,B$2:B717,B717,C$2:C717,"SALIDA")</f>
        <v>3706.54</v>
      </c>
    </row>
    <row r="718" spans="1:5" x14ac:dyDescent="0.3">
      <c r="A718" s="9">
        <f>'Volúmenes DIstribuidos '!B483</f>
        <v>44327</v>
      </c>
      <c r="B718" s="10" t="str">
        <f>IF(OR('Volúmenes DIstribuidos '!C486="Azúcar",'Volúmenes DIstribuidos '!C486="azúcar"),"Azúcar o dulce",IF('Volúmenes DIstribuidos '!C486="Aceite","Aceite o grasas",IF('Volúmenes DIstribuidos '!C486="Avena","Otros almidones",'Volúmenes DIstribuidos '!C486)))</f>
        <v>Otros almidones</v>
      </c>
      <c r="C718" s="10" t="s">
        <v>29</v>
      </c>
      <c r="D718" s="12">
        <f>'Volúmenes DIstribuidos '!D486</f>
        <v>23.86</v>
      </c>
      <c r="E718" s="12">
        <f>SUMIF('Parametros Inventario'!$A:$A,B718,'Parametros Inventario'!$B:$B)+SUMIFS(D$2:D718,B$2:B718,B718,C$2:C718,"ENTRADA")-SUMIFS(D$2:D718,B$2:B718,B718,C$2:C718,"SALIDA")</f>
        <v>3343.6790000000001</v>
      </c>
    </row>
    <row r="719" spans="1:5" x14ac:dyDescent="0.3">
      <c r="A719" s="9">
        <f>'Volúmenes DIstribuidos '!B483</f>
        <v>44327</v>
      </c>
      <c r="B719" s="10" t="str">
        <f>IF(OR('Volúmenes DIstribuidos '!C487="Azúcar",'Volúmenes DIstribuidos '!C487="azúcar"),"Azúcar o dulce",IF('Volúmenes DIstribuidos '!C487="Aceite","Aceite o grasas",IF('Volúmenes DIstribuidos '!C487="Avena","Otros almidones",'Volúmenes DIstribuidos '!C487)))</f>
        <v>Panadería</v>
      </c>
      <c r="C719" s="10" t="s">
        <v>29</v>
      </c>
      <c r="D719" s="12">
        <f>'Volúmenes DIstribuidos '!D487</f>
        <v>7.61</v>
      </c>
      <c r="E719" s="12">
        <f>SUMIF('Parametros Inventario'!$A:$A,B719,'Parametros Inventario'!$B:$B)+SUMIFS(D$2:D719,B$2:B719,B719,C$2:C719,"ENTRADA")-SUMIFS(D$2:D719,B$2:B719,B719,C$2:C719,"SALIDA")</f>
        <v>2295.2330000000002</v>
      </c>
    </row>
    <row r="720" spans="1:5" x14ac:dyDescent="0.3">
      <c r="A720" s="9">
        <f>'Volúmenes DIstribuidos '!B483</f>
        <v>44327</v>
      </c>
      <c r="B720" s="10" t="str">
        <f>IF(OR('Volúmenes DIstribuidos '!C488="Azúcar",'Volúmenes DIstribuidos '!C488="azúcar"),"Azúcar o dulce",IF('Volúmenes DIstribuidos '!C488="Aceite","Aceite o grasas",IF('Volúmenes DIstribuidos '!C488="Avena","Otros almidones",'Volúmenes DIstribuidos '!C488)))</f>
        <v>Lácteos</v>
      </c>
      <c r="C720" s="10" t="s">
        <v>29</v>
      </c>
      <c r="D720" s="12">
        <f>'Volúmenes DIstribuidos '!D488</f>
        <v>25.25</v>
      </c>
      <c r="E720" s="12">
        <f>SUMIF('Parametros Inventario'!$A:$A,B720,'Parametros Inventario'!$B:$B)+SUMIFS(D$2:D720,B$2:B720,B720,C$2:C720,"ENTRADA")-SUMIFS(D$2:D720,B$2:B720,B720,C$2:C720,"SALIDA")</f>
        <v>3122.5029999999997</v>
      </c>
    </row>
    <row r="721" spans="1:5" x14ac:dyDescent="0.3">
      <c r="A721" s="9">
        <f>'Volúmenes DIstribuidos '!B489</f>
        <v>44330</v>
      </c>
      <c r="B721" s="10" t="str">
        <f>IF(OR('Volúmenes DIstribuidos '!C489="Azúcar",'Volúmenes DIstribuidos '!C489="azúcar"),"Azúcar o dulce",IF('Volúmenes DIstribuidos '!C489="Aceite","Aceite o grasas",IF('Volúmenes DIstribuidos '!C489="Avena","Otros almidones",'Volúmenes DIstribuidos '!C489)))</f>
        <v>Azúcar o dulce</v>
      </c>
      <c r="C721" s="10" t="s">
        <v>29</v>
      </c>
      <c r="D721" s="12">
        <f>'Volúmenes DIstribuidos '!D489</f>
        <v>13.154999999999999</v>
      </c>
      <c r="E721" s="12">
        <f>SUMIF('Parametros Inventario'!$A:$A,B721,'Parametros Inventario'!$B:$B)+SUMIFS(D$2:D721,B$2:B721,B721,C$2:C721,"ENTRADA")-SUMIFS(D$2:D721,B$2:B721,B721,C$2:C721,"SALIDA")</f>
        <v>4483.7629999999999</v>
      </c>
    </row>
    <row r="722" spans="1:5" x14ac:dyDescent="0.3">
      <c r="A722" s="9">
        <f>'Volúmenes DIstribuidos '!B489</f>
        <v>44330</v>
      </c>
      <c r="B722" s="10" t="str">
        <f>IF(OR('Volúmenes DIstribuidos '!C490="Azúcar",'Volúmenes DIstribuidos '!C490="azúcar"),"Azúcar o dulce",IF('Volúmenes DIstribuidos '!C490="Aceite","Aceite o grasas",IF('Volúmenes DIstribuidos '!C490="Avena","Otros almidones",'Volúmenes DIstribuidos '!C490)))</f>
        <v>Aceite o grasas</v>
      </c>
      <c r="C722" s="10" t="s">
        <v>29</v>
      </c>
      <c r="D722" s="12">
        <f>'Volúmenes DIstribuidos '!D490</f>
        <v>80</v>
      </c>
      <c r="E722" s="12">
        <f>SUMIF('Parametros Inventario'!$A:$A,B722,'Parametros Inventario'!$B:$B)+SUMIFS(D$2:D722,B$2:B722,B722,C$2:C722,"ENTRADA")-SUMIFS(D$2:D722,B$2:B722,B722,C$2:C722,"SALIDA")</f>
        <v>3256.4160000000011</v>
      </c>
    </row>
    <row r="723" spans="1:5" x14ac:dyDescent="0.3">
      <c r="A723" s="9">
        <f>'Volúmenes DIstribuidos '!B489</f>
        <v>44330</v>
      </c>
      <c r="B723" s="10" t="str">
        <f>IF(OR('Volúmenes DIstribuidos '!C491="Azúcar",'Volúmenes DIstribuidos '!C491="azúcar"),"Azúcar o dulce",IF('Volúmenes DIstribuidos '!C491="Aceite","Aceite o grasas",IF('Volúmenes DIstribuidos '!C491="Avena","Otros almidones",'Volúmenes DIstribuidos '!C491)))</f>
        <v>Menestras</v>
      </c>
      <c r="C723" s="10" t="s">
        <v>29</v>
      </c>
      <c r="D723" s="12">
        <f>'Volúmenes DIstribuidos '!D491</f>
        <v>34.06</v>
      </c>
      <c r="E723" s="12">
        <f>SUMIF('Parametros Inventario'!$A:$A,B723,'Parametros Inventario'!$B:$B)+SUMIFS(D$2:D723,B$2:B723,B723,C$2:C723,"ENTRADA")-SUMIFS(D$2:D723,B$2:B723,B723,C$2:C723,"SALIDA")</f>
        <v>3092.3009999999995</v>
      </c>
    </row>
    <row r="724" spans="1:5" x14ac:dyDescent="0.3">
      <c r="A724" s="9">
        <f>'Volúmenes DIstribuidos '!B489</f>
        <v>44330</v>
      </c>
      <c r="B724" s="10" t="str">
        <f>IF(OR('Volúmenes DIstribuidos '!C492="Azúcar",'Volúmenes DIstribuidos '!C492="azúcar"),"Azúcar o dulce",IF('Volúmenes DIstribuidos '!C492="Aceite","Aceite o grasas",IF('Volúmenes DIstribuidos '!C492="Avena","Otros almidones",'Volúmenes DIstribuidos '!C492)))</f>
        <v>Carnes blancas</v>
      </c>
      <c r="C724" s="10" t="s">
        <v>29</v>
      </c>
      <c r="D724" s="12">
        <f>'Volúmenes DIstribuidos '!D492</f>
        <v>72.88</v>
      </c>
      <c r="E724" s="12">
        <f>SUMIF('Parametros Inventario'!$A:$A,B724,'Parametros Inventario'!$B:$B)+SUMIFS(D$2:D724,B$2:B724,B724,C$2:C724,"ENTRADA")-SUMIFS(D$2:D724,B$2:B724,B724,C$2:C724,"SALIDA")</f>
        <v>3561.6590000000001</v>
      </c>
    </row>
    <row r="725" spans="1:5" x14ac:dyDescent="0.3">
      <c r="A725" s="9">
        <f>'Volúmenes DIstribuidos '!B489</f>
        <v>44330</v>
      </c>
      <c r="B725" s="10" t="str">
        <f>IF(OR('Volúmenes DIstribuidos '!C493="Azúcar",'Volúmenes DIstribuidos '!C493="azúcar"),"Azúcar o dulce",IF('Volúmenes DIstribuidos '!C493="Aceite","Aceite o grasas",IF('Volúmenes DIstribuidos '!C493="Avena","Otros almidones",'Volúmenes DIstribuidos '!C493)))</f>
        <v>Otros almidones</v>
      </c>
      <c r="C725" s="10" t="s">
        <v>29</v>
      </c>
      <c r="D725" s="12">
        <f>'Volúmenes DIstribuidos '!D493</f>
        <v>21.29</v>
      </c>
      <c r="E725" s="12">
        <f>SUMIF('Parametros Inventario'!$A:$A,B725,'Parametros Inventario'!$B:$B)+SUMIFS(D$2:D725,B$2:B725,B725,C$2:C725,"ENTRADA")-SUMIFS(D$2:D725,B$2:B725,B725,C$2:C725,"SALIDA")</f>
        <v>3322.3890000000001</v>
      </c>
    </row>
    <row r="726" spans="1:5" x14ac:dyDescent="0.3">
      <c r="A726" s="9">
        <f>'Volúmenes DIstribuidos '!B489</f>
        <v>44330</v>
      </c>
      <c r="B726" s="10" t="str">
        <f>IF(OR('Volúmenes DIstribuidos '!C494="Azúcar",'Volúmenes DIstribuidos '!C494="azúcar"),"Azúcar o dulce",IF('Volúmenes DIstribuidos '!C494="Aceite","Aceite o grasas",IF('Volúmenes DIstribuidos '!C494="Avena","Otros almidones",'Volúmenes DIstribuidos '!C494)))</f>
        <v>Lácteos</v>
      </c>
      <c r="C726" s="10" t="s">
        <v>29</v>
      </c>
      <c r="D726" s="12">
        <f>'Volúmenes DIstribuidos '!D494</f>
        <v>135.16</v>
      </c>
      <c r="E726" s="12">
        <f>SUMIF('Parametros Inventario'!$A:$A,B726,'Parametros Inventario'!$B:$B)+SUMIFS(D$2:D726,B$2:B726,B726,C$2:C726,"ENTRADA")-SUMIFS(D$2:D726,B$2:B726,B726,C$2:C726,"SALIDA")</f>
        <v>2987.3429999999998</v>
      </c>
    </row>
    <row r="727" spans="1:5" x14ac:dyDescent="0.3">
      <c r="A727" s="9">
        <f>'Volúmenes DIstribuidos '!B495</f>
        <v>44334</v>
      </c>
      <c r="B727" s="10" t="str">
        <f>IF(OR('Volúmenes DIstribuidos '!C495="Azúcar",'Volúmenes DIstribuidos '!C495="azúcar"),"Azúcar o dulce",IF('Volúmenes DIstribuidos '!C495="Aceite","Aceite o grasas",IF('Volúmenes DIstribuidos '!C495="Avena","Otros almidones",'Volúmenes DIstribuidos '!C495)))</f>
        <v>Azúcar o dulce</v>
      </c>
      <c r="C727" s="10" t="s">
        <v>29</v>
      </c>
      <c r="D727" s="12">
        <f>'Volúmenes DIstribuidos '!D495</f>
        <v>25.545999999999999</v>
      </c>
      <c r="E727" s="12">
        <f>SUMIF('Parametros Inventario'!$A:$A,B727,'Parametros Inventario'!$B:$B)+SUMIFS(D$2:D727,B$2:B727,B727,C$2:C727,"ENTRADA")-SUMIFS(D$2:D727,B$2:B727,B727,C$2:C727,"SALIDA")</f>
        <v>4458.2169999999996</v>
      </c>
    </row>
    <row r="728" spans="1:5" x14ac:dyDescent="0.3">
      <c r="A728" s="9">
        <f>'Volúmenes DIstribuidos '!B495</f>
        <v>44334</v>
      </c>
      <c r="B728" s="10" t="str">
        <f>IF(OR('Volúmenes DIstribuidos '!C496="Azúcar",'Volúmenes DIstribuidos '!C496="azúcar"),"Azúcar o dulce",IF('Volúmenes DIstribuidos '!C496="Aceite","Aceite o grasas",IF('Volúmenes DIstribuidos '!C496="Avena","Otros almidones",'Volúmenes DIstribuidos '!C496)))</f>
        <v>Fideo</v>
      </c>
      <c r="C728" s="10" t="s">
        <v>29</v>
      </c>
      <c r="D728" s="12">
        <f>'Volúmenes DIstribuidos '!D496</f>
        <v>9.0500000000000007</v>
      </c>
      <c r="E728" s="12">
        <f>SUMIF('Parametros Inventario'!$A:$A,B728,'Parametros Inventario'!$B:$B)+SUMIFS(D$2:D728,B$2:B728,B728,C$2:C728,"ENTRADA")-SUMIFS(D$2:D728,B$2:B728,B728,C$2:C728,"SALIDA")</f>
        <v>3673.4619999999991</v>
      </c>
    </row>
    <row r="729" spans="1:5" x14ac:dyDescent="0.3">
      <c r="A729" s="9">
        <f>'Volúmenes DIstribuidos '!B495</f>
        <v>44334</v>
      </c>
      <c r="B729" s="10" t="str">
        <f>IF(OR('Volúmenes DIstribuidos '!C497="Azúcar",'Volúmenes DIstribuidos '!C497="azúcar"),"Azúcar o dulce",IF('Volúmenes DIstribuidos '!C497="Aceite","Aceite o grasas",IF('Volúmenes DIstribuidos '!C497="Avena","Otros almidones",'Volúmenes DIstribuidos '!C497)))</f>
        <v>Vegetales y hojas</v>
      </c>
      <c r="C729" s="10" t="s">
        <v>29</v>
      </c>
      <c r="D729" s="12">
        <f>'Volúmenes DIstribuidos '!D497</f>
        <v>13.17</v>
      </c>
      <c r="E729" s="12">
        <f>SUMIF('Parametros Inventario'!$A:$A,B729,'Parametros Inventario'!$B:$B)+SUMIFS(D$2:D729,B$2:B729,B729,C$2:C729,"ENTRADA")-SUMIFS(D$2:D729,B$2:B729,B729,C$2:C729,"SALIDA")</f>
        <v>3693.37</v>
      </c>
    </row>
    <row r="730" spans="1:5" x14ac:dyDescent="0.3">
      <c r="A730" s="9">
        <f>'Volúmenes DIstribuidos '!B495</f>
        <v>44334</v>
      </c>
      <c r="B730" s="10" t="str">
        <f>IF(OR('Volúmenes DIstribuidos '!C498="Azúcar",'Volúmenes DIstribuidos '!C498="azúcar"),"Azúcar o dulce",IF('Volúmenes DIstribuidos '!C498="Aceite","Aceite o grasas",IF('Volúmenes DIstribuidos '!C498="Avena","Otros almidones",'Volúmenes DIstribuidos '!C498)))</f>
        <v>Lácteos</v>
      </c>
      <c r="C730" s="10" t="s">
        <v>29</v>
      </c>
      <c r="D730" s="12">
        <f>'Volúmenes DIstribuidos '!D498</f>
        <v>17.309999999999999</v>
      </c>
      <c r="E730" s="12">
        <f>SUMIF('Parametros Inventario'!$A:$A,B730,'Parametros Inventario'!$B:$B)+SUMIFS(D$2:D730,B$2:B730,B730,C$2:C730,"ENTRADA")-SUMIFS(D$2:D730,B$2:B730,B730,C$2:C730,"SALIDA")</f>
        <v>2970.0329999999994</v>
      </c>
    </row>
    <row r="731" spans="1:5" x14ac:dyDescent="0.3">
      <c r="A731" s="9">
        <f>'Volúmenes DIstribuidos '!B495</f>
        <v>44334</v>
      </c>
      <c r="B731" s="10" t="str">
        <f>IF(OR('Volúmenes DIstribuidos '!C499="Azúcar",'Volúmenes DIstribuidos '!C499="azúcar"),"Azúcar o dulce",IF('Volúmenes DIstribuidos '!C499="Aceite","Aceite o grasas",IF('Volúmenes DIstribuidos '!C499="Avena","Otros almidones",'Volúmenes DIstribuidos '!C499)))</f>
        <v>Panadería</v>
      </c>
      <c r="C731" s="10" t="s">
        <v>29</v>
      </c>
      <c r="D731" s="12">
        <f>'Volúmenes DIstribuidos '!D499</f>
        <v>19.09</v>
      </c>
      <c r="E731" s="12">
        <f>SUMIF('Parametros Inventario'!$A:$A,B731,'Parametros Inventario'!$B:$B)+SUMIFS(D$2:D731,B$2:B731,B731,C$2:C731,"ENTRADA")-SUMIFS(D$2:D731,B$2:B731,B731,C$2:C731,"SALIDA")</f>
        <v>2276.1430000000005</v>
      </c>
    </row>
    <row r="732" spans="1:5" x14ac:dyDescent="0.3">
      <c r="A732" s="9">
        <f>'Volúmenes DIstribuidos '!B495</f>
        <v>44334</v>
      </c>
      <c r="B732" s="10" t="str">
        <f>IF(OR('Volúmenes DIstribuidos '!C500="Azúcar",'Volúmenes DIstribuidos '!C500="azúcar"),"Azúcar o dulce",IF('Volúmenes DIstribuidos '!C500="Aceite","Aceite o grasas",IF('Volúmenes DIstribuidos '!C500="Avena","Otros almidones",'Volúmenes DIstribuidos '!C500)))</f>
        <v>Menestras</v>
      </c>
      <c r="C732" s="10" t="s">
        <v>29</v>
      </c>
      <c r="D732" s="12">
        <f>'Volúmenes DIstribuidos '!D500</f>
        <v>5.4909999999999997</v>
      </c>
      <c r="E732" s="12">
        <f>SUMIF('Parametros Inventario'!$A:$A,B732,'Parametros Inventario'!$B:$B)+SUMIFS(D$2:D732,B$2:B732,B732,C$2:C732,"ENTRADA")-SUMIFS(D$2:D732,B$2:B732,B732,C$2:C732,"SALIDA")</f>
        <v>3086.8099999999995</v>
      </c>
    </row>
    <row r="733" spans="1:5" x14ac:dyDescent="0.3">
      <c r="A733" s="9">
        <v>44337</v>
      </c>
      <c r="B733" s="10" t="s">
        <v>11</v>
      </c>
      <c r="C733" s="10" t="s">
        <v>28</v>
      </c>
      <c r="D733" s="12">
        <v>220.14</v>
      </c>
      <c r="E733" s="12">
        <f>SUMIF('Parametros Inventario'!$A:$A,B733,'Parametros Inventario'!$B:$B)+SUMIFS(D$2:D733,B$2:B733,B733,C$2:C733,"ENTRADA")-SUMIFS(D$2:D733,B$2:B733,B733,C$2:C733,"SALIDA")</f>
        <v>3893.6019999999994</v>
      </c>
    </row>
    <row r="734" spans="1:5" x14ac:dyDescent="0.3">
      <c r="A734" s="9">
        <v>44337</v>
      </c>
      <c r="B734" s="10" t="s">
        <v>9</v>
      </c>
      <c r="C734" s="10" t="s">
        <v>28</v>
      </c>
      <c r="D734" s="12">
        <v>227.3</v>
      </c>
      <c r="E734" s="12">
        <f>SUMIF('Parametros Inventario'!$A:$A,B734,'Parametros Inventario'!$B:$B)+SUMIFS(D$2:D734,B$2:B734,B734,C$2:C734,"ENTRADA")-SUMIFS(D$2:D734,B$2:B734,B734,C$2:C734,"SALIDA")</f>
        <v>2503.4430000000002</v>
      </c>
    </row>
    <row r="735" spans="1:5" x14ac:dyDescent="0.3">
      <c r="A735" s="9">
        <v>44337</v>
      </c>
      <c r="B735" s="10" t="s">
        <v>14</v>
      </c>
      <c r="C735" s="10" t="s">
        <v>28</v>
      </c>
      <c r="D735" s="12">
        <v>97.88</v>
      </c>
      <c r="E735" s="12">
        <f>SUMIF('Parametros Inventario'!$A:$A,B735,'Parametros Inventario'!$B:$B)+SUMIFS(D$2:D735,B$2:B735,B735,C$2:C735,"ENTRADA")-SUMIFS(D$2:D735,B$2:B735,B735,C$2:C735,"SALIDA")</f>
        <v>3184.6899999999996</v>
      </c>
    </row>
    <row r="736" spans="1:5" x14ac:dyDescent="0.3">
      <c r="A736" s="9">
        <v>44337</v>
      </c>
      <c r="B736" s="10" t="s">
        <v>12</v>
      </c>
      <c r="C736" s="10" t="s">
        <v>28</v>
      </c>
      <c r="D736" s="12">
        <v>254.07</v>
      </c>
      <c r="E736" s="12">
        <f>SUMIF('Parametros Inventario'!$A:$A,B736,'Parametros Inventario'!$B:$B)+SUMIFS(D$2:D736,B$2:B736,B736,C$2:C736,"ENTRADA")-SUMIFS(D$2:D736,B$2:B736,B736,C$2:C736,"SALIDA")</f>
        <v>3878.5679999999993</v>
      </c>
    </row>
    <row r="737" spans="1:5" x14ac:dyDescent="0.3">
      <c r="A737" s="9">
        <v>44337</v>
      </c>
      <c r="B737" s="10" t="s">
        <v>16</v>
      </c>
      <c r="C737" s="10" t="s">
        <v>28</v>
      </c>
      <c r="D737" s="12">
        <v>206.31</v>
      </c>
      <c r="E737" s="12">
        <f>SUMIF('Parametros Inventario'!$A:$A,B737,'Parametros Inventario'!$B:$B)+SUMIFS(D$2:D737,B$2:B737,B737,C$2:C737,"ENTRADA")-SUMIFS(D$2:D737,B$2:B737,B737,C$2:C737,"SALIDA")</f>
        <v>3767.9689999999996</v>
      </c>
    </row>
    <row r="738" spans="1:5" x14ac:dyDescent="0.3">
      <c r="A738" s="9">
        <v>44337</v>
      </c>
      <c r="B738" s="10" t="s">
        <v>17</v>
      </c>
      <c r="C738" s="10" t="s">
        <v>28</v>
      </c>
      <c r="D738" s="12">
        <v>252.1</v>
      </c>
      <c r="E738" s="12">
        <f>SUMIF('Parametros Inventario'!$A:$A,B738,'Parametros Inventario'!$B:$B)+SUMIFS(D$2:D738,B$2:B738,B738,C$2:C738,"ENTRADA")-SUMIFS(D$2:D738,B$2:B738,B738,C$2:C738,"SALIDA")</f>
        <v>3222.1329999999998</v>
      </c>
    </row>
    <row r="739" spans="1:5" x14ac:dyDescent="0.3">
      <c r="A739" s="9">
        <v>44337</v>
      </c>
      <c r="B739" s="10" t="s">
        <v>18</v>
      </c>
      <c r="C739" s="10" t="s">
        <v>28</v>
      </c>
      <c r="D739" s="12">
        <v>105.29</v>
      </c>
      <c r="E739" s="12">
        <f>SUMIF('Parametros Inventario'!$A:$A,B739,'Parametros Inventario'!$B:$B)+SUMIFS(D$2:D739,B$2:B739,B739,C$2:C739,"ENTRADA")-SUMIFS(D$2:D739,B$2:B739,B739,C$2:C739,"SALIDA")</f>
        <v>3932.1609999999991</v>
      </c>
    </row>
    <row r="740" spans="1:5" x14ac:dyDescent="0.3">
      <c r="A740" s="9">
        <v>44337</v>
      </c>
      <c r="B740" s="10" t="s">
        <v>10</v>
      </c>
      <c r="C740" s="10" t="s">
        <v>28</v>
      </c>
      <c r="D740" s="12">
        <v>295.02999999999997</v>
      </c>
      <c r="E740" s="12">
        <f>SUMIF('Parametros Inventario'!$A:$A,B740,'Parametros Inventario'!$B:$B)+SUMIFS(D$2:D740,B$2:B740,B740,C$2:C740,"ENTRADA")-SUMIFS(D$2:D740,B$2:B740,B740,C$2:C740,"SALIDA")</f>
        <v>3988.3999999999996</v>
      </c>
    </row>
    <row r="741" spans="1:5" x14ac:dyDescent="0.3">
      <c r="A741" s="9">
        <v>44337</v>
      </c>
      <c r="B741" s="10" t="s">
        <v>8</v>
      </c>
      <c r="C741" s="10" t="s">
        <v>28</v>
      </c>
      <c r="D741" s="12">
        <v>291.82</v>
      </c>
      <c r="E741" s="12">
        <f>SUMIF('Parametros Inventario'!$A:$A,B741,'Parametros Inventario'!$B:$B)+SUMIFS(D$2:D741,B$2:B741,B741,C$2:C741,"ENTRADA")-SUMIFS(D$2:D741,B$2:B741,B741,C$2:C741,"SALIDA")</f>
        <v>3548.2360000000008</v>
      </c>
    </row>
    <row r="742" spans="1:5" x14ac:dyDescent="0.3">
      <c r="A742" s="9">
        <f>'Volúmenes DIstribuidos '!B501</f>
        <v>44337</v>
      </c>
      <c r="B742" s="10" t="str">
        <f>IF(OR('Volúmenes DIstribuidos '!C501="Azúcar",'Volúmenes DIstribuidos '!C501="azúcar"),"Azúcar o dulce",IF('Volúmenes DIstribuidos '!C501="Aceite","Aceite o grasas",IF('Volúmenes DIstribuidos '!C501="Avena","Otros almidones",'Volúmenes DIstribuidos '!C501)))</f>
        <v>Menestras</v>
      </c>
      <c r="C742" s="10" t="s">
        <v>29</v>
      </c>
      <c r="D742" s="12">
        <f>'Volúmenes DIstribuidos '!D501</f>
        <v>22.11</v>
      </c>
      <c r="E742" s="12">
        <f>SUMIF('Parametros Inventario'!$A:$A,B742,'Parametros Inventario'!$B:$B)+SUMIFS(D$2:D742,B$2:B742,B742,C$2:C742,"ENTRADA")-SUMIFS(D$2:D742,B$2:B742,B742,C$2:C742,"SALIDA")</f>
        <v>3162.58</v>
      </c>
    </row>
    <row r="743" spans="1:5" x14ac:dyDescent="0.3">
      <c r="A743" s="9">
        <f>'Volúmenes DIstribuidos '!B501</f>
        <v>44337</v>
      </c>
      <c r="B743" s="10" t="str">
        <f>IF(OR('Volúmenes DIstribuidos '!C502="Azúcar",'Volúmenes DIstribuidos '!C502="azúcar"),"Azúcar o dulce",IF('Volúmenes DIstribuidos '!C502="Aceite","Aceite o grasas",IF('Volúmenes DIstribuidos '!C502="Avena","Otros almidones",'Volúmenes DIstribuidos '!C502)))</f>
        <v>Panadería</v>
      </c>
      <c r="C743" s="10" t="s">
        <v>29</v>
      </c>
      <c r="D743" s="12">
        <f>'Volúmenes DIstribuidos '!D502</f>
        <v>3.25</v>
      </c>
      <c r="E743" s="12">
        <f>SUMIF('Parametros Inventario'!$A:$A,B743,'Parametros Inventario'!$B:$B)+SUMIFS(D$2:D743,B$2:B743,B743,C$2:C743,"ENTRADA")-SUMIFS(D$2:D743,B$2:B743,B743,C$2:C743,"SALIDA")</f>
        <v>2500.1930000000002</v>
      </c>
    </row>
    <row r="744" spans="1:5" x14ac:dyDescent="0.3">
      <c r="A744" s="9">
        <f>'Volúmenes DIstribuidos '!B501</f>
        <v>44337</v>
      </c>
      <c r="B744" s="10" t="str">
        <f>IF(OR('Volúmenes DIstribuidos '!C503="Azúcar",'Volúmenes DIstribuidos '!C503="azúcar"),"Azúcar o dulce",IF('Volúmenes DIstribuidos '!C503="Aceite","Aceite o grasas",IF('Volúmenes DIstribuidos '!C503="Avena","Otros almidones",'Volúmenes DIstribuidos '!C503)))</f>
        <v>Salsas</v>
      </c>
      <c r="C744" s="10" t="s">
        <v>29</v>
      </c>
      <c r="D744" s="12">
        <f>'Volúmenes DIstribuidos '!D503</f>
        <v>9.36</v>
      </c>
      <c r="E744" s="12">
        <f>SUMIF('Parametros Inventario'!$A:$A,B744,'Parametros Inventario'!$B:$B)+SUMIFS(D$2:D744,B$2:B744,B744,C$2:C744,"ENTRADA")-SUMIFS(D$2:D744,B$2:B744,B744,C$2:C744,"SALIDA")</f>
        <v>3922.8009999999995</v>
      </c>
    </row>
    <row r="745" spans="1:5" x14ac:dyDescent="0.3">
      <c r="A745" s="9">
        <f>'Volúmenes DIstribuidos '!B501</f>
        <v>44337</v>
      </c>
      <c r="B745" s="10" t="str">
        <f>IF(OR('Volúmenes DIstribuidos '!C504="Azúcar",'Volúmenes DIstribuidos '!C504="azúcar"),"Azúcar o dulce",IF('Volúmenes DIstribuidos '!C504="Aceite","Aceite o grasas",IF('Volúmenes DIstribuidos '!C504="Avena","Otros almidones",'Volúmenes DIstribuidos '!C504)))</f>
        <v>Vegetales y hojas</v>
      </c>
      <c r="C745" s="10" t="s">
        <v>29</v>
      </c>
      <c r="D745" s="12">
        <f>'Volúmenes DIstribuidos '!D504</f>
        <v>18.39</v>
      </c>
      <c r="E745" s="12">
        <f>SUMIF('Parametros Inventario'!$A:$A,B745,'Parametros Inventario'!$B:$B)+SUMIFS(D$2:D745,B$2:B745,B745,C$2:C745,"ENTRADA")-SUMIFS(D$2:D745,B$2:B745,B745,C$2:C745,"SALIDA")</f>
        <v>3970.0099999999993</v>
      </c>
    </row>
    <row r="746" spans="1:5" x14ac:dyDescent="0.3">
      <c r="A746" s="9">
        <f>'Volúmenes DIstribuidos '!B501</f>
        <v>44337</v>
      </c>
      <c r="B746" s="10" t="str">
        <f>IF(OR('Volúmenes DIstribuidos '!C505="Azúcar",'Volúmenes DIstribuidos '!C505="azúcar"),"Azúcar o dulce",IF('Volúmenes DIstribuidos '!C505="Aceite","Aceite o grasas",IF('Volúmenes DIstribuidos '!C505="Avena","Otros almidones",'Volúmenes DIstribuidos '!C505)))</f>
        <v>Otros almidones</v>
      </c>
      <c r="C746" s="10" t="s">
        <v>29</v>
      </c>
      <c r="D746" s="12">
        <f>'Volúmenes DIstribuidos '!D505</f>
        <v>6.0869999999999997</v>
      </c>
      <c r="E746" s="12">
        <f>SUMIF('Parametros Inventario'!$A:$A,B746,'Parametros Inventario'!$B:$B)+SUMIFS(D$2:D746,B$2:B746,B746,C$2:C746,"ENTRADA")-SUMIFS(D$2:D746,B$2:B746,B746,C$2:C746,"SALIDA")</f>
        <v>3316.3020000000001</v>
      </c>
    </row>
    <row r="747" spans="1:5" x14ac:dyDescent="0.3">
      <c r="A747" s="9">
        <f>'Volúmenes DIstribuidos '!B501</f>
        <v>44337</v>
      </c>
      <c r="B747" s="10" t="str">
        <f>IF(OR('Volúmenes DIstribuidos '!C506="Azúcar",'Volúmenes DIstribuidos '!C506="azúcar"),"Azúcar o dulce",IF('Volúmenes DIstribuidos '!C506="Aceite","Aceite o grasas",IF('Volúmenes DIstribuidos '!C506="Avena","Otros almidones",'Volúmenes DIstribuidos '!C506)))</f>
        <v>Aceite o grasas</v>
      </c>
      <c r="C747" s="10" t="s">
        <v>29</v>
      </c>
      <c r="D747" s="12">
        <f>'Volúmenes DIstribuidos '!D506</f>
        <v>6.38</v>
      </c>
      <c r="E747" s="12">
        <f>SUMIF('Parametros Inventario'!$A:$A,B747,'Parametros Inventario'!$B:$B)+SUMIFS(D$2:D747,B$2:B747,B747,C$2:C747,"ENTRADA")-SUMIFS(D$2:D747,B$2:B747,B747,C$2:C747,"SALIDA")</f>
        <v>3541.8560000000007</v>
      </c>
    </row>
    <row r="748" spans="1:5" x14ac:dyDescent="0.3">
      <c r="A748" s="9">
        <f>'Volúmenes DIstribuidos '!B507</f>
        <v>44341</v>
      </c>
      <c r="B748" s="10" t="str">
        <f>IF(OR('Volúmenes DIstribuidos '!C507="Azúcar",'Volúmenes DIstribuidos '!C507="azúcar"),"Azúcar o dulce",IF('Volúmenes DIstribuidos '!C507="Aceite","Aceite o grasas",IF('Volúmenes DIstribuidos '!C507="Avena","Otros almidones",'Volúmenes DIstribuidos '!C507)))</f>
        <v>Menestras</v>
      </c>
      <c r="C748" s="10" t="s">
        <v>29</v>
      </c>
      <c r="D748" s="12">
        <f>'Volúmenes DIstribuidos '!D507</f>
        <v>9.24</v>
      </c>
      <c r="E748" s="12">
        <f>SUMIF('Parametros Inventario'!$A:$A,B748,'Parametros Inventario'!$B:$B)+SUMIFS(D$2:D748,B$2:B748,B748,C$2:C748,"ENTRADA")-SUMIFS(D$2:D748,B$2:B748,B748,C$2:C748,"SALIDA")</f>
        <v>3153.3399999999997</v>
      </c>
    </row>
    <row r="749" spans="1:5" x14ac:dyDescent="0.3">
      <c r="A749" s="9">
        <f>'Volúmenes DIstribuidos '!B507</f>
        <v>44341</v>
      </c>
      <c r="B749" s="10" t="str">
        <f>IF(OR('Volúmenes DIstribuidos '!C508="Azúcar",'Volúmenes DIstribuidos '!C508="azúcar"),"Azúcar o dulce",IF('Volúmenes DIstribuidos '!C508="Aceite","Aceite o grasas",IF('Volúmenes DIstribuidos '!C508="Avena","Otros almidones",'Volúmenes DIstribuidos '!C508)))</f>
        <v>Panadería</v>
      </c>
      <c r="C749" s="10" t="s">
        <v>29</v>
      </c>
      <c r="D749" s="12">
        <f>'Volúmenes DIstribuidos '!D508</f>
        <v>20.29</v>
      </c>
      <c r="E749" s="12">
        <f>SUMIF('Parametros Inventario'!$A:$A,B749,'Parametros Inventario'!$B:$B)+SUMIFS(D$2:D749,B$2:B749,B749,C$2:C749,"ENTRADA")-SUMIFS(D$2:D749,B$2:B749,B749,C$2:C749,"SALIDA")</f>
        <v>2479.9030000000002</v>
      </c>
    </row>
    <row r="750" spans="1:5" x14ac:dyDescent="0.3">
      <c r="A750" s="9">
        <f>'Volúmenes DIstribuidos '!B507</f>
        <v>44341</v>
      </c>
      <c r="B750" s="10" t="str">
        <f>IF(OR('Volúmenes DIstribuidos '!C509="Azúcar",'Volúmenes DIstribuidos '!C509="azúcar"),"Azúcar o dulce",IF('Volúmenes DIstribuidos '!C509="Aceite","Aceite o grasas",IF('Volúmenes DIstribuidos '!C509="Avena","Otros almidones",'Volúmenes DIstribuidos '!C509)))</f>
        <v>Otros almidones</v>
      </c>
      <c r="C750" s="10" t="s">
        <v>29</v>
      </c>
      <c r="D750" s="12">
        <f>'Volúmenes DIstribuidos '!D509</f>
        <v>17.11</v>
      </c>
      <c r="E750" s="12">
        <f>SUMIF('Parametros Inventario'!$A:$A,B750,'Parametros Inventario'!$B:$B)+SUMIFS(D$2:D750,B$2:B750,B750,C$2:C750,"ENTRADA")-SUMIFS(D$2:D750,B$2:B750,B750,C$2:C750,"SALIDA")</f>
        <v>3299.192</v>
      </c>
    </row>
    <row r="751" spans="1:5" x14ac:dyDescent="0.3">
      <c r="A751" s="9">
        <f>'Volúmenes DIstribuidos '!B507</f>
        <v>44341</v>
      </c>
      <c r="B751" s="10" t="str">
        <f>IF(OR('Volúmenes DIstribuidos '!C510="Azúcar",'Volúmenes DIstribuidos '!C510="azúcar"),"Azúcar o dulce",IF('Volúmenes DIstribuidos '!C510="Aceite","Aceite o grasas",IF('Volúmenes DIstribuidos '!C510="Avena","Otros almidones",'Volúmenes DIstribuidos '!C510)))</f>
        <v>Carnes blancas</v>
      </c>
      <c r="C751" s="10" t="s">
        <v>29</v>
      </c>
      <c r="D751" s="12">
        <f>'Volúmenes DIstribuidos '!D510</f>
        <v>2.88</v>
      </c>
      <c r="E751" s="12">
        <f>SUMIF('Parametros Inventario'!$A:$A,B751,'Parametros Inventario'!$B:$B)+SUMIFS(D$2:D751,B$2:B751,B751,C$2:C751,"ENTRADA")-SUMIFS(D$2:D751,B$2:B751,B751,C$2:C751,"SALIDA")</f>
        <v>3765.0889999999995</v>
      </c>
    </row>
    <row r="752" spans="1:5" x14ac:dyDescent="0.3">
      <c r="A752" s="9">
        <f>'Volúmenes DIstribuidos '!B507</f>
        <v>44341</v>
      </c>
      <c r="B752" s="10" t="str">
        <f>IF(OR('Volúmenes DIstribuidos '!C511="Azúcar",'Volúmenes DIstribuidos '!C511="azúcar"),"Azúcar o dulce",IF('Volúmenes DIstribuidos '!C511="Aceite","Aceite o grasas",IF('Volúmenes DIstribuidos '!C511="Avena","Otros almidones",'Volúmenes DIstribuidos '!C511)))</f>
        <v>Salsas</v>
      </c>
      <c r="C752" s="10" t="s">
        <v>29</v>
      </c>
      <c r="D752" s="12">
        <f>'Volúmenes DIstribuidos '!D511</f>
        <v>27.695</v>
      </c>
      <c r="E752" s="12">
        <f>SUMIF('Parametros Inventario'!$A:$A,B752,'Parametros Inventario'!$B:$B)+SUMIFS(D$2:D752,B$2:B752,B752,C$2:C752,"ENTRADA")-SUMIFS(D$2:D752,B$2:B752,B752,C$2:C752,"SALIDA")</f>
        <v>3895.1059999999993</v>
      </c>
    </row>
    <row r="753" spans="1:5" x14ac:dyDescent="0.3">
      <c r="A753" s="9">
        <f>'Volúmenes DIstribuidos '!B507</f>
        <v>44341</v>
      </c>
      <c r="B753" s="10" t="str">
        <f>IF(OR('Volúmenes DIstribuidos '!C512="Azúcar",'Volúmenes DIstribuidos '!C512="azúcar"),"Azúcar o dulce",IF('Volúmenes DIstribuidos '!C512="Aceite","Aceite o grasas",IF('Volúmenes DIstribuidos '!C512="Avena","Otros almidones",'Volúmenes DIstribuidos '!C512)))</f>
        <v>Carnes rojas</v>
      </c>
      <c r="C753" s="10" t="s">
        <v>29</v>
      </c>
      <c r="D753" s="12">
        <f>'Volúmenes DIstribuidos '!D512</f>
        <v>41.03</v>
      </c>
      <c r="E753" s="12">
        <f>SUMIF('Parametros Inventario'!$A:$A,B753,'Parametros Inventario'!$B:$B)+SUMIFS(D$2:D753,B$2:B753,B753,C$2:C753,"ENTRADA")-SUMIFS(D$2:D753,B$2:B753,B753,C$2:C753,"SALIDA")</f>
        <v>3837.5379999999996</v>
      </c>
    </row>
    <row r="754" spans="1:5" x14ac:dyDescent="0.3">
      <c r="A754" s="9">
        <v>44344</v>
      </c>
      <c r="B754" s="10" t="s">
        <v>13</v>
      </c>
      <c r="C754" s="10" t="s">
        <v>28</v>
      </c>
      <c r="D754" s="12">
        <v>59.2</v>
      </c>
      <c r="E754" s="12">
        <f>SUMIF('Parametros Inventario'!$A:$A,B754,'Parametros Inventario'!$B:$B)+SUMIFS(D$2:D754,B$2:B754,B754,C$2:C754,"ENTRADA")-SUMIFS(D$2:D754,B$2:B754,B754,C$2:C754,"SALIDA")</f>
        <v>4517.4169999999995</v>
      </c>
    </row>
    <row r="755" spans="1:5" x14ac:dyDescent="0.3">
      <c r="A755" s="9">
        <v>44344</v>
      </c>
      <c r="B755" s="10" t="s">
        <v>15</v>
      </c>
      <c r="C755" s="10" t="s">
        <v>28</v>
      </c>
      <c r="D755" s="12">
        <v>173.21</v>
      </c>
      <c r="E755" s="12">
        <f>SUMIF('Parametros Inventario'!$A:$A,B755,'Parametros Inventario'!$B:$B)+SUMIFS(D$2:D755,B$2:B755,B755,C$2:C755,"ENTRADA")-SUMIFS(D$2:D755,B$2:B755,B755,C$2:C755,"SALIDA")</f>
        <v>3472.402000000001</v>
      </c>
    </row>
    <row r="756" spans="1:5" x14ac:dyDescent="0.3">
      <c r="A756" s="9">
        <v>44344</v>
      </c>
      <c r="B756" s="10" t="s">
        <v>11</v>
      </c>
      <c r="C756" s="10" t="s">
        <v>28</v>
      </c>
      <c r="D756" s="12">
        <v>226.01</v>
      </c>
      <c r="E756" s="12">
        <f>SUMIF('Parametros Inventario'!$A:$A,B756,'Parametros Inventario'!$B:$B)+SUMIFS(D$2:D756,B$2:B756,B756,C$2:C756,"ENTRADA")-SUMIFS(D$2:D756,B$2:B756,B756,C$2:C756,"SALIDA")</f>
        <v>4119.6119999999992</v>
      </c>
    </row>
    <row r="757" spans="1:5" x14ac:dyDescent="0.3">
      <c r="A757" s="9">
        <v>44344</v>
      </c>
      <c r="B757" s="10" t="s">
        <v>9</v>
      </c>
      <c r="C757" s="10" t="s">
        <v>28</v>
      </c>
      <c r="D757" s="12">
        <v>201.51</v>
      </c>
      <c r="E757" s="12">
        <f>SUMIF('Parametros Inventario'!$A:$A,B757,'Parametros Inventario'!$B:$B)+SUMIFS(D$2:D757,B$2:B757,B757,C$2:C757,"ENTRADA")-SUMIFS(D$2:D757,B$2:B757,B757,C$2:C757,"SALIDA")</f>
        <v>2681.4130000000005</v>
      </c>
    </row>
    <row r="758" spans="1:5" x14ac:dyDescent="0.3">
      <c r="A758" s="9">
        <v>44344</v>
      </c>
      <c r="B758" s="10" t="s">
        <v>14</v>
      </c>
      <c r="C758" s="10" t="s">
        <v>28</v>
      </c>
      <c r="D758" s="12">
        <v>51.78</v>
      </c>
      <c r="E758" s="12">
        <f>SUMIF('Parametros Inventario'!$A:$A,B758,'Parametros Inventario'!$B:$B)+SUMIFS(D$2:D758,B$2:B758,B758,C$2:C758,"ENTRADA")-SUMIFS(D$2:D758,B$2:B758,B758,C$2:C758,"SALIDA")</f>
        <v>3205.1199999999994</v>
      </c>
    </row>
    <row r="759" spans="1:5" x14ac:dyDescent="0.3">
      <c r="A759" s="9">
        <v>44344</v>
      </c>
      <c r="B759" s="10" t="s">
        <v>12</v>
      </c>
      <c r="C759" s="10" t="s">
        <v>28</v>
      </c>
      <c r="D759" s="12">
        <v>296.07</v>
      </c>
      <c r="E759" s="12">
        <f>SUMIF('Parametros Inventario'!$A:$A,B759,'Parametros Inventario'!$B:$B)+SUMIFS(D$2:D759,B$2:B759,B759,C$2:C759,"ENTRADA")-SUMIFS(D$2:D759,B$2:B759,B759,C$2:C759,"SALIDA")</f>
        <v>4133.6079999999993</v>
      </c>
    </row>
    <row r="760" spans="1:5" x14ac:dyDescent="0.3">
      <c r="A760" s="9">
        <v>44344</v>
      </c>
      <c r="B760" s="10" t="s">
        <v>16</v>
      </c>
      <c r="C760" s="10" t="s">
        <v>28</v>
      </c>
      <c r="D760" s="12">
        <v>209.61</v>
      </c>
      <c r="E760" s="12">
        <f>SUMIF('Parametros Inventario'!$A:$A,B760,'Parametros Inventario'!$B:$B)+SUMIFS(D$2:D760,B$2:B760,B760,C$2:C760,"ENTRADA")-SUMIFS(D$2:D760,B$2:B760,B760,C$2:C760,"SALIDA")</f>
        <v>3974.6989999999992</v>
      </c>
    </row>
    <row r="761" spans="1:5" x14ac:dyDescent="0.3">
      <c r="A761" s="9">
        <v>44344</v>
      </c>
      <c r="B761" s="10" t="s">
        <v>17</v>
      </c>
      <c r="C761" s="10" t="s">
        <v>28</v>
      </c>
      <c r="D761" s="12">
        <v>77.739999999999995</v>
      </c>
      <c r="E761" s="12">
        <f>SUMIF('Parametros Inventario'!$A:$A,B761,'Parametros Inventario'!$B:$B)+SUMIFS(D$2:D761,B$2:B761,B761,C$2:C761,"ENTRADA")-SUMIFS(D$2:D761,B$2:B761,B761,C$2:C761,"SALIDA")</f>
        <v>3299.8729999999996</v>
      </c>
    </row>
    <row r="762" spans="1:5" x14ac:dyDescent="0.3">
      <c r="A762" s="9">
        <v>44344</v>
      </c>
      <c r="B762" s="10" t="s">
        <v>18</v>
      </c>
      <c r="C762" s="10" t="s">
        <v>28</v>
      </c>
      <c r="D762" s="12">
        <v>119.34</v>
      </c>
      <c r="E762" s="12">
        <f>SUMIF('Parametros Inventario'!$A:$A,B762,'Parametros Inventario'!$B:$B)+SUMIFS(D$2:D762,B$2:B762,B762,C$2:C762,"ENTRADA")-SUMIFS(D$2:D762,B$2:B762,B762,C$2:C762,"SALIDA")</f>
        <v>4014.4459999999995</v>
      </c>
    </row>
    <row r="763" spans="1:5" x14ac:dyDescent="0.3">
      <c r="A763" s="9">
        <v>44344</v>
      </c>
      <c r="B763" s="10" t="s">
        <v>10</v>
      </c>
      <c r="C763" s="10" t="s">
        <v>28</v>
      </c>
      <c r="D763" s="12">
        <v>175.08</v>
      </c>
      <c r="E763" s="12">
        <f>SUMIF('Parametros Inventario'!$A:$A,B763,'Parametros Inventario'!$B:$B)+SUMIFS(D$2:D763,B$2:B763,B763,C$2:C763,"ENTRADA")-SUMIFS(D$2:D763,B$2:B763,B763,C$2:C763,"SALIDA")</f>
        <v>4145.0899999999992</v>
      </c>
    </row>
    <row r="764" spans="1:5" x14ac:dyDescent="0.3">
      <c r="A764" s="9">
        <v>44344</v>
      </c>
      <c r="B764" s="10" t="s">
        <v>8</v>
      </c>
      <c r="C764" s="10" t="s">
        <v>28</v>
      </c>
      <c r="D764" s="12">
        <v>92.62</v>
      </c>
      <c r="E764" s="12">
        <f>SUMIF('Parametros Inventario'!$A:$A,B764,'Parametros Inventario'!$B:$B)+SUMIFS(D$2:D764,B$2:B764,B764,C$2:C764,"ENTRADA")-SUMIFS(D$2:D764,B$2:B764,B764,C$2:C764,"SALIDA")</f>
        <v>3634.4760000000006</v>
      </c>
    </row>
    <row r="765" spans="1:5" x14ac:dyDescent="0.3">
      <c r="A765" s="9">
        <f>'Volúmenes DIstribuidos '!B513</f>
        <v>44344</v>
      </c>
      <c r="B765" s="10" t="str">
        <f>IF(OR('Volúmenes DIstribuidos '!C513="Azúcar",'Volúmenes DIstribuidos '!C513="azúcar"),"Azúcar o dulce",IF('Volúmenes DIstribuidos '!C513="Aceite","Aceite o grasas",IF('Volúmenes DIstribuidos '!C513="Avena","Otros almidones",'Volúmenes DIstribuidos '!C513)))</f>
        <v>Aceite o grasas</v>
      </c>
      <c r="C765" s="10" t="s">
        <v>29</v>
      </c>
      <c r="D765" s="12">
        <f>'Volúmenes DIstribuidos '!D513</f>
        <v>61.12</v>
      </c>
      <c r="E765" s="12">
        <f>SUMIF('Parametros Inventario'!$A:$A,B765,'Parametros Inventario'!$B:$B)+SUMIFS(D$2:D765,B$2:B765,B765,C$2:C765,"ENTRADA")-SUMIFS(D$2:D765,B$2:B765,B765,C$2:C765,"SALIDA")</f>
        <v>3573.3560000000007</v>
      </c>
    </row>
    <row r="766" spans="1:5" x14ac:dyDescent="0.3">
      <c r="A766" s="9">
        <f>'Volúmenes DIstribuidos '!B513</f>
        <v>44344</v>
      </c>
      <c r="B766" s="10" t="str">
        <f>IF(OR('Volúmenes DIstribuidos '!C514="Azúcar",'Volúmenes DIstribuidos '!C514="azúcar"),"Azúcar o dulce",IF('Volúmenes DIstribuidos '!C514="Aceite","Aceite o grasas",IF('Volúmenes DIstribuidos '!C514="Avena","Otros almidones",'Volúmenes DIstribuidos '!C514)))</f>
        <v>Panadería</v>
      </c>
      <c r="C766" s="10" t="s">
        <v>29</v>
      </c>
      <c r="D766" s="12">
        <f>'Volúmenes DIstribuidos '!D514</f>
        <v>73.069999999999993</v>
      </c>
      <c r="E766" s="12">
        <f>SUMIF('Parametros Inventario'!$A:$A,B766,'Parametros Inventario'!$B:$B)+SUMIFS(D$2:D766,B$2:B766,B766,C$2:C766,"ENTRADA")-SUMIFS(D$2:D766,B$2:B766,B766,C$2:C766,"SALIDA")</f>
        <v>2608.3430000000008</v>
      </c>
    </row>
    <row r="767" spans="1:5" x14ac:dyDescent="0.3">
      <c r="A767" s="9">
        <f>'Volúmenes DIstribuidos '!B513</f>
        <v>44344</v>
      </c>
      <c r="B767" s="10" t="str">
        <f>IF(OR('Volúmenes DIstribuidos '!C515="Azúcar",'Volúmenes DIstribuidos '!C515="azúcar"),"Azúcar o dulce",IF('Volúmenes DIstribuidos '!C515="Aceite","Aceite o grasas",IF('Volúmenes DIstribuidos '!C515="Avena","Otros almidones",'Volúmenes DIstribuidos '!C515)))</f>
        <v>Otros almidones</v>
      </c>
      <c r="C767" s="10" t="s">
        <v>29</v>
      </c>
      <c r="D767" s="12">
        <f>'Volúmenes DIstribuidos '!D515</f>
        <v>23.141999999999999</v>
      </c>
      <c r="E767" s="12">
        <f>SUMIF('Parametros Inventario'!$A:$A,B767,'Parametros Inventario'!$B:$B)+SUMIFS(D$2:D767,B$2:B767,B767,C$2:C767,"ENTRADA")-SUMIFS(D$2:D767,B$2:B767,B767,C$2:C767,"SALIDA")</f>
        <v>3449.2600000000011</v>
      </c>
    </row>
    <row r="768" spans="1:5" x14ac:dyDescent="0.3">
      <c r="A768" s="9">
        <f>'Volúmenes DIstribuidos '!B513</f>
        <v>44344</v>
      </c>
      <c r="B768" s="10" t="str">
        <f>IF(OR('Volúmenes DIstribuidos '!C516="Azúcar",'Volúmenes DIstribuidos '!C516="azúcar"),"Azúcar o dulce",IF('Volúmenes DIstribuidos '!C516="Aceite","Aceite o grasas",IF('Volúmenes DIstribuidos '!C516="Avena","Otros almidones",'Volúmenes DIstribuidos '!C516)))</f>
        <v>Panadería</v>
      </c>
      <c r="C768" s="10" t="s">
        <v>29</v>
      </c>
      <c r="D768" s="12">
        <f>'Volúmenes DIstribuidos '!D516</f>
        <v>22.17</v>
      </c>
      <c r="E768" s="12">
        <f>SUMIF('Parametros Inventario'!$A:$A,B768,'Parametros Inventario'!$B:$B)+SUMIFS(D$2:D768,B$2:B768,B768,C$2:C768,"ENTRADA")-SUMIFS(D$2:D768,B$2:B768,B768,C$2:C768,"SALIDA")</f>
        <v>2586.1730000000007</v>
      </c>
    </row>
    <row r="769" spans="1:5" x14ac:dyDescent="0.3">
      <c r="A769" s="9">
        <f>'Volúmenes DIstribuidos '!B513</f>
        <v>44344</v>
      </c>
      <c r="B769" s="10" t="str">
        <f>IF(OR('Volúmenes DIstribuidos '!C517="Azúcar",'Volúmenes DIstribuidos '!C517="azúcar"),"Azúcar o dulce",IF('Volúmenes DIstribuidos '!C517="Aceite","Aceite o grasas",IF('Volúmenes DIstribuidos '!C517="Avena","Otros almidones",'Volúmenes DIstribuidos '!C517)))</f>
        <v>Aceite o grasas</v>
      </c>
      <c r="C769" s="10" t="s">
        <v>29</v>
      </c>
      <c r="D769" s="12">
        <f>'Volúmenes DIstribuidos '!D517</f>
        <v>27.23</v>
      </c>
      <c r="E769" s="12">
        <f>SUMIF('Parametros Inventario'!$A:$A,B769,'Parametros Inventario'!$B:$B)+SUMIFS(D$2:D769,B$2:B769,B769,C$2:C769,"ENTRADA")-SUMIFS(D$2:D769,B$2:B769,B769,C$2:C769,"SALIDA")</f>
        <v>3546.1260000000011</v>
      </c>
    </row>
    <row r="770" spans="1:5" x14ac:dyDescent="0.3">
      <c r="A770" s="9">
        <f>'Volúmenes DIstribuidos '!B513</f>
        <v>44344</v>
      </c>
      <c r="B770" s="10" t="str">
        <f>IF(OR('Volúmenes DIstribuidos '!C518="Azúcar",'Volúmenes DIstribuidos '!C518="azúcar"),"Azúcar o dulce",IF('Volúmenes DIstribuidos '!C518="Aceite","Aceite o grasas",IF('Volúmenes DIstribuidos '!C518="Avena","Otros almidones",'Volúmenes DIstribuidos '!C518)))</f>
        <v>Azúcar o dulce</v>
      </c>
      <c r="C770" s="10" t="s">
        <v>29</v>
      </c>
      <c r="D770" s="12">
        <f>'Volúmenes DIstribuidos '!D518</f>
        <v>11.51</v>
      </c>
      <c r="E770" s="12">
        <f>SUMIF('Parametros Inventario'!$A:$A,B770,'Parametros Inventario'!$B:$B)+SUMIFS(D$2:D770,B$2:B770,B770,C$2:C770,"ENTRADA")-SUMIFS(D$2:D770,B$2:B770,B770,C$2:C770,"SALIDA")</f>
        <v>4505.9069999999992</v>
      </c>
    </row>
    <row r="771" spans="1:5" x14ac:dyDescent="0.3">
      <c r="A771" s="9">
        <f>'Volúmenes DIstribuidos '!B519</f>
        <v>44348</v>
      </c>
      <c r="B771" s="10" t="str">
        <f>IF(OR('Volúmenes DIstribuidos '!C519="Azúcar",'Volúmenes DIstribuidos '!C519="azúcar"),"Azúcar o dulce",IF('Volúmenes DIstribuidos '!C519="Aceite","Aceite o grasas",IF('Volúmenes DIstribuidos '!C519="Avena","Otros almidones",'Volúmenes DIstribuidos '!C519)))</f>
        <v>Carnes rojas</v>
      </c>
      <c r="C771" s="10" t="s">
        <v>29</v>
      </c>
      <c r="D771" s="12">
        <f>'Volúmenes DIstribuidos '!D519</f>
        <v>23.768999999999998</v>
      </c>
      <c r="E771" s="12">
        <f>SUMIF('Parametros Inventario'!$A:$A,B771,'Parametros Inventario'!$B:$B)+SUMIFS(D$2:D771,B$2:B771,B771,C$2:C771,"ENTRADA")-SUMIFS(D$2:D771,B$2:B771,B771,C$2:C771,"SALIDA")</f>
        <v>4109.838999999999</v>
      </c>
    </row>
    <row r="772" spans="1:5" x14ac:dyDescent="0.3">
      <c r="A772" s="9">
        <f>'Volúmenes DIstribuidos '!B519</f>
        <v>44348</v>
      </c>
      <c r="B772" s="10" t="str">
        <f>IF(OR('Volúmenes DIstribuidos '!C520="Azúcar",'Volúmenes DIstribuidos '!C520="azúcar"),"Azúcar o dulce",IF('Volúmenes DIstribuidos '!C520="Aceite","Aceite o grasas",IF('Volúmenes DIstribuidos '!C520="Avena","Otros almidones",'Volúmenes DIstribuidos '!C520)))</f>
        <v>Menestras</v>
      </c>
      <c r="C772" s="10" t="s">
        <v>29</v>
      </c>
      <c r="D772" s="12">
        <f>'Volúmenes DIstribuidos '!D520</f>
        <v>14.52</v>
      </c>
      <c r="E772" s="12">
        <f>SUMIF('Parametros Inventario'!$A:$A,B772,'Parametros Inventario'!$B:$B)+SUMIFS(D$2:D772,B$2:B772,B772,C$2:C772,"ENTRADA")-SUMIFS(D$2:D772,B$2:B772,B772,C$2:C772,"SALIDA")</f>
        <v>3190.5999999999995</v>
      </c>
    </row>
    <row r="773" spans="1:5" x14ac:dyDescent="0.3">
      <c r="A773" s="9">
        <f>'Volúmenes DIstribuidos '!B519</f>
        <v>44348</v>
      </c>
      <c r="B773" s="10" t="str">
        <f>IF(OR('Volúmenes DIstribuidos '!C521="Azúcar",'Volúmenes DIstribuidos '!C521="azúcar"),"Azúcar o dulce",IF('Volúmenes DIstribuidos '!C521="Aceite","Aceite o grasas",IF('Volúmenes DIstribuidos '!C521="Avena","Otros almidones",'Volúmenes DIstribuidos '!C521)))</f>
        <v>Azúcar o dulce</v>
      </c>
      <c r="C773" s="10" t="s">
        <v>29</v>
      </c>
      <c r="D773" s="12">
        <f>'Volúmenes DIstribuidos '!D521</f>
        <v>58.24</v>
      </c>
      <c r="E773" s="12">
        <f>SUMIF('Parametros Inventario'!$A:$A,B773,'Parametros Inventario'!$B:$B)+SUMIFS(D$2:D773,B$2:B773,B773,C$2:C773,"ENTRADA")-SUMIFS(D$2:D773,B$2:B773,B773,C$2:C773,"SALIDA")</f>
        <v>4447.6669999999995</v>
      </c>
    </row>
    <row r="774" spans="1:5" x14ac:dyDescent="0.3">
      <c r="A774" s="9">
        <f>'Volúmenes DIstribuidos '!B519</f>
        <v>44348</v>
      </c>
      <c r="B774" s="10" t="str">
        <f>IF(OR('Volúmenes DIstribuidos '!C522="Azúcar",'Volúmenes DIstribuidos '!C522="azúcar"),"Azúcar o dulce",IF('Volúmenes DIstribuidos '!C522="Aceite","Aceite o grasas",IF('Volúmenes DIstribuidos '!C522="Avena","Otros almidones",'Volúmenes DIstribuidos '!C522)))</f>
        <v>Fideo</v>
      </c>
      <c r="C774" s="10" t="s">
        <v>29</v>
      </c>
      <c r="D774" s="12">
        <f>'Volúmenes DIstribuidos '!D522</f>
        <v>73.819000000000003</v>
      </c>
      <c r="E774" s="12">
        <f>SUMIF('Parametros Inventario'!$A:$A,B774,'Parametros Inventario'!$B:$B)+SUMIFS(D$2:D774,B$2:B774,B774,C$2:C774,"ENTRADA")-SUMIFS(D$2:D774,B$2:B774,B774,C$2:C774,"SALIDA")</f>
        <v>4045.7929999999997</v>
      </c>
    </row>
    <row r="775" spans="1:5" x14ac:dyDescent="0.3">
      <c r="A775" s="9">
        <f>'Volúmenes DIstribuidos '!B519</f>
        <v>44348</v>
      </c>
      <c r="B775" s="10" t="str">
        <f>IF(OR('Volúmenes DIstribuidos '!C523="Azúcar",'Volúmenes DIstribuidos '!C523="azúcar"),"Azúcar o dulce",IF('Volúmenes DIstribuidos '!C523="Aceite","Aceite o grasas",IF('Volúmenes DIstribuidos '!C523="Avena","Otros almidones",'Volúmenes DIstribuidos '!C523)))</f>
        <v>Panadería</v>
      </c>
      <c r="C775" s="10" t="s">
        <v>29</v>
      </c>
      <c r="D775" s="12">
        <f>'Volúmenes DIstribuidos '!D523</f>
        <v>53.22</v>
      </c>
      <c r="E775" s="12">
        <f>SUMIF('Parametros Inventario'!$A:$A,B775,'Parametros Inventario'!$B:$B)+SUMIFS(D$2:D775,B$2:B775,B775,C$2:C775,"ENTRADA")-SUMIFS(D$2:D775,B$2:B775,B775,C$2:C775,"SALIDA")</f>
        <v>2532.9530000000004</v>
      </c>
    </row>
    <row r="776" spans="1:5" x14ac:dyDescent="0.3">
      <c r="A776" s="9">
        <f>'Volúmenes DIstribuidos '!B519</f>
        <v>44348</v>
      </c>
      <c r="B776" s="10" t="str">
        <f>IF(OR('Volúmenes DIstribuidos '!C524="Azúcar",'Volúmenes DIstribuidos '!C524="azúcar"),"Azúcar o dulce",IF('Volúmenes DIstribuidos '!C524="Aceite","Aceite o grasas",IF('Volúmenes DIstribuidos '!C524="Avena","Otros almidones",'Volúmenes DIstribuidos '!C524)))</f>
        <v>Fideo</v>
      </c>
      <c r="C776" s="10" t="s">
        <v>29</v>
      </c>
      <c r="D776" s="12">
        <f>'Volúmenes DIstribuidos '!D524</f>
        <v>61.66</v>
      </c>
      <c r="E776" s="12">
        <f>SUMIF('Parametros Inventario'!$A:$A,B776,'Parametros Inventario'!$B:$B)+SUMIFS(D$2:D776,B$2:B776,B776,C$2:C776,"ENTRADA")-SUMIFS(D$2:D776,B$2:B776,B776,C$2:C776,"SALIDA")</f>
        <v>3984.1329999999998</v>
      </c>
    </row>
    <row r="777" spans="1:5" x14ac:dyDescent="0.3">
      <c r="A777" s="9">
        <f>'Volúmenes DIstribuidos '!B525</f>
        <v>44351</v>
      </c>
      <c r="B777" s="10" t="str">
        <f>IF(OR('Volúmenes DIstribuidos '!C525="Azúcar",'Volúmenes DIstribuidos '!C525="azúcar"),"Azúcar o dulce",IF('Volúmenes DIstribuidos '!C525="Aceite","Aceite o grasas",IF('Volúmenes DIstribuidos '!C525="Avena","Otros almidones",'Volúmenes DIstribuidos '!C525)))</f>
        <v>Carnes rojas</v>
      </c>
      <c r="C777" s="10" t="s">
        <v>29</v>
      </c>
      <c r="D777" s="12">
        <f>'Volúmenes DIstribuidos '!D525</f>
        <v>19.443999999999999</v>
      </c>
      <c r="E777" s="12">
        <f>SUMIF('Parametros Inventario'!$A:$A,B777,'Parametros Inventario'!$B:$B)+SUMIFS(D$2:D777,B$2:B777,B777,C$2:C777,"ENTRADA")-SUMIFS(D$2:D777,B$2:B777,B777,C$2:C777,"SALIDA")</f>
        <v>4090.3949999999991</v>
      </c>
    </row>
    <row r="778" spans="1:5" x14ac:dyDescent="0.3">
      <c r="A778" s="9">
        <f>'Volúmenes DIstribuidos '!B525</f>
        <v>44351</v>
      </c>
      <c r="B778" s="10" t="str">
        <f>IF(OR('Volúmenes DIstribuidos '!C526="Azúcar",'Volúmenes DIstribuidos '!C526="azúcar"),"Azúcar o dulce",IF('Volúmenes DIstribuidos '!C526="Aceite","Aceite o grasas",IF('Volúmenes DIstribuidos '!C526="Avena","Otros almidones",'Volúmenes DIstribuidos '!C526)))</f>
        <v>Salsas</v>
      </c>
      <c r="C778" s="10" t="s">
        <v>29</v>
      </c>
      <c r="D778" s="12">
        <f>'Volúmenes DIstribuidos '!D526</f>
        <v>60</v>
      </c>
      <c r="E778" s="12">
        <f>SUMIF('Parametros Inventario'!$A:$A,B778,'Parametros Inventario'!$B:$B)+SUMIFS(D$2:D778,B$2:B778,B778,C$2:C778,"ENTRADA")-SUMIFS(D$2:D778,B$2:B778,B778,C$2:C778,"SALIDA")</f>
        <v>3954.4459999999995</v>
      </c>
    </row>
    <row r="779" spans="1:5" x14ac:dyDescent="0.3">
      <c r="A779" s="9">
        <f>'Volúmenes DIstribuidos '!B525</f>
        <v>44351</v>
      </c>
      <c r="B779" s="10" t="str">
        <f>IF(OR('Volúmenes DIstribuidos '!C527="Azúcar",'Volúmenes DIstribuidos '!C527="azúcar"),"Azúcar o dulce",IF('Volúmenes DIstribuidos '!C527="Aceite","Aceite o grasas",IF('Volúmenes DIstribuidos '!C527="Avena","Otros almidones",'Volúmenes DIstribuidos '!C527)))</f>
        <v>Lácteos</v>
      </c>
      <c r="C779" s="10" t="s">
        <v>29</v>
      </c>
      <c r="D779" s="12">
        <f>'Volúmenes DIstribuidos '!D527</f>
        <v>44.27</v>
      </c>
      <c r="E779" s="12">
        <f>SUMIF('Parametros Inventario'!$A:$A,B779,'Parametros Inventario'!$B:$B)+SUMIFS(D$2:D779,B$2:B779,B779,C$2:C779,"ENTRADA")-SUMIFS(D$2:D779,B$2:B779,B779,C$2:C779,"SALIDA")</f>
        <v>3255.6030000000001</v>
      </c>
    </row>
    <row r="780" spans="1:5" x14ac:dyDescent="0.3">
      <c r="A780" s="9">
        <f>'Volúmenes DIstribuidos '!B525</f>
        <v>44351</v>
      </c>
      <c r="B780" s="10" t="str">
        <f>IF(OR('Volúmenes DIstribuidos '!C528="Azúcar",'Volúmenes DIstribuidos '!C528="azúcar"),"Azúcar o dulce",IF('Volúmenes DIstribuidos '!C528="Aceite","Aceite o grasas",IF('Volúmenes DIstribuidos '!C528="Avena","Otros almidones",'Volúmenes DIstribuidos '!C528)))</f>
        <v>Aceite o grasas</v>
      </c>
      <c r="C780" s="10" t="s">
        <v>29</v>
      </c>
      <c r="D780" s="12">
        <f>'Volúmenes DIstribuidos '!D528</f>
        <v>52.927999999999997</v>
      </c>
      <c r="E780" s="12">
        <f>SUMIF('Parametros Inventario'!$A:$A,B780,'Parametros Inventario'!$B:$B)+SUMIFS(D$2:D780,B$2:B780,B780,C$2:C780,"ENTRADA")-SUMIFS(D$2:D780,B$2:B780,B780,C$2:C780,"SALIDA")</f>
        <v>3493.1980000000008</v>
      </c>
    </row>
    <row r="781" spans="1:5" x14ac:dyDescent="0.3">
      <c r="A781" s="9">
        <f>'Volúmenes DIstribuidos '!B525</f>
        <v>44351</v>
      </c>
      <c r="B781" s="10" t="str">
        <f>IF(OR('Volúmenes DIstribuidos '!C529="Azúcar",'Volúmenes DIstribuidos '!C529="azúcar"),"Azúcar o dulce",IF('Volúmenes DIstribuidos '!C529="Aceite","Aceite o grasas",IF('Volúmenes DIstribuidos '!C529="Avena","Otros almidones",'Volúmenes DIstribuidos '!C529)))</f>
        <v>Otros almidones</v>
      </c>
      <c r="C781" s="10" t="s">
        <v>29</v>
      </c>
      <c r="D781" s="12">
        <f>'Volúmenes DIstribuidos '!D529</f>
        <v>22.66</v>
      </c>
      <c r="E781" s="12">
        <f>SUMIF('Parametros Inventario'!$A:$A,B781,'Parametros Inventario'!$B:$B)+SUMIFS(D$2:D781,B$2:B781,B781,C$2:C781,"ENTRADA")-SUMIFS(D$2:D781,B$2:B781,B781,C$2:C781,"SALIDA")</f>
        <v>3426.6000000000013</v>
      </c>
    </row>
    <row r="782" spans="1:5" x14ac:dyDescent="0.3">
      <c r="A782" s="9">
        <f>'Volúmenes DIstribuidos '!B525</f>
        <v>44351</v>
      </c>
      <c r="B782" s="10" t="str">
        <f>IF(OR('Volúmenes DIstribuidos '!C530="Azúcar",'Volúmenes DIstribuidos '!C530="azúcar"),"Azúcar o dulce",IF('Volúmenes DIstribuidos '!C530="Aceite","Aceite o grasas",IF('Volúmenes DIstribuidos '!C530="Avena","Otros almidones",'Volúmenes DIstribuidos '!C530)))</f>
        <v>Aceite o grasas</v>
      </c>
      <c r="C782" s="10" t="s">
        <v>29</v>
      </c>
      <c r="D782" s="12">
        <f>'Volúmenes DIstribuidos '!D530</f>
        <v>109.12</v>
      </c>
      <c r="E782" s="12">
        <f>SUMIF('Parametros Inventario'!$A:$A,B782,'Parametros Inventario'!$B:$B)+SUMIFS(D$2:D782,B$2:B782,B782,C$2:C782,"ENTRADA")-SUMIFS(D$2:D782,B$2:B782,B782,C$2:C782,"SALIDA")</f>
        <v>3384.0780000000009</v>
      </c>
    </row>
    <row r="783" spans="1:5" x14ac:dyDescent="0.3">
      <c r="A783" s="9">
        <f>'Volúmenes DIstribuidos '!B531</f>
        <v>44355</v>
      </c>
      <c r="B783" s="10" t="str">
        <f>IF(OR('Volúmenes DIstribuidos '!C531="Azúcar",'Volúmenes DIstribuidos '!C531="azúcar"),"Azúcar o dulce",IF('Volúmenes DIstribuidos '!C531="Aceite","Aceite o grasas",IF('Volúmenes DIstribuidos '!C531="Avena","Otros almidones",'Volúmenes DIstribuidos '!C531)))</f>
        <v>Azúcar o dulce</v>
      </c>
      <c r="C783" s="10" t="s">
        <v>29</v>
      </c>
      <c r="D783" s="12">
        <f>'Volúmenes DIstribuidos '!D531</f>
        <v>15.43</v>
      </c>
      <c r="E783" s="12">
        <f>SUMIF('Parametros Inventario'!$A:$A,B783,'Parametros Inventario'!$B:$B)+SUMIFS(D$2:D783,B$2:B783,B783,C$2:C783,"ENTRADA")-SUMIFS(D$2:D783,B$2:B783,B783,C$2:C783,"SALIDA")</f>
        <v>4432.2369999999992</v>
      </c>
    </row>
    <row r="784" spans="1:5" x14ac:dyDescent="0.3">
      <c r="A784" s="9">
        <f>'Volúmenes DIstribuidos '!B531</f>
        <v>44355</v>
      </c>
      <c r="B784" s="10" t="str">
        <f>IF(OR('Volúmenes DIstribuidos '!C532="Azúcar",'Volúmenes DIstribuidos '!C532="azúcar"),"Azúcar o dulce",IF('Volúmenes DIstribuidos '!C532="Aceite","Aceite o grasas",IF('Volúmenes DIstribuidos '!C532="Avena","Otros almidones",'Volúmenes DIstribuidos '!C532)))</f>
        <v>Carnes rojas</v>
      </c>
      <c r="C784" s="10" t="s">
        <v>29</v>
      </c>
      <c r="D784" s="12">
        <f>'Volúmenes DIstribuidos '!D532</f>
        <v>13.32</v>
      </c>
      <c r="E784" s="12">
        <f>SUMIF('Parametros Inventario'!$A:$A,B784,'Parametros Inventario'!$B:$B)+SUMIFS(D$2:D784,B$2:B784,B784,C$2:C784,"ENTRADA")-SUMIFS(D$2:D784,B$2:B784,B784,C$2:C784,"SALIDA")</f>
        <v>4077.0749999999989</v>
      </c>
    </row>
    <row r="785" spans="1:5" x14ac:dyDescent="0.3">
      <c r="A785" s="9">
        <f>'Volúmenes DIstribuidos '!B531</f>
        <v>44355</v>
      </c>
      <c r="B785" s="10" t="str">
        <f>IF(OR('Volúmenes DIstribuidos '!C533="Azúcar",'Volúmenes DIstribuidos '!C533="azúcar"),"Azúcar o dulce",IF('Volúmenes DIstribuidos '!C533="Aceite","Aceite o grasas",IF('Volúmenes DIstribuidos '!C533="Avena","Otros almidones",'Volúmenes DIstribuidos '!C533)))</f>
        <v>Lácteos</v>
      </c>
      <c r="C785" s="10" t="s">
        <v>29</v>
      </c>
      <c r="D785" s="12">
        <f>'Volúmenes DIstribuidos '!D533</f>
        <v>13.94</v>
      </c>
      <c r="E785" s="12">
        <f>SUMIF('Parametros Inventario'!$A:$A,B785,'Parametros Inventario'!$B:$B)+SUMIFS(D$2:D785,B$2:B785,B785,C$2:C785,"ENTRADA")-SUMIFS(D$2:D785,B$2:B785,B785,C$2:C785,"SALIDA")</f>
        <v>3241.6629999999996</v>
      </c>
    </row>
    <row r="786" spans="1:5" x14ac:dyDescent="0.3">
      <c r="A786" s="9">
        <f>'Volúmenes DIstribuidos '!B531</f>
        <v>44355</v>
      </c>
      <c r="B786" s="10" t="str">
        <f>IF(OR('Volúmenes DIstribuidos '!C534="Azúcar",'Volúmenes DIstribuidos '!C534="azúcar"),"Azúcar o dulce",IF('Volúmenes DIstribuidos '!C534="Aceite","Aceite o grasas",IF('Volúmenes DIstribuidos '!C534="Avena","Otros almidones",'Volúmenes DIstribuidos '!C534)))</f>
        <v>Otros almidones</v>
      </c>
      <c r="C786" s="10" t="s">
        <v>29</v>
      </c>
      <c r="D786" s="12">
        <f>'Volúmenes DIstribuidos '!D534</f>
        <v>3.61</v>
      </c>
      <c r="E786" s="12">
        <f>SUMIF('Parametros Inventario'!$A:$A,B786,'Parametros Inventario'!$B:$B)+SUMIFS(D$2:D786,B$2:B786,B786,C$2:C786,"ENTRADA")-SUMIFS(D$2:D786,B$2:B786,B786,C$2:C786,"SALIDA")</f>
        <v>3422.9900000000011</v>
      </c>
    </row>
    <row r="787" spans="1:5" x14ac:dyDescent="0.3">
      <c r="A787" s="9">
        <f>'Volúmenes DIstribuidos '!B531</f>
        <v>44355</v>
      </c>
      <c r="B787" s="10" t="str">
        <f>IF(OR('Volúmenes DIstribuidos '!C535="Azúcar",'Volúmenes DIstribuidos '!C535="azúcar"),"Azúcar o dulce",IF('Volúmenes DIstribuidos '!C535="Aceite","Aceite o grasas",IF('Volúmenes DIstribuidos '!C535="Avena","Otros almidones",'Volúmenes DIstribuidos '!C535)))</f>
        <v>Salsas</v>
      </c>
      <c r="C787" s="10" t="s">
        <v>29</v>
      </c>
      <c r="D787" s="12">
        <f>'Volúmenes DIstribuidos '!D535</f>
        <v>3.76</v>
      </c>
      <c r="E787" s="12">
        <f>SUMIF('Parametros Inventario'!$A:$A,B787,'Parametros Inventario'!$B:$B)+SUMIFS(D$2:D787,B$2:B787,B787,C$2:C787,"ENTRADA")-SUMIFS(D$2:D787,B$2:B787,B787,C$2:C787,"SALIDA")</f>
        <v>3950.6859999999992</v>
      </c>
    </row>
    <row r="788" spans="1:5" x14ac:dyDescent="0.3">
      <c r="A788" s="9">
        <f>'Volúmenes DIstribuidos '!B531</f>
        <v>44355</v>
      </c>
      <c r="B788" s="10" t="str">
        <f>IF(OR('Volúmenes DIstribuidos '!C536="Azúcar",'Volúmenes DIstribuidos '!C536="azúcar"),"Azúcar o dulce",IF('Volúmenes DIstribuidos '!C536="Aceite","Aceite o grasas",IF('Volúmenes DIstribuidos '!C536="Avena","Otros almidones",'Volúmenes DIstribuidos '!C536)))</f>
        <v>Vegetales y hojas</v>
      </c>
      <c r="C788" s="10" t="s">
        <v>29</v>
      </c>
      <c r="D788" s="12">
        <f>'Volúmenes DIstribuidos '!D536</f>
        <v>25.61</v>
      </c>
      <c r="E788" s="12">
        <f>SUMIF('Parametros Inventario'!$A:$A,B788,'Parametros Inventario'!$B:$B)+SUMIFS(D$2:D788,B$2:B788,B788,C$2:C788,"ENTRADA")-SUMIFS(D$2:D788,B$2:B788,B788,C$2:C788,"SALIDA")</f>
        <v>4119.4799999999996</v>
      </c>
    </row>
    <row r="789" spans="1:5" x14ac:dyDescent="0.3">
      <c r="A789" s="9">
        <v>44358</v>
      </c>
      <c r="B789" s="10" t="s">
        <v>13</v>
      </c>
      <c r="C789" s="10" t="s">
        <v>28</v>
      </c>
      <c r="D789" s="12">
        <v>98.44</v>
      </c>
      <c r="E789" s="12">
        <f>SUMIF('Parametros Inventario'!$A:$A,B789,'Parametros Inventario'!$B:$B)+SUMIFS(D$2:D789,B$2:B789,B789,C$2:C789,"ENTRADA")-SUMIFS(D$2:D789,B$2:B789,B789,C$2:C789,"SALIDA")</f>
        <v>4530.6769999999988</v>
      </c>
    </row>
    <row r="790" spans="1:5" x14ac:dyDescent="0.3">
      <c r="A790" s="9">
        <v>44358</v>
      </c>
      <c r="B790" s="10" t="s">
        <v>15</v>
      </c>
      <c r="C790" s="10" t="s">
        <v>28</v>
      </c>
      <c r="D790" s="12">
        <v>234.7</v>
      </c>
      <c r="E790" s="12">
        <f>SUMIF('Parametros Inventario'!$A:$A,B790,'Parametros Inventario'!$B:$B)+SUMIFS(D$2:D790,B$2:B790,B790,C$2:C790,"ENTRADA")-SUMIFS(D$2:D790,B$2:B790,B790,C$2:C790,"SALIDA")</f>
        <v>3657.69</v>
      </c>
    </row>
    <row r="791" spans="1:5" x14ac:dyDescent="0.3">
      <c r="A791" s="9">
        <v>44358</v>
      </c>
      <c r="B791" s="10" t="s">
        <v>11</v>
      </c>
      <c r="C791" s="10" t="s">
        <v>28</v>
      </c>
      <c r="D791" s="12">
        <v>218.04</v>
      </c>
      <c r="E791" s="12">
        <f>SUMIF('Parametros Inventario'!$A:$A,B791,'Parametros Inventario'!$B:$B)+SUMIFS(D$2:D791,B$2:B791,B791,C$2:C791,"ENTRADA")-SUMIFS(D$2:D791,B$2:B791,B791,C$2:C791,"SALIDA")</f>
        <v>4202.1729999999998</v>
      </c>
    </row>
    <row r="792" spans="1:5" x14ac:dyDescent="0.3">
      <c r="A792" s="9">
        <v>44358</v>
      </c>
      <c r="B792" s="10" t="s">
        <v>9</v>
      </c>
      <c r="C792" s="10" t="s">
        <v>28</v>
      </c>
      <c r="D792" s="12">
        <v>200.74</v>
      </c>
      <c r="E792" s="12">
        <f>SUMIF('Parametros Inventario'!$A:$A,B792,'Parametros Inventario'!$B:$B)+SUMIFS(D$2:D792,B$2:B792,B792,C$2:C792,"ENTRADA")-SUMIFS(D$2:D792,B$2:B792,B792,C$2:C792,"SALIDA")</f>
        <v>2733.6930000000002</v>
      </c>
    </row>
    <row r="793" spans="1:5" x14ac:dyDescent="0.3">
      <c r="A793" s="9">
        <v>44358</v>
      </c>
      <c r="B793" s="10" t="s">
        <v>14</v>
      </c>
      <c r="C793" s="10" t="s">
        <v>28</v>
      </c>
      <c r="D793" s="12">
        <v>93.88</v>
      </c>
      <c r="E793" s="12">
        <f>SUMIF('Parametros Inventario'!$A:$A,B793,'Parametros Inventario'!$B:$B)+SUMIFS(D$2:D793,B$2:B793,B793,C$2:C793,"ENTRADA")-SUMIFS(D$2:D793,B$2:B793,B793,C$2:C793,"SALIDA")</f>
        <v>3284.4799999999996</v>
      </c>
    </row>
    <row r="794" spans="1:5" x14ac:dyDescent="0.3">
      <c r="A794" s="9">
        <v>44358</v>
      </c>
      <c r="B794" s="10" t="s">
        <v>12</v>
      </c>
      <c r="C794" s="10" t="s">
        <v>28</v>
      </c>
      <c r="D794" s="12">
        <v>197.04</v>
      </c>
      <c r="E794" s="12">
        <f>SUMIF('Parametros Inventario'!$A:$A,B794,'Parametros Inventario'!$B:$B)+SUMIFS(D$2:D794,B$2:B794,B794,C$2:C794,"ENTRADA")-SUMIFS(D$2:D794,B$2:B794,B794,C$2:C794,"SALIDA")</f>
        <v>4274.1149999999989</v>
      </c>
    </row>
    <row r="795" spans="1:5" x14ac:dyDescent="0.3">
      <c r="A795" s="9">
        <v>44358</v>
      </c>
      <c r="B795" s="10" t="s">
        <v>16</v>
      </c>
      <c r="C795" s="10" t="s">
        <v>28</v>
      </c>
      <c r="D795" s="12">
        <v>236.49</v>
      </c>
      <c r="E795" s="12">
        <f>SUMIF('Parametros Inventario'!$A:$A,B795,'Parametros Inventario'!$B:$B)+SUMIFS(D$2:D795,B$2:B795,B795,C$2:C795,"ENTRADA")-SUMIFS(D$2:D795,B$2:B795,B795,C$2:C795,"SALIDA")</f>
        <v>4211.1889999999985</v>
      </c>
    </row>
    <row r="796" spans="1:5" x14ac:dyDescent="0.3">
      <c r="A796" s="9">
        <v>44358</v>
      </c>
      <c r="B796" s="10" t="s">
        <v>17</v>
      </c>
      <c r="C796" s="10" t="s">
        <v>28</v>
      </c>
      <c r="D796" s="12">
        <v>81.86</v>
      </c>
      <c r="E796" s="12">
        <f>SUMIF('Parametros Inventario'!$A:$A,B796,'Parametros Inventario'!$B:$B)+SUMIFS(D$2:D796,B$2:B796,B796,C$2:C796,"ENTRADA")-SUMIFS(D$2:D796,B$2:B796,B796,C$2:C796,"SALIDA")</f>
        <v>3323.5229999999992</v>
      </c>
    </row>
    <row r="797" spans="1:5" x14ac:dyDescent="0.3">
      <c r="A797" s="9">
        <v>44358</v>
      </c>
      <c r="B797" s="10" t="s">
        <v>18</v>
      </c>
      <c r="C797" s="10" t="s">
        <v>28</v>
      </c>
      <c r="D797" s="12">
        <v>283.39</v>
      </c>
      <c r="E797" s="12">
        <f>SUMIF('Parametros Inventario'!$A:$A,B797,'Parametros Inventario'!$B:$B)+SUMIFS(D$2:D797,B$2:B797,B797,C$2:C797,"ENTRADA")-SUMIFS(D$2:D797,B$2:B797,B797,C$2:C797,"SALIDA")</f>
        <v>4234.076</v>
      </c>
    </row>
    <row r="798" spans="1:5" x14ac:dyDescent="0.3">
      <c r="A798" s="9">
        <v>44358</v>
      </c>
      <c r="B798" s="10" t="s">
        <v>10</v>
      </c>
      <c r="C798" s="10" t="s">
        <v>28</v>
      </c>
      <c r="D798" s="12">
        <v>263.87</v>
      </c>
      <c r="E798" s="12">
        <f>SUMIF('Parametros Inventario'!$A:$A,B798,'Parametros Inventario'!$B:$B)+SUMIFS(D$2:D798,B$2:B798,B798,C$2:C798,"ENTRADA")-SUMIFS(D$2:D798,B$2:B798,B798,C$2:C798,"SALIDA")</f>
        <v>4383.3499999999995</v>
      </c>
    </row>
    <row r="799" spans="1:5" x14ac:dyDescent="0.3">
      <c r="A799" s="9">
        <v>44358</v>
      </c>
      <c r="B799" s="10" t="s">
        <v>8</v>
      </c>
      <c r="C799" s="10" t="s">
        <v>28</v>
      </c>
      <c r="D799" s="12">
        <v>270.25</v>
      </c>
      <c r="E799" s="12">
        <f>SUMIF('Parametros Inventario'!$A:$A,B799,'Parametros Inventario'!$B:$B)+SUMIFS(D$2:D799,B$2:B799,B799,C$2:C799,"ENTRADA")-SUMIFS(D$2:D799,B$2:B799,B799,C$2:C799,"SALIDA")</f>
        <v>3654.3280000000009</v>
      </c>
    </row>
    <row r="800" spans="1:5" x14ac:dyDescent="0.3">
      <c r="A800" s="9">
        <f>'Volúmenes DIstribuidos '!B537</f>
        <v>44358</v>
      </c>
      <c r="B800" s="10" t="str">
        <f>IF(OR('Volúmenes DIstribuidos '!C537="Azúcar",'Volúmenes DIstribuidos '!C537="azúcar"),"Azúcar o dulce",IF('Volúmenes DIstribuidos '!C537="Aceite","Aceite o grasas",IF('Volúmenes DIstribuidos '!C537="Avena","Otros almidones",'Volúmenes DIstribuidos '!C537)))</f>
        <v>Azúcar o dulce</v>
      </c>
      <c r="C800" s="10" t="s">
        <v>29</v>
      </c>
      <c r="D800" s="12">
        <f>'Volúmenes DIstribuidos '!D537</f>
        <v>11.9</v>
      </c>
      <c r="E800" s="12">
        <f>SUMIF('Parametros Inventario'!$A:$A,B800,'Parametros Inventario'!$B:$B)+SUMIFS(D$2:D800,B$2:B800,B800,C$2:C800,"ENTRADA")-SUMIFS(D$2:D800,B$2:B800,B800,C$2:C800,"SALIDA")</f>
        <v>4518.7769999999991</v>
      </c>
    </row>
    <row r="801" spans="1:5" x14ac:dyDescent="0.3">
      <c r="A801" s="9">
        <f>'Volúmenes DIstribuidos '!B537</f>
        <v>44358</v>
      </c>
      <c r="B801" s="10" t="str">
        <f>IF(OR('Volúmenes DIstribuidos '!C538="Azúcar",'Volúmenes DIstribuidos '!C538="azúcar"),"Azúcar o dulce",IF('Volúmenes DIstribuidos '!C538="Aceite","Aceite o grasas",IF('Volúmenes DIstribuidos '!C538="Avena","Otros almidones",'Volúmenes DIstribuidos '!C538)))</f>
        <v>Carnes blancas</v>
      </c>
      <c r="C801" s="10" t="s">
        <v>29</v>
      </c>
      <c r="D801" s="12">
        <f>'Volúmenes DIstribuidos '!D538</f>
        <v>10.971</v>
      </c>
      <c r="E801" s="12">
        <f>SUMIF('Parametros Inventario'!$A:$A,B801,'Parametros Inventario'!$B:$B)+SUMIFS(D$2:D801,B$2:B801,B801,C$2:C801,"ENTRADA")-SUMIFS(D$2:D801,B$2:B801,B801,C$2:C801,"SALIDA")</f>
        <v>4200.2179999999989</v>
      </c>
    </row>
    <row r="802" spans="1:5" x14ac:dyDescent="0.3">
      <c r="A802" s="9">
        <f>'Volúmenes DIstribuidos '!B537</f>
        <v>44358</v>
      </c>
      <c r="B802" s="10" t="str">
        <f>IF(OR('Volúmenes DIstribuidos '!C539="Azúcar",'Volúmenes DIstribuidos '!C539="azúcar"),"Azúcar o dulce",IF('Volúmenes DIstribuidos '!C539="Aceite","Aceite o grasas",IF('Volúmenes DIstribuidos '!C539="Avena","Otros almidones",'Volúmenes DIstribuidos '!C539)))</f>
        <v>Carnes rojas</v>
      </c>
      <c r="C802" s="10" t="s">
        <v>29</v>
      </c>
      <c r="D802" s="12">
        <f>'Volúmenes DIstribuidos '!D539</f>
        <v>10.14</v>
      </c>
      <c r="E802" s="12">
        <f>SUMIF('Parametros Inventario'!$A:$A,B802,'Parametros Inventario'!$B:$B)+SUMIFS(D$2:D802,B$2:B802,B802,C$2:C802,"ENTRADA")-SUMIFS(D$2:D802,B$2:B802,B802,C$2:C802,"SALIDA")</f>
        <v>4263.9749999999985</v>
      </c>
    </row>
    <row r="803" spans="1:5" x14ac:dyDescent="0.3">
      <c r="A803" s="9">
        <f>'Volúmenes DIstribuidos '!B537</f>
        <v>44358</v>
      </c>
      <c r="B803" s="10" t="str">
        <f>IF(OR('Volúmenes DIstribuidos '!C540="Azúcar",'Volúmenes DIstribuidos '!C540="azúcar"),"Azúcar o dulce",IF('Volúmenes DIstribuidos '!C540="Aceite","Aceite o grasas",IF('Volúmenes DIstribuidos '!C540="Avena","Otros almidones",'Volúmenes DIstribuidos '!C540)))</f>
        <v>Salsas</v>
      </c>
      <c r="C803" s="10" t="s">
        <v>29</v>
      </c>
      <c r="D803" s="12">
        <f>'Volúmenes DIstribuidos '!D540</f>
        <v>4.37</v>
      </c>
      <c r="E803" s="12">
        <f>SUMIF('Parametros Inventario'!$A:$A,B803,'Parametros Inventario'!$B:$B)+SUMIFS(D$2:D803,B$2:B803,B803,C$2:C803,"ENTRADA")-SUMIFS(D$2:D803,B$2:B803,B803,C$2:C803,"SALIDA")</f>
        <v>4229.7060000000001</v>
      </c>
    </row>
    <row r="804" spans="1:5" x14ac:dyDescent="0.3">
      <c r="A804" s="9">
        <f>'Volúmenes DIstribuidos '!B537</f>
        <v>44358</v>
      </c>
      <c r="B804" s="10" t="str">
        <f>IF(OR('Volúmenes DIstribuidos '!C541="Azúcar",'Volúmenes DIstribuidos '!C541="azúcar"),"Azúcar o dulce",IF('Volúmenes DIstribuidos '!C541="Aceite","Aceite o grasas",IF('Volúmenes DIstribuidos '!C541="Avena","Otros almidones",'Volúmenes DIstribuidos '!C541)))</f>
        <v>Vegetales y hojas</v>
      </c>
      <c r="C804" s="10" t="s">
        <v>29</v>
      </c>
      <c r="D804" s="12">
        <f>'Volúmenes DIstribuidos '!D541</f>
        <v>13.44</v>
      </c>
      <c r="E804" s="12">
        <f>SUMIF('Parametros Inventario'!$A:$A,B804,'Parametros Inventario'!$B:$B)+SUMIFS(D$2:D804,B$2:B804,B804,C$2:C804,"ENTRADA")-SUMIFS(D$2:D804,B$2:B804,B804,C$2:C804,"SALIDA")</f>
        <v>4369.91</v>
      </c>
    </row>
    <row r="805" spans="1:5" x14ac:dyDescent="0.3">
      <c r="A805" s="9">
        <f>'Volúmenes DIstribuidos '!B537</f>
        <v>44358</v>
      </c>
      <c r="B805" s="10" t="str">
        <f>IF(OR('Volúmenes DIstribuidos '!C542="Azúcar",'Volúmenes DIstribuidos '!C542="azúcar"),"Azúcar o dulce",IF('Volúmenes DIstribuidos '!C542="Aceite","Aceite o grasas",IF('Volúmenes DIstribuidos '!C542="Avena","Otros almidones",'Volúmenes DIstribuidos '!C542)))</f>
        <v>Lácteos</v>
      </c>
      <c r="C805" s="10" t="s">
        <v>29</v>
      </c>
      <c r="D805" s="12">
        <f>'Volúmenes DIstribuidos '!D542</f>
        <v>38.33</v>
      </c>
      <c r="E805" s="12">
        <f>SUMIF('Parametros Inventario'!$A:$A,B805,'Parametros Inventario'!$B:$B)+SUMIFS(D$2:D805,B$2:B805,B805,C$2:C805,"ENTRADA")-SUMIFS(D$2:D805,B$2:B805,B805,C$2:C805,"SALIDA")</f>
        <v>3285.1929999999993</v>
      </c>
    </row>
    <row r="806" spans="1:5" x14ac:dyDescent="0.3">
      <c r="A806" s="9">
        <f>'Volúmenes DIstribuidos '!B543</f>
        <v>44362</v>
      </c>
      <c r="B806" s="10" t="str">
        <f>IF(OR('Volúmenes DIstribuidos '!C543="Azúcar",'Volúmenes DIstribuidos '!C543="azúcar"),"Azúcar o dulce",IF('Volúmenes DIstribuidos '!C543="Aceite","Aceite o grasas",IF('Volúmenes DIstribuidos '!C543="Avena","Otros almidones",'Volúmenes DIstribuidos '!C543)))</f>
        <v>Azúcar o dulce</v>
      </c>
      <c r="C806" s="10" t="s">
        <v>29</v>
      </c>
      <c r="D806" s="12">
        <f>'Volúmenes DIstribuidos '!D543</f>
        <v>7.9059999999999997</v>
      </c>
      <c r="E806" s="12">
        <f>SUMIF('Parametros Inventario'!$A:$A,B806,'Parametros Inventario'!$B:$B)+SUMIFS(D$2:D806,B$2:B806,B806,C$2:C806,"ENTRADA")-SUMIFS(D$2:D806,B$2:B806,B806,C$2:C806,"SALIDA")</f>
        <v>4510.8709999999992</v>
      </c>
    </row>
    <row r="807" spans="1:5" x14ac:dyDescent="0.3">
      <c r="A807" s="9">
        <f>'Volúmenes DIstribuidos '!B543</f>
        <v>44362</v>
      </c>
      <c r="B807" s="10" t="str">
        <f>IF(OR('Volúmenes DIstribuidos '!C544="Azúcar",'Volúmenes DIstribuidos '!C544="azúcar"),"Azúcar o dulce",IF('Volúmenes DIstribuidos '!C544="Aceite","Aceite o grasas",IF('Volúmenes DIstribuidos '!C544="Avena","Otros almidones",'Volúmenes DIstribuidos '!C544)))</f>
        <v>Salsas</v>
      </c>
      <c r="C807" s="10" t="s">
        <v>29</v>
      </c>
      <c r="D807" s="12">
        <f>'Volúmenes DIstribuidos '!D544</f>
        <v>9.59</v>
      </c>
      <c r="E807" s="12">
        <f>SUMIF('Parametros Inventario'!$A:$A,B807,'Parametros Inventario'!$B:$B)+SUMIFS(D$2:D807,B$2:B807,B807,C$2:C807,"ENTRADA")-SUMIFS(D$2:D807,B$2:B807,B807,C$2:C807,"SALIDA")</f>
        <v>4220.116</v>
      </c>
    </row>
    <row r="808" spans="1:5" x14ac:dyDescent="0.3">
      <c r="A808" s="9">
        <f>'Volúmenes DIstribuidos '!B543</f>
        <v>44362</v>
      </c>
      <c r="B808" s="10" t="str">
        <f>IF(OR('Volúmenes DIstribuidos '!C545="Azúcar",'Volúmenes DIstribuidos '!C545="azúcar"),"Azúcar o dulce",IF('Volúmenes DIstribuidos '!C545="Aceite","Aceite o grasas",IF('Volúmenes DIstribuidos '!C545="Avena","Otros almidones",'Volúmenes DIstribuidos '!C545)))</f>
        <v>Carnes blancas</v>
      </c>
      <c r="C808" s="10" t="s">
        <v>29</v>
      </c>
      <c r="D808" s="12">
        <f>'Volúmenes DIstribuidos '!D545</f>
        <v>13.1</v>
      </c>
      <c r="E808" s="12">
        <f>SUMIF('Parametros Inventario'!$A:$A,B808,'Parametros Inventario'!$B:$B)+SUMIFS(D$2:D808,B$2:B808,B808,C$2:C808,"ENTRADA")-SUMIFS(D$2:D808,B$2:B808,B808,C$2:C808,"SALIDA")</f>
        <v>4187.1179999999986</v>
      </c>
    </row>
    <row r="809" spans="1:5" x14ac:dyDescent="0.3">
      <c r="A809" s="9">
        <f>'Volúmenes DIstribuidos '!B543</f>
        <v>44362</v>
      </c>
      <c r="B809" s="10" t="str">
        <f>IF(OR('Volúmenes DIstribuidos '!C546="Azúcar",'Volúmenes DIstribuidos '!C546="azúcar"),"Azúcar o dulce",IF('Volúmenes DIstribuidos '!C546="Aceite","Aceite o grasas",IF('Volúmenes DIstribuidos '!C546="Avena","Otros almidones",'Volúmenes DIstribuidos '!C546)))</f>
        <v>Lácteos</v>
      </c>
      <c r="C809" s="10" t="s">
        <v>29</v>
      </c>
      <c r="D809" s="12">
        <f>'Volúmenes DIstribuidos '!D546</f>
        <v>12.97</v>
      </c>
      <c r="E809" s="12">
        <f>SUMIF('Parametros Inventario'!$A:$A,B809,'Parametros Inventario'!$B:$B)+SUMIFS(D$2:D809,B$2:B809,B809,C$2:C809,"ENTRADA")-SUMIFS(D$2:D809,B$2:B809,B809,C$2:C809,"SALIDA")</f>
        <v>3272.2229999999995</v>
      </c>
    </row>
    <row r="810" spans="1:5" x14ac:dyDescent="0.3">
      <c r="A810" s="9">
        <f>'Volúmenes DIstribuidos '!B543</f>
        <v>44362</v>
      </c>
      <c r="B810" s="10" t="str">
        <f>IF(OR('Volúmenes DIstribuidos '!C547="Azúcar",'Volúmenes DIstribuidos '!C547="azúcar"),"Azúcar o dulce",IF('Volúmenes DIstribuidos '!C547="Aceite","Aceite o grasas",IF('Volúmenes DIstribuidos '!C547="Avena","Otros almidones",'Volúmenes DIstribuidos '!C547)))</f>
        <v>Panadería</v>
      </c>
      <c r="C810" s="10" t="s">
        <v>29</v>
      </c>
      <c r="D810" s="12">
        <f>'Volúmenes DIstribuidos '!D547</f>
        <v>30.251999999999999</v>
      </c>
      <c r="E810" s="12">
        <f>SUMIF('Parametros Inventario'!$A:$A,B810,'Parametros Inventario'!$B:$B)+SUMIFS(D$2:D810,B$2:B810,B810,C$2:C810,"ENTRADA")-SUMIFS(D$2:D810,B$2:B810,B810,C$2:C810,"SALIDA")</f>
        <v>2703.4410000000003</v>
      </c>
    </row>
    <row r="811" spans="1:5" x14ac:dyDescent="0.3">
      <c r="A811" s="9">
        <f>'Volúmenes DIstribuidos '!B543</f>
        <v>44362</v>
      </c>
      <c r="B811" s="10" t="str">
        <f>IF(OR('Volúmenes DIstribuidos '!C548="Azúcar",'Volúmenes DIstribuidos '!C548="azúcar"),"Azúcar o dulce",IF('Volúmenes DIstribuidos '!C548="Aceite","Aceite o grasas",IF('Volúmenes DIstribuidos '!C548="Avena","Otros almidones",'Volúmenes DIstribuidos '!C548)))</f>
        <v>Otros almidones</v>
      </c>
      <c r="C811" s="10" t="s">
        <v>29</v>
      </c>
      <c r="D811" s="12">
        <f>'Volúmenes DIstribuidos '!D548</f>
        <v>36.21</v>
      </c>
      <c r="E811" s="12">
        <f>SUMIF('Parametros Inventario'!$A:$A,B811,'Parametros Inventario'!$B:$B)+SUMIFS(D$2:D811,B$2:B811,B811,C$2:C811,"ENTRADA")-SUMIFS(D$2:D811,B$2:B811,B811,C$2:C811,"SALIDA")</f>
        <v>3621.48</v>
      </c>
    </row>
    <row r="812" spans="1:5" x14ac:dyDescent="0.3">
      <c r="A812" s="9">
        <v>44365</v>
      </c>
      <c r="B812" s="10" t="s">
        <v>13</v>
      </c>
      <c r="C812" s="10" t="s">
        <v>28</v>
      </c>
      <c r="D812" s="12">
        <v>232.22</v>
      </c>
      <c r="E812" s="12">
        <f>SUMIF('Parametros Inventario'!$A:$A,B812,'Parametros Inventario'!$B:$B)+SUMIFS(D$2:D812,B$2:B812,B812,C$2:C812,"ENTRADA")-SUMIFS(D$2:D812,B$2:B812,B812,C$2:C812,"SALIDA")</f>
        <v>4743.0909999999994</v>
      </c>
    </row>
    <row r="813" spans="1:5" x14ac:dyDescent="0.3">
      <c r="A813" s="9">
        <v>44365</v>
      </c>
      <c r="B813" s="10" t="s">
        <v>15</v>
      </c>
      <c r="C813" s="10" t="s">
        <v>28</v>
      </c>
      <c r="D813" s="12">
        <v>118.58</v>
      </c>
      <c r="E813" s="12">
        <f>SUMIF('Parametros Inventario'!$A:$A,B813,'Parametros Inventario'!$B:$B)+SUMIFS(D$2:D813,B$2:B813,B813,C$2:C813,"ENTRADA")-SUMIFS(D$2:D813,B$2:B813,B813,C$2:C813,"SALIDA")</f>
        <v>3740.06</v>
      </c>
    </row>
    <row r="814" spans="1:5" x14ac:dyDescent="0.3">
      <c r="A814" s="9">
        <v>44365</v>
      </c>
      <c r="B814" s="10" t="s">
        <v>11</v>
      </c>
      <c r="C814" s="10" t="s">
        <v>28</v>
      </c>
      <c r="D814" s="12">
        <v>261.92</v>
      </c>
      <c r="E814" s="12">
        <f>SUMIF('Parametros Inventario'!$A:$A,B814,'Parametros Inventario'!$B:$B)+SUMIFS(D$2:D814,B$2:B814,B814,C$2:C814,"ENTRADA")-SUMIFS(D$2:D814,B$2:B814,B814,C$2:C814,"SALIDA")</f>
        <v>4464.0929999999998</v>
      </c>
    </row>
    <row r="815" spans="1:5" x14ac:dyDescent="0.3">
      <c r="A815" s="9">
        <v>44365</v>
      </c>
      <c r="B815" s="10" t="s">
        <v>9</v>
      </c>
      <c r="C815" s="10" t="s">
        <v>28</v>
      </c>
      <c r="D815" s="12">
        <v>55.78</v>
      </c>
      <c r="E815" s="12">
        <f>SUMIF('Parametros Inventario'!$A:$A,B815,'Parametros Inventario'!$B:$B)+SUMIFS(D$2:D815,B$2:B815,B815,C$2:C815,"ENTRADA")-SUMIFS(D$2:D815,B$2:B815,B815,C$2:C815,"SALIDA")</f>
        <v>2759.2210000000009</v>
      </c>
    </row>
    <row r="816" spans="1:5" x14ac:dyDescent="0.3">
      <c r="A816" s="9">
        <v>44365</v>
      </c>
      <c r="B816" s="10" t="s">
        <v>14</v>
      </c>
      <c r="C816" s="10" t="s">
        <v>28</v>
      </c>
      <c r="D816" s="12">
        <v>292.45</v>
      </c>
      <c r="E816" s="12">
        <f>SUMIF('Parametros Inventario'!$A:$A,B816,'Parametros Inventario'!$B:$B)+SUMIFS(D$2:D816,B$2:B816,B816,C$2:C816,"ENTRADA")-SUMIFS(D$2:D816,B$2:B816,B816,C$2:C816,"SALIDA")</f>
        <v>3576.9299999999994</v>
      </c>
    </row>
    <row r="817" spans="1:5" x14ac:dyDescent="0.3">
      <c r="A817" s="9">
        <v>44365</v>
      </c>
      <c r="B817" s="10" t="s">
        <v>12</v>
      </c>
      <c r="C817" s="10" t="s">
        <v>28</v>
      </c>
      <c r="D817" s="12">
        <v>219.43</v>
      </c>
      <c r="E817" s="12">
        <f>SUMIF('Parametros Inventario'!$A:$A,B817,'Parametros Inventario'!$B:$B)+SUMIFS(D$2:D817,B$2:B817,B817,C$2:C817,"ENTRADA")-SUMIFS(D$2:D817,B$2:B817,B817,C$2:C817,"SALIDA")</f>
        <v>4483.4049999999988</v>
      </c>
    </row>
    <row r="818" spans="1:5" x14ac:dyDescent="0.3">
      <c r="A818" s="9">
        <v>44365</v>
      </c>
      <c r="B818" s="10" t="s">
        <v>16</v>
      </c>
      <c r="C818" s="10" t="s">
        <v>28</v>
      </c>
      <c r="D818" s="12">
        <v>203.61</v>
      </c>
      <c r="E818" s="12">
        <f>SUMIF('Parametros Inventario'!$A:$A,B818,'Parametros Inventario'!$B:$B)+SUMIFS(D$2:D818,B$2:B818,B818,C$2:C818,"ENTRADA")-SUMIFS(D$2:D818,B$2:B818,B818,C$2:C818,"SALIDA")</f>
        <v>4390.7279999999992</v>
      </c>
    </row>
    <row r="819" spans="1:5" x14ac:dyDescent="0.3">
      <c r="A819" s="9">
        <v>44365</v>
      </c>
      <c r="B819" s="10" t="s">
        <v>17</v>
      </c>
      <c r="C819" s="10" t="s">
        <v>28</v>
      </c>
      <c r="D819" s="12">
        <v>220.17</v>
      </c>
      <c r="E819" s="12">
        <f>SUMIF('Parametros Inventario'!$A:$A,B819,'Parametros Inventario'!$B:$B)+SUMIFS(D$2:D819,B$2:B819,B819,C$2:C819,"ENTRADA")-SUMIFS(D$2:D819,B$2:B819,B819,C$2:C819,"SALIDA")</f>
        <v>3492.3929999999996</v>
      </c>
    </row>
    <row r="820" spans="1:5" x14ac:dyDescent="0.3">
      <c r="A820" s="9">
        <v>44365</v>
      </c>
      <c r="B820" s="10" t="s">
        <v>18</v>
      </c>
      <c r="C820" s="10" t="s">
        <v>28</v>
      </c>
      <c r="D820" s="12">
        <v>270.77999999999997</v>
      </c>
      <c r="E820" s="12">
        <f>SUMIF('Parametros Inventario'!$A:$A,B820,'Parametros Inventario'!$B:$B)+SUMIFS(D$2:D820,B$2:B820,B820,C$2:C820,"ENTRADA")-SUMIFS(D$2:D820,B$2:B820,B820,C$2:C820,"SALIDA")</f>
        <v>4490.8959999999997</v>
      </c>
    </row>
    <row r="821" spans="1:5" x14ac:dyDescent="0.3">
      <c r="A821" s="9">
        <v>44365</v>
      </c>
      <c r="B821" s="10" t="s">
        <v>10</v>
      </c>
      <c r="C821" s="10" t="s">
        <v>28</v>
      </c>
      <c r="D821" s="12">
        <v>50.49</v>
      </c>
      <c r="E821" s="12">
        <f>SUMIF('Parametros Inventario'!$A:$A,B821,'Parametros Inventario'!$B:$B)+SUMIFS(D$2:D821,B$2:B821,B821,C$2:C821,"ENTRADA")-SUMIFS(D$2:D821,B$2:B821,B821,C$2:C821,"SALIDA")</f>
        <v>4420.3999999999996</v>
      </c>
    </row>
    <row r="822" spans="1:5" x14ac:dyDescent="0.3">
      <c r="A822" s="9">
        <v>44365</v>
      </c>
      <c r="B822" s="10" t="s">
        <v>8</v>
      </c>
      <c r="C822" s="10" t="s">
        <v>28</v>
      </c>
      <c r="D822" s="12">
        <v>156.78</v>
      </c>
      <c r="E822" s="12">
        <f>SUMIF('Parametros Inventario'!$A:$A,B822,'Parametros Inventario'!$B:$B)+SUMIFS(D$2:D822,B$2:B822,B822,C$2:C822,"ENTRADA")-SUMIFS(D$2:D822,B$2:B822,B822,C$2:C822,"SALIDA")</f>
        <v>3811.1080000000006</v>
      </c>
    </row>
    <row r="823" spans="1:5" x14ac:dyDescent="0.3">
      <c r="A823" s="9">
        <f>'Volúmenes DIstribuidos '!B549</f>
        <v>44365</v>
      </c>
      <c r="B823" s="10" t="str">
        <f>IF(OR('Volúmenes DIstribuidos '!C549="Azúcar",'Volúmenes DIstribuidos '!C549="azúcar"),"Azúcar o dulce",IF('Volúmenes DIstribuidos '!C549="Aceite","Aceite o grasas",IF('Volúmenes DIstribuidos '!C549="Avena","Otros almidones",'Volúmenes DIstribuidos '!C549)))</f>
        <v>Carnes rojas</v>
      </c>
      <c r="C823" s="10" t="s">
        <v>29</v>
      </c>
      <c r="D823" s="12">
        <f>'Volúmenes DIstribuidos '!D549</f>
        <v>10.79</v>
      </c>
      <c r="E823" s="12">
        <f>SUMIF('Parametros Inventario'!$A:$A,B823,'Parametros Inventario'!$B:$B)+SUMIFS(D$2:D823,B$2:B823,B823,C$2:C823,"ENTRADA")-SUMIFS(D$2:D823,B$2:B823,B823,C$2:C823,"SALIDA")</f>
        <v>4472.6149999999998</v>
      </c>
    </row>
    <row r="824" spans="1:5" x14ac:dyDescent="0.3">
      <c r="A824" s="9">
        <f>'Volúmenes DIstribuidos '!B549</f>
        <v>44365</v>
      </c>
      <c r="B824" s="10" t="str">
        <f>IF(OR('Volúmenes DIstribuidos '!C550="Azúcar",'Volúmenes DIstribuidos '!C550="azúcar"),"Azúcar o dulce",IF('Volúmenes DIstribuidos '!C550="Aceite","Aceite o grasas",IF('Volúmenes DIstribuidos '!C550="Avena","Otros almidones",'Volúmenes DIstribuidos '!C550)))</f>
        <v>Carnes blancas</v>
      </c>
      <c r="C824" s="10" t="s">
        <v>29</v>
      </c>
      <c r="D824" s="12">
        <f>'Volúmenes DIstribuidos '!D550</f>
        <v>47.6</v>
      </c>
      <c r="E824" s="12">
        <f>SUMIF('Parametros Inventario'!$A:$A,B824,'Parametros Inventario'!$B:$B)+SUMIFS(D$2:D824,B$2:B824,B824,C$2:C824,"ENTRADA")-SUMIFS(D$2:D824,B$2:B824,B824,C$2:C824,"SALIDA")</f>
        <v>4343.1279999999988</v>
      </c>
    </row>
    <row r="825" spans="1:5" x14ac:dyDescent="0.3">
      <c r="A825" s="9">
        <f>'Volúmenes DIstribuidos '!B549</f>
        <v>44365</v>
      </c>
      <c r="B825" s="10" t="str">
        <f>IF(OR('Volúmenes DIstribuidos '!C551="Azúcar",'Volúmenes DIstribuidos '!C551="azúcar"),"Azúcar o dulce",IF('Volúmenes DIstribuidos '!C551="Aceite","Aceite o grasas",IF('Volúmenes DIstribuidos '!C551="Avena","Otros almidones",'Volúmenes DIstribuidos '!C551)))</f>
        <v>Panadería</v>
      </c>
      <c r="C825" s="10" t="s">
        <v>29</v>
      </c>
      <c r="D825" s="12">
        <f>'Volúmenes DIstribuidos '!D551</f>
        <v>7.55</v>
      </c>
      <c r="E825" s="12">
        <f>SUMIF('Parametros Inventario'!$A:$A,B825,'Parametros Inventario'!$B:$B)+SUMIFS(D$2:D825,B$2:B825,B825,C$2:C825,"ENTRADA")-SUMIFS(D$2:D825,B$2:B825,B825,C$2:C825,"SALIDA")</f>
        <v>2751.6710000000012</v>
      </c>
    </row>
    <row r="826" spans="1:5" x14ac:dyDescent="0.3">
      <c r="A826" s="9">
        <f>'Volúmenes DIstribuidos '!B549</f>
        <v>44365</v>
      </c>
      <c r="B826" s="10" t="str">
        <f>IF(OR('Volúmenes DIstribuidos '!C552="Azúcar",'Volúmenes DIstribuidos '!C552="azúcar"),"Azúcar o dulce",IF('Volúmenes DIstribuidos '!C552="Aceite","Aceite o grasas",IF('Volúmenes DIstribuidos '!C552="Avena","Otros almidones",'Volúmenes DIstribuidos '!C552)))</f>
        <v>Vegetales y hojas</v>
      </c>
      <c r="C826" s="10" t="s">
        <v>29</v>
      </c>
      <c r="D826" s="12">
        <f>'Volúmenes DIstribuidos '!D552</f>
        <v>22.391999999999999</v>
      </c>
      <c r="E826" s="12">
        <f>SUMIF('Parametros Inventario'!$A:$A,B826,'Parametros Inventario'!$B:$B)+SUMIFS(D$2:D826,B$2:B826,B826,C$2:C826,"ENTRADA")-SUMIFS(D$2:D826,B$2:B826,B826,C$2:C826,"SALIDA")</f>
        <v>4398.0079999999989</v>
      </c>
    </row>
    <row r="827" spans="1:5" x14ac:dyDescent="0.3">
      <c r="A827" s="9">
        <f>'Volúmenes DIstribuidos '!B549</f>
        <v>44365</v>
      </c>
      <c r="B827" s="10" t="str">
        <f>IF(OR('Volúmenes DIstribuidos '!C553="Azúcar",'Volúmenes DIstribuidos '!C553="azúcar"),"Azúcar o dulce",IF('Volúmenes DIstribuidos '!C553="Aceite","Aceite o grasas",IF('Volúmenes DIstribuidos '!C553="Avena","Otros almidones",'Volúmenes DIstribuidos '!C553)))</f>
        <v>Otros almidones</v>
      </c>
      <c r="C827" s="10" t="s">
        <v>29</v>
      </c>
      <c r="D827" s="12">
        <f>'Volúmenes DIstribuidos '!D553</f>
        <v>24.13</v>
      </c>
      <c r="E827" s="12">
        <f>SUMIF('Parametros Inventario'!$A:$A,B827,'Parametros Inventario'!$B:$B)+SUMIFS(D$2:D827,B$2:B827,B827,C$2:C827,"ENTRADA")-SUMIFS(D$2:D827,B$2:B827,B827,C$2:C827,"SALIDA")</f>
        <v>3715.93</v>
      </c>
    </row>
    <row r="828" spans="1:5" x14ac:dyDescent="0.3">
      <c r="A828" s="9">
        <f>'Volúmenes DIstribuidos '!B549</f>
        <v>44365</v>
      </c>
      <c r="B828" s="10" t="str">
        <f>IF(OR('Volúmenes DIstribuidos '!C554="Azúcar",'Volúmenes DIstribuidos '!C554="azúcar"),"Azúcar o dulce",IF('Volúmenes DIstribuidos '!C554="Aceite","Aceite o grasas",IF('Volúmenes DIstribuidos '!C554="Avena","Otros almidones",'Volúmenes DIstribuidos '!C554)))</f>
        <v>Panadería</v>
      </c>
      <c r="C828" s="10" t="s">
        <v>29</v>
      </c>
      <c r="D828" s="12">
        <f>'Volúmenes DIstribuidos '!D554</f>
        <v>8.1199999999999992</v>
      </c>
      <c r="E828" s="12">
        <f>SUMIF('Parametros Inventario'!$A:$A,B828,'Parametros Inventario'!$B:$B)+SUMIFS(D$2:D828,B$2:B828,B828,C$2:C828,"ENTRADA")-SUMIFS(D$2:D828,B$2:B828,B828,C$2:C828,"SALIDA")</f>
        <v>2743.5510000000013</v>
      </c>
    </row>
    <row r="829" spans="1:5" x14ac:dyDescent="0.3">
      <c r="A829" s="9">
        <v>44369</v>
      </c>
      <c r="B829" s="10" t="s">
        <v>13</v>
      </c>
      <c r="C829" s="10" t="s">
        <v>28</v>
      </c>
      <c r="D829" s="12">
        <v>218.27</v>
      </c>
      <c r="E829" s="12">
        <f>SUMIF('Parametros Inventario'!$A:$A,B829,'Parametros Inventario'!$B:$B)+SUMIFS(D$2:D829,B$2:B829,B829,C$2:C829,"ENTRADA")-SUMIFS(D$2:D829,B$2:B829,B829,C$2:C829,"SALIDA")</f>
        <v>4961.3609999999999</v>
      </c>
    </row>
    <row r="830" spans="1:5" x14ac:dyDescent="0.3">
      <c r="A830" s="9">
        <v>44369</v>
      </c>
      <c r="B830" s="10" t="s">
        <v>15</v>
      </c>
      <c r="C830" s="10" t="s">
        <v>28</v>
      </c>
      <c r="D830" s="12">
        <v>212.51</v>
      </c>
      <c r="E830" s="12">
        <f>SUMIF('Parametros Inventario'!$A:$A,B830,'Parametros Inventario'!$B:$B)+SUMIFS(D$2:D830,B$2:B830,B830,C$2:C830,"ENTRADA")-SUMIFS(D$2:D830,B$2:B830,B830,C$2:C830,"SALIDA")</f>
        <v>3928.44</v>
      </c>
    </row>
    <row r="831" spans="1:5" x14ac:dyDescent="0.3">
      <c r="A831" s="9">
        <v>44369</v>
      </c>
      <c r="B831" s="10" t="s">
        <v>11</v>
      </c>
      <c r="C831" s="10" t="s">
        <v>28</v>
      </c>
      <c r="D831" s="12">
        <v>263.45999999999998</v>
      </c>
      <c r="E831" s="12">
        <f>SUMIF('Parametros Inventario'!$A:$A,B831,'Parametros Inventario'!$B:$B)+SUMIFS(D$2:D831,B$2:B831,B831,C$2:C831,"ENTRADA")-SUMIFS(D$2:D831,B$2:B831,B831,C$2:C831,"SALIDA")</f>
        <v>4727.5529999999999</v>
      </c>
    </row>
    <row r="832" spans="1:5" x14ac:dyDescent="0.3">
      <c r="A832" s="9">
        <v>44369</v>
      </c>
      <c r="B832" s="10" t="s">
        <v>9</v>
      </c>
      <c r="C832" s="10" t="s">
        <v>28</v>
      </c>
      <c r="D832" s="12">
        <v>130.75</v>
      </c>
      <c r="E832" s="12">
        <f>SUMIF('Parametros Inventario'!$A:$A,B832,'Parametros Inventario'!$B:$B)+SUMIFS(D$2:D832,B$2:B832,B832,C$2:C832,"ENTRADA")-SUMIFS(D$2:D832,B$2:B832,B832,C$2:C832,"SALIDA")</f>
        <v>2874.3010000000013</v>
      </c>
    </row>
    <row r="833" spans="1:5" x14ac:dyDescent="0.3">
      <c r="A833" s="9">
        <v>44369</v>
      </c>
      <c r="B833" s="10" t="s">
        <v>14</v>
      </c>
      <c r="C833" s="10" t="s">
        <v>28</v>
      </c>
      <c r="D833" s="12">
        <v>261.08999999999997</v>
      </c>
      <c r="E833" s="12">
        <f>SUMIF('Parametros Inventario'!$A:$A,B833,'Parametros Inventario'!$B:$B)+SUMIFS(D$2:D833,B$2:B833,B833,C$2:C833,"ENTRADA")-SUMIFS(D$2:D833,B$2:B833,B833,C$2:C833,"SALIDA")</f>
        <v>3838.0199999999995</v>
      </c>
    </row>
    <row r="834" spans="1:5" x14ac:dyDescent="0.3">
      <c r="A834" s="9">
        <v>44369</v>
      </c>
      <c r="B834" s="10" t="s">
        <v>12</v>
      </c>
      <c r="C834" s="10" t="s">
        <v>28</v>
      </c>
      <c r="D834" s="12">
        <v>151.72</v>
      </c>
      <c r="E834" s="12">
        <f>SUMIF('Parametros Inventario'!$A:$A,B834,'Parametros Inventario'!$B:$B)+SUMIFS(D$2:D834,B$2:B834,B834,C$2:C834,"ENTRADA")-SUMIFS(D$2:D834,B$2:B834,B834,C$2:C834,"SALIDA")</f>
        <v>4624.3349999999991</v>
      </c>
    </row>
    <row r="835" spans="1:5" x14ac:dyDescent="0.3">
      <c r="A835" s="9">
        <v>44369</v>
      </c>
      <c r="B835" s="10" t="s">
        <v>16</v>
      </c>
      <c r="C835" s="10" t="s">
        <v>28</v>
      </c>
      <c r="D835" s="12">
        <v>80.430000000000007</v>
      </c>
      <c r="E835" s="12">
        <f>SUMIF('Parametros Inventario'!$A:$A,B835,'Parametros Inventario'!$B:$B)+SUMIFS(D$2:D835,B$2:B835,B835,C$2:C835,"ENTRADA")-SUMIFS(D$2:D835,B$2:B835,B835,C$2:C835,"SALIDA")</f>
        <v>4423.5579999999991</v>
      </c>
    </row>
    <row r="836" spans="1:5" x14ac:dyDescent="0.3">
      <c r="A836" s="9">
        <v>44369</v>
      </c>
      <c r="B836" s="10" t="s">
        <v>17</v>
      </c>
      <c r="C836" s="10" t="s">
        <v>28</v>
      </c>
      <c r="D836" s="12">
        <v>179.57</v>
      </c>
      <c r="E836" s="12">
        <f>SUMIF('Parametros Inventario'!$A:$A,B836,'Parametros Inventario'!$B:$B)+SUMIFS(D$2:D836,B$2:B836,B836,C$2:C836,"ENTRADA")-SUMIFS(D$2:D836,B$2:B836,B836,C$2:C836,"SALIDA")</f>
        <v>3671.9629999999993</v>
      </c>
    </row>
    <row r="837" spans="1:5" x14ac:dyDescent="0.3">
      <c r="A837" s="9">
        <v>44369</v>
      </c>
      <c r="B837" s="10" t="s">
        <v>18</v>
      </c>
      <c r="C837" s="10" t="s">
        <v>28</v>
      </c>
      <c r="D837" s="12">
        <v>173.89</v>
      </c>
      <c r="E837" s="12">
        <f>SUMIF('Parametros Inventario'!$A:$A,B837,'Parametros Inventario'!$B:$B)+SUMIFS(D$2:D837,B$2:B837,B837,C$2:C837,"ENTRADA")-SUMIFS(D$2:D837,B$2:B837,B837,C$2:C837,"SALIDA")</f>
        <v>4664.7860000000001</v>
      </c>
    </row>
    <row r="838" spans="1:5" x14ac:dyDescent="0.3">
      <c r="A838" s="9">
        <v>44369</v>
      </c>
      <c r="B838" s="10" t="s">
        <v>10</v>
      </c>
      <c r="C838" s="10" t="s">
        <v>28</v>
      </c>
      <c r="D838" s="12">
        <v>179.31</v>
      </c>
      <c r="E838" s="12">
        <f>SUMIF('Parametros Inventario'!$A:$A,B838,'Parametros Inventario'!$B:$B)+SUMIFS(D$2:D838,B$2:B838,B838,C$2:C838,"ENTRADA")-SUMIFS(D$2:D838,B$2:B838,B838,C$2:C838,"SALIDA")</f>
        <v>4577.3179999999993</v>
      </c>
    </row>
    <row r="839" spans="1:5" x14ac:dyDescent="0.3">
      <c r="A839" s="9">
        <v>44369</v>
      </c>
      <c r="B839" s="10" t="s">
        <v>8</v>
      </c>
      <c r="C839" s="10" t="s">
        <v>28</v>
      </c>
      <c r="D839" s="12">
        <v>60.87</v>
      </c>
      <c r="E839" s="12">
        <f>SUMIF('Parametros Inventario'!$A:$A,B839,'Parametros Inventario'!$B:$B)+SUMIFS(D$2:D839,B$2:B839,B839,C$2:C839,"ENTRADA")-SUMIFS(D$2:D839,B$2:B839,B839,C$2:C839,"SALIDA")</f>
        <v>3871.9780000000005</v>
      </c>
    </row>
    <row r="840" spans="1:5" x14ac:dyDescent="0.3">
      <c r="A840" s="9">
        <f>'Volúmenes DIstribuidos '!B555</f>
        <v>44369</v>
      </c>
      <c r="B840" s="10" t="str">
        <f>IF(OR('Volúmenes DIstribuidos '!C555="Azúcar",'Volúmenes DIstribuidos '!C555="azúcar"),"Azúcar o dulce",IF('Volúmenes DIstribuidos '!C555="Aceite","Aceite o grasas",IF('Volúmenes DIstribuidos '!C555="Avena","Otros almidones",'Volúmenes DIstribuidos '!C555)))</f>
        <v>Vegetales y hojas</v>
      </c>
      <c r="C840" s="10" t="s">
        <v>29</v>
      </c>
      <c r="D840" s="12">
        <f>'Volúmenes DIstribuidos '!D555</f>
        <v>26.75</v>
      </c>
      <c r="E840" s="12">
        <f>SUMIF('Parametros Inventario'!$A:$A,B840,'Parametros Inventario'!$B:$B)+SUMIFS(D$2:D840,B$2:B840,B840,C$2:C840,"ENTRADA")-SUMIFS(D$2:D840,B$2:B840,B840,C$2:C840,"SALIDA")</f>
        <v>4550.5679999999993</v>
      </c>
    </row>
    <row r="841" spans="1:5" x14ac:dyDescent="0.3">
      <c r="A841" s="9">
        <f>'Volúmenes DIstribuidos '!B555</f>
        <v>44369</v>
      </c>
      <c r="B841" s="10" t="str">
        <f>IF(OR('Volúmenes DIstribuidos '!C556="Azúcar",'Volúmenes DIstribuidos '!C556="azúcar"),"Azúcar o dulce",IF('Volúmenes DIstribuidos '!C556="Aceite","Aceite o grasas",IF('Volúmenes DIstribuidos '!C556="Avena","Otros almidones",'Volúmenes DIstribuidos '!C556)))</f>
        <v>Azúcar o dulce</v>
      </c>
      <c r="C841" s="10" t="s">
        <v>29</v>
      </c>
      <c r="D841" s="12">
        <f>'Volúmenes DIstribuidos '!D556</f>
        <v>9.5500000000000007</v>
      </c>
      <c r="E841" s="12">
        <f>SUMIF('Parametros Inventario'!$A:$A,B841,'Parametros Inventario'!$B:$B)+SUMIFS(D$2:D841,B$2:B841,B841,C$2:C841,"ENTRADA")-SUMIFS(D$2:D841,B$2:B841,B841,C$2:C841,"SALIDA")</f>
        <v>4951.8109999999997</v>
      </c>
    </row>
    <row r="842" spans="1:5" x14ac:dyDescent="0.3">
      <c r="A842" s="9">
        <f>'Volúmenes DIstribuidos '!B555</f>
        <v>44369</v>
      </c>
      <c r="B842" s="10" t="str">
        <f>IF(OR('Volúmenes DIstribuidos '!C557="Azúcar",'Volúmenes DIstribuidos '!C557="azúcar"),"Azúcar o dulce",IF('Volúmenes DIstribuidos '!C557="Aceite","Aceite o grasas",IF('Volúmenes DIstribuidos '!C557="Avena","Otros almidones",'Volúmenes DIstribuidos '!C557)))</f>
        <v>Carnes rojas</v>
      </c>
      <c r="C842" s="10" t="s">
        <v>29</v>
      </c>
      <c r="D842" s="12">
        <f>'Volúmenes DIstribuidos '!D557</f>
        <v>35.734000000000002</v>
      </c>
      <c r="E842" s="12">
        <f>SUMIF('Parametros Inventario'!$A:$A,B842,'Parametros Inventario'!$B:$B)+SUMIFS(D$2:D842,B$2:B842,B842,C$2:C842,"ENTRADA")-SUMIFS(D$2:D842,B$2:B842,B842,C$2:C842,"SALIDA")</f>
        <v>4588.6009999999997</v>
      </c>
    </row>
    <row r="843" spans="1:5" x14ac:dyDescent="0.3">
      <c r="A843" s="9">
        <f>'Volúmenes DIstribuidos '!B555</f>
        <v>44369</v>
      </c>
      <c r="B843" s="10" t="str">
        <f>IF(OR('Volúmenes DIstribuidos '!C558="Azúcar",'Volúmenes DIstribuidos '!C558="azúcar"),"Azúcar o dulce",IF('Volúmenes DIstribuidos '!C558="Aceite","Aceite o grasas",IF('Volúmenes DIstribuidos '!C558="Avena","Otros almidones",'Volúmenes DIstribuidos '!C558)))</f>
        <v>Aceite o grasas</v>
      </c>
      <c r="C843" s="10" t="s">
        <v>29</v>
      </c>
      <c r="D843" s="12">
        <f>'Volúmenes DIstribuidos '!D558</f>
        <v>73.34</v>
      </c>
      <c r="E843" s="12">
        <f>SUMIF('Parametros Inventario'!$A:$A,B843,'Parametros Inventario'!$B:$B)+SUMIFS(D$2:D843,B$2:B843,B843,C$2:C843,"ENTRADA")-SUMIFS(D$2:D843,B$2:B843,B843,C$2:C843,"SALIDA")</f>
        <v>3798.6380000000008</v>
      </c>
    </row>
    <row r="844" spans="1:5" x14ac:dyDescent="0.3">
      <c r="A844" s="9">
        <f>'Volúmenes DIstribuidos '!B555</f>
        <v>44369</v>
      </c>
      <c r="B844" s="10" t="str">
        <f>IF(OR('Volúmenes DIstribuidos '!C559="Azúcar",'Volúmenes DIstribuidos '!C559="azúcar"),"Azúcar o dulce",IF('Volúmenes DIstribuidos '!C559="Aceite","Aceite o grasas",IF('Volúmenes DIstribuidos '!C559="Avena","Otros almidones",'Volúmenes DIstribuidos '!C559)))</f>
        <v>Azúcar o dulce</v>
      </c>
      <c r="C844" s="10" t="s">
        <v>29</v>
      </c>
      <c r="D844" s="12">
        <f>'Volúmenes DIstribuidos '!D559</f>
        <v>24.57</v>
      </c>
      <c r="E844" s="12">
        <f>SUMIF('Parametros Inventario'!$A:$A,B844,'Parametros Inventario'!$B:$B)+SUMIFS(D$2:D844,B$2:B844,B844,C$2:C844,"ENTRADA")-SUMIFS(D$2:D844,B$2:B844,B844,C$2:C844,"SALIDA")</f>
        <v>4927.241</v>
      </c>
    </row>
    <row r="845" spans="1:5" x14ac:dyDescent="0.3">
      <c r="A845" s="9">
        <f>'Volúmenes DIstribuidos '!B555</f>
        <v>44369</v>
      </c>
      <c r="B845" s="10" t="str">
        <f>IF(OR('Volúmenes DIstribuidos '!C560="Azúcar",'Volúmenes DIstribuidos '!C560="azúcar"),"Azúcar o dulce",IF('Volúmenes DIstribuidos '!C560="Aceite","Aceite o grasas",IF('Volúmenes DIstribuidos '!C560="Avena","Otros almidones",'Volúmenes DIstribuidos '!C560)))</f>
        <v>Menestras</v>
      </c>
      <c r="C845" s="10" t="s">
        <v>29</v>
      </c>
      <c r="D845" s="12">
        <f>'Volúmenes DIstribuidos '!D560</f>
        <v>22.28</v>
      </c>
      <c r="E845" s="12">
        <f>SUMIF('Parametros Inventario'!$A:$A,B845,'Parametros Inventario'!$B:$B)+SUMIFS(D$2:D845,B$2:B845,B845,C$2:C845,"ENTRADA")-SUMIFS(D$2:D845,B$2:B845,B845,C$2:C845,"SALIDA")</f>
        <v>3815.74</v>
      </c>
    </row>
    <row r="846" spans="1:5" x14ac:dyDescent="0.3">
      <c r="A846" s="9">
        <v>44372</v>
      </c>
      <c r="B846" s="10" t="s">
        <v>13</v>
      </c>
      <c r="C846" s="10" t="s">
        <v>28</v>
      </c>
      <c r="D846" s="12">
        <v>230.31</v>
      </c>
      <c r="E846" s="12">
        <f>SUMIF('Parametros Inventario'!$A:$A,B846,'Parametros Inventario'!$B:$B)+SUMIFS(D$2:D846,B$2:B846,B846,C$2:C846,"ENTRADA")-SUMIFS(D$2:D846,B$2:B846,B846,C$2:C846,"SALIDA")</f>
        <v>5157.5510000000004</v>
      </c>
    </row>
    <row r="847" spans="1:5" x14ac:dyDescent="0.3">
      <c r="A847" s="9">
        <v>44372</v>
      </c>
      <c r="B847" s="10" t="s">
        <v>15</v>
      </c>
      <c r="C847" s="10" t="s">
        <v>28</v>
      </c>
      <c r="D847" s="12">
        <v>61.74</v>
      </c>
      <c r="E847" s="12">
        <f>SUMIF('Parametros Inventario'!$A:$A,B847,'Parametros Inventario'!$B:$B)+SUMIFS(D$2:D847,B$2:B847,B847,C$2:C847,"ENTRADA")-SUMIFS(D$2:D847,B$2:B847,B847,C$2:C847,"SALIDA")</f>
        <v>3990.18</v>
      </c>
    </row>
    <row r="848" spans="1:5" x14ac:dyDescent="0.3">
      <c r="A848" s="9">
        <v>44372</v>
      </c>
      <c r="B848" s="10" t="s">
        <v>11</v>
      </c>
      <c r="C848" s="10" t="s">
        <v>28</v>
      </c>
      <c r="D848" s="12">
        <v>279.60000000000002</v>
      </c>
      <c r="E848" s="12">
        <f>SUMIF('Parametros Inventario'!$A:$A,B848,'Parametros Inventario'!$B:$B)+SUMIFS(D$2:D848,B$2:B848,B848,C$2:C848,"ENTRADA")-SUMIFS(D$2:D848,B$2:B848,B848,C$2:C848,"SALIDA")</f>
        <v>5007.1530000000002</v>
      </c>
    </row>
    <row r="849" spans="1:5" x14ac:dyDescent="0.3">
      <c r="A849" s="9">
        <v>44372</v>
      </c>
      <c r="B849" s="10" t="s">
        <v>9</v>
      </c>
      <c r="C849" s="10" t="s">
        <v>28</v>
      </c>
      <c r="D849" s="12">
        <v>183.1</v>
      </c>
      <c r="E849" s="12">
        <f>SUMIF('Parametros Inventario'!$A:$A,B849,'Parametros Inventario'!$B:$B)+SUMIFS(D$2:D849,B$2:B849,B849,C$2:C849,"ENTRADA")-SUMIFS(D$2:D849,B$2:B849,B849,C$2:C849,"SALIDA")</f>
        <v>3057.4010000000007</v>
      </c>
    </row>
    <row r="850" spans="1:5" x14ac:dyDescent="0.3">
      <c r="A850" s="9">
        <v>44372</v>
      </c>
      <c r="B850" s="10" t="s">
        <v>14</v>
      </c>
      <c r="C850" s="10" t="s">
        <v>28</v>
      </c>
      <c r="D850" s="12">
        <v>129.06</v>
      </c>
      <c r="E850" s="12">
        <f>SUMIF('Parametros Inventario'!$A:$A,B850,'Parametros Inventario'!$B:$B)+SUMIFS(D$2:D850,B$2:B850,B850,C$2:C850,"ENTRADA")-SUMIFS(D$2:D850,B$2:B850,B850,C$2:C850,"SALIDA")</f>
        <v>3944.8</v>
      </c>
    </row>
    <row r="851" spans="1:5" x14ac:dyDescent="0.3">
      <c r="A851" s="9">
        <v>44372</v>
      </c>
      <c r="B851" s="10" t="s">
        <v>12</v>
      </c>
      <c r="C851" s="10" t="s">
        <v>28</v>
      </c>
      <c r="D851" s="12">
        <v>147.96</v>
      </c>
      <c r="E851" s="12">
        <f>SUMIF('Parametros Inventario'!$A:$A,B851,'Parametros Inventario'!$B:$B)+SUMIFS(D$2:D851,B$2:B851,B851,C$2:C851,"ENTRADA")-SUMIFS(D$2:D851,B$2:B851,B851,C$2:C851,"SALIDA")</f>
        <v>4736.5609999999997</v>
      </c>
    </row>
    <row r="852" spans="1:5" x14ac:dyDescent="0.3">
      <c r="A852" s="9">
        <v>44372</v>
      </c>
      <c r="B852" s="10" t="s">
        <v>16</v>
      </c>
      <c r="C852" s="10" t="s">
        <v>28</v>
      </c>
      <c r="D852" s="12">
        <v>133.68</v>
      </c>
      <c r="E852" s="12">
        <f>SUMIF('Parametros Inventario'!$A:$A,B852,'Parametros Inventario'!$B:$B)+SUMIFS(D$2:D852,B$2:B852,B852,C$2:C852,"ENTRADA")-SUMIFS(D$2:D852,B$2:B852,B852,C$2:C852,"SALIDA")</f>
        <v>4557.2379999999994</v>
      </c>
    </row>
    <row r="853" spans="1:5" x14ac:dyDescent="0.3">
      <c r="A853" s="9">
        <v>44372</v>
      </c>
      <c r="B853" s="10" t="s">
        <v>17</v>
      </c>
      <c r="C853" s="10" t="s">
        <v>28</v>
      </c>
      <c r="D853" s="12">
        <v>270.02</v>
      </c>
      <c r="E853" s="12">
        <f>SUMIF('Parametros Inventario'!$A:$A,B853,'Parametros Inventario'!$B:$B)+SUMIFS(D$2:D853,B$2:B853,B853,C$2:C853,"ENTRADA")-SUMIFS(D$2:D853,B$2:B853,B853,C$2:C853,"SALIDA")</f>
        <v>3941.9829999999988</v>
      </c>
    </row>
    <row r="854" spans="1:5" x14ac:dyDescent="0.3">
      <c r="A854" s="9">
        <v>44372</v>
      </c>
      <c r="B854" s="10" t="s">
        <v>18</v>
      </c>
      <c r="C854" s="10" t="s">
        <v>28</v>
      </c>
      <c r="D854" s="12">
        <v>251.92</v>
      </c>
      <c r="E854" s="12">
        <f>SUMIF('Parametros Inventario'!$A:$A,B854,'Parametros Inventario'!$B:$B)+SUMIFS(D$2:D854,B$2:B854,B854,C$2:C854,"ENTRADA")-SUMIFS(D$2:D854,B$2:B854,B854,C$2:C854,"SALIDA")</f>
        <v>4916.7060000000001</v>
      </c>
    </row>
    <row r="855" spans="1:5" x14ac:dyDescent="0.3">
      <c r="A855" s="9">
        <v>44372</v>
      </c>
      <c r="B855" s="10" t="s">
        <v>10</v>
      </c>
      <c r="C855" s="10" t="s">
        <v>28</v>
      </c>
      <c r="D855" s="12">
        <v>297.57</v>
      </c>
      <c r="E855" s="12">
        <f>SUMIF('Parametros Inventario'!$A:$A,B855,'Parametros Inventario'!$B:$B)+SUMIFS(D$2:D855,B$2:B855,B855,C$2:C855,"ENTRADA")-SUMIFS(D$2:D855,B$2:B855,B855,C$2:C855,"SALIDA")</f>
        <v>4848.137999999999</v>
      </c>
    </row>
    <row r="856" spans="1:5" x14ac:dyDescent="0.3">
      <c r="A856" s="9">
        <v>44372</v>
      </c>
      <c r="B856" s="10" t="s">
        <v>8</v>
      </c>
      <c r="C856" s="10" t="s">
        <v>28</v>
      </c>
      <c r="D856" s="12">
        <v>106.41</v>
      </c>
      <c r="E856" s="12">
        <f>SUMIF('Parametros Inventario'!$A:$A,B856,'Parametros Inventario'!$B:$B)+SUMIFS(D$2:D856,B$2:B856,B856,C$2:C856,"ENTRADA")-SUMIFS(D$2:D856,B$2:B856,B856,C$2:C856,"SALIDA")</f>
        <v>3905.0480000000007</v>
      </c>
    </row>
    <row r="857" spans="1:5" x14ac:dyDescent="0.3">
      <c r="A857" s="9">
        <f>'Volúmenes DIstribuidos '!B561</f>
        <v>44372</v>
      </c>
      <c r="B857" s="10" t="str">
        <f>IF(OR('Volúmenes DIstribuidos '!C561="Azúcar",'Volúmenes DIstribuidos '!C561="azúcar"),"Azúcar o dulce",IF('Volúmenes DIstribuidos '!C561="Aceite","Aceite o grasas",IF('Volúmenes DIstribuidos '!C561="Avena","Otros almidones",'Volúmenes DIstribuidos '!C561)))</f>
        <v>Salsas</v>
      </c>
      <c r="C857" s="10" t="s">
        <v>29</v>
      </c>
      <c r="D857" s="12">
        <f>'Volúmenes DIstribuidos '!D561</f>
        <v>56.91</v>
      </c>
      <c r="E857" s="12">
        <f>SUMIF('Parametros Inventario'!$A:$A,B857,'Parametros Inventario'!$B:$B)+SUMIFS(D$2:D857,B$2:B857,B857,C$2:C857,"ENTRADA")-SUMIFS(D$2:D857,B$2:B857,B857,C$2:C857,"SALIDA")</f>
        <v>4859.7960000000003</v>
      </c>
    </row>
    <row r="858" spans="1:5" x14ac:dyDescent="0.3">
      <c r="A858" s="9">
        <f>'Volúmenes DIstribuidos '!B561</f>
        <v>44372</v>
      </c>
      <c r="B858" s="10" t="str">
        <f>IF(OR('Volúmenes DIstribuidos '!C562="Azúcar",'Volúmenes DIstribuidos '!C562="azúcar"),"Azúcar o dulce",IF('Volúmenes DIstribuidos '!C562="Aceite","Aceite o grasas",IF('Volúmenes DIstribuidos '!C562="Avena","Otros almidones",'Volúmenes DIstribuidos '!C562)))</f>
        <v>Fideo</v>
      </c>
      <c r="C858" s="10" t="s">
        <v>29</v>
      </c>
      <c r="D858" s="12">
        <f>'Volúmenes DIstribuidos '!D562</f>
        <v>10.75</v>
      </c>
      <c r="E858" s="12">
        <f>SUMIF('Parametros Inventario'!$A:$A,B858,'Parametros Inventario'!$B:$B)+SUMIFS(D$2:D858,B$2:B858,B858,C$2:C858,"ENTRADA")-SUMIFS(D$2:D858,B$2:B858,B858,C$2:C858,"SALIDA")</f>
        <v>4996.4030000000002</v>
      </c>
    </row>
    <row r="859" spans="1:5" x14ac:dyDescent="0.3">
      <c r="A859" s="9">
        <f>'Volúmenes DIstribuidos '!B561</f>
        <v>44372</v>
      </c>
      <c r="B859" s="10" t="str">
        <f>IF(OR('Volúmenes DIstribuidos '!C563="Azúcar",'Volúmenes DIstribuidos '!C563="azúcar"),"Azúcar o dulce",IF('Volúmenes DIstribuidos '!C563="Aceite","Aceite o grasas",IF('Volúmenes DIstribuidos '!C563="Avena","Otros almidones",'Volúmenes DIstribuidos '!C563)))</f>
        <v>Vegetales y hojas</v>
      </c>
      <c r="C859" s="10" t="s">
        <v>29</v>
      </c>
      <c r="D859" s="12">
        <f>'Volúmenes DIstribuidos '!D563</f>
        <v>29.437999999999999</v>
      </c>
      <c r="E859" s="12">
        <f>SUMIF('Parametros Inventario'!$A:$A,B859,'Parametros Inventario'!$B:$B)+SUMIFS(D$2:D859,B$2:B859,B859,C$2:C859,"ENTRADA")-SUMIFS(D$2:D859,B$2:B859,B859,C$2:C859,"SALIDA")</f>
        <v>4818.6999999999989</v>
      </c>
    </row>
    <row r="860" spans="1:5" x14ac:dyDescent="0.3">
      <c r="A860" s="9">
        <f>'Volúmenes DIstribuidos '!B561</f>
        <v>44372</v>
      </c>
      <c r="B860" s="10" t="str">
        <f>IF(OR('Volúmenes DIstribuidos '!C564="Azúcar",'Volúmenes DIstribuidos '!C564="azúcar"),"Azúcar o dulce",IF('Volúmenes DIstribuidos '!C564="Aceite","Aceite o grasas",IF('Volúmenes DIstribuidos '!C564="Avena","Otros almidones",'Volúmenes DIstribuidos '!C564)))</f>
        <v>Salsas</v>
      </c>
      <c r="C860" s="10" t="s">
        <v>29</v>
      </c>
      <c r="D860" s="12">
        <f>'Volúmenes DIstribuidos '!D564</f>
        <v>45.41</v>
      </c>
      <c r="E860" s="12">
        <f>SUMIF('Parametros Inventario'!$A:$A,B860,'Parametros Inventario'!$B:$B)+SUMIFS(D$2:D860,B$2:B860,B860,C$2:C860,"ENTRADA")-SUMIFS(D$2:D860,B$2:B860,B860,C$2:C860,"SALIDA")</f>
        <v>4814.3859999999995</v>
      </c>
    </row>
    <row r="861" spans="1:5" x14ac:dyDescent="0.3">
      <c r="A861" s="9">
        <f>'Volúmenes DIstribuidos '!B561</f>
        <v>44372</v>
      </c>
      <c r="B861" s="10" t="str">
        <f>IF(OR('Volúmenes DIstribuidos '!C565="Azúcar",'Volúmenes DIstribuidos '!C565="azúcar"),"Azúcar o dulce",IF('Volúmenes DIstribuidos '!C565="Aceite","Aceite o grasas",IF('Volúmenes DIstribuidos '!C565="Avena","Otros almidones",'Volúmenes DIstribuidos '!C565)))</f>
        <v>Aceite o grasas</v>
      </c>
      <c r="C861" s="10" t="s">
        <v>29</v>
      </c>
      <c r="D861" s="12">
        <f>'Volúmenes DIstribuidos '!D565</f>
        <v>100</v>
      </c>
      <c r="E861" s="12">
        <f>SUMIF('Parametros Inventario'!$A:$A,B861,'Parametros Inventario'!$B:$B)+SUMIFS(D$2:D861,B$2:B861,B861,C$2:C861,"ENTRADA")-SUMIFS(D$2:D861,B$2:B861,B861,C$2:C861,"SALIDA")</f>
        <v>3805.0480000000007</v>
      </c>
    </row>
    <row r="862" spans="1:5" x14ac:dyDescent="0.3">
      <c r="A862" s="9">
        <f>'Volúmenes DIstribuidos '!B561</f>
        <v>44372</v>
      </c>
      <c r="B862" s="10" t="str">
        <f>IF(OR('Volúmenes DIstribuidos '!C566="Azúcar",'Volúmenes DIstribuidos '!C566="azúcar"),"Azúcar o dulce",IF('Volúmenes DIstribuidos '!C566="Aceite","Aceite o grasas",IF('Volúmenes DIstribuidos '!C566="Avena","Otros almidones",'Volúmenes DIstribuidos '!C566)))</f>
        <v>Panadería</v>
      </c>
      <c r="C862" s="10" t="s">
        <v>29</v>
      </c>
      <c r="D862" s="12">
        <f>'Volúmenes DIstribuidos '!D566</f>
        <v>69.400000000000006</v>
      </c>
      <c r="E862" s="12">
        <f>SUMIF('Parametros Inventario'!$A:$A,B862,'Parametros Inventario'!$B:$B)+SUMIFS(D$2:D862,B$2:B862,B862,C$2:C862,"ENTRADA")-SUMIFS(D$2:D862,B$2:B862,B862,C$2:C862,"SALIDA")</f>
        <v>2988.0010000000002</v>
      </c>
    </row>
    <row r="863" spans="1:5" x14ac:dyDescent="0.3">
      <c r="A863" s="9">
        <f>'Volúmenes DIstribuidos '!B567</f>
        <v>44376</v>
      </c>
      <c r="B863" s="10" t="str">
        <f>IF(OR('Volúmenes DIstribuidos '!C567="Azúcar",'Volúmenes DIstribuidos '!C567="azúcar"),"Azúcar o dulce",IF('Volúmenes DIstribuidos '!C567="Aceite","Aceite o grasas",IF('Volúmenes DIstribuidos '!C567="Avena","Otros almidones",'Volúmenes DIstribuidos '!C567)))</f>
        <v>Carnes blancas</v>
      </c>
      <c r="C863" s="10" t="s">
        <v>29</v>
      </c>
      <c r="D863" s="12">
        <f>'Volúmenes DIstribuidos '!D567</f>
        <v>60</v>
      </c>
      <c r="E863" s="12">
        <f>SUMIF('Parametros Inventario'!$A:$A,B863,'Parametros Inventario'!$B:$B)+SUMIFS(D$2:D863,B$2:B863,B863,C$2:C863,"ENTRADA")-SUMIFS(D$2:D863,B$2:B863,B863,C$2:C863,"SALIDA")</f>
        <v>4497.2379999999994</v>
      </c>
    </row>
    <row r="864" spans="1:5" x14ac:dyDescent="0.3">
      <c r="A864" s="9">
        <f>'Volúmenes DIstribuidos '!B567</f>
        <v>44376</v>
      </c>
      <c r="B864" s="10" t="str">
        <f>IF(OR('Volúmenes DIstribuidos '!C568="Azúcar",'Volúmenes DIstribuidos '!C568="azúcar"),"Azúcar o dulce",IF('Volúmenes DIstribuidos '!C568="Aceite","Aceite o grasas",IF('Volúmenes DIstribuidos '!C568="Avena","Otros almidones",'Volúmenes DIstribuidos '!C568)))</f>
        <v>Lácteos</v>
      </c>
      <c r="C864" s="10" t="s">
        <v>29</v>
      </c>
      <c r="D864" s="12">
        <f>'Volúmenes DIstribuidos '!D568</f>
        <v>8.6300000000000008</v>
      </c>
      <c r="E864" s="12">
        <f>SUMIF('Parametros Inventario'!$A:$A,B864,'Parametros Inventario'!$B:$B)+SUMIFS(D$2:D864,B$2:B864,B864,C$2:C864,"ENTRADA")-SUMIFS(D$2:D864,B$2:B864,B864,C$2:C864,"SALIDA")</f>
        <v>3933.3529999999987</v>
      </c>
    </row>
    <row r="865" spans="1:5" x14ac:dyDescent="0.3">
      <c r="A865" s="9">
        <f>'Volúmenes DIstribuidos '!B567</f>
        <v>44376</v>
      </c>
      <c r="B865" s="10" t="str">
        <f>IF(OR('Volúmenes DIstribuidos '!C569="Azúcar",'Volúmenes DIstribuidos '!C569="azúcar"),"Azúcar o dulce",IF('Volúmenes DIstribuidos '!C569="Aceite","Aceite o grasas",IF('Volúmenes DIstribuidos '!C569="Avena","Otros almidones",'Volúmenes DIstribuidos '!C569)))</f>
        <v>Salsas</v>
      </c>
      <c r="C865" s="10" t="s">
        <v>29</v>
      </c>
      <c r="D865" s="12">
        <f>'Volúmenes DIstribuidos '!D569</f>
        <v>92.99</v>
      </c>
      <c r="E865" s="12">
        <f>SUMIF('Parametros Inventario'!$A:$A,B865,'Parametros Inventario'!$B:$B)+SUMIFS(D$2:D865,B$2:B865,B865,C$2:C865,"ENTRADA")-SUMIFS(D$2:D865,B$2:B865,B865,C$2:C865,"SALIDA")</f>
        <v>4721.3959999999997</v>
      </c>
    </row>
    <row r="866" spans="1:5" x14ac:dyDescent="0.3">
      <c r="A866" s="9">
        <f>'Volúmenes DIstribuidos '!B567</f>
        <v>44376</v>
      </c>
      <c r="B866" s="10" t="str">
        <f>IF(OR('Volúmenes DIstribuidos '!C570="Azúcar",'Volúmenes DIstribuidos '!C570="azúcar"),"Azúcar o dulce",IF('Volúmenes DIstribuidos '!C570="Aceite","Aceite o grasas",IF('Volúmenes DIstribuidos '!C570="Avena","Otros almidones",'Volúmenes DIstribuidos '!C570)))</f>
        <v>Azúcar o dulce</v>
      </c>
      <c r="C866" s="10" t="s">
        <v>29</v>
      </c>
      <c r="D866" s="12">
        <f>'Volúmenes DIstribuidos '!D570</f>
        <v>149.96</v>
      </c>
      <c r="E866" s="12">
        <f>SUMIF('Parametros Inventario'!$A:$A,B866,'Parametros Inventario'!$B:$B)+SUMIFS(D$2:D866,B$2:B866,B866,C$2:C866,"ENTRADA")-SUMIFS(D$2:D866,B$2:B866,B866,C$2:C866,"SALIDA")</f>
        <v>5007.5910000000003</v>
      </c>
    </row>
    <row r="867" spans="1:5" x14ac:dyDescent="0.3">
      <c r="A867" s="9">
        <f>'Volúmenes DIstribuidos '!B567</f>
        <v>44376</v>
      </c>
      <c r="B867" s="10" t="str">
        <f>IF(OR('Volúmenes DIstribuidos '!C571="Azúcar",'Volúmenes DIstribuidos '!C571="azúcar"),"Azúcar o dulce",IF('Volúmenes DIstribuidos '!C571="Aceite","Aceite o grasas",IF('Volúmenes DIstribuidos '!C571="Avena","Otros almidones",'Volúmenes DIstribuidos '!C571)))</f>
        <v>Fideo</v>
      </c>
      <c r="C867" s="10" t="s">
        <v>29</v>
      </c>
      <c r="D867" s="12">
        <f>'Volúmenes DIstribuidos '!D571</f>
        <v>32.85</v>
      </c>
      <c r="E867" s="12">
        <f>SUMIF('Parametros Inventario'!$A:$A,B867,'Parametros Inventario'!$B:$B)+SUMIFS(D$2:D867,B$2:B867,B867,C$2:C867,"ENTRADA")-SUMIFS(D$2:D867,B$2:B867,B867,C$2:C867,"SALIDA")</f>
        <v>4963.5529999999999</v>
      </c>
    </row>
    <row r="868" spans="1:5" x14ac:dyDescent="0.3">
      <c r="A868" s="9">
        <f>'Volúmenes DIstribuidos '!B567</f>
        <v>44376</v>
      </c>
      <c r="B868" s="10" t="str">
        <f>IF(OR('Volúmenes DIstribuidos '!C572="Azúcar",'Volúmenes DIstribuidos '!C572="azúcar"),"Azúcar o dulce",IF('Volúmenes DIstribuidos '!C572="Aceite","Aceite o grasas",IF('Volúmenes DIstribuidos '!C572="Avena","Otros almidones",'Volúmenes DIstribuidos '!C572)))</f>
        <v>Menestras</v>
      </c>
      <c r="C868" s="10" t="s">
        <v>29</v>
      </c>
      <c r="D868" s="12">
        <f>'Volúmenes DIstribuidos '!D572</f>
        <v>20.64</v>
      </c>
      <c r="E868" s="12">
        <f>SUMIF('Parametros Inventario'!$A:$A,B868,'Parametros Inventario'!$B:$B)+SUMIFS(D$2:D868,B$2:B868,B868,C$2:C868,"ENTRADA")-SUMIFS(D$2:D868,B$2:B868,B868,C$2:C868,"SALIDA")</f>
        <v>3924.16</v>
      </c>
    </row>
    <row r="869" spans="1:5" x14ac:dyDescent="0.3">
      <c r="A869" s="9">
        <v>44379</v>
      </c>
      <c r="B869" s="10" t="s">
        <v>13</v>
      </c>
      <c r="C869" s="10" t="s">
        <v>28</v>
      </c>
      <c r="D869" s="12">
        <v>222.39</v>
      </c>
      <c r="E869" s="12">
        <f>SUMIF('Parametros Inventario'!$A:$A,B869,'Parametros Inventario'!$B:$B)+SUMIFS(D$2:D869,B$2:B869,B869,C$2:C869,"ENTRADA")-SUMIFS(D$2:D869,B$2:B869,B869,C$2:C869,"SALIDA")</f>
        <v>5229.9810000000007</v>
      </c>
    </row>
    <row r="870" spans="1:5" x14ac:dyDescent="0.3">
      <c r="A870" s="9">
        <v>44379</v>
      </c>
      <c r="B870" s="10" t="s">
        <v>15</v>
      </c>
      <c r="C870" s="10" t="s">
        <v>28</v>
      </c>
      <c r="D870" s="12">
        <v>289.44</v>
      </c>
      <c r="E870" s="12">
        <f>SUMIF('Parametros Inventario'!$A:$A,B870,'Parametros Inventario'!$B:$B)+SUMIFS(D$2:D870,B$2:B870,B870,C$2:C870,"ENTRADA")-SUMIFS(D$2:D870,B$2:B870,B870,C$2:C870,"SALIDA")</f>
        <v>4279.619999999999</v>
      </c>
    </row>
    <row r="871" spans="1:5" x14ac:dyDescent="0.3">
      <c r="A871" s="9">
        <v>44379</v>
      </c>
      <c r="B871" s="10" t="s">
        <v>11</v>
      </c>
      <c r="C871" s="10" t="s">
        <v>28</v>
      </c>
      <c r="D871" s="12">
        <v>279.25</v>
      </c>
      <c r="E871" s="12">
        <f>SUMIF('Parametros Inventario'!$A:$A,B871,'Parametros Inventario'!$B:$B)+SUMIFS(D$2:D871,B$2:B871,B871,C$2:C871,"ENTRADA")-SUMIFS(D$2:D871,B$2:B871,B871,C$2:C871,"SALIDA")</f>
        <v>5242.8029999999999</v>
      </c>
    </row>
    <row r="872" spans="1:5" x14ac:dyDescent="0.3">
      <c r="A872" s="9">
        <v>44379</v>
      </c>
      <c r="B872" s="10" t="s">
        <v>9</v>
      </c>
      <c r="C872" s="10" t="s">
        <v>28</v>
      </c>
      <c r="D872" s="12">
        <v>99.22</v>
      </c>
      <c r="E872" s="12">
        <f>SUMIF('Parametros Inventario'!$A:$A,B872,'Parametros Inventario'!$B:$B)+SUMIFS(D$2:D872,B$2:B872,B872,C$2:C872,"ENTRADA")-SUMIFS(D$2:D872,B$2:B872,B872,C$2:C872,"SALIDA")</f>
        <v>3087.2210000000005</v>
      </c>
    </row>
    <row r="873" spans="1:5" x14ac:dyDescent="0.3">
      <c r="A873" s="9">
        <v>44379</v>
      </c>
      <c r="B873" s="10" t="s">
        <v>14</v>
      </c>
      <c r="C873" s="10" t="s">
        <v>28</v>
      </c>
      <c r="D873" s="12">
        <v>132.31</v>
      </c>
      <c r="E873" s="12">
        <f>SUMIF('Parametros Inventario'!$A:$A,B873,'Parametros Inventario'!$B:$B)+SUMIFS(D$2:D873,B$2:B873,B873,C$2:C873,"ENTRADA")-SUMIFS(D$2:D873,B$2:B873,B873,C$2:C873,"SALIDA")</f>
        <v>4056.4700000000003</v>
      </c>
    </row>
    <row r="874" spans="1:5" x14ac:dyDescent="0.3">
      <c r="A874" s="9">
        <v>44379</v>
      </c>
      <c r="B874" s="10" t="s">
        <v>12</v>
      </c>
      <c r="C874" s="10" t="s">
        <v>28</v>
      </c>
      <c r="D874" s="12">
        <v>65.709999999999994</v>
      </c>
      <c r="E874" s="12">
        <f>SUMIF('Parametros Inventario'!$A:$A,B874,'Parametros Inventario'!$B:$B)+SUMIFS(D$2:D874,B$2:B874,B874,C$2:C874,"ENTRADA")-SUMIFS(D$2:D874,B$2:B874,B874,C$2:C874,"SALIDA")</f>
        <v>4802.2709999999997</v>
      </c>
    </row>
    <row r="875" spans="1:5" x14ac:dyDescent="0.3">
      <c r="A875" s="9">
        <v>44379</v>
      </c>
      <c r="B875" s="10" t="s">
        <v>16</v>
      </c>
      <c r="C875" s="10" t="s">
        <v>28</v>
      </c>
      <c r="D875" s="12">
        <v>206.32</v>
      </c>
      <c r="E875" s="12">
        <f>SUMIF('Parametros Inventario'!$A:$A,B875,'Parametros Inventario'!$B:$B)+SUMIFS(D$2:D875,B$2:B875,B875,C$2:C875,"ENTRADA")-SUMIFS(D$2:D875,B$2:B875,B875,C$2:C875,"SALIDA")</f>
        <v>4703.5579999999991</v>
      </c>
    </row>
    <row r="876" spans="1:5" x14ac:dyDescent="0.3">
      <c r="A876" s="9">
        <v>44379</v>
      </c>
      <c r="B876" s="10" t="s">
        <v>17</v>
      </c>
      <c r="C876" s="10" t="s">
        <v>28</v>
      </c>
      <c r="D876" s="12">
        <v>56.97</v>
      </c>
      <c r="E876" s="12">
        <f>SUMIF('Parametros Inventario'!$A:$A,B876,'Parametros Inventario'!$B:$B)+SUMIFS(D$2:D876,B$2:B876,B876,C$2:C876,"ENTRADA")-SUMIFS(D$2:D876,B$2:B876,B876,C$2:C876,"SALIDA")</f>
        <v>3990.322999999999</v>
      </c>
    </row>
    <row r="877" spans="1:5" x14ac:dyDescent="0.3">
      <c r="A877" s="9">
        <v>44379</v>
      </c>
      <c r="B877" s="10" t="s">
        <v>18</v>
      </c>
      <c r="C877" s="10" t="s">
        <v>28</v>
      </c>
      <c r="D877" s="12">
        <v>157.99</v>
      </c>
      <c r="E877" s="12">
        <f>SUMIF('Parametros Inventario'!$A:$A,B877,'Parametros Inventario'!$B:$B)+SUMIFS(D$2:D877,B$2:B877,B877,C$2:C877,"ENTRADA")-SUMIFS(D$2:D877,B$2:B877,B877,C$2:C877,"SALIDA")</f>
        <v>4879.3859999999995</v>
      </c>
    </row>
    <row r="878" spans="1:5" x14ac:dyDescent="0.3">
      <c r="A878" s="9">
        <v>44379</v>
      </c>
      <c r="B878" s="10" t="s">
        <v>10</v>
      </c>
      <c r="C878" s="10" t="s">
        <v>28</v>
      </c>
      <c r="D878" s="12">
        <v>56.01</v>
      </c>
      <c r="E878" s="12">
        <f>SUMIF('Parametros Inventario'!$A:$A,B878,'Parametros Inventario'!$B:$B)+SUMIFS(D$2:D878,B$2:B878,B878,C$2:C878,"ENTRADA")-SUMIFS(D$2:D878,B$2:B878,B878,C$2:C878,"SALIDA")</f>
        <v>4874.7099999999991</v>
      </c>
    </row>
    <row r="879" spans="1:5" x14ac:dyDescent="0.3">
      <c r="A879" s="9">
        <v>44379</v>
      </c>
      <c r="B879" s="10" t="s">
        <v>8</v>
      </c>
      <c r="C879" s="10" t="s">
        <v>28</v>
      </c>
      <c r="D879" s="12">
        <v>249.31</v>
      </c>
      <c r="E879" s="12">
        <f>SUMIF('Parametros Inventario'!$A:$A,B879,'Parametros Inventario'!$B:$B)+SUMIFS(D$2:D879,B$2:B879,B879,C$2:C879,"ENTRADA")-SUMIFS(D$2:D879,B$2:B879,B879,C$2:C879,"SALIDA")</f>
        <v>4054.3580000000011</v>
      </c>
    </row>
    <row r="880" spans="1:5" x14ac:dyDescent="0.3">
      <c r="A880" s="9">
        <f>'Volúmenes DIstribuidos '!B573</f>
        <v>44379</v>
      </c>
      <c r="B880" s="10" t="str">
        <f>IF(OR('Volúmenes DIstribuidos '!C573="Azúcar",'Volúmenes DIstribuidos '!C573="azúcar"),"Azúcar o dulce",IF('Volúmenes DIstribuidos '!C573="Aceite","Aceite o grasas",IF('Volúmenes DIstribuidos '!C573="Avena","Otros almidones",'Volúmenes DIstribuidos '!C573)))</f>
        <v>Carnes rojas</v>
      </c>
      <c r="C880" s="10" t="s">
        <v>29</v>
      </c>
      <c r="D880" s="12">
        <f>'Volúmenes DIstribuidos '!D573</f>
        <v>39.183</v>
      </c>
      <c r="E880" s="12">
        <f>SUMIF('Parametros Inventario'!$A:$A,B880,'Parametros Inventario'!$B:$B)+SUMIFS(D$2:D880,B$2:B880,B880,C$2:C880,"ENTRADA")-SUMIFS(D$2:D880,B$2:B880,B880,C$2:C880,"SALIDA")</f>
        <v>4763.0879999999997</v>
      </c>
    </row>
    <row r="881" spans="1:5" x14ac:dyDescent="0.3">
      <c r="A881" s="9">
        <f>'Volúmenes DIstribuidos '!B573</f>
        <v>44379</v>
      </c>
      <c r="B881" s="10" t="str">
        <f>IF(OR('Volúmenes DIstribuidos '!C574="Azúcar",'Volúmenes DIstribuidos '!C574="azúcar"),"Azúcar o dulce",IF('Volúmenes DIstribuidos '!C574="Aceite","Aceite o grasas",IF('Volúmenes DIstribuidos '!C574="Avena","Otros almidones",'Volúmenes DIstribuidos '!C574)))</f>
        <v>Fideo</v>
      </c>
      <c r="C881" s="10" t="s">
        <v>29</v>
      </c>
      <c r="D881" s="12">
        <f>'Volúmenes DIstribuidos '!D574</f>
        <v>21.73</v>
      </c>
      <c r="E881" s="12">
        <f>SUMIF('Parametros Inventario'!$A:$A,B881,'Parametros Inventario'!$B:$B)+SUMIFS(D$2:D881,B$2:B881,B881,C$2:C881,"ENTRADA")-SUMIFS(D$2:D881,B$2:B881,B881,C$2:C881,"SALIDA")</f>
        <v>5221.0730000000003</v>
      </c>
    </row>
    <row r="882" spans="1:5" x14ac:dyDescent="0.3">
      <c r="A882" s="9">
        <f>'Volúmenes DIstribuidos '!B573</f>
        <v>44379</v>
      </c>
      <c r="B882" s="10" t="str">
        <f>IF(OR('Volúmenes DIstribuidos '!C575="Azúcar",'Volúmenes DIstribuidos '!C575="azúcar"),"Azúcar o dulce",IF('Volúmenes DIstribuidos '!C575="Aceite","Aceite o grasas",IF('Volúmenes DIstribuidos '!C575="Avena","Otros almidones",'Volúmenes DIstribuidos '!C575)))</f>
        <v>Otros almidones</v>
      </c>
      <c r="C882" s="10" t="s">
        <v>29</v>
      </c>
      <c r="D882" s="12">
        <f>'Volúmenes DIstribuidos '!D575</f>
        <v>15.03</v>
      </c>
      <c r="E882" s="12">
        <f>SUMIF('Parametros Inventario'!$A:$A,B882,'Parametros Inventario'!$B:$B)+SUMIFS(D$2:D882,B$2:B882,B882,C$2:C882,"ENTRADA")-SUMIFS(D$2:D882,B$2:B882,B882,C$2:C882,"SALIDA")</f>
        <v>4264.5899999999992</v>
      </c>
    </row>
    <row r="883" spans="1:5" x14ac:dyDescent="0.3">
      <c r="A883" s="9">
        <f>'Volúmenes DIstribuidos '!B573</f>
        <v>44379</v>
      </c>
      <c r="B883" s="10" t="str">
        <f>IF(OR('Volúmenes DIstribuidos '!C576="Azúcar",'Volúmenes DIstribuidos '!C576="azúcar"),"Azúcar o dulce",IF('Volúmenes DIstribuidos '!C576="Aceite","Aceite o grasas",IF('Volúmenes DIstribuidos '!C576="Avena","Otros almidones",'Volúmenes DIstribuidos '!C576)))</f>
        <v>Panadería</v>
      </c>
      <c r="C883" s="10" t="s">
        <v>29</v>
      </c>
      <c r="D883" s="12">
        <f>'Volúmenes DIstribuidos '!D576</f>
        <v>25.61</v>
      </c>
      <c r="E883" s="12">
        <f>SUMIF('Parametros Inventario'!$A:$A,B883,'Parametros Inventario'!$B:$B)+SUMIFS(D$2:D883,B$2:B883,B883,C$2:C883,"ENTRADA")-SUMIFS(D$2:D883,B$2:B883,B883,C$2:C883,"SALIDA")</f>
        <v>3061.6110000000008</v>
      </c>
    </row>
    <row r="884" spans="1:5" x14ac:dyDescent="0.3">
      <c r="A884" s="9">
        <f>'Volúmenes DIstribuidos '!B573</f>
        <v>44379</v>
      </c>
      <c r="B884" s="10" t="str">
        <f>IF(OR('Volúmenes DIstribuidos '!C577="Azúcar",'Volúmenes DIstribuidos '!C577="azúcar"),"Azúcar o dulce",IF('Volúmenes DIstribuidos '!C577="Aceite","Aceite o grasas",IF('Volúmenes DIstribuidos '!C577="Avena","Otros almidones",'Volúmenes DIstribuidos '!C577)))</f>
        <v>Azúcar o dulce</v>
      </c>
      <c r="C884" s="10" t="s">
        <v>29</v>
      </c>
      <c r="D884" s="12">
        <f>'Volúmenes DIstribuidos '!D577</f>
        <v>4.42</v>
      </c>
      <c r="E884" s="12">
        <f>SUMIF('Parametros Inventario'!$A:$A,B884,'Parametros Inventario'!$B:$B)+SUMIFS(D$2:D884,B$2:B884,B884,C$2:C884,"ENTRADA")-SUMIFS(D$2:D884,B$2:B884,B884,C$2:C884,"SALIDA")</f>
        <v>5225.5610000000006</v>
      </c>
    </row>
    <row r="885" spans="1:5" x14ac:dyDescent="0.3">
      <c r="A885" s="9">
        <f>'Volúmenes DIstribuidos '!B573</f>
        <v>44379</v>
      </c>
      <c r="B885" s="10" t="str">
        <f>IF(OR('Volúmenes DIstribuidos '!C578="Azúcar",'Volúmenes DIstribuidos '!C578="azúcar"),"Azúcar o dulce",IF('Volúmenes DIstribuidos '!C578="Aceite","Aceite o grasas",IF('Volúmenes DIstribuidos '!C578="Avena","Otros almidones",'Volúmenes DIstribuidos '!C578)))</f>
        <v>Salsas</v>
      </c>
      <c r="C885" s="10" t="s">
        <v>29</v>
      </c>
      <c r="D885" s="12">
        <f>'Volúmenes DIstribuidos '!D578</f>
        <v>9.85</v>
      </c>
      <c r="E885" s="12">
        <f>SUMIF('Parametros Inventario'!$A:$A,B885,'Parametros Inventario'!$B:$B)+SUMIFS(D$2:D885,B$2:B885,B885,C$2:C885,"ENTRADA")-SUMIFS(D$2:D885,B$2:B885,B885,C$2:C885,"SALIDA")</f>
        <v>4869.5360000000001</v>
      </c>
    </row>
    <row r="886" spans="1:5" x14ac:dyDescent="0.3">
      <c r="A886" s="9">
        <f>'Volúmenes DIstribuidos '!B579</f>
        <v>44383</v>
      </c>
      <c r="B886" s="10" t="str">
        <f>IF(OR('Volúmenes DIstribuidos '!C579="Azúcar",'Volúmenes DIstribuidos '!C579="azúcar"),"Azúcar o dulce",IF('Volúmenes DIstribuidos '!C579="Aceite","Aceite o grasas",IF('Volúmenes DIstribuidos '!C579="Avena","Otros almidones",'Volúmenes DIstribuidos '!C579)))</f>
        <v>Carnes blancas</v>
      </c>
      <c r="C886" s="10" t="s">
        <v>29</v>
      </c>
      <c r="D886" s="12">
        <f>'Volúmenes DIstribuidos '!D579</f>
        <v>43.462000000000003</v>
      </c>
      <c r="E886" s="12">
        <f>SUMIF('Parametros Inventario'!$A:$A,B886,'Parametros Inventario'!$B:$B)+SUMIFS(D$2:D886,B$2:B886,B886,C$2:C886,"ENTRADA")-SUMIFS(D$2:D886,B$2:B886,B886,C$2:C886,"SALIDA")</f>
        <v>4660.0959999999995</v>
      </c>
    </row>
    <row r="887" spans="1:5" x14ac:dyDescent="0.3">
      <c r="A887" s="9">
        <f>'Volúmenes DIstribuidos '!B579</f>
        <v>44383</v>
      </c>
      <c r="B887" s="10" t="str">
        <f>IF(OR('Volúmenes DIstribuidos '!C580="Azúcar",'Volúmenes DIstribuidos '!C580="azúcar"),"Azúcar o dulce",IF('Volúmenes DIstribuidos '!C580="Aceite","Aceite o grasas",IF('Volúmenes DIstribuidos '!C580="Avena","Otros almidones",'Volúmenes DIstribuidos '!C580)))</f>
        <v>Carnes rojas</v>
      </c>
      <c r="C887" s="10" t="s">
        <v>29</v>
      </c>
      <c r="D887" s="12">
        <f>'Volúmenes DIstribuidos '!D580</f>
        <v>41.81</v>
      </c>
      <c r="E887" s="12">
        <f>SUMIF('Parametros Inventario'!$A:$A,B887,'Parametros Inventario'!$B:$B)+SUMIFS(D$2:D887,B$2:B887,B887,C$2:C887,"ENTRADA")-SUMIFS(D$2:D887,B$2:B887,B887,C$2:C887,"SALIDA")</f>
        <v>4721.2780000000002</v>
      </c>
    </row>
    <row r="888" spans="1:5" x14ac:dyDescent="0.3">
      <c r="A888" s="9">
        <f>'Volúmenes DIstribuidos '!B579</f>
        <v>44383</v>
      </c>
      <c r="B888" s="10" t="str">
        <f>IF(OR('Volúmenes DIstribuidos '!C581="Azúcar",'Volúmenes DIstribuidos '!C581="azúcar"),"Azúcar o dulce",IF('Volúmenes DIstribuidos '!C581="Aceite","Aceite o grasas",IF('Volúmenes DIstribuidos '!C581="Avena","Otros almidones",'Volúmenes DIstribuidos '!C581)))</f>
        <v>Azúcar o dulce</v>
      </c>
      <c r="C888" s="10" t="s">
        <v>29</v>
      </c>
      <c r="D888" s="12">
        <f>'Volúmenes DIstribuidos '!D581</f>
        <v>104.14</v>
      </c>
      <c r="E888" s="12">
        <f>SUMIF('Parametros Inventario'!$A:$A,B888,'Parametros Inventario'!$B:$B)+SUMIFS(D$2:D888,B$2:B888,B888,C$2:C888,"ENTRADA")-SUMIFS(D$2:D888,B$2:B888,B888,C$2:C888,"SALIDA")</f>
        <v>5121.4210000000003</v>
      </c>
    </row>
    <row r="889" spans="1:5" x14ac:dyDescent="0.3">
      <c r="A889" s="9">
        <f>'Volúmenes DIstribuidos '!B579</f>
        <v>44383</v>
      </c>
      <c r="B889" s="10" t="str">
        <f>IF(OR('Volúmenes DIstribuidos '!C582="Azúcar",'Volúmenes DIstribuidos '!C582="azúcar"),"Azúcar o dulce",IF('Volúmenes DIstribuidos '!C582="Aceite","Aceite o grasas",IF('Volúmenes DIstribuidos '!C582="Avena","Otros almidones",'Volúmenes DIstribuidos '!C582)))</f>
        <v>Fideo</v>
      </c>
      <c r="C889" s="10" t="s">
        <v>29</v>
      </c>
      <c r="D889" s="12">
        <f>'Volúmenes DIstribuidos '!D582</f>
        <v>15.916</v>
      </c>
      <c r="E889" s="12">
        <f>SUMIF('Parametros Inventario'!$A:$A,B889,'Parametros Inventario'!$B:$B)+SUMIFS(D$2:D889,B$2:B889,B889,C$2:C889,"ENTRADA")-SUMIFS(D$2:D889,B$2:B889,B889,C$2:C889,"SALIDA")</f>
        <v>5205.1570000000002</v>
      </c>
    </row>
    <row r="890" spans="1:5" x14ac:dyDescent="0.3">
      <c r="A890" s="9">
        <f>'Volúmenes DIstribuidos '!B579</f>
        <v>44383</v>
      </c>
      <c r="B890" s="10" t="str">
        <f>IF(OR('Volúmenes DIstribuidos '!C583="Azúcar",'Volúmenes DIstribuidos '!C583="azúcar"),"Azúcar o dulce",IF('Volúmenes DIstribuidos '!C583="Aceite","Aceite o grasas",IF('Volúmenes DIstribuidos '!C583="Avena","Otros almidones",'Volúmenes DIstribuidos '!C583)))</f>
        <v>Aceite o grasas</v>
      </c>
      <c r="C890" s="10" t="s">
        <v>29</v>
      </c>
      <c r="D890" s="12">
        <f>'Volúmenes DIstribuidos '!D583</f>
        <v>33.17</v>
      </c>
      <c r="E890" s="12">
        <f>SUMIF('Parametros Inventario'!$A:$A,B890,'Parametros Inventario'!$B:$B)+SUMIFS(D$2:D890,B$2:B890,B890,C$2:C890,"ENTRADA")-SUMIFS(D$2:D890,B$2:B890,B890,C$2:C890,"SALIDA")</f>
        <v>4021.188000000001</v>
      </c>
    </row>
    <row r="891" spans="1:5" x14ac:dyDescent="0.3">
      <c r="A891" s="9">
        <f>'Volúmenes DIstribuidos '!B579</f>
        <v>44383</v>
      </c>
      <c r="B891" s="10" t="str">
        <f>IF(OR('Volúmenes DIstribuidos '!C584="Azúcar",'Volúmenes DIstribuidos '!C584="azúcar"),"Azúcar o dulce",IF('Volúmenes DIstribuidos '!C584="Aceite","Aceite o grasas",IF('Volúmenes DIstribuidos '!C584="Avena","Otros almidones",'Volúmenes DIstribuidos '!C584)))</f>
        <v>Carnes blancas</v>
      </c>
      <c r="C891" s="10" t="s">
        <v>29</v>
      </c>
      <c r="D891" s="12">
        <f>'Volúmenes DIstribuidos '!D584</f>
        <v>46.25</v>
      </c>
      <c r="E891" s="12">
        <f>SUMIF('Parametros Inventario'!$A:$A,B891,'Parametros Inventario'!$B:$B)+SUMIFS(D$2:D891,B$2:B891,B891,C$2:C891,"ENTRADA")-SUMIFS(D$2:D891,B$2:B891,B891,C$2:C891,"SALIDA")</f>
        <v>4613.8459999999995</v>
      </c>
    </row>
    <row r="892" spans="1:5" x14ac:dyDescent="0.3">
      <c r="A892" s="9">
        <f>'Volúmenes DIstribuidos '!B585</f>
        <v>44386</v>
      </c>
      <c r="B892" s="10" t="str">
        <f>IF(OR('Volúmenes DIstribuidos '!C585="Azúcar",'Volúmenes DIstribuidos '!C585="azúcar"),"Azúcar o dulce",IF('Volúmenes DIstribuidos '!C585="Aceite","Aceite o grasas",IF('Volúmenes DIstribuidos '!C585="Avena","Otros almidones",'Volúmenes DIstribuidos '!C585)))</f>
        <v>Lácteos</v>
      </c>
      <c r="C892" s="10" t="s">
        <v>29</v>
      </c>
      <c r="D892" s="12">
        <f>'Volúmenes DIstribuidos '!D585</f>
        <v>24.43</v>
      </c>
      <c r="E892" s="12">
        <f>SUMIF('Parametros Inventario'!$A:$A,B892,'Parametros Inventario'!$B:$B)+SUMIFS(D$2:D892,B$2:B892,B892,C$2:C892,"ENTRADA")-SUMIFS(D$2:D892,B$2:B892,B892,C$2:C892,"SALIDA")</f>
        <v>3965.8929999999991</v>
      </c>
    </row>
    <row r="893" spans="1:5" x14ac:dyDescent="0.3">
      <c r="A893" s="9">
        <f>'Volúmenes DIstribuidos '!B585</f>
        <v>44386</v>
      </c>
      <c r="B893" s="10" t="str">
        <f>IF(OR('Volúmenes DIstribuidos '!C586="Azúcar",'Volúmenes DIstribuidos '!C586="azúcar"),"Azúcar o dulce",IF('Volúmenes DIstribuidos '!C586="Aceite","Aceite o grasas",IF('Volúmenes DIstribuidos '!C586="Avena","Otros almidones",'Volúmenes DIstribuidos '!C586)))</f>
        <v>Salsas</v>
      </c>
      <c r="C893" s="10" t="s">
        <v>29</v>
      </c>
      <c r="D893" s="12">
        <f>'Volúmenes DIstribuidos '!D586</f>
        <v>34.65</v>
      </c>
      <c r="E893" s="12">
        <f>SUMIF('Parametros Inventario'!$A:$A,B893,'Parametros Inventario'!$B:$B)+SUMIFS(D$2:D893,B$2:B893,B893,C$2:C893,"ENTRADA")-SUMIFS(D$2:D893,B$2:B893,B893,C$2:C893,"SALIDA")</f>
        <v>4834.8859999999995</v>
      </c>
    </row>
    <row r="894" spans="1:5" x14ac:dyDescent="0.3">
      <c r="A894" s="9">
        <f>'Volúmenes DIstribuidos '!B585</f>
        <v>44386</v>
      </c>
      <c r="B894" s="10" t="str">
        <f>IF(OR('Volúmenes DIstribuidos '!C587="Azúcar",'Volúmenes DIstribuidos '!C587="azúcar"),"Azúcar o dulce",IF('Volúmenes DIstribuidos '!C587="Aceite","Aceite o grasas",IF('Volúmenes DIstribuidos '!C587="Avena","Otros almidones",'Volúmenes DIstribuidos '!C587)))</f>
        <v>Panadería</v>
      </c>
      <c r="C894" s="10" t="s">
        <v>29</v>
      </c>
      <c r="D894" s="12">
        <f>'Volúmenes DIstribuidos '!D587</f>
        <v>178.22</v>
      </c>
      <c r="E894" s="12">
        <f>SUMIF('Parametros Inventario'!$A:$A,B894,'Parametros Inventario'!$B:$B)+SUMIFS(D$2:D894,B$2:B894,B894,C$2:C894,"ENTRADA")-SUMIFS(D$2:D894,B$2:B894,B894,C$2:C894,"SALIDA")</f>
        <v>2883.391000000001</v>
      </c>
    </row>
    <row r="895" spans="1:5" x14ac:dyDescent="0.3">
      <c r="A895" s="9">
        <f>'Volúmenes DIstribuidos '!B585</f>
        <v>44386</v>
      </c>
      <c r="B895" s="10" t="str">
        <f>IF(OR('Volúmenes DIstribuidos '!C588="Azúcar",'Volúmenes DIstribuidos '!C588="azúcar"),"Azúcar o dulce",IF('Volúmenes DIstribuidos '!C588="Aceite","Aceite o grasas",IF('Volúmenes DIstribuidos '!C588="Avena","Otros almidones",'Volúmenes DIstribuidos '!C588)))</f>
        <v>Fideo</v>
      </c>
      <c r="C895" s="10" t="s">
        <v>29</v>
      </c>
      <c r="D895" s="12">
        <f>'Volúmenes DIstribuidos '!D588</f>
        <v>35.357999999999997</v>
      </c>
      <c r="E895" s="12">
        <f>SUMIF('Parametros Inventario'!$A:$A,B895,'Parametros Inventario'!$B:$B)+SUMIFS(D$2:D895,B$2:B895,B895,C$2:C895,"ENTRADA")-SUMIFS(D$2:D895,B$2:B895,B895,C$2:C895,"SALIDA")</f>
        <v>5169.799</v>
      </c>
    </row>
    <row r="896" spans="1:5" x14ac:dyDescent="0.3">
      <c r="A896" s="9">
        <f>'Volúmenes DIstribuidos '!B585</f>
        <v>44386</v>
      </c>
      <c r="B896" s="10" t="str">
        <f>IF(OR('Volúmenes DIstribuidos '!C589="Azúcar",'Volúmenes DIstribuidos '!C589="azúcar"),"Azúcar o dulce",IF('Volúmenes DIstribuidos '!C589="Aceite","Aceite o grasas",IF('Volúmenes DIstribuidos '!C589="Avena","Otros almidones",'Volúmenes DIstribuidos '!C589)))</f>
        <v>Vegetales y hojas</v>
      </c>
      <c r="C896" s="10" t="s">
        <v>29</v>
      </c>
      <c r="D896" s="12">
        <f>'Volúmenes DIstribuidos '!D589</f>
        <v>54.57</v>
      </c>
      <c r="E896" s="12">
        <f>SUMIF('Parametros Inventario'!$A:$A,B896,'Parametros Inventario'!$B:$B)+SUMIFS(D$2:D896,B$2:B896,B896,C$2:C896,"ENTRADA")-SUMIFS(D$2:D896,B$2:B896,B896,C$2:C896,"SALIDA")</f>
        <v>4820.1399999999994</v>
      </c>
    </row>
    <row r="897" spans="1:5" x14ac:dyDescent="0.3">
      <c r="A897" s="9">
        <f>'Volúmenes DIstribuidos '!B585</f>
        <v>44386</v>
      </c>
      <c r="B897" s="10" t="str">
        <f>IF(OR('Volúmenes DIstribuidos '!C590="Azúcar",'Volúmenes DIstribuidos '!C590="azúcar"),"Azúcar o dulce",IF('Volúmenes DIstribuidos '!C590="Aceite","Aceite o grasas",IF('Volúmenes DIstribuidos '!C590="Avena","Otros almidones",'Volúmenes DIstribuidos '!C590)))</f>
        <v>Azúcar o dulce</v>
      </c>
      <c r="C897" s="10" t="s">
        <v>29</v>
      </c>
      <c r="D897" s="12">
        <f>'Volúmenes DIstribuidos '!D590</f>
        <v>43.62</v>
      </c>
      <c r="E897" s="12">
        <f>SUMIF('Parametros Inventario'!$A:$A,B897,'Parametros Inventario'!$B:$B)+SUMIFS(D$2:D897,B$2:B897,B897,C$2:C897,"ENTRADA")-SUMIFS(D$2:D897,B$2:B897,B897,C$2:C897,"SALIDA")</f>
        <v>5077.8010000000004</v>
      </c>
    </row>
    <row r="898" spans="1:5" x14ac:dyDescent="0.3">
      <c r="A898" s="9">
        <f>'Volúmenes DIstribuidos '!B591</f>
        <v>44390</v>
      </c>
      <c r="B898" s="10" t="str">
        <f>IF(OR('Volúmenes DIstribuidos '!C591="Azúcar",'Volúmenes DIstribuidos '!C591="azúcar"),"Azúcar o dulce",IF('Volúmenes DIstribuidos '!C591="Aceite","Aceite o grasas",IF('Volúmenes DIstribuidos '!C591="Avena","Otros almidones",'Volúmenes DIstribuidos '!C591)))</f>
        <v>Panadería</v>
      </c>
      <c r="C898" s="10" t="s">
        <v>29</v>
      </c>
      <c r="D898" s="12">
        <f>'Volúmenes DIstribuidos '!D591</f>
        <v>70</v>
      </c>
      <c r="E898" s="12">
        <f>SUMIF('Parametros Inventario'!$A:$A,B898,'Parametros Inventario'!$B:$B)+SUMIFS(D$2:D898,B$2:B898,B898,C$2:C898,"ENTRADA")-SUMIFS(D$2:D898,B$2:B898,B898,C$2:C898,"SALIDA")</f>
        <v>2813.391000000001</v>
      </c>
    </row>
    <row r="899" spans="1:5" x14ac:dyDescent="0.3">
      <c r="A899" s="9">
        <f>'Volúmenes DIstribuidos '!B591</f>
        <v>44390</v>
      </c>
      <c r="B899" s="10" t="str">
        <f>IF(OR('Volúmenes DIstribuidos '!C592="Azúcar",'Volúmenes DIstribuidos '!C592="azúcar"),"Azúcar o dulce",IF('Volúmenes DIstribuidos '!C592="Aceite","Aceite o grasas",IF('Volúmenes DIstribuidos '!C592="Avena","Otros almidones",'Volúmenes DIstribuidos '!C592)))</f>
        <v>Carnes blancas</v>
      </c>
      <c r="C899" s="10" t="s">
        <v>29</v>
      </c>
      <c r="D899" s="12">
        <f>'Volúmenes DIstribuidos '!D592</f>
        <v>79.25</v>
      </c>
      <c r="E899" s="12">
        <f>SUMIF('Parametros Inventario'!$A:$A,B899,'Parametros Inventario'!$B:$B)+SUMIFS(D$2:D899,B$2:B899,B899,C$2:C899,"ENTRADA")-SUMIFS(D$2:D899,B$2:B899,B899,C$2:C899,"SALIDA")</f>
        <v>4534.5959999999995</v>
      </c>
    </row>
    <row r="900" spans="1:5" x14ac:dyDescent="0.3">
      <c r="A900" s="9">
        <f>'Volúmenes DIstribuidos '!B591</f>
        <v>44390</v>
      </c>
      <c r="B900" s="10" t="str">
        <f>IF(OR('Volúmenes DIstribuidos '!C593="Azúcar",'Volúmenes DIstribuidos '!C593="azúcar"),"Azúcar o dulce",IF('Volúmenes DIstribuidos '!C593="Aceite","Aceite o grasas",IF('Volúmenes DIstribuidos '!C593="Avena","Otros almidones",'Volúmenes DIstribuidos '!C593)))</f>
        <v>Menestras</v>
      </c>
      <c r="C900" s="10" t="s">
        <v>29</v>
      </c>
      <c r="D900" s="12">
        <f>'Volúmenes DIstribuidos '!D593</f>
        <v>9.3420000000000005</v>
      </c>
      <c r="E900" s="12">
        <f>SUMIF('Parametros Inventario'!$A:$A,B900,'Parametros Inventario'!$B:$B)+SUMIFS(D$2:D900,B$2:B900,B900,C$2:C900,"ENTRADA")-SUMIFS(D$2:D900,B$2:B900,B900,C$2:C900,"SALIDA")</f>
        <v>4047.1280000000002</v>
      </c>
    </row>
    <row r="901" spans="1:5" x14ac:dyDescent="0.3">
      <c r="A901" s="9">
        <f>'Volúmenes DIstribuidos '!B591</f>
        <v>44390</v>
      </c>
      <c r="B901" s="10" t="str">
        <f>IF(OR('Volúmenes DIstribuidos '!C594="Azúcar",'Volúmenes DIstribuidos '!C594="azúcar"),"Azúcar o dulce",IF('Volúmenes DIstribuidos '!C594="Aceite","Aceite o grasas",IF('Volúmenes DIstribuidos '!C594="Avena","Otros almidones",'Volúmenes DIstribuidos '!C594)))</f>
        <v>Menestras</v>
      </c>
      <c r="C901" s="10" t="s">
        <v>29</v>
      </c>
      <c r="D901" s="12">
        <f>'Volúmenes DIstribuidos '!D594</f>
        <v>28.68</v>
      </c>
      <c r="E901" s="12">
        <f>SUMIF('Parametros Inventario'!$A:$A,B901,'Parametros Inventario'!$B:$B)+SUMIFS(D$2:D901,B$2:B901,B901,C$2:C901,"ENTRADA")-SUMIFS(D$2:D901,B$2:B901,B901,C$2:C901,"SALIDA")</f>
        <v>4018.4480000000003</v>
      </c>
    </row>
    <row r="902" spans="1:5" x14ac:dyDescent="0.3">
      <c r="A902" s="9">
        <f>'Volúmenes DIstribuidos '!B591</f>
        <v>44390</v>
      </c>
      <c r="B902" s="10" t="str">
        <f>IF(OR('Volúmenes DIstribuidos '!C595="Azúcar",'Volúmenes DIstribuidos '!C595="azúcar"),"Azúcar o dulce",IF('Volúmenes DIstribuidos '!C595="Aceite","Aceite o grasas",IF('Volúmenes DIstribuidos '!C595="Avena","Otros almidones",'Volúmenes DIstribuidos '!C595)))</f>
        <v>Azúcar o dulce</v>
      </c>
      <c r="C902" s="10" t="s">
        <v>29</v>
      </c>
      <c r="D902" s="12">
        <f>'Volúmenes DIstribuidos '!D595</f>
        <v>3.82</v>
      </c>
      <c r="E902" s="12">
        <f>SUMIF('Parametros Inventario'!$A:$A,B902,'Parametros Inventario'!$B:$B)+SUMIFS(D$2:D902,B$2:B902,B902,C$2:C902,"ENTRADA")-SUMIFS(D$2:D902,B$2:B902,B902,C$2:C902,"SALIDA")</f>
        <v>5073.9810000000007</v>
      </c>
    </row>
    <row r="903" spans="1:5" x14ac:dyDescent="0.3">
      <c r="A903" s="9">
        <f>'Volúmenes DIstribuidos '!B591</f>
        <v>44390</v>
      </c>
      <c r="B903" s="10" t="str">
        <f>IF(OR('Volúmenes DIstribuidos '!C596="Azúcar",'Volúmenes DIstribuidos '!C596="azúcar"),"Azúcar o dulce",IF('Volúmenes DIstribuidos '!C596="Aceite","Aceite o grasas",IF('Volúmenes DIstribuidos '!C596="Avena","Otros almidones",'Volúmenes DIstribuidos '!C596)))</f>
        <v>Salsas</v>
      </c>
      <c r="C903" s="10" t="s">
        <v>29</v>
      </c>
      <c r="D903" s="12">
        <f>'Volúmenes DIstribuidos '!D596</f>
        <v>31.332000000000001</v>
      </c>
      <c r="E903" s="12">
        <f>SUMIF('Parametros Inventario'!$A:$A,B903,'Parametros Inventario'!$B:$B)+SUMIFS(D$2:D903,B$2:B903,B903,C$2:C903,"ENTRADA")-SUMIFS(D$2:D903,B$2:B903,B903,C$2:C903,"SALIDA")</f>
        <v>4803.5539999999992</v>
      </c>
    </row>
    <row r="904" spans="1:5" x14ac:dyDescent="0.3">
      <c r="A904" s="9">
        <v>44393</v>
      </c>
      <c r="B904" s="10" t="s">
        <v>13</v>
      </c>
      <c r="C904" s="10" t="s">
        <v>28</v>
      </c>
      <c r="D904" s="12">
        <v>283.77</v>
      </c>
      <c r="E904" s="12">
        <f>SUMIF('Parametros Inventario'!$A:$A,B904,'Parametros Inventario'!$B:$B)+SUMIFS(D$2:D904,B$2:B904,B904,C$2:C904,"ENTRADA")-SUMIFS(D$2:D904,B$2:B904,B904,C$2:C904,"SALIDA")</f>
        <v>5357.7510000000011</v>
      </c>
    </row>
    <row r="905" spans="1:5" x14ac:dyDescent="0.3">
      <c r="A905" s="9">
        <v>44393</v>
      </c>
      <c r="B905" s="10" t="s">
        <v>15</v>
      </c>
      <c r="C905" s="10" t="s">
        <v>28</v>
      </c>
      <c r="D905" s="12">
        <v>260.13</v>
      </c>
      <c r="E905" s="12">
        <f>SUMIF('Parametros Inventario'!$A:$A,B905,'Parametros Inventario'!$B:$B)+SUMIFS(D$2:D905,B$2:B905,B905,C$2:C905,"ENTRADA")-SUMIFS(D$2:D905,B$2:B905,B905,C$2:C905,"SALIDA")</f>
        <v>4524.7199999999993</v>
      </c>
    </row>
    <row r="906" spans="1:5" x14ac:dyDescent="0.3">
      <c r="A906" s="9">
        <v>44393</v>
      </c>
      <c r="B906" s="10" t="s">
        <v>11</v>
      </c>
      <c r="C906" s="10" t="s">
        <v>28</v>
      </c>
      <c r="D906" s="12">
        <v>111.79</v>
      </c>
      <c r="E906" s="12">
        <f>SUMIF('Parametros Inventario'!$A:$A,B906,'Parametros Inventario'!$B:$B)+SUMIFS(D$2:D906,B$2:B906,B906,C$2:C906,"ENTRADA")-SUMIFS(D$2:D906,B$2:B906,B906,C$2:C906,"SALIDA")</f>
        <v>5281.5889999999999</v>
      </c>
    </row>
    <row r="907" spans="1:5" x14ac:dyDescent="0.3">
      <c r="A907" s="9">
        <v>44393</v>
      </c>
      <c r="B907" s="10" t="s">
        <v>9</v>
      </c>
      <c r="C907" s="10" t="s">
        <v>28</v>
      </c>
      <c r="D907" s="12">
        <v>168.39</v>
      </c>
      <c r="E907" s="12">
        <f>SUMIF('Parametros Inventario'!$A:$A,B907,'Parametros Inventario'!$B:$B)+SUMIFS(D$2:D907,B$2:B907,B907,C$2:C907,"ENTRADA")-SUMIFS(D$2:D907,B$2:B907,B907,C$2:C907,"SALIDA")</f>
        <v>2981.7810000000013</v>
      </c>
    </row>
    <row r="908" spans="1:5" x14ac:dyDescent="0.3">
      <c r="A908" s="9">
        <v>44393</v>
      </c>
      <c r="B908" s="10" t="s">
        <v>14</v>
      </c>
      <c r="C908" s="10" t="s">
        <v>28</v>
      </c>
      <c r="D908" s="12">
        <v>289.7</v>
      </c>
      <c r="E908" s="12">
        <f>SUMIF('Parametros Inventario'!$A:$A,B908,'Parametros Inventario'!$B:$B)+SUMIFS(D$2:D908,B$2:B908,B908,C$2:C908,"ENTRADA")-SUMIFS(D$2:D908,B$2:B908,B908,C$2:C908,"SALIDA")</f>
        <v>4308.1480000000001</v>
      </c>
    </row>
    <row r="909" spans="1:5" x14ac:dyDescent="0.3">
      <c r="A909" s="9">
        <v>44393</v>
      </c>
      <c r="B909" s="10" t="s">
        <v>12</v>
      </c>
      <c r="C909" s="10" t="s">
        <v>28</v>
      </c>
      <c r="D909" s="12">
        <v>258.13</v>
      </c>
      <c r="E909" s="12">
        <f>SUMIF('Parametros Inventario'!$A:$A,B909,'Parametros Inventario'!$B:$B)+SUMIFS(D$2:D909,B$2:B909,B909,C$2:C909,"ENTRADA")-SUMIFS(D$2:D909,B$2:B909,B909,C$2:C909,"SALIDA")</f>
        <v>4979.4079999999994</v>
      </c>
    </row>
    <row r="910" spans="1:5" x14ac:dyDescent="0.3">
      <c r="A910" s="9">
        <v>44393</v>
      </c>
      <c r="B910" s="10" t="s">
        <v>16</v>
      </c>
      <c r="C910" s="10" t="s">
        <v>28</v>
      </c>
      <c r="D910" s="12">
        <v>255.41</v>
      </c>
      <c r="E910" s="12">
        <f>SUMIF('Parametros Inventario'!$A:$A,B910,'Parametros Inventario'!$B:$B)+SUMIFS(D$2:D910,B$2:B910,B910,C$2:C910,"ENTRADA")-SUMIFS(D$2:D910,B$2:B910,B910,C$2:C910,"SALIDA")</f>
        <v>4790.0059999999994</v>
      </c>
    </row>
    <row r="911" spans="1:5" x14ac:dyDescent="0.3">
      <c r="A911" s="9">
        <v>44393</v>
      </c>
      <c r="B911" s="10" t="s">
        <v>17</v>
      </c>
      <c r="C911" s="10" t="s">
        <v>28</v>
      </c>
      <c r="D911" s="12">
        <v>179.92</v>
      </c>
      <c r="E911" s="12">
        <f>SUMIF('Parametros Inventario'!$A:$A,B911,'Parametros Inventario'!$B:$B)+SUMIFS(D$2:D911,B$2:B911,B911,C$2:C911,"ENTRADA")-SUMIFS(D$2:D911,B$2:B911,B911,C$2:C911,"SALIDA")</f>
        <v>4145.8129999999992</v>
      </c>
    </row>
    <row r="912" spans="1:5" x14ac:dyDescent="0.3">
      <c r="A912" s="9">
        <v>44393</v>
      </c>
      <c r="B912" s="10" t="s">
        <v>18</v>
      </c>
      <c r="C912" s="10" t="s">
        <v>28</v>
      </c>
      <c r="D912" s="12">
        <v>109.19</v>
      </c>
      <c r="E912" s="12">
        <f>SUMIF('Parametros Inventario'!$A:$A,B912,'Parametros Inventario'!$B:$B)+SUMIFS(D$2:D912,B$2:B912,B912,C$2:C912,"ENTRADA")-SUMIFS(D$2:D912,B$2:B912,B912,C$2:C912,"SALIDA")</f>
        <v>4912.7439999999988</v>
      </c>
    </row>
    <row r="913" spans="1:5" x14ac:dyDescent="0.3">
      <c r="A913" s="9">
        <v>44393</v>
      </c>
      <c r="B913" s="10" t="s">
        <v>10</v>
      </c>
      <c r="C913" s="10" t="s">
        <v>28</v>
      </c>
      <c r="D913" s="12">
        <v>68.23</v>
      </c>
      <c r="E913" s="12">
        <f>SUMIF('Parametros Inventario'!$A:$A,B913,'Parametros Inventario'!$B:$B)+SUMIFS(D$2:D913,B$2:B913,B913,C$2:C913,"ENTRADA")-SUMIFS(D$2:D913,B$2:B913,B913,C$2:C913,"SALIDA")</f>
        <v>4888.369999999999</v>
      </c>
    </row>
    <row r="914" spans="1:5" x14ac:dyDescent="0.3">
      <c r="A914" s="9">
        <f>'Volúmenes DIstribuidos '!B597</f>
        <v>44393</v>
      </c>
      <c r="B914" s="10" t="str">
        <f>IF(OR('Volúmenes DIstribuidos '!C597="Azúcar",'Volúmenes DIstribuidos '!C597="azúcar"),"Azúcar o dulce",IF('Volúmenes DIstribuidos '!C597="Aceite","Aceite o grasas",IF('Volúmenes DIstribuidos '!C597="Avena","Otros almidones",'Volúmenes DIstribuidos '!C597)))</f>
        <v>Carnes blancas</v>
      </c>
      <c r="C914" s="10" t="s">
        <v>29</v>
      </c>
      <c r="D914" s="12">
        <f>'Volúmenes DIstribuidos '!D597</f>
        <v>9.02</v>
      </c>
      <c r="E914" s="12">
        <f>SUMIF('Parametros Inventario'!$A:$A,B914,'Parametros Inventario'!$B:$B)+SUMIFS(D$2:D914,B$2:B914,B914,C$2:C914,"ENTRADA")-SUMIFS(D$2:D914,B$2:B914,B914,C$2:C914,"SALIDA")</f>
        <v>4780.985999999999</v>
      </c>
    </row>
    <row r="915" spans="1:5" x14ac:dyDescent="0.3">
      <c r="A915" s="9">
        <f>'Volúmenes DIstribuidos '!B597</f>
        <v>44393</v>
      </c>
      <c r="B915" s="10" t="str">
        <f>IF(OR('Volúmenes DIstribuidos '!C598="Azúcar",'Volúmenes DIstribuidos '!C598="azúcar"),"Azúcar o dulce",IF('Volúmenes DIstribuidos '!C598="Aceite","Aceite o grasas",IF('Volúmenes DIstribuidos '!C598="Avena","Otros almidones",'Volúmenes DIstribuidos '!C598)))</f>
        <v>Vegetales y hojas</v>
      </c>
      <c r="C915" s="10" t="s">
        <v>29</v>
      </c>
      <c r="D915" s="12">
        <f>'Volúmenes DIstribuidos '!D598</f>
        <v>31.13</v>
      </c>
      <c r="E915" s="12">
        <f>SUMIF('Parametros Inventario'!$A:$A,B915,'Parametros Inventario'!$B:$B)+SUMIFS(D$2:D915,B$2:B915,B915,C$2:C915,"ENTRADA")-SUMIFS(D$2:D915,B$2:B915,B915,C$2:C915,"SALIDA")</f>
        <v>4857.2399999999989</v>
      </c>
    </row>
    <row r="916" spans="1:5" x14ac:dyDescent="0.3">
      <c r="A916" s="9">
        <f>'Volúmenes DIstribuidos '!B597</f>
        <v>44393</v>
      </c>
      <c r="B916" s="10" t="str">
        <f>IF(OR('Volúmenes DIstribuidos '!C599="Azúcar",'Volúmenes DIstribuidos '!C599="azúcar"),"Azúcar o dulce",IF('Volúmenes DIstribuidos '!C599="Aceite","Aceite o grasas",IF('Volúmenes DIstribuidos '!C599="Avena","Otros almidones",'Volúmenes DIstribuidos '!C599)))</f>
        <v>Aceite o grasas</v>
      </c>
      <c r="C916" s="10" t="s">
        <v>29</v>
      </c>
      <c r="D916" s="12">
        <f>'Volúmenes DIstribuidos '!D599</f>
        <v>12.8</v>
      </c>
      <c r="E916" s="12">
        <f>SUMIF('Parametros Inventario'!$A:$A,B916,'Parametros Inventario'!$B:$B)+SUMIFS(D$2:D916,B$2:B916,B916,C$2:C916,"ENTRADA")-SUMIFS(D$2:D916,B$2:B916,B916,C$2:C916,"SALIDA")</f>
        <v>4008.3880000000008</v>
      </c>
    </row>
    <row r="917" spans="1:5" x14ac:dyDescent="0.3">
      <c r="A917" s="9">
        <f>'Volúmenes DIstribuidos '!B597</f>
        <v>44393</v>
      </c>
      <c r="B917" s="10" t="str">
        <f>IF(OR('Volúmenes DIstribuidos '!C600="Azúcar",'Volúmenes DIstribuidos '!C600="azúcar"),"Azúcar o dulce",IF('Volúmenes DIstribuidos '!C600="Aceite","Aceite o grasas",IF('Volúmenes DIstribuidos '!C600="Avena","Otros almidones",'Volúmenes DIstribuidos '!C600)))</f>
        <v>Carnes rojas</v>
      </c>
      <c r="C917" s="10" t="s">
        <v>29</v>
      </c>
      <c r="D917" s="12">
        <f>'Volúmenes DIstribuidos '!D600</f>
        <v>38.689</v>
      </c>
      <c r="E917" s="12">
        <f>SUMIF('Parametros Inventario'!$A:$A,B917,'Parametros Inventario'!$B:$B)+SUMIFS(D$2:D917,B$2:B917,B917,C$2:C917,"ENTRADA")-SUMIFS(D$2:D917,B$2:B917,B917,C$2:C917,"SALIDA")</f>
        <v>4940.7190000000001</v>
      </c>
    </row>
    <row r="918" spans="1:5" x14ac:dyDescent="0.3">
      <c r="A918" s="9">
        <f>'Volúmenes DIstribuidos '!B597</f>
        <v>44393</v>
      </c>
      <c r="B918" s="10" t="str">
        <f>IF(OR('Volúmenes DIstribuidos '!C601="Azúcar",'Volúmenes DIstribuidos '!C601="azúcar"),"Azúcar o dulce",IF('Volúmenes DIstribuidos '!C601="Aceite","Aceite o grasas",IF('Volúmenes DIstribuidos '!C601="Avena","Otros almidones",'Volúmenes DIstribuidos '!C601)))</f>
        <v>Azúcar o dulce</v>
      </c>
      <c r="C918" s="10" t="s">
        <v>29</v>
      </c>
      <c r="D918" s="12">
        <f>'Volúmenes DIstribuidos '!D601</f>
        <v>21.13</v>
      </c>
      <c r="E918" s="12">
        <f>SUMIF('Parametros Inventario'!$A:$A,B918,'Parametros Inventario'!$B:$B)+SUMIFS(D$2:D918,B$2:B918,B918,C$2:C918,"ENTRADA")-SUMIFS(D$2:D918,B$2:B918,B918,C$2:C918,"SALIDA")</f>
        <v>5336.621000000001</v>
      </c>
    </row>
    <row r="919" spans="1:5" x14ac:dyDescent="0.3">
      <c r="A919" s="9">
        <f>'Volúmenes DIstribuidos '!B597</f>
        <v>44393</v>
      </c>
      <c r="B919" s="10" t="str">
        <f>IF(OR('Volúmenes DIstribuidos '!C602="Azúcar",'Volúmenes DIstribuidos '!C602="azúcar"),"Azúcar o dulce",IF('Volúmenes DIstribuidos '!C602="Aceite","Aceite o grasas",IF('Volúmenes DIstribuidos '!C602="Avena","Otros almidones",'Volúmenes DIstribuidos '!C602)))</f>
        <v>Carnes blancas</v>
      </c>
      <c r="C919" s="10" t="s">
        <v>29</v>
      </c>
      <c r="D919" s="12">
        <f>'Volúmenes DIstribuidos '!D602</f>
        <v>21.25</v>
      </c>
      <c r="E919" s="12">
        <f>SUMIF('Parametros Inventario'!$A:$A,B919,'Parametros Inventario'!$B:$B)+SUMIFS(D$2:D919,B$2:B919,B919,C$2:C919,"ENTRADA")-SUMIFS(D$2:D919,B$2:B919,B919,C$2:C919,"SALIDA")</f>
        <v>4759.735999999999</v>
      </c>
    </row>
    <row r="920" spans="1:5" x14ac:dyDescent="0.3">
      <c r="A920" s="9">
        <f>'Volúmenes DIstribuidos '!B603</f>
        <v>44397</v>
      </c>
      <c r="B920" s="10" t="str">
        <f>IF(OR('Volúmenes DIstribuidos '!C603="Azúcar",'Volúmenes DIstribuidos '!C603="azúcar"),"Azúcar o dulce",IF('Volúmenes DIstribuidos '!C603="Aceite","Aceite o grasas",IF('Volúmenes DIstribuidos '!C603="Avena","Otros almidones",'Volúmenes DIstribuidos '!C603)))</f>
        <v>Lácteos</v>
      </c>
      <c r="C920" s="10" t="s">
        <v>29</v>
      </c>
      <c r="D920" s="12">
        <f>'Volúmenes DIstribuidos '!D603</f>
        <v>26.888999999999999</v>
      </c>
      <c r="E920" s="12">
        <f>SUMIF('Parametros Inventario'!$A:$A,B920,'Parametros Inventario'!$B:$B)+SUMIFS(D$2:D920,B$2:B920,B920,C$2:C920,"ENTRADA")-SUMIFS(D$2:D920,B$2:B920,B920,C$2:C920,"SALIDA")</f>
        <v>4118.9239999999991</v>
      </c>
    </row>
    <row r="921" spans="1:5" x14ac:dyDescent="0.3">
      <c r="A921" s="9">
        <f>'Volúmenes DIstribuidos '!B603</f>
        <v>44397</v>
      </c>
      <c r="B921" s="10" t="str">
        <f>IF(OR('Volúmenes DIstribuidos '!C604="Azúcar",'Volúmenes DIstribuidos '!C604="azúcar"),"Azúcar o dulce",IF('Volúmenes DIstribuidos '!C604="Aceite","Aceite o grasas",IF('Volúmenes DIstribuidos '!C604="Avena","Otros almidones",'Volúmenes DIstribuidos '!C604)))</f>
        <v>Carnes blancas</v>
      </c>
      <c r="C921" s="10" t="s">
        <v>29</v>
      </c>
      <c r="D921" s="12">
        <f>'Volúmenes DIstribuidos '!D604</f>
        <v>73.11</v>
      </c>
      <c r="E921" s="12">
        <f>SUMIF('Parametros Inventario'!$A:$A,B921,'Parametros Inventario'!$B:$B)+SUMIFS(D$2:D921,B$2:B921,B921,C$2:C921,"ENTRADA")-SUMIFS(D$2:D921,B$2:B921,B921,C$2:C921,"SALIDA")</f>
        <v>4686.6259999999984</v>
      </c>
    </row>
    <row r="922" spans="1:5" x14ac:dyDescent="0.3">
      <c r="A922" s="9">
        <f>'Volúmenes DIstribuidos '!B603</f>
        <v>44397</v>
      </c>
      <c r="B922" s="10" t="str">
        <f>IF(OR('Volúmenes DIstribuidos '!C605="Azúcar",'Volúmenes DIstribuidos '!C605="azúcar"),"Azúcar o dulce",IF('Volúmenes DIstribuidos '!C605="Aceite","Aceite o grasas",IF('Volúmenes DIstribuidos '!C605="Avena","Otros almidones",'Volúmenes DIstribuidos '!C605)))</f>
        <v>Azúcar o dulce</v>
      </c>
      <c r="C922" s="10" t="s">
        <v>29</v>
      </c>
      <c r="D922" s="12">
        <f>'Volúmenes DIstribuidos '!D605</f>
        <v>45.25</v>
      </c>
      <c r="E922" s="12">
        <f>SUMIF('Parametros Inventario'!$A:$A,B922,'Parametros Inventario'!$B:$B)+SUMIFS(D$2:D922,B$2:B922,B922,C$2:C922,"ENTRADA")-SUMIFS(D$2:D922,B$2:B922,B922,C$2:C922,"SALIDA")</f>
        <v>5291.371000000001</v>
      </c>
    </row>
    <row r="923" spans="1:5" x14ac:dyDescent="0.3">
      <c r="A923" s="9">
        <f>'Volúmenes DIstribuidos '!B603</f>
        <v>44397</v>
      </c>
      <c r="B923" s="10" t="str">
        <f>IF(OR('Volúmenes DIstribuidos '!C606="Azúcar",'Volúmenes DIstribuidos '!C606="azúcar"),"Azúcar o dulce",IF('Volúmenes DIstribuidos '!C606="Aceite","Aceite o grasas",IF('Volúmenes DIstribuidos '!C606="Avena","Otros almidones",'Volúmenes DIstribuidos '!C606)))</f>
        <v>Carnes rojas</v>
      </c>
      <c r="C923" s="10" t="s">
        <v>29</v>
      </c>
      <c r="D923" s="12">
        <f>'Volúmenes DIstribuidos '!D606</f>
        <v>83.21</v>
      </c>
      <c r="E923" s="12">
        <f>SUMIF('Parametros Inventario'!$A:$A,B923,'Parametros Inventario'!$B:$B)+SUMIFS(D$2:D923,B$2:B923,B923,C$2:C923,"ENTRADA")-SUMIFS(D$2:D923,B$2:B923,B923,C$2:C923,"SALIDA")</f>
        <v>4857.509</v>
      </c>
    </row>
    <row r="924" spans="1:5" x14ac:dyDescent="0.3">
      <c r="A924" s="9">
        <f>'Volúmenes DIstribuidos '!B603</f>
        <v>44397</v>
      </c>
      <c r="B924" s="10" t="str">
        <f>IF(OR('Volúmenes DIstribuidos '!C607="Azúcar",'Volúmenes DIstribuidos '!C607="azúcar"),"Azúcar o dulce",IF('Volúmenes DIstribuidos '!C607="Aceite","Aceite o grasas",IF('Volúmenes DIstribuidos '!C607="Avena","Otros almidones",'Volúmenes DIstribuidos '!C607)))</f>
        <v>Fideo</v>
      </c>
      <c r="C924" s="10" t="s">
        <v>29</v>
      </c>
      <c r="D924" s="12">
        <f>'Volúmenes DIstribuidos '!D607</f>
        <v>29.93</v>
      </c>
      <c r="E924" s="12">
        <f>SUMIF('Parametros Inventario'!$A:$A,B924,'Parametros Inventario'!$B:$B)+SUMIFS(D$2:D924,B$2:B924,B924,C$2:C924,"ENTRADA")-SUMIFS(D$2:D924,B$2:B924,B924,C$2:C924,"SALIDA")</f>
        <v>5251.6589999999997</v>
      </c>
    </row>
    <row r="925" spans="1:5" x14ac:dyDescent="0.3">
      <c r="A925" s="9">
        <f>'Volúmenes DIstribuidos '!B603</f>
        <v>44397</v>
      </c>
      <c r="B925" s="10" t="str">
        <f>IF(OR('Volúmenes DIstribuidos '!C608="Azúcar",'Volúmenes DIstribuidos '!C608="azúcar"),"Azúcar o dulce",IF('Volúmenes DIstribuidos '!C608="Aceite","Aceite o grasas",IF('Volúmenes DIstribuidos '!C608="Avena","Otros almidones",'Volúmenes DIstribuidos '!C608)))</f>
        <v>Lácteos</v>
      </c>
      <c r="C925" s="10" t="s">
        <v>29</v>
      </c>
      <c r="D925" s="12">
        <f>'Volúmenes DIstribuidos '!D608</f>
        <v>22.4</v>
      </c>
      <c r="E925" s="12">
        <f>SUMIF('Parametros Inventario'!$A:$A,B925,'Parametros Inventario'!$B:$B)+SUMIFS(D$2:D925,B$2:B925,B925,C$2:C925,"ENTRADA")-SUMIFS(D$2:D925,B$2:B925,B925,C$2:C925,"SALIDA")</f>
        <v>4096.5239999999994</v>
      </c>
    </row>
    <row r="926" spans="1:5" x14ac:dyDescent="0.3">
      <c r="A926" s="9">
        <v>44400</v>
      </c>
      <c r="B926" s="10" t="s">
        <v>8</v>
      </c>
      <c r="C926" s="10" t="s">
        <v>28</v>
      </c>
      <c r="D926" s="12">
        <v>199.99</v>
      </c>
      <c r="E926" s="12">
        <f>SUMIF('Parametros Inventario'!$A:$A,B926,'Parametros Inventario'!$B:$B)+SUMIFS(D$2:D926,B$2:B926,B926,C$2:C926,"ENTRADA")-SUMIFS(D$2:D926,B$2:B926,B926,C$2:C926,"SALIDA")</f>
        <v>4208.3780000000006</v>
      </c>
    </row>
    <row r="927" spans="1:5" x14ac:dyDescent="0.3">
      <c r="A927" s="9">
        <v>44400</v>
      </c>
      <c r="B927" s="10" t="s">
        <v>13</v>
      </c>
      <c r="C927" s="10" t="s">
        <v>28</v>
      </c>
      <c r="D927" s="12">
        <v>159.63</v>
      </c>
      <c r="E927" s="12">
        <f>SUMIF('Parametros Inventario'!$A:$A,B927,'Parametros Inventario'!$B:$B)+SUMIFS(D$2:D927,B$2:B927,B927,C$2:C927,"ENTRADA")-SUMIFS(D$2:D927,B$2:B927,B927,C$2:C927,"SALIDA")</f>
        <v>5451.0010000000011</v>
      </c>
    </row>
    <row r="928" spans="1:5" x14ac:dyDescent="0.3">
      <c r="A928" s="9">
        <v>44400</v>
      </c>
      <c r="B928" s="10" t="s">
        <v>15</v>
      </c>
      <c r="C928" s="10" t="s">
        <v>28</v>
      </c>
      <c r="D928" s="12">
        <v>73.92</v>
      </c>
      <c r="E928" s="12">
        <f>SUMIF('Parametros Inventario'!$A:$A,B928,'Parametros Inventario'!$B:$B)+SUMIFS(D$2:D928,B$2:B928,B928,C$2:C928,"ENTRADA")-SUMIFS(D$2:D928,B$2:B928,B928,C$2:C928,"SALIDA")</f>
        <v>4598.6399999999994</v>
      </c>
    </row>
    <row r="929" spans="1:5" x14ac:dyDescent="0.3">
      <c r="A929" s="9">
        <v>44400</v>
      </c>
      <c r="B929" s="10" t="s">
        <v>11</v>
      </c>
      <c r="C929" s="10" t="s">
        <v>28</v>
      </c>
      <c r="D929" s="12">
        <v>161.61000000000001</v>
      </c>
      <c r="E929" s="12">
        <f>SUMIF('Parametros Inventario'!$A:$A,B929,'Parametros Inventario'!$B:$B)+SUMIFS(D$2:D929,B$2:B929,B929,C$2:C929,"ENTRADA")-SUMIFS(D$2:D929,B$2:B929,B929,C$2:C929,"SALIDA")</f>
        <v>5413.2690000000002</v>
      </c>
    </row>
    <row r="930" spans="1:5" x14ac:dyDescent="0.3">
      <c r="A930" s="9">
        <v>44400</v>
      </c>
      <c r="B930" s="10" t="s">
        <v>9</v>
      </c>
      <c r="C930" s="10" t="s">
        <v>28</v>
      </c>
      <c r="D930" s="12">
        <v>81.209999999999994</v>
      </c>
      <c r="E930" s="12">
        <f>SUMIF('Parametros Inventario'!$A:$A,B930,'Parametros Inventario'!$B:$B)+SUMIFS(D$2:D930,B$2:B930,B930,C$2:C930,"ENTRADA")-SUMIFS(D$2:D930,B$2:B930,B930,C$2:C930,"SALIDA")</f>
        <v>3062.9910000000013</v>
      </c>
    </row>
    <row r="931" spans="1:5" x14ac:dyDescent="0.3">
      <c r="A931" s="9">
        <v>44400</v>
      </c>
      <c r="B931" s="10" t="s">
        <v>14</v>
      </c>
      <c r="C931" s="10" t="s">
        <v>28</v>
      </c>
      <c r="D931" s="12">
        <v>293.63</v>
      </c>
      <c r="E931" s="12">
        <f>SUMIF('Parametros Inventario'!$A:$A,B931,'Parametros Inventario'!$B:$B)+SUMIFS(D$2:D931,B$2:B931,B931,C$2:C931,"ENTRADA")-SUMIFS(D$2:D931,B$2:B931,B931,C$2:C931,"SALIDA")</f>
        <v>4601.7780000000002</v>
      </c>
    </row>
    <row r="932" spans="1:5" x14ac:dyDescent="0.3">
      <c r="A932" s="9">
        <f>'Volúmenes DIstribuidos '!B609</f>
        <v>44400</v>
      </c>
      <c r="B932" s="10" t="str">
        <f>IF(OR('Volúmenes DIstribuidos '!C609="Azúcar",'Volúmenes DIstribuidos '!C609="azúcar"),"Azúcar o dulce",IF('Volúmenes DIstribuidos '!C609="Aceite","Aceite o grasas",IF('Volúmenes DIstribuidos '!C609="Avena","Otros almidones",'Volúmenes DIstribuidos '!C609)))</f>
        <v>Menestras</v>
      </c>
      <c r="C932" s="10" t="s">
        <v>29</v>
      </c>
      <c r="D932" s="12">
        <f>'Volúmenes DIstribuidos '!D609</f>
        <v>31.068999999999999</v>
      </c>
      <c r="E932" s="12">
        <f>SUMIF('Parametros Inventario'!$A:$A,B932,'Parametros Inventario'!$B:$B)+SUMIFS(D$2:D932,B$2:B932,B932,C$2:C932,"ENTRADA")-SUMIFS(D$2:D932,B$2:B932,B932,C$2:C932,"SALIDA")</f>
        <v>4570.7089999999998</v>
      </c>
    </row>
    <row r="933" spans="1:5" x14ac:dyDescent="0.3">
      <c r="A933" s="9">
        <f>'Volúmenes DIstribuidos '!B609</f>
        <v>44400</v>
      </c>
      <c r="B933" s="10" t="str">
        <f>IF(OR('Volúmenes DIstribuidos '!C610="Azúcar",'Volúmenes DIstribuidos '!C610="azúcar"),"Azúcar o dulce",IF('Volúmenes DIstribuidos '!C610="Aceite","Aceite o grasas",IF('Volúmenes DIstribuidos '!C610="Avena","Otros almidones",'Volúmenes DIstribuidos '!C610)))</f>
        <v>Carnes blancas</v>
      </c>
      <c r="C933" s="10" t="s">
        <v>29</v>
      </c>
      <c r="D933" s="12">
        <f>'Volúmenes DIstribuidos '!D610</f>
        <v>31.73</v>
      </c>
      <c r="E933" s="12">
        <f>SUMIF('Parametros Inventario'!$A:$A,B933,'Parametros Inventario'!$B:$B)+SUMIFS(D$2:D933,B$2:B933,B933,C$2:C933,"ENTRADA")-SUMIFS(D$2:D933,B$2:B933,B933,C$2:C933,"SALIDA")</f>
        <v>4654.8959999999988</v>
      </c>
    </row>
    <row r="934" spans="1:5" x14ac:dyDescent="0.3">
      <c r="A934" s="9">
        <f>'Volúmenes DIstribuidos '!B609</f>
        <v>44400</v>
      </c>
      <c r="B934" s="10" t="str">
        <f>IF(OR('Volúmenes DIstribuidos '!C611="Azúcar",'Volúmenes DIstribuidos '!C611="azúcar"),"Azúcar o dulce",IF('Volúmenes DIstribuidos '!C611="Aceite","Aceite o grasas",IF('Volúmenes DIstribuidos '!C611="Avena","Otros almidones",'Volúmenes DIstribuidos '!C611)))</f>
        <v>Lácteos</v>
      </c>
      <c r="C934" s="10" t="s">
        <v>29</v>
      </c>
      <c r="D934" s="12">
        <f>'Volúmenes DIstribuidos '!D611</f>
        <v>21.64</v>
      </c>
      <c r="E934" s="12">
        <f>SUMIF('Parametros Inventario'!$A:$A,B934,'Parametros Inventario'!$B:$B)+SUMIFS(D$2:D934,B$2:B934,B934,C$2:C934,"ENTRADA")-SUMIFS(D$2:D934,B$2:B934,B934,C$2:C934,"SALIDA")</f>
        <v>4074.8839999999991</v>
      </c>
    </row>
    <row r="935" spans="1:5" x14ac:dyDescent="0.3">
      <c r="A935" s="9">
        <f>'Volúmenes DIstribuidos '!B609</f>
        <v>44400</v>
      </c>
      <c r="B935" s="10" t="str">
        <f>IF(OR('Volúmenes DIstribuidos '!C612="Azúcar",'Volúmenes DIstribuidos '!C612="azúcar"),"Azúcar o dulce",IF('Volúmenes DIstribuidos '!C612="Aceite","Aceite o grasas",IF('Volúmenes DIstribuidos '!C612="Avena","Otros almidones",'Volúmenes DIstribuidos '!C612)))</f>
        <v>Menestras</v>
      </c>
      <c r="C935" s="10" t="s">
        <v>29</v>
      </c>
      <c r="D935" s="12">
        <f>'Volúmenes DIstribuidos '!D612</f>
        <v>13.055</v>
      </c>
      <c r="E935" s="12">
        <f>SUMIF('Parametros Inventario'!$A:$A,B935,'Parametros Inventario'!$B:$B)+SUMIFS(D$2:D935,B$2:B935,B935,C$2:C935,"ENTRADA")-SUMIFS(D$2:D935,B$2:B935,B935,C$2:C935,"SALIDA")</f>
        <v>4557.6540000000005</v>
      </c>
    </row>
    <row r="936" spans="1:5" x14ac:dyDescent="0.3">
      <c r="A936" s="9">
        <f>'Volúmenes DIstribuidos '!B609</f>
        <v>44400</v>
      </c>
      <c r="B936" s="10" t="str">
        <f>IF(OR('Volúmenes DIstribuidos '!C613="Azúcar",'Volúmenes DIstribuidos '!C613="azúcar"),"Azúcar o dulce",IF('Volúmenes DIstribuidos '!C613="Aceite","Aceite o grasas",IF('Volúmenes DIstribuidos '!C613="Avena","Otros almidones",'Volúmenes DIstribuidos '!C613)))</f>
        <v>Fideo</v>
      </c>
      <c r="C936" s="10" t="s">
        <v>29</v>
      </c>
      <c r="D936" s="12">
        <f>'Volúmenes DIstribuidos '!D613</f>
        <v>4.4400000000000004</v>
      </c>
      <c r="E936" s="12">
        <f>SUMIF('Parametros Inventario'!$A:$A,B936,'Parametros Inventario'!$B:$B)+SUMIFS(D$2:D936,B$2:B936,B936,C$2:C936,"ENTRADA")-SUMIFS(D$2:D936,B$2:B936,B936,C$2:C936,"SALIDA")</f>
        <v>5408.8289999999997</v>
      </c>
    </row>
    <row r="937" spans="1:5" x14ac:dyDescent="0.3">
      <c r="A937" s="9">
        <f>'Volúmenes DIstribuidos '!B609</f>
        <v>44400</v>
      </c>
      <c r="B937" s="10" t="str">
        <f>IF(OR('Volúmenes DIstribuidos '!C614="Azúcar",'Volúmenes DIstribuidos '!C614="azúcar"),"Azúcar o dulce",IF('Volúmenes DIstribuidos '!C614="Aceite","Aceite o grasas",IF('Volúmenes DIstribuidos '!C614="Avena","Otros almidones",'Volúmenes DIstribuidos '!C614)))</f>
        <v>Vegetales y hojas</v>
      </c>
      <c r="C937" s="10" t="s">
        <v>29</v>
      </c>
      <c r="D937" s="12">
        <f>'Volúmenes DIstribuidos '!D614</f>
        <v>10.26</v>
      </c>
      <c r="E937" s="12">
        <f>SUMIF('Parametros Inventario'!$A:$A,B937,'Parametros Inventario'!$B:$B)+SUMIFS(D$2:D937,B$2:B937,B937,C$2:C937,"ENTRADA")-SUMIFS(D$2:D937,B$2:B937,B937,C$2:C937,"SALIDA")</f>
        <v>4846.9799999999987</v>
      </c>
    </row>
    <row r="938" spans="1:5" x14ac:dyDescent="0.3">
      <c r="A938" s="9">
        <f>'Volúmenes DIstribuidos '!B615</f>
        <v>44404</v>
      </c>
      <c r="B938" s="10" t="str">
        <f>IF(OR('Volúmenes DIstribuidos '!C615="Azúcar",'Volúmenes DIstribuidos '!C615="azúcar"),"Azúcar o dulce",IF('Volúmenes DIstribuidos '!C615="Aceite","Aceite o grasas",IF('Volúmenes DIstribuidos '!C615="Avena","Otros almidones",'Volúmenes DIstribuidos '!C615)))</f>
        <v>Aceite o grasas</v>
      </c>
      <c r="C938" s="10" t="s">
        <v>29</v>
      </c>
      <c r="D938" s="12">
        <f>'Volúmenes DIstribuidos '!D615</f>
        <v>19.347000000000001</v>
      </c>
      <c r="E938" s="12">
        <f>SUMIF('Parametros Inventario'!$A:$A,B938,'Parametros Inventario'!$B:$B)+SUMIFS(D$2:D938,B$2:B938,B938,C$2:C938,"ENTRADA")-SUMIFS(D$2:D938,B$2:B938,B938,C$2:C938,"SALIDA")</f>
        <v>4189.0310000000009</v>
      </c>
    </row>
    <row r="939" spans="1:5" x14ac:dyDescent="0.3">
      <c r="A939" s="9">
        <f>'Volúmenes DIstribuidos '!B615</f>
        <v>44404</v>
      </c>
      <c r="B939" s="10" t="str">
        <f>IF(OR('Volúmenes DIstribuidos '!C616="Azúcar",'Volúmenes DIstribuidos '!C616="azúcar"),"Azúcar o dulce",IF('Volúmenes DIstribuidos '!C616="Aceite","Aceite o grasas",IF('Volúmenes DIstribuidos '!C616="Avena","Otros almidones",'Volúmenes DIstribuidos '!C616)))</f>
        <v>Carnes rojas</v>
      </c>
      <c r="C939" s="10" t="s">
        <v>29</v>
      </c>
      <c r="D939" s="12">
        <f>'Volúmenes DIstribuidos '!D616</f>
        <v>14.17</v>
      </c>
      <c r="E939" s="12">
        <f>SUMIF('Parametros Inventario'!$A:$A,B939,'Parametros Inventario'!$B:$B)+SUMIFS(D$2:D939,B$2:B939,B939,C$2:C939,"ENTRADA")-SUMIFS(D$2:D939,B$2:B939,B939,C$2:C939,"SALIDA")</f>
        <v>4843.3389999999999</v>
      </c>
    </row>
    <row r="940" spans="1:5" x14ac:dyDescent="0.3">
      <c r="A940" s="9">
        <f>'Volúmenes DIstribuidos '!B615</f>
        <v>44404</v>
      </c>
      <c r="B940" s="10" t="str">
        <f>IF(OR('Volúmenes DIstribuidos '!C617="Azúcar",'Volúmenes DIstribuidos '!C617="azúcar"),"Azúcar o dulce",IF('Volúmenes DIstribuidos '!C617="Aceite","Aceite o grasas",IF('Volúmenes DIstribuidos '!C617="Avena","Otros almidones",'Volúmenes DIstribuidos '!C617)))</f>
        <v>Panadería</v>
      </c>
      <c r="C940" s="10" t="s">
        <v>29</v>
      </c>
      <c r="D940" s="12">
        <f>'Volúmenes DIstribuidos '!D617</f>
        <v>15.36</v>
      </c>
      <c r="E940" s="12">
        <f>SUMIF('Parametros Inventario'!$A:$A,B940,'Parametros Inventario'!$B:$B)+SUMIFS(D$2:D940,B$2:B940,B940,C$2:C940,"ENTRADA")-SUMIFS(D$2:D940,B$2:B940,B940,C$2:C940,"SALIDA")</f>
        <v>3047.6310000000012</v>
      </c>
    </row>
    <row r="941" spans="1:5" x14ac:dyDescent="0.3">
      <c r="A941" s="9">
        <f>'Volúmenes DIstribuidos '!B615</f>
        <v>44404</v>
      </c>
      <c r="B941" s="10" t="str">
        <f>IF(OR('Volúmenes DIstribuidos '!C618="Azúcar",'Volúmenes DIstribuidos '!C618="azúcar"),"Azúcar o dulce",IF('Volúmenes DIstribuidos '!C618="Aceite","Aceite o grasas",IF('Volúmenes DIstribuidos '!C618="Avena","Otros almidones",'Volúmenes DIstribuidos '!C618)))</f>
        <v>Otros almidones</v>
      </c>
      <c r="C941" s="10" t="s">
        <v>29</v>
      </c>
      <c r="D941" s="12">
        <f>'Volúmenes DIstribuidos '!D618</f>
        <v>22.56</v>
      </c>
      <c r="E941" s="12">
        <f>SUMIF('Parametros Inventario'!$A:$A,B941,'Parametros Inventario'!$B:$B)+SUMIFS(D$2:D941,B$2:B941,B941,C$2:C941,"ENTRADA")-SUMIFS(D$2:D941,B$2:B941,B941,C$2:C941,"SALIDA")</f>
        <v>4576.08</v>
      </c>
    </row>
    <row r="942" spans="1:5" x14ac:dyDescent="0.3">
      <c r="A942" s="9">
        <f>'Volúmenes DIstribuidos '!B615</f>
        <v>44404</v>
      </c>
      <c r="B942" s="10" t="str">
        <f>IF(OR('Volúmenes DIstribuidos '!C619="Azúcar",'Volúmenes DIstribuidos '!C619="azúcar"),"Azúcar o dulce",IF('Volúmenes DIstribuidos '!C619="Aceite","Aceite o grasas",IF('Volúmenes DIstribuidos '!C619="Avena","Otros almidones",'Volúmenes DIstribuidos '!C619)))</f>
        <v>Fideo</v>
      </c>
      <c r="C942" s="10" t="s">
        <v>29</v>
      </c>
      <c r="D942" s="12">
        <f>'Volúmenes DIstribuidos '!D619</f>
        <v>7.8079999999999998</v>
      </c>
      <c r="E942" s="12">
        <f>SUMIF('Parametros Inventario'!$A:$A,B942,'Parametros Inventario'!$B:$B)+SUMIFS(D$2:D942,B$2:B942,B942,C$2:C942,"ENTRADA")-SUMIFS(D$2:D942,B$2:B942,B942,C$2:C942,"SALIDA")</f>
        <v>5401.0209999999997</v>
      </c>
    </row>
    <row r="943" spans="1:5" x14ac:dyDescent="0.3">
      <c r="A943" s="9">
        <f>'Volúmenes DIstribuidos '!B615</f>
        <v>44404</v>
      </c>
      <c r="B943" s="10" t="str">
        <f>IF(OR('Volúmenes DIstribuidos '!C620="Azúcar",'Volúmenes DIstribuidos '!C620="azúcar"),"Azúcar o dulce",IF('Volúmenes DIstribuidos '!C620="Aceite","Aceite o grasas",IF('Volúmenes DIstribuidos '!C620="Avena","Otros almidones",'Volúmenes DIstribuidos '!C620)))</f>
        <v>Aceite o grasas</v>
      </c>
      <c r="C943" s="10" t="s">
        <v>29</v>
      </c>
      <c r="D943" s="12">
        <f>'Volúmenes DIstribuidos '!D620</f>
        <v>17.95</v>
      </c>
      <c r="E943" s="12">
        <f>SUMIF('Parametros Inventario'!$A:$A,B943,'Parametros Inventario'!$B:$B)+SUMIFS(D$2:D943,B$2:B943,B943,C$2:C943,"ENTRADA")-SUMIFS(D$2:D943,B$2:B943,B943,C$2:C943,"SALIDA")</f>
        <v>4171.0810000000001</v>
      </c>
    </row>
    <row r="944" spans="1:5" x14ac:dyDescent="0.3">
      <c r="A944" s="9">
        <f>'Volúmenes DIstribuidos '!B621</f>
        <v>44407</v>
      </c>
      <c r="B944" s="10" t="str">
        <f>IF(OR('Volúmenes DIstribuidos '!C621="Azúcar",'Volúmenes DIstribuidos '!C621="azúcar"),"Azúcar o dulce",IF('Volúmenes DIstribuidos '!C621="Aceite","Aceite o grasas",IF('Volúmenes DIstribuidos '!C621="Avena","Otros almidones",'Volúmenes DIstribuidos '!C621)))</f>
        <v>Lácteos</v>
      </c>
      <c r="C944" s="10" t="s">
        <v>29</v>
      </c>
      <c r="D944" s="12">
        <f>'Volúmenes DIstribuidos '!D621</f>
        <v>16.55</v>
      </c>
      <c r="E944" s="12">
        <f>SUMIF('Parametros Inventario'!$A:$A,B944,'Parametros Inventario'!$B:$B)+SUMIFS(D$2:D944,B$2:B944,B944,C$2:C944,"ENTRADA")-SUMIFS(D$2:D944,B$2:B944,B944,C$2:C944,"SALIDA")</f>
        <v>4058.3339999999989</v>
      </c>
    </row>
    <row r="945" spans="1:5" x14ac:dyDescent="0.3">
      <c r="A945" s="9">
        <f>'Volúmenes DIstribuidos '!B621</f>
        <v>44407</v>
      </c>
      <c r="B945" s="10" t="str">
        <f>IF(OR('Volúmenes DIstribuidos '!C622="Azúcar",'Volúmenes DIstribuidos '!C622="azúcar"),"Azúcar o dulce",IF('Volúmenes DIstribuidos '!C622="Aceite","Aceite o grasas",IF('Volúmenes DIstribuidos '!C622="Avena","Otros almidones",'Volúmenes DIstribuidos '!C622)))</f>
        <v>Vegetales y hojas</v>
      </c>
      <c r="C945" s="10" t="s">
        <v>29</v>
      </c>
      <c r="D945" s="12">
        <f>'Volúmenes DIstribuidos '!D622</f>
        <v>24.79</v>
      </c>
      <c r="E945" s="12">
        <f>SUMIF('Parametros Inventario'!$A:$A,B945,'Parametros Inventario'!$B:$B)+SUMIFS(D$2:D945,B$2:B945,B945,C$2:C945,"ENTRADA")-SUMIFS(D$2:D945,B$2:B945,B945,C$2:C945,"SALIDA")</f>
        <v>4822.1899999999987</v>
      </c>
    </row>
    <row r="946" spans="1:5" x14ac:dyDescent="0.3">
      <c r="A946" s="9">
        <f>'Volúmenes DIstribuidos '!B621</f>
        <v>44407</v>
      </c>
      <c r="B946" s="10" t="str">
        <f>IF(OR('Volúmenes DIstribuidos '!C623="Azúcar",'Volúmenes DIstribuidos '!C623="azúcar"),"Azúcar o dulce",IF('Volúmenes DIstribuidos '!C623="Aceite","Aceite o grasas",IF('Volúmenes DIstribuidos '!C623="Avena","Otros almidones",'Volúmenes DIstribuidos '!C623)))</f>
        <v>Carnes rojas</v>
      </c>
      <c r="C946" s="10" t="s">
        <v>29</v>
      </c>
      <c r="D946" s="12">
        <f>'Volúmenes DIstribuidos '!D623</f>
        <v>30.06</v>
      </c>
      <c r="E946" s="12">
        <f>SUMIF('Parametros Inventario'!$A:$A,B946,'Parametros Inventario'!$B:$B)+SUMIFS(D$2:D946,B$2:B946,B946,C$2:C946,"ENTRADA")-SUMIFS(D$2:D946,B$2:B946,B946,C$2:C946,"SALIDA")</f>
        <v>4813.2789999999995</v>
      </c>
    </row>
    <row r="947" spans="1:5" x14ac:dyDescent="0.3">
      <c r="A947" s="9">
        <f>'Volúmenes DIstribuidos '!B621</f>
        <v>44407</v>
      </c>
      <c r="B947" s="10" t="str">
        <f>IF(OR('Volúmenes DIstribuidos '!C624="Azúcar",'Volúmenes DIstribuidos '!C624="azúcar"),"Azúcar o dulce",IF('Volúmenes DIstribuidos '!C624="Aceite","Aceite o grasas",IF('Volúmenes DIstribuidos '!C624="Avena","Otros almidones",'Volúmenes DIstribuidos '!C624)))</f>
        <v>Carnes blancas</v>
      </c>
      <c r="C947" s="10" t="s">
        <v>29</v>
      </c>
      <c r="D947" s="12">
        <f>'Volúmenes DIstribuidos '!D624</f>
        <v>20.329999999999998</v>
      </c>
      <c r="E947" s="12">
        <f>SUMIF('Parametros Inventario'!$A:$A,B947,'Parametros Inventario'!$B:$B)+SUMIFS(D$2:D947,B$2:B947,B947,C$2:C947,"ENTRADA")-SUMIFS(D$2:D947,B$2:B947,B947,C$2:C947,"SALIDA")</f>
        <v>4634.5659999999989</v>
      </c>
    </row>
    <row r="948" spans="1:5" x14ac:dyDescent="0.3">
      <c r="A948" s="9">
        <f>'Volúmenes DIstribuidos '!B621</f>
        <v>44407</v>
      </c>
      <c r="B948" s="10" t="str">
        <f>IF(OR('Volúmenes DIstribuidos '!C625="Azúcar",'Volúmenes DIstribuidos '!C625="azúcar"),"Azúcar o dulce",IF('Volúmenes DIstribuidos '!C625="Aceite","Aceite o grasas",IF('Volúmenes DIstribuidos '!C625="Avena","Otros almidones",'Volúmenes DIstribuidos '!C625)))</f>
        <v>Salsas</v>
      </c>
      <c r="C948" s="10" t="s">
        <v>29</v>
      </c>
      <c r="D948" s="12">
        <f>'Volúmenes DIstribuidos '!D625</f>
        <v>3.0619999999999998</v>
      </c>
      <c r="E948" s="12">
        <f>SUMIF('Parametros Inventario'!$A:$A,B948,'Parametros Inventario'!$B:$B)+SUMIFS(D$2:D948,B$2:B948,B948,C$2:C948,"ENTRADA")-SUMIFS(D$2:D948,B$2:B948,B948,C$2:C948,"SALIDA")</f>
        <v>4909.6819999999989</v>
      </c>
    </row>
    <row r="949" spans="1:5" x14ac:dyDescent="0.3">
      <c r="A949" s="9">
        <f>'Volúmenes DIstribuidos '!B621</f>
        <v>44407</v>
      </c>
      <c r="B949" s="10" t="str">
        <f>IF(OR('Volúmenes DIstribuidos '!C626="Azúcar",'Volúmenes DIstribuidos '!C626="azúcar"),"Azúcar o dulce",IF('Volúmenes DIstribuidos '!C626="Aceite","Aceite o grasas",IF('Volúmenes DIstribuidos '!C626="Avena","Otros almidones",'Volúmenes DIstribuidos '!C626)))</f>
        <v>Vegetales y hojas</v>
      </c>
      <c r="C949" s="10" t="s">
        <v>29</v>
      </c>
      <c r="D949" s="12">
        <f>'Volúmenes DIstribuidos '!D626</f>
        <v>11.78</v>
      </c>
      <c r="E949" s="12">
        <f>SUMIF('Parametros Inventario'!$A:$A,B949,'Parametros Inventario'!$B:$B)+SUMIFS(D$2:D949,B$2:B949,B949,C$2:C949,"ENTRADA")-SUMIFS(D$2:D949,B$2:B949,B949,C$2:C949,"SALIDA")</f>
        <v>4810.4099999999989</v>
      </c>
    </row>
    <row r="950" spans="1:5" x14ac:dyDescent="0.3">
      <c r="A950" s="9">
        <f>'Volúmenes DIstribuidos '!B627</f>
        <v>44411</v>
      </c>
      <c r="B950" s="10" t="str">
        <f>IF(OR('Volúmenes DIstribuidos '!C627="Azúcar",'Volúmenes DIstribuidos '!C627="azúcar"),"Azúcar o dulce",IF('Volúmenes DIstribuidos '!C627="Aceite","Aceite o grasas",IF('Volúmenes DIstribuidos '!C627="Avena","Otros almidones",'Volúmenes DIstribuidos '!C627)))</f>
        <v>Menestras</v>
      </c>
      <c r="C950" s="10" t="s">
        <v>29</v>
      </c>
      <c r="D950" s="12">
        <f>'Volúmenes DIstribuidos '!D627</f>
        <v>4.63</v>
      </c>
      <c r="E950" s="12">
        <f>SUMIF('Parametros Inventario'!$A:$A,B950,'Parametros Inventario'!$B:$B)+SUMIFS(D$2:D950,B$2:B950,B950,C$2:C950,"ENTRADA")-SUMIFS(D$2:D950,B$2:B950,B950,C$2:C950,"SALIDA")</f>
        <v>4553.0239999999994</v>
      </c>
    </row>
    <row r="951" spans="1:5" x14ac:dyDescent="0.3">
      <c r="A951" s="9">
        <f>'Volúmenes DIstribuidos '!B627</f>
        <v>44411</v>
      </c>
      <c r="B951" s="10" t="str">
        <f>IF(OR('Volúmenes DIstribuidos '!C628="Azúcar",'Volúmenes DIstribuidos '!C628="azúcar"),"Azúcar o dulce",IF('Volúmenes DIstribuidos '!C628="Aceite","Aceite o grasas",IF('Volúmenes DIstribuidos '!C628="Avena","Otros almidones",'Volúmenes DIstribuidos '!C628)))</f>
        <v>Lácteos</v>
      </c>
      <c r="C951" s="10" t="s">
        <v>29</v>
      </c>
      <c r="D951" s="12">
        <f>'Volúmenes DIstribuidos '!D628</f>
        <v>18.452999999999999</v>
      </c>
      <c r="E951" s="12">
        <f>SUMIF('Parametros Inventario'!$A:$A,B951,'Parametros Inventario'!$B:$B)+SUMIFS(D$2:D951,B$2:B951,B951,C$2:C951,"ENTRADA")-SUMIFS(D$2:D951,B$2:B951,B951,C$2:C951,"SALIDA")</f>
        <v>4039.8809999999989</v>
      </c>
    </row>
    <row r="952" spans="1:5" x14ac:dyDescent="0.3">
      <c r="A952" s="9">
        <f>'Volúmenes DIstribuidos '!B627</f>
        <v>44411</v>
      </c>
      <c r="B952" s="10" t="str">
        <f>IF(OR('Volúmenes DIstribuidos '!C629="Azúcar",'Volúmenes DIstribuidos '!C629="azúcar"),"Azúcar o dulce",IF('Volúmenes DIstribuidos '!C629="Aceite","Aceite o grasas",IF('Volúmenes DIstribuidos '!C629="Avena","Otros almidones",'Volúmenes DIstribuidos '!C629)))</f>
        <v>Menestras</v>
      </c>
      <c r="C952" s="10" t="s">
        <v>29</v>
      </c>
      <c r="D952" s="12">
        <f>'Volúmenes DIstribuidos '!D629</f>
        <v>19.03</v>
      </c>
      <c r="E952" s="12">
        <f>SUMIF('Parametros Inventario'!$A:$A,B952,'Parametros Inventario'!$B:$B)+SUMIFS(D$2:D952,B$2:B952,B952,C$2:C952,"ENTRADA")-SUMIFS(D$2:D952,B$2:B952,B952,C$2:C952,"SALIDA")</f>
        <v>4533.9939999999997</v>
      </c>
    </row>
    <row r="953" spans="1:5" x14ac:dyDescent="0.3">
      <c r="A953" s="9">
        <f>'Volúmenes DIstribuidos '!B627</f>
        <v>44411</v>
      </c>
      <c r="B953" s="10" t="str">
        <f>IF(OR('Volúmenes DIstribuidos '!C630="Azúcar",'Volúmenes DIstribuidos '!C630="azúcar"),"Azúcar o dulce",IF('Volúmenes DIstribuidos '!C630="Aceite","Aceite o grasas",IF('Volúmenes DIstribuidos '!C630="Avena","Otros almidones",'Volúmenes DIstribuidos '!C630)))</f>
        <v>Aceite o grasas</v>
      </c>
      <c r="C953" s="10" t="s">
        <v>29</v>
      </c>
      <c r="D953" s="12">
        <f>'Volúmenes DIstribuidos '!D630</f>
        <v>24.91</v>
      </c>
      <c r="E953" s="12">
        <f>SUMIF('Parametros Inventario'!$A:$A,B953,'Parametros Inventario'!$B:$B)+SUMIFS(D$2:D953,B$2:B953,B953,C$2:C953,"ENTRADA")-SUMIFS(D$2:D953,B$2:B953,B953,C$2:C953,"SALIDA")</f>
        <v>4146.1710000000003</v>
      </c>
    </row>
    <row r="954" spans="1:5" x14ac:dyDescent="0.3">
      <c r="A954" s="9">
        <f>'Volúmenes DIstribuidos '!B627</f>
        <v>44411</v>
      </c>
      <c r="B954" s="10" t="str">
        <f>IF(OR('Volúmenes DIstribuidos '!C631="Azúcar",'Volúmenes DIstribuidos '!C631="azúcar"),"Azúcar o dulce",IF('Volúmenes DIstribuidos '!C631="Aceite","Aceite o grasas",IF('Volúmenes DIstribuidos '!C631="Avena","Otros almidones",'Volúmenes DIstribuidos '!C631)))</f>
        <v>Vegetales y hojas</v>
      </c>
      <c r="C954" s="10" t="s">
        <v>29</v>
      </c>
      <c r="D954" s="12">
        <f>'Volúmenes DIstribuidos '!D631</f>
        <v>21.242999999999999</v>
      </c>
      <c r="E954" s="12">
        <f>SUMIF('Parametros Inventario'!$A:$A,B954,'Parametros Inventario'!$B:$B)+SUMIFS(D$2:D954,B$2:B954,B954,C$2:C954,"ENTRADA")-SUMIFS(D$2:D954,B$2:B954,B954,C$2:C954,"SALIDA")</f>
        <v>4789.1669999999995</v>
      </c>
    </row>
    <row r="955" spans="1:5" x14ac:dyDescent="0.3">
      <c r="A955" s="9">
        <f>'Volúmenes DIstribuidos '!B627</f>
        <v>44411</v>
      </c>
      <c r="B955" s="10" t="str">
        <f>IF(OR('Volúmenes DIstribuidos '!C632="Azúcar",'Volúmenes DIstribuidos '!C632="azúcar"),"Azúcar o dulce",IF('Volúmenes DIstribuidos '!C632="Aceite","Aceite o grasas",IF('Volúmenes DIstribuidos '!C632="Avena","Otros almidones",'Volúmenes DIstribuidos '!C632)))</f>
        <v>Azúcar o dulce</v>
      </c>
      <c r="C955" s="10" t="s">
        <v>29</v>
      </c>
      <c r="D955" s="12">
        <f>'Volúmenes DIstribuidos '!D632</f>
        <v>16.93</v>
      </c>
      <c r="E955" s="12">
        <f>SUMIF('Parametros Inventario'!$A:$A,B955,'Parametros Inventario'!$B:$B)+SUMIFS(D$2:D955,B$2:B955,B955,C$2:C955,"ENTRADA")-SUMIFS(D$2:D955,B$2:B955,B955,C$2:C955,"SALIDA")</f>
        <v>5434.0710000000017</v>
      </c>
    </row>
    <row r="956" spans="1:5" x14ac:dyDescent="0.3">
      <c r="A956" s="9">
        <f>'Volúmenes DIstribuidos '!B633</f>
        <v>44414</v>
      </c>
      <c r="B956" s="10" t="str">
        <f>IF(OR('Volúmenes DIstribuidos '!C633="Azúcar",'Volúmenes DIstribuidos '!C633="azúcar"),"Azúcar o dulce",IF('Volúmenes DIstribuidos '!C633="Aceite","Aceite o grasas",IF('Volúmenes DIstribuidos '!C633="Avena","Otros almidones",'Volúmenes DIstribuidos '!C633)))</f>
        <v>Carnes blancas</v>
      </c>
      <c r="C956" s="10" t="s">
        <v>29</v>
      </c>
      <c r="D956" s="12">
        <f>'Volúmenes DIstribuidos '!D633</f>
        <v>5.88</v>
      </c>
      <c r="E956" s="12">
        <f>SUMIF('Parametros Inventario'!$A:$A,B956,'Parametros Inventario'!$B:$B)+SUMIFS(D$2:D956,B$2:B956,B956,C$2:C956,"ENTRADA")-SUMIFS(D$2:D956,B$2:B956,B956,C$2:C956,"SALIDA")</f>
        <v>4628.6859999999988</v>
      </c>
    </row>
    <row r="957" spans="1:5" x14ac:dyDescent="0.3">
      <c r="A957" s="9">
        <f>'Volúmenes DIstribuidos '!B633</f>
        <v>44414</v>
      </c>
      <c r="B957" s="10" t="str">
        <f>IF(OR('Volúmenes DIstribuidos '!C634="Azúcar",'Volúmenes DIstribuidos '!C634="azúcar"),"Azúcar o dulce",IF('Volúmenes DIstribuidos '!C634="Aceite","Aceite o grasas",IF('Volúmenes DIstribuidos '!C634="Avena","Otros almidones",'Volúmenes DIstribuidos '!C634)))</f>
        <v>Salsas</v>
      </c>
      <c r="C957" s="10" t="s">
        <v>29</v>
      </c>
      <c r="D957" s="12">
        <f>'Volúmenes DIstribuidos '!D634</f>
        <v>21.22</v>
      </c>
      <c r="E957" s="12">
        <f>SUMIF('Parametros Inventario'!$A:$A,B957,'Parametros Inventario'!$B:$B)+SUMIFS(D$2:D957,B$2:B957,B957,C$2:C957,"ENTRADA")-SUMIFS(D$2:D957,B$2:B957,B957,C$2:C957,"SALIDA")</f>
        <v>4888.4619999999995</v>
      </c>
    </row>
    <row r="958" spans="1:5" x14ac:dyDescent="0.3">
      <c r="A958" s="9">
        <f>'Volúmenes DIstribuidos '!B633</f>
        <v>44414</v>
      </c>
      <c r="B958" s="10" t="str">
        <f>IF(OR('Volúmenes DIstribuidos '!C635="Azúcar",'Volúmenes DIstribuidos '!C635="azúcar"),"Azúcar o dulce",IF('Volúmenes DIstribuidos '!C635="Aceite","Aceite o grasas",IF('Volúmenes DIstribuidos '!C635="Avena","Otros almidones",'Volúmenes DIstribuidos '!C635)))</f>
        <v>Panadería</v>
      </c>
      <c r="C958" s="10" t="s">
        <v>29</v>
      </c>
      <c r="D958" s="12">
        <f>'Volúmenes DIstribuidos '!D635</f>
        <v>17.262</v>
      </c>
      <c r="E958" s="12">
        <f>SUMIF('Parametros Inventario'!$A:$A,B958,'Parametros Inventario'!$B:$B)+SUMIFS(D$2:D958,B$2:B958,B958,C$2:C958,"ENTRADA")-SUMIFS(D$2:D958,B$2:B958,B958,C$2:C958,"SALIDA")</f>
        <v>3030.3690000000011</v>
      </c>
    </row>
    <row r="959" spans="1:5" x14ac:dyDescent="0.3">
      <c r="A959" s="9">
        <f>'Volúmenes DIstribuidos '!B633</f>
        <v>44414</v>
      </c>
      <c r="B959" s="10" t="str">
        <f>IF(OR('Volúmenes DIstribuidos '!C636="Azúcar",'Volúmenes DIstribuidos '!C636="azúcar"),"Azúcar o dulce",IF('Volúmenes DIstribuidos '!C636="Aceite","Aceite o grasas",IF('Volúmenes DIstribuidos '!C636="Avena","Otros almidones",'Volúmenes DIstribuidos '!C636)))</f>
        <v>Carnes rojas</v>
      </c>
      <c r="C959" s="10" t="s">
        <v>29</v>
      </c>
      <c r="D959" s="12">
        <f>'Volúmenes DIstribuidos '!D636</f>
        <v>2.89</v>
      </c>
      <c r="E959" s="12">
        <f>SUMIF('Parametros Inventario'!$A:$A,B959,'Parametros Inventario'!$B:$B)+SUMIFS(D$2:D959,B$2:B959,B959,C$2:C959,"ENTRADA")-SUMIFS(D$2:D959,B$2:B959,B959,C$2:C959,"SALIDA")</f>
        <v>4810.3889999999992</v>
      </c>
    </row>
    <row r="960" spans="1:5" x14ac:dyDescent="0.3">
      <c r="A960" s="9">
        <f>'Volúmenes DIstribuidos '!B633</f>
        <v>44414</v>
      </c>
      <c r="B960" s="10" t="str">
        <f>IF(OR('Volúmenes DIstribuidos '!C637="Azúcar",'Volúmenes DIstribuidos '!C637="azúcar"),"Azúcar o dulce",IF('Volúmenes DIstribuidos '!C637="Aceite","Aceite o grasas",IF('Volúmenes DIstribuidos '!C637="Avena","Otros almidones",'Volúmenes DIstribuidos '!C637)))</f>
        <v>Vegetales y hojas</v>
      </c>
      <c r="C960" s="10" t="s">
        <v>29</v>
      </c>
      <c r="D960" s="12">
        <f>'Volúmenes DIstribuidos '!D637</f>
        <v>38.299999999999997</v>
      </c>
      <c r="E960" s="12">
        <f>SUMIF('Parametros Inventario'!$A:$A,B960,'Parametros Inventario'!$B:$B)+SUMIFS(D$2:D960,B$2:B960,B960,C$2:C960,"ENTRADA")-SUMIFS(D$2:D960,B$2:B960,B960,C$2:C960,"SALIDA")</f>
        <v>4750.8669999999993</v>
      </c>
    </row>
    <row r="961" spans="1:5" x14ac:dyDescent="0.3">
      <c r="A961" s="9">
        <f>'Volúmenes DIstribuidos '!B633</f>
        <v>44414</v>
      </c>
      <c r="B961" s="10" t="str">
        <f>IF(OR('Volúmenes DIstribuidos '!C638="Azúcar",'Volúmenes DIstribuidos '!C638="azúcar"),"Azúcar o dulce",IF('Volúmenes DIstribuidos '!C638="Aceite","Aceite o grasas",IF('Volúmenes DIstribuidos '!C638="Avena","Otros almidones",'Volúmenes DIstribuidos '!C638)))</f>
        <v>Fideo</v>
      </c>
      <c r="C961" s="10" t="s">
        <v>29</v>
      </c>
      <c r="D961" s="12">
        <f>'Volúmenes DIstribuidos '!D638</f>
        <v>42.965000000000003</v>
      </c>
      <c r="E961" s="12">
        <f>SUMIF('Parametros Inventario'!$A:$A,B961,'Parametros Inventario'!$B:$B)+SUMIFS(D$2:D961,B$2:B961,B961,C$2:C961,"ENTRADA")-SUMIFS(D$2:D961,B$2:B961,B961,C$2:C961,"SALIDA")</f>
        <v>5358.0559999999996</v>
      </c>
    </row>
    <row r="962" spans="1:5" x14ac:dyDescent="0.3">
      <c r="A962" s="9">
        <f>'Volúmenes DIstribuidos '!B639</f>
        <v>44418</v>
      </c>
      <c r="B962" s="10" t="str">
        <f>IF(OR('Volúmenes DIstribuidos '!C639="Azúcar",'Volúmenes DIstribuidos '!C639="azúcar"),"Azúcar o dulce",IF('Volúmenes DIstribuidos '!C639="Aceite","Aceite o grasas",IF('Volúmenes DIstribuidos '!C639="Avena","Otros almidones",'Volúmenes DIstribuidos '!C639)))</f>
        <v>Lácteos</v>
      </c>
      <c r="C962" s="10" t="s">
        <v>29</v>
      </c>
      <c r="D962" s="12">
        <f>'Volúmenes DIstribuidos '!D639</f>
        <v>40.61</v>
      </c>
      <c r="E962" s="12">
        <f>SUMIF('Parametros Inventario'!$A:$A,B962,'Parametros Inventario'!$B:$B)+SUMIFS(D$2:D962,B$2:B962,B962,C$2:C962,"ENTRADA")-SUMIFS(D$2:D962,B$2:B962,B962,C$2:C962,"SALIDA")</f>
        <v>3999.2709999999988</v>
      </c>
    </row>
    <row r="963" spans="1:5" x14ac:dyDescent="0.3">
      <c r="A963" s="9">
        <f>'Volúmenes DIstribuidos '!B639</f>
        <v>44418</v>
      </c>
      <c r="B963" s="10" t="str">
        <f>IF(OR('Volúmenes DIstribuidos '!C640="Azúcar",'Volúmenes DIstribuidos '!C640="azúcar"),"Azúcar o dulce",IF('Volúmenes DIstribuidos '!C640="Aceite","Aceite o grasas",IF('Volúmenes DIstribuidos '!C640="Avena","Otros almidones",'Volúmenes DIstribuidos '!C640)))</f>
        <v>Carnes rojas</v>
      </c>
      <c r="C963" s="10" t="s">
        <v>29</v>
      </c>
      <c r="D963" s="12">
        <f>'Volúmenes DIstribuidos '!D640</f>
        <v>45.08</v>
      </c>
      <c r="E963" s="12">
        <f>SUMIF('Parametros Inventario'!$A:$A,B963,'Parametros Inventario'!$B:$B)+SUMIFS(D$2:D963,B$2:B963,B963,C$2:C963,"ENTRADA")-SUMIFS(D$2:D963,B$2:B963,B963,C$2:C963,"SALIDA")</f>
        <v>4765.3089999999993</v>
      </c>
    </row>
    <row r="964" spans="1:5" x14ac:dyDescent="0.3">
      <c r="A964" s="9">
        <f>'Volúmenes DIstribuidos '!B639</f>
        <v>44418</v>
      </c>
      <c r="B964" s="10" t="str">
        <f>IF(OR('Volúmenes DIstribuidos '!C641="Azúcar",'Volúmenes DIstribuidos '!C641="azúcar"),"Azúcar o dulce",IF('Volúmenes DIstribuidos '!C641="Aceite","Aceite o grasas",IF('Volúmenes DIstribuidos '!C641="Avena","Otros almidones",'Volúmenes DIstribuidos '!C641)))</f>
        <v>Aceite o grasas</v>
      </c>
      <c r="C964" s="10" t="s">
        <v>29</v>
      </c>
      <c r="D964" s="12">
        <f>'Volúmenes DIstribuidos '!D641</f>
        <v>66.81</v>
      </c>
      <c r="E964" s="12">
        <f>SUMIF('Parametros Inventario'!$A:$A,B964,'Parametros Inventario'!$B:$B)+SUMIFS(D$2:D964,B$2:B964,B964,C$2:C964,"ENTRADA")-SUMIFS(D$2:D964,B$2:B964,B964,C$2:C964,"SALIDA")</f>
        <v>4079.3610000000008</v>
      </c>
    </row>
    <row r="965" spans="1:5" x14ac:dyDescent="0.3">
      <c r="A965" s="9">
        <f>'Volúmenes DIstribuidos '!B639</f>
        <v>44418</v>
      </c>
      <c r="B965" s="10" t="str">
        <f>IF(OR('Volúmenes DIstribuidos '!C642="Azúcar",'Volúmenes DIstribuidos '!C642="azúcar"),"Azúcar o dulce",IF('Volúmenes DIstribuidos '!C642="Aceite","Aceite o grasas",IF('Volúmenes DIstribuidos '!C642="Avena","Otros almidones",'Volúmenes DIstribuidos '!C642)))</f>
        <v>Menestras</v>
      </c>
      <c r="C965" s="10" t="s">
        <v>29</v>
      </c>
      <c r="D965" s="12">
        <f>'Volúmenes DIstribuidos '!D642</f>
        <v>29.731000000000002</v>
      </c>
      <c r="E965" s="12">
        <f>SUMIF('Parametros Inventario'!$A:$A,B965,'Parametros Inventario'!$B:$B)+SUMIFS(D$2:D965,B$2:B965,B965,C$2:C965,"ENTRADA")-SUMIFS(D$2:D965,B$2:B965,B965,C$2:C965,"SALIDA")</f>
        <v>4504.2629999999999</v>
      </c>
    </row>
    <row r="966" spans="1:5" x14ac:dyDescent="0.3">
      <c r="A966" s="9">
        <f>'Volúmenes DIstribuidos '!B639</f>
        <v>44418</v>
      </c>
      <c r="B966" s="10" t="str">
        <f>IF(OR('Volúmenes DIstribuidos '!C643="Azúcar",'Volúmenes DIstribuidos '!C643="azúcar"),"Azúcar o dulce",IF('Volúmenes DIstribuidos '!C643="Aceite","Aceite o grasas",IF('Volúmenes DIstribuidos '!C643="Avena","Otros almidones",'Volúmenes DIstribuidos '!C643)))</f>
        <v>Azúcar o dulce</v>
      </c>
      <c r="C966" s="10" t="s">
        <v>29</v>
      </c>
      <c r="D966" s="12">
        <f>'Volúmenes DIstribuidos '!D643</f>
        <v>37.14</v>
      </c>
      <c r="E966" s="12">
        <f>SUMIF('Parametros Inventario'!$A:$A,B966,'Parametros Inventario'!$B:$B)+SUMIFS(D$2:D966,B$2:B966,B966,C$2:C966,"ENTRADA")-SUMIFS(D$2:D966,B$2:B966,B966,C$2:C966,"SALIDA")</f>
        <v>5396.9310000000014</v>
      </c>
    </row>
    <row r="967" spans="1:5" x14ac:dyDescent="0.3">
      <c r="A967" s="9">
        <f>'Volúmenes DIstribuidos '!B639</f>
        <v>44418</v>
      </c>
      <c r="B967" s="10" t="str">
        <f>IF(OR('Volúmenes DIstribuidos '!C644="Azúcar",'Volúmenes DIstribuidos '!C644="azúcar"),"Azúcar o dulce",IF('Volúmenes DIstribuidos '!C644="Aceite","Aceite o grasas",IF('Volúmenes DIstribuidos '!C644="Avena","Otros almidones",'Volúmenes DIstribuidos '!C644)))</f>
        <v>Fideo</v>
      </c>
      <c r="C967" s="10" t="s">
        <v>29</v>
      </c>
      <c r="D967" s="12">
        <f>'Volúmenes DIstribuidos '!D644</f>
        <v>7.84</v>
      </c>
      <c r="E967" s="12">
        <f>SUMIF('Parametros Inventario'!$A:$A,B967,'Parametros Inventario'!$B:$B)+SUMIFS(D$2:D967,B$2:B967,B967,C$2:C967,"ENTRADA")-SUMIFS(D$2:D967,B$2:B967,B967,C$2:C967,"SALIDA")</f>
        <v>5350.2160000000003</v>
      </c>
    </row>
    <row r="968" spans="1:5" x14ac:dyDescent="0.3">
      <c r="A968" s="9">
        <v>44421</v>
      </c>
      <c r="B968" s="10" t="s">
        <v>12</v>
      </c>
      <c r="C968" s="10" t="s">
        <v>28</v>
      </c>
      <c r="D968" s="12">
        <v>279.18</v>
      </c>
      <c r="E968" s="12">
        <f>SUMIF('Parametros Inventario'!$A:$A,B968,'Parametros Inventario'!$B:$B)+SUMIFS(D$2:D968,B$2:B968,B968,C$2:C968,"ENTRADA")-SUMIFS(D$2:D968,B$2:B968,B968,C$2:C968,"SALIDA")</f>
        <v>5044.4889999999996</v>
      </c>
    </row>
    <row r="969" spans="1:5" x14ac:dyDescent="0.3">
      <c r="A969" s="9">
        <v>44421</v>
      </c>
      <c r="B969" s="10" t="s">
        <v>16</v>
      </c>
      <c r="C969" s="10" t="s">
        <v>28</v>
      </c>
      <c r="D969" s="12">
        <v>144.35</v>
      </c>
      <c r="E969" s="12">
        <f>SUMIF('Parametros Inventario'!$A:$A,B969,'Parametros Inventario'!$B:$B)+SUMIFS(D$2:D969,B$2:B969,B969,C$2:C969,"ENTRADA")-SUMIFS(D$2:D969,B$2:B969,B969,C$2:C969,"SALIDA")</f>
        <v>4773.0359999999991</v>
      </c>
    </row>
    <row r="970" spans="1:5" x14ac:dyDescent="0.3">
      <c r="A970" s="9">
        <v>44421</v>
      </c>
      <c r="B970" s="10" t="s">
        <v>17</v>
      </c>
      <c r="C970" s="10" t="s">
        <v>28</v>
      </c>
      <c r="D970" s="12">
        <v>272.52</v>
      </c>
      <c r="E970" s="12">
        <f>SUMIF('Parametros Inventario'!$A:$A,B970,'Parametros Inventario'!$B:$B)+SUMIFS(D$2:D970,B$2:B970,B970,C$2:C970,"ENTRADA")-SUMIFS(D$2:D970,B$2:B970,B970,C$2:C970,"SALIDA")</f>
        <v>4271.7909999999983</v>
      </c>
    </row>
    <row r="971" spans="1:5" x14ac:dyDescent="0.3">
      <c r="A971" s="9">
        <v>44421</v>
      </c>
      <c r="B971" s="10" t="s">
        <v>18</v>
      </c>
      <c r="C971" s="10" t="s">
        <v>28</v>
      </c>
      <c r="D971" s="12">
        <v>223.34</v>
      </c>
      <c r="E971" s="12">
        <f>SUMIF('Parametros Inventario'!$A:$A,B971,'Parametros Inventario'!$B:$B)+SUMIFS(D$2:D971,B$2:B971,B971,C$2:C971,"ENTRADA")-SUMIFS(D$2:D971,B$2:B971,B971,C$2:C971,"SALIDA")</f>
        <v>5111.8019999999997</v>
      </c>
    </row>
    <row r="972" spans="1:5" x14ac:dyDescent="0.3">
      <c r="A972" s="9">
        <v>44421</v>
      </c>
      <c r="B972" s="10" t="s">
        <v>10</v>
      </c>
      <c r="C972" s="10" t="s">
        <v>28</v>
      </c>
      <c r="D972" s="12">
        <v>245.66</v>
      </c>
      <c r="E972" s="12">
        <f>SUMIF('Parametros Inventario'!$A:$A,B972,'Parametros Inventario'!$B:$B)+SUMIFS(D$2:D972,B$2:B972,B972,C$2:C972,"ENTRADA")-SUMIFS(D$2:D972,B$2:B972,B972,C$2:C972,"SALIDA")</f>
        <v>4996.5269999999991</v>
      </c>
    </row>
    <row r="973" spans="1:5" x14ac:dyDescent="0.3">
      <c r="A973" s="9">
        <v>44421</v>
      </c>
      <c r="B973" s="10" t="s">
        <v>8</v>
      </c>
      <c r="C973" s="10" t="s">
        <v>28</v>
      </c>
      <c r="D973" s="12">
        <v>65.5</v>
      </c>
      <c r="E973" s="12">
        <f>SUMIF('Parametros Inventario'!$A:$A,B973,'Parametros Inventario'!$B:$B)+SUMIFS(D$2:D973,B$2:B973,B973,C$2:C973,"ENTRADA")-SUMIFS(D$2:D973,B$2:B973,B973,C$2:C973,"SALIDA")</f>
        <v>4144.8610000000008</v>
      </c>
    </row>
    <row r="974" spans="1:5" x14ac:dyDescent="0.3">
      <c r="A974" s="9">
        <v>44421</v>
      </c>
      <c r="B974" s="10" t="s">
        <v>13</v>
      </c>
      <c r="C974" s="10" t="s">
        <v>28</v>
      </c>
      <c r="D974" s="12">
        <v>250.6</v>
      </c>
      <c r="E974" s="12">
        <f>SUMIF('Parametros Inventario'!$A:$A,B974,'Parametros Inventario'!$B:$B)+SUMIFS(D$2:D974,B$2:B974,B974,C$2:C974,"ENTRADA")-SUMIFS(D$2:D974,B$2:B974,B974,C$2:C974,"SALIDA")</f>
        <v>5647.5310000000018</v>
      </c>
    </row>
    <row r="975" spans="1:5" x14ac:dyDescent="0.3">
      <c r="A975" s="9">
        <v>44421</v>
      </c>
      <c r="B975" s="10" t="s">
        <v>15</v>
      </c>
      <c r="C975" s="10" t="s">
        <v>28</v>
      </c>
      <c r="D975" s="12">
        <v>63.7</v>
      </c>
      <c r="E975" s="12">
        <f>SUMIF('Parametros Inventario'!$A:$A,B975,'Parametros Inventario'!$B:$B)+SUMIFS(D$2:D975,B$2:B975,B975,C$2:C975,"ENTRADA")-SUMIFS(D$2:D975,B$2:B975,B975,C$2:C975,"SALIDA")</f>
        <v>4639.78</v>
      </c>
    </row>
    <row r="976" spans="1:5" x14ac:dyDescent="0.3">
      <c r="A976" s="9">
        <v>44421</v>
      </c>
      <c r="B976" s="10" t="s">
        <v>11</v>
      </c>
      <c r="C976" s="10" t="s">
        <v>28</v>
      </c>
      <c r="D976" s="12">
        <v>202.68</v>
      </c>
      <c r="E976" s="12">
        <f>SUMIF('Parametros Inventario'!$A:$A,B976,'Parametros Inventario'!$B:$B)+SUMIFS(D$2:D976,B$2:B976,B976,C$2:C976,"ENTRADA")-SUMIFS(D$2:D976,B$2:B976,B976,C$2:C976,"SALIDA")</f>
        <v>5552.8960000000006</v>
      </c>
    </row>
    <row r="977" spans="1:5" x14ac:dyDescent="0.3">
      <c r="A977" s="9">
        <v>44421</v>
      </c>
      <c r="B977" s="10" t="s">
        <v>9</v>
      </c>
      <c r="C977" s="10" t="s">
        <v>28</v>
      </c>
      <c r="D977" s="12">
        <v>157.96</v>
      </c>
      <c r="E977" s="12">
        <f>SUMIF('Parametros Inventario'!$A:$A,B977,'Parametros Inventario'!$B:$B)+SUMIFS(D$2:D977,B$2:B977,B977,C$2:C977,"ENTRADA")-SUMIFS(D$2:D977,B$2:B977,B977,C$2:C977,"SALIDA")</f>
        <v>3188.3290000000011</v>
      </c>
    </row>
    <row r="978" spans="1:5" x14ac:dyDescent="0.3">
      <c r="A978" s="9">
        <f>'Volúmenes DIstribuidos '!B645</f>
        <v>44421</v>
      </c>
      <c r="B978" s="10" t="str">
        <f>IF(OR('Volúmenes DIstribuidos '!C645="Azúcar",'Volúmenes DIstribuidos '!C645="azúcar"),"Azúcar o dulce",IF('Volúmenes DIstribuidos '!C645="Aceite","Aceite o grasas",IF('Volúmenes DIstribuidos '!C645="Avena","Otros almidones",'Volúmenes DIstribuidos '!C645)))</f>
        <v>Carnes blancas</v>
      </c>
      <c r="C978" s="10" t="s">
        <v>29</v>
      </c>
      <c r="D978" s="12">
        <f>'Volúmenes DIstribuidos '!D645</f>
        <v>9.74</v>
      </c>
      <c r="E978" s="12">
        <f>SUMIF('Parametros Inventario'!$A:$A,B978,'Parametros Inventario'!$B:$B)+SUMIFS(D$2:D978,B$2:B978,B978,C$2:C978,"ENTRADA")-SUMIFS(D$2:D978,B$2:B978,B978,C$2:C978,"SALIDA")</f>
        <v>4763.2959999999994</v>
      </c>
    </row>
    <row r="979" spans="1:5" x14ac:dyDescent="0.3">
      <c r="A979" s="9">
        <f>'Volúmenes DIstribuidos '!B645</f>
        <v>44421</v>
      </c>
      <c r="B979" s="10" t="str">
        <f>IF(OR('Volúmenes DIstribuidos '!C646="Azúcar",'Volúmenes DIstribuidos '!C646="azúcar"),"Azúcar o dulce",IF('Volúmenes DIstribuidos '!C646="Aceite","Aceite o grasas",IF('Volúmenes DIstribuidos '!C646="Avena","Otros almidones",'Volúmenes DIstribuidos '!C646)))</f>
        <v>Aceite o grasas</v>
      </c>
      <c r="C979" s="10" t="s">
        <v>29</v>
      </c>
      <c r="D979" s="12">
        <f>'Volúmenes DIstribuidos '!D646</f>
        <v>12.86</v>
      </c>
      <c r="E979" s="12">
        <f>SUMIF('Parametros Inventario'!$A:$A,B979,'Parametros Inventario'!$B:$B)+SUMIFS(D$2:D979,B$2:B979,B979,C$2:C979,"ENTRADA")-SUMIFS(D$2:D979,B$2:B979,B979,C$2:C979,"SALIDA")</f>
        <v>4132.0010000000002</v>
      </c>
    </row>
    <row r="980" spans="1:5" x14ac:dyDescent="0.3">
      <c r="A980" s="9">
        <f>'Volúmenes DIstribuidos '!B645</f>
        <v>44421</v>
      </c>
      <c r="B980" s="10" t="str">
        <f>IF(OR('Volúmenes DIstribuidos '!C647="Azúcar",'Volúmenes DIstribuidos '!C647="azúcar"),"Azúcar o dulce",IF('Volúmenes DIstribuidos '!C647="Aceite","Aceite o grasas",IF('Volúmenes DIstribuidos '!C647="Avena","Otros almidones",'Volúmenes DIstribuidos '!C647)))</f>
        <v>Carnes rojas</v>
      </c>
      <c r="C980" s="10" t="s">
        <v>29</v>
      </c>
      <c r="D980" s="12">
        <f>'Volúmenes DIstribuidos '!D647</f>
        <v>33.698</v>
      </c>
      <c r="E980" s="12">
        <f>SUMIF('Parametros Inventario'!$A:$A,B980,'Parametros Inventario'!$B:$B)+SUMIFS(D$2:D980,B$2:B980,B980,C$2:C980,"ENTRADA")-SUMIFS(D$2:D980,B$2:B980,B980,C$2:C980,"SALIDA")</f>
        <v>5010.7910000000002</v>
      </c>
    </row>
    <row r="981" spans="1:5" x14ac:dyDescent="0.3">
      <c r="A981" s="9">
        <f>'Volúmenes DIstribuidos '!B645</f>
        <v>44421</v>
      </c>
      <c r="B981" s="10" t="str">
        <f>IF(OR('Volúmenes DIstribuidos '!C648="Azúcar",'Volúmenes DIstribuidos '!C648="azúcar"),"Azúcar o dulce",IF('Volúmenes DIstribuidos '!C648="Aceite","Aceite o grasas",IF('Volúmenes DIstribuidos '!C648="Avena","Otros almidones",'Volúmenes DIstribuidos '!C648)))</f>
        <v>Vegetales y hojas</v>
      </c>
      <c r="C981" s="10" t="s">
        <v>29</v>
      </c>
      <c r="D981" s="12">
        <f>'Volúmenes DIstribuidos '!D648</f>
        <v>80.56</v>
      </c>
      <c r="E981" s="12">
        <f>SUMIF('Parametros Inventario'!$A:$A,B981,'Parametros Inventario'!$B:$B)+SUMIFS(D$2:D981,B$2:B981,B981,C$2:C981,"ENTRADA")-SUMIFS(D$2:D981,B$2:B981,B981,C$2:C981,"SALIDA")</f>
        <v>4915.9669999999987</v>
      </c>
    </row>
    <row r="982" spans="1:5" x14ac:dyDescent="0.3">
      <c r="A982" s="9">
        <f>'Volúmenes DIstribuidos '!B645</f>
        <v>44421</v>
      </c>
      <c r="B982" s="10" t="str">
        <f>IF(OR('Volúmenes DIstribuidos '!C649="Azúcar",'Volúmenes DIstribuidos '!C649="azúcar"),"Azúcar o dulce",IF('Volúmenes DIstribuidos '!C649="Aceite","Aceite o grasas",IF('Volúmenes DIstribuidos '!C649="Avena","Otros almidones",'Volúmenes DIstribuidos '!C649)))</f>
        <v>Otros almidones</v>
      </c>
      <c r="C982" s="10" t="s">
        <v>29</v>
      </c>
      <c r="D982" s="12">
        <f>'Volúmenes DIstribuidos '!D649</f>
        <v>113.82</v>
      </c>
      <c r="E982" s="12">
        <f>SUMIF('Parametros Inventario'!$A:$A,B982,'Parametros Inventario'!$B:$B)+SUMIFS(D$2:D982,B$2:B982,B982,C$2:C982,"ENTRADA")-SUMIFS(D$2:D982,B$2:B982,B982,C$2:C982,"SALIDA")</f>
        <v>4525.9599999999991</v>
      </c>
    </row>
    <row r="983" spans="1:5" x14ac:dyDescent="0.3">
      <c r="A983" s="9">
        <f>'Volúmenes DIstribuidos '!B645</f>
        <v>44421</v>
      </c>
      <c r="B983" s="10" t="str">
        <f>IF(OR('Volúmenes DIstribuidos '!C650="Azúcar",'Volúmenes DIstribuidos '!C650="azúcar"),"Azúcar o dulce",IF('Volúmenes DIstribuidos '!C650="Aceite","Aceite o grasas",IF('Volúmenes DIstribuidos '!C650="Avena","Otros almidones",'Volúmenes DIstribuidos '!C650)))</f>
        <v>Fideo</v>
      </c>
      <c r="C983" s="10" t="s">
        <v>29</v>
      </c>
      <c r="D983" s="12">
        <f>'Volúmenes DIstribuidos '!D650</f>
        <v>27.87</v>
      </c>
      <c r="E983" s="12">
        <f>SUMIF('Parametros Inventario'!$A:$A,B983,'Parametros Inventario'!$B:$B)+SUMIFS(D$2:D983,B$2:B983,B983,C$2:C983,"ENTRADA")-SUMIFS(D$2:D983,B$2:B983,B983,C$2:C983,"SALIDA")</f>
        <v>5525.0259999999998</v>
      </c>
    </row>
    <row r="984" spans="1:5" x14ac:dyDescent="0.3">
      <c r="A984" s="9">
        <f>'Volúmenes DIstribuidos '!B651</f>
        <v>44425</v>
      </c>
      <c r="B984" s="10" t="str">
        <f>IF(OR('Volúmenes DIstribuidos '!C651="Azúcar",'Volúmenes DIstribuidos '!C651="azúcar"),"Azúcar o dulce",IF('Volúmenes DIstribuidos '!C651="Aceite","Aceite o grasas",IF('Volúmenes DIstribuidos '!C651="Avena","Otros almidones",'Volúmenes DIstribuidos '!C651)))</f>
        <v>Carnes rojas</v>
      </c>
      <c r="C984" s="10" t="s">
        <v>29</v>
      </c>
      <c r="D984" s="12">
        <f>'Volúmenes DIstribuidos '!D651</f>
        <v>20.89</v>
      </c>
      <c r="E984" s="12">
        <f>SUMIF('Parametros Inventario'!$A:$A,B984,'Parametros Inventario'!$B:$B)+SUMIFS(D$2:D984,B$2:B984,B984,C$2:C984,"ENTRADA")-SUMIFS(D$2:D984,B$2:B984,B984,C$2:C984,"SALIDA")</f>
        <v>4989.9009999999998</v>
      </c>
    </row>
    <row r="985" spans="1:5" x14ac:dyDescent="0.3">
      <c r="A985" s="9">
        <f>'Volúmenes DIstribuidos '!B651</f>
        <v>44425</v>
      </c>
      <c r="B985" s="10" t="str">
        <f>IF(OR('Volúmenes DIstribuidos '!C652="Azúcar",'Volúmenes DIstribuidos '!C652="azúcar"),"Azúcar o dulce",IF('Volúmenes DIstribuidos '!C652="Aceite","Aceite o grasas",IF('Volúmenes DIstribuidos '!C652="Avena","Otros almidones",'Volúmenes DIstribuidos '!C652)))</f>
        <v>Salsas</v>
      </c>
      <c r="C985" s="10" t="s">
        <v>29</v>
      </c>
      <c r="D985" s="12">
        <f>'Volúmenes DIstribuidos '!D652</f>
        <v>13.692</v>
      </c>
      <c r="E985" s="12">
        <f>SUMIF('Parametros Inventario'!$A:$A,B985,'Parametros Inventario'!$B:$B)+SUMIFS(D$2:D985,B$2:B985,B985,C$2:C985,"ENTRADA")-SUMIFS(D$2:D985,B$2:B985,B985,C$2:C985,"SALIDA")</f>
        <v>5098.1099999999988</v>
      </c>
    </row>
    <row r="986" spans="1:5" x14ac:dyDescent="0.3">
      <c r="A986" s="9">
        <f>'Volúmenes DIstribuidos '!B651</f>
        <v>44425</v>
      </c>
      <c r="B986" s="10" t="str">
        <f>IF(OR('Volúmenes DIstribuidos '!C653="Azúcar",'Volúmenes DIstribuidos '!C653="azúcar"),"Azúcar o dulce",IF('Volúmenes DIstribuidos '!C653="Aceite","Aceite o grasas",IF('Volúmenes DIstribuidos '!C653="Avena","Otros almidones",'Volúmenes DIstribuidos '!C653)))</f>
        <v>Otros almidones</v>
      </c>
      <c r="C986" s="10" t="s">
        <v>29</v>
      </c>
      <c r="D986" s="12">
        <f>'Volúmenes DIstribuidos '!D653</f>
        <v>9.7200000000000006</v>
      </c>
      <c r="E986" s="12">
        <f>SUMIF('Parametros Inventario'!$A:$A,B986,'Parametros Inventario'!$B:$B)+SUMIFS(D$2:D986,B$2:B986,B986,C$2:C986,"ENTRADA")-SUMIFS(D$2:D986,B$2:B986,B986,C$2:C986,"SALIDA")</f>
        <v>4516.24</v>
      </c>
    </row>
    <row r="987" spans="1:5" x14ac:dyDescent="0.3">
      <c r="A987" s="9">
        <f>'Volúmenes DIstribuidos '!B651</f>
        <v>44425</v>
      </c>
      <c r="B987" s="10" t="str">
        <f>IF(OR('Volúmenes DIstribuidos '!C654="Azúcar",'Volúmenes DIstribuidos '!C654="azúcar"),"Azúcar o dulce",IF('Volúmenes DIstribuidos '!C654="Aceite","Aceite o grasas",IF('Volúmenes DIstribuidos '!C654="Avena","Otros almidones",'Volúmenes DIstribuidos '!C654)))</f>
        <v>Carnes blancas</v>
      </c>
      <c r="C987" s="10" t="s">
        <v>29</v>
      </c>
      <c r="D987" s="12">
        <f>'Volúmenes DIstribuidos '!D654</f>
        <v>12.24</v>
      </c>
      <c r="E987" s="12">
        <f>SUMIF('Parametros Inventario'!$A:$A,B987,'Parametros Inventario'!$B:$B)+SUMIFS(D$2:D987,B$2:B987,B987,C$2:C987,"ENTRADA")-SUMIFS(D$2:D987,B$2:B987,B987,C$2:C987,"SALIDA")</f>
        <v>4751.0559999999996</v>
      </c>
    </row>
    <row r="988" spans="1:5" x14ac:dyDescent="0.3">
      <c r="A988" s="9">
        <f>'Volúmenes DIstribuidos '!B651</f>
        <v>44425</v>
      </c>
      <c r="B988" s="10" t="str">
        <f>IF(OR('Volúmenes DIstribuidos '!C655="Azúcar",'Volúmenes DIstribuidos '!C655="azúcar"),"Azúcar o dulce",IF('Volúmenes DIstribuidos '!C655="Aceite","Aceite o grasas",IF('Volúmenes DIstribuidos '!C655="Avena","Otros almidones",'Volúmenes DIstribuidos '!C655)))</f>
        <v>Panadería</v>
      </c>
      <c r="C988" s="10" t="s">
        <v>29</v>
      </c>
      <c r="D988" s="12">
        <f>'Volúmenes DIstribuidos '!D655</f>
        <v>24.5</v>
      </c>
      <c r="E988" s="12">
        <f>SUMIF('Parametros Inventario'!$A:$A,B988,'Parametros Inventario'!$B:$B)+SUMIFS(D$2:D988,B$2:B988,B988,C$2:C988,"ENTRADA")-SUMIFS(D$2:D988,B$2:B988,B988,C$2:C988,"SALIDA")</f>
        <v>3163.8290000000011</v>
      </c>
    </row>
    <row r="989" spans="1:5" x14ac:dyDescent="0.3">
      <c r="A989" s="9">
        <f>'Volúmenes DIstribuidos '!B651</f>
        <v>44425</v>
      </c>
      <c r="B989" s="10" t="str">
        <f>IF(OR('Volúmenes DIstribuidos '!C656="Azúcar",'Volúmenes DIstribuidos '!C656="azúcar"),"Azúcar o dulce",IF('Volúmenes DIstribuidos '!C656="Aceite","Aceite o grasas",IF('Volúmenes DIstribuidos '!C656="Avena","Otros almidones",'Volúmenes DIstribuidos '!C656)))</f>
        <v>Fideo</v>
      </c>
      <c r="C989" s="10" t="s">
        <v>29</v>
      </c>
      <c r="D989" s="12">
        <f>'Volúmenes DIstribuidos '!D656</f>
        <v>4.3</v>
      </c>
      <c r="E989" s="12">
        <f>SUMIF('Parametros Inventario'!$A:$A,B989,'Parametros Inventario'!$B:$B)+SUMIFS(D$2:D989,B$2:B989,B989,C$2:C989,"ENTRADA")-SUMIFS(D$2:D989,B$2:B989,B989,C$2:C989,"SALIDA")</f>
        <v>5520.7260000000006</v>
      </c>
    </row>
    <row r="990" spans="1:5" x14ac:dyDescent="0.3">
      <c r="A990" s="9">
        <v>44428</v>
      </c>
      <c r="B990" s="10" t="s">
        <v>14</v>
      </c>
      <c r="C990" s="10" t="s">
        <v>28</v>
      </c>
      <c r="D990" s="12">
        <v>75.459999999999994</v>
      </c>
      <c r="E990" s="12">
        <f>SUMIF('Parametros Inventario'!$A:$A,B990,'Parametros Inventario'!$B:$B)+SUMIFS(D$2:D990,B$2:B990,B990,C$2:C990,"ENTRADA")-SUMIFS(D$2:D990,B$2:B990,B990,C$2:C990,"SALIDA")</f>
        <v>4579.723</v>
      </c>
    </row>
    <row r="991" spans="1:5" x14ac:dyDescent="0.3">
      <c r="A991" s="9">
        <v>44428</v>
      </c>
      <c r="B991" s="10" t="s">
        <v>12</v>
      </c>
      <c r="C991" s="10" t="s">
        <v>28</v>
      </c>
      <c r="D991" s="12">
        <v>63.95</v>
      </c>
      <c r="E991" s="12">
        <f>SUMIF('Parametros Inventario'!$A:$A,B991,'Parametros Inventario'!$B:$B)+SUMIFS(D$2:D991,B$2:B991,B991,C$2:C991,"ENTRADA")-SUMIFS(D$2:D991,B$2:B991,B991,C$2:C991,"SALIDA")</f>
        <v>5053.8509999999997</v>
      </c>
    </row>
    <row r="992" spans="1:5" x14ac:dyDescent="0.3">
      <c r="A992" s="9">
        <v>44428</v>
      </c>
      <c r="B992" s="10" t="s">
        <v>16</v>
      </c>
      <c r="C992" s="10" t="s">
        <v>28</v>
      </c>
      <c r="D992" s="12">
        <v>63.05</v>
      </c>
      <c r="E992" s="12">
        <f>SUMIF('Parametros Inventario'!$A:$A,B992,'Parametros Inventario'!$B:$B)+SUMIFS(D$2:D992,B$2:B992,B992,C$2:C992,"ENTRADA")-SUMIFS(D$2:D992,B$2:B992,B992,C$2:C992,"SALIDA")</f>
        <v>4814.1059999999998</v>
      </c>
    </row>
    <row r="993" spans="1:5" x14ac:dyDescent="0.3">
      <c r="A993" s="9">
        <v>44428</v>
      </c>
      <c r="B993" s="10" t="s">
        <v>17</v>
      </c>
      <c r="C993" s="10" t="s">
        <v>28</v>
      </c>
      <c r="D993" s="12">
        <v>262.48</v>
      </c>
      <c r="E993" s="12">
        <f>SUMIF('Parametros Inventario'!$A:$A,B993,'Parametros Inventario'!$B:$B)+SUMIFS(D$2:D993,B$2:B993,B993,C$2:C993,"ENTRADA")-SUMIFS(D$2:D993,B$2:B993,B993,C$2:C993,"SALIDA")</f>
        <v>4534.2709999999979</v>
      </c>
    </row>
    <row r="994" spans="1:5" x14ac:dyDescent="0.3">
      <c r="A994" s="9">
        <v>44428</v>
      </c>
      <c r="B994" s="10" t="s">
        <v>18</v>
      </c>
      <c r="C994" s="10" t="s">
        <v>28</v>
      </c>
      <c r="D994" s="12">
        <v>150.41999999999999</v>
      </c>
      <c r="E994" s="12">
        <f>SUMIF('Parametros Inventario'!$A:$A,B994,'Parametros Inventario'!$B:$B)+SUMIFS(D$2:D994,B$2:B994,B994,C$2:C994,"ENTRADA")-SUMIFS(D$2:D994,B$2:B994,B994,C$2:C994,"SALIDA")</f>
        <v>5248.5299999999988</v>
      </c>
    </row>
    <row r="995" spans="1:5" x14ac:dyDescent="0.3">
      <c r="A995" s="9">
        <v>44428</v>
      </c>
      <c r="B995" s="10" t="s">
        <v>10</v>
      </c>
      <c r="C995" s="10" t="s">
        <v>28</v>
      </c>
      <c r="D995" s="12">
        <v>204.33</v>
      </c>
      <c r="E995" s="12">
        <f>SUMIF('Parametros Inventario'!$A:$A,B995,'Parametros Inventario'!$B:$B)+SUMIFS(D$2:D995,B$2:B995,B995,C$2:C995,"ENTRADA")-SUMIFS(D$2:D995,B$2:B995,B995,C$2:C995,"SALIDA")</f>
        <v>5120.2969999999987</v>
      </c>
    </row>
    <row r="996" spans="1:5" x14ac:dyDescent="0.3">
      <c r="A996" s="9">
        <v>44428</v>
      </c>
      <c r="B996" s="10" t="s">
        <v>8</v>
      </c>
      <c r="C996" s="10" t="s">
        <v>28</v>
      </c>
      <c r="D996" s="12">
        <v>152.78</v>
      </c>
      <c r="E996" s="12">
        <f>SUMIF('Parametros Inventario'!$A:$A,B996,'Parametros Inventario'!$B:$B)+SUMIFS(D$2:D996,B$2:B996,B996,C$2:C996,"ENTRADA")-SUMIFS(D$2:D996,B$2:B996,B996,C$2:C996,"SALIDA")</f>
        <v>4284.7810000000009</v>
      </c>
    </row>
    <row r="997" spans="1:5" x14ac:dyDescent="0.3">
      <c r="A997" s="9">
        <v>44428</v>
      </c>
      <c r="B997" s="10" t="s">
        <v>13</v>
      </c>
      <c r="C997" s="10" t="s">
        <v>28</v>
      </c>
      <c r="D997" s="12">
        <v>266.14999999999998</v>
      </c>
      <c r="E997" s="12">
        <f>SUMIF('Parametros Inventario'!$A:$A,B997,'Parametros Inventario'!$B:$B)+SUMIFS(D$2:D997,B$2:B997,B997,C$2:C997,"ENTRADA")-SUMIFS(D$2:D997,B$2:B997,B997,C$2:C997,"SALIDA")</f>
        <v>5913.6810000000014</v>
      </c>
    </row>
    <row r="998" spans="1:5" x14ac:dyDescent="0.3">
      <c r="A998" s="9">
        <v>44428</v>
      </c>
      <c r="B998" s="10" t="s">
        <v>15</v>
      </c>
      <c r="C998" s="10" t="s">
        <v>28</v>
      </c>
      <c r="D998" s="12">
        <v>246.87</v>
      </c>
      <c r="E998" s="12">
        <f>SUMIF('Parametros Inventario'!$A:$A,B998,'Parametros Inventario'!$B:$B)+SUMIFS(D$2:D998,B$2:B998,B998,C$2:C998,"ENTRADA")-SUMIFS(D$2:D998,B$2:B998,B998,C$2:C998,"SALIDA")</f>
        <v>4763.1099999999997</v>
      </c>
    </row>
    <row r="999" spans="1:5" x14ac:dyDescent="0.3">
      <c r="A999" s="9">
        <v>44428</v>
      </c>
      <c r="B999" s="10" t="s">
        <v>11</v>
      </c>
      <c r="C999" s="10" t="s">
        <v>28</v>
      </c>
      <c r="D999" s="12">
        <v>206</v>
      </c>
      <c r="E999" s="12">
        <f>SUMIF('Parametros Inventario'!$A:$A,B999,'Parametros Inventario'!$B:$B)+SUMIFS(D$2:D999,B$2:B999,B999,C$2:C999,"ENTRADA")-SUMIFS(D$2:D999,B$2:B999,B999,C$2:C999,"SALIDA")</f>
        <v>5726.7260000000006</v>
      </c>
    </row>
    <row r="1000" spans="1:5" x14ac:dyDescent="0.3">
      <c r="A1000" s="9">
        <v>44428</v>
      </c>
      <c r="B1000" s="10" t="s">
        <v>9</v>
      </c>
      <c r="C1000" s="10" t="s">
        <v>28</v>
      </c>
      <c r="D1000" s="12">
        <v>163.35</v>
      </c>
      <c r="E1000" s="12">
        <f>SUMIF('Parametros Inventario'!$A:$A,B1000,'Parametros Inventario'!$B:$B)+SUMIFS(D$2:D1000,B$2:B1000,B1000,C$2:C1000,"ENTRADA")-SUMIFS(D$2:D1000,B$2:B1000,B1000,C$2:C1000,"SALIDA")</f>
        <v>3327.1790000000015</v>
      </c>
    </row>
    <row r="1001" spans="1:5" x14ac:dyDescent="0.3">
      <c r="A1001" s="9">
        <f>'Volúmenes DIstribuidos '!B657</f>
        <v>44428</v>
      </c>
      <c r="B1001" s="10" t="str">
        <f>IF(OR('Volúmenes DIstribuidos '!C657="Azúcar",'Volúmenes DIstribuidos '!C657="azúcar"),"Azúcar o dulce",IF('Volúmenes DIstribuidos '!C657="Aceite","Aceite o grasas",IF('Volúmenes DIstribuidos '!C657="Avena","Otros almidones",'Volúmenes DIstribuidos '!C657)))</f>
        <v>Aceite o grasas</v>
      </c>
      <c r="C1001" s="10" t="s">
        <v>29</v>
      </c>
      <c r="D1001" s="12">
        <f>'Volúmenes DIstribuidos '!D657</f>
        <v>6.36</v>
      </c>
      <c r="E1001" s="12">
        <f>SUMIF('Parametros Inventario'!$A:$A,B1001,'Parametros Inventario'!$B:$B)+SUMIFS(D$2:D1001,B$2:B1001,B1001,C$2:C1001,"ENTRADA")-SUMIFS(D$2:D1001,B$2:B1001,B1001,C$2:C1001,"SALIDA")</f>
        <v>4278.4210000000003</v>
      </c>
    </row>
    <row r="1002" spans="1:5" x14ac:dyDescent="0.3">
      <c r="A1002" s="9">
        <f>'Volúmenes DIstribuidos '!B657</f>
        <v>44428</v>
      </c>
      <c r="B1002" s="10" t="str">
        <f>IF(OR('Volúmenes DIstribuidos '!C658="Azúcar",'Volúmenes DIstribuidos '!C658="azúcar"),"Azúcar o dulce",IF('Volúmenes DIstribuidos '!C658="Aceite","Aceite o grasas",IF('Volúmenes DIstribuidos '!C658="Avena","Otros almidones",'Volúmenes DIstribuidos '!C658)))</f>
        <v>Lácteos</v>
      </c>
      <c r="C1002" s="10" t="s">
        <v>29</v>
      </c>
      <c r="D1002" s="12">
        <f>'Volúmenes DIstribuidos '!D658</f>
        <v>35.450000000000003</v>
      </c>
      <c r="E1002" s="12">
        <f>SUMIF('Parametros Inventario'!$A:$A,B1002,'Parametros Inventario'!$B:$B)+SUMIFS(D$2:D1002,B$2:B1002,B1002,C$2:C1002,"ENTRADA")-SUMIFS(D$2:D1002,B$2:B1002,B1002,C$2:C1002,"SALIDA")</f>
        <v>4498.8209999999981</v>
      </c>
    </row>
    <row r="1003" spans="1:5" x14ac:dyDescent="0.3">
      <c r="A1003" s="9">
        <f>'Volúmenes DIstribuidos '!B657</f>
        <v>44428</v>
      </c>
      <c r="B1003" s="10" t="str">
        <f>IF(OR('Volúmenes DIstribuidos '!C659="Azúcar",'Volúmenes DIstribuidos '!C659="azúcar"),"Azúcar o dulce",IF('Volúmenes DIstribuidos '!C659="Aceite","Aceite o grasas",IF('Volúmenes DIstribuidos '!C659="Avena","Otros almidones",'Volúmenes DIstribuidos '!C659)))</f>
        <v>Lácteos</v>
      </c>
      <c r="C1003" s="10" t="s">
        <v>29</v>
      </c>
      <c r="D1003" s="12">
        <f>'Volúmenes DIstribuidos '!D659</f>
        <v>200</v>
      </c>
      <c r="E1003" s="12">
        <f>SUMIF('Parametros Inventario'!$A:$A,B1003,'Parametros Inventario'!$B:$B)+SUMIFS(D$2:D1003,B$2:B1003,B1003,C$2:C1003,"ENTRADA")-SUMIFS(D$2:D1003,B$2:B1003,B1003,C$2:C1003,"SALIDA")</f>
        <v>4298.8209999999981</v>
      </c>
    </row>
    <row r="1004" spans="1:5" x14ac:dyDescent="0.3">
      <c r="A1004" s="9">
        <f>'Volúmenes DIstribuidos '!B657</f>
        <v>44428</v>
      </c>
      <c r="B1004" s="10" t="str">
        <f>IF(OR('Volúmenes DIstribuidos '!C660="Azúcar",'Volúmenes DIstribuidos '!C660="azúcar"),"Azúcar o dulce",IF('Volúmenes DIstribuidos '!C660="Aceite","Aceite o grasas",IF('Volúmenes DIstribuidos '!C660="Avena","Otros almidones",'Volúmenes DIstribuidos '!C660)))</f>
        <v>Fideo</v>
      </c>
      <c r="C1004" s="10" t="s">
        <v>29</v>
      </c>
      <c r="D1004" s="12">
        <f>'Volúmenes DIstribuidos '!D660</f>
        <v>55.23</v>
      </c>
      <c r="E1004" s="12">
        <f>SUMIF('Parametros Inventario'!$A:$A,B1004,'Parametros Inventario'!$B:$B)+SUMIFS(D$2:D1004,B$2:B1004,B1004,C$2:C1004,"ENTRADA")-SUMIFS(D$2:D1004,B$2:B1004,B1004,C$2:C1004,"SALIDA")</f>
        <v>5671.4960000000001</v>
      </c>
    </row>
    <row r="1005" spans="1:5" x14ac:dyDescent="0.3">
      <c r="A1005" s="9">
        <f>'Volúmenes DIstribuidos '!B657</f>
        <v>44428</v>
      </c>
      <c r="B1005" s="10" t="str">
        <f>IF(OR('Volúmenes DIstribuidos '!C661="Azúcar",'Volúmenes DIstribuidos '!C661="azúcar"),"Azúcar o dulce",IF('Volúmenes DIstribuidos '!C661="Aceite","Aceite o grasas",IF('Volúmenes DIstribuidos '!C661="Avena","Otros almidones",'Volúmenes DIstribuidos '!C661)))</f>
        <v>Otros almidones</v>
      </c>
      <c r="C1005" s="10" t="s">
        <v>29</v>
      </c>
      <c r="D1005" s="12">
        <f>'Volúmenes DIstribuidos '!D661</f>
        <v>80</v>
      </c>
      <c r="E1005" s="12">
        <f>SUMIF('Parametros Inventario'!$A:$A,B1005,'Parametros Inventario'!$B:$B)+SUMIFS(D$2:D1005,B$2:B1005,B1005,C$2:C1005,"ENTRADA")-SUMIFS(D$2:D1005,B$2:B1005,B1005,C$2:C1005,"SALIDA")</f>
        <v>4683.1099999999997</v>
      </c>
    </row>
    <row r="1006" spans="1:5" x14ac:dyDescent="0.3">
      <c r="A1006" s="9">
        <f>'Volúmenes DIstribuidos '!B657</f>
        <v>44428</v>
      </c>
      <c r="B1006" s="10" t="str">
        <f>IF(OR('Volúmenes DIstribuidos '!C662="Azúcar",'Volúmenes DIstribuidos '!C662="azúcar"),"Azúcar o dulce",IF('Volúmenes DIstribuidos '!C662="Aceite","Aceite o grasas",IF('Volúmenes DIstribuidos '!C662="Avena","Otros almidones",'Volúmenes DIstribuidos '!C662)))</f>
        <v>Menestras</v>
      </c>
      <c r="C1006" s="10" t="s">
        <v>29</v>
      </c>
      <c r="D1006" s="12">
        <f>'Volúmenes DIstribuidos '!D662</f>
        <v>3.8959999999999999</v>
      </c>
      <c r="E1006" s="12">
        <f>SUMIF('Parametros Inventario'!$A:$A,B1006,'Parametros Inventario'!$B:$B)+SUMIFS(D$2:D1006,B$2:B1006,B1006,C$2:C1006,"ENTRADA")-SUMIFS(D$2:D1006,B$2:B1006,B1006,C$2:C1006,"SALIDA")</f>
        <v>4575.8270000000002</v>
      </c>
    </row>
    <row r="1007" spans="1:5" x14ac:dyDescent="0.3">
      <c r="A1007" s="9">
        <f>'Volúmenes DIstribuidos '!B663</f>
        <v>44432</v>
      </c>
      <c r="B1007" s="10" t="str">
        <f>IF(OR('Volúmenes DIstribuidos '!C663="Azúcar",'Volúmenes DIstribuidos '!C663="azúcar"),"Azúcar o dulce",IF('Volúmenes DIstribuidos '!C663="Aceite","Aceite o grasas",IF('Volúmenes DIstribuidos '!C663="Avena","Otros almidones",'Volúmenes DIstribuidos '!C663)))</f>
        <v>Salsas</v>
      </c>
      <c r="C1007" s="10" t="s">
        <v>29</v>
      </c>
      <c r="D1007" s="12">
        <f>'Volúmenes DIstribuidos '!D663</f>
        <v>5.77</v>
      </c>
      <c r="E1007" s="12">
        <f>SUMIF('Parametros Inventario'!$A:$A,B1007,'Parametros Inventario'!$B:$B)+SUMIFS(D$2:D1007,B$2:B1007,B1007,C$2:C1007,"ENTRADA")-SUMIFS(D$2:D1007,B$2:B1007,B1007,C$2:C1007,"SALIDA")</f>
        <v>5242.7599999999993</v>
      </c>
    </row>
    <row r="1008" spans="1:5" x14ac:dyDescent="0.3">
      <c r="A1008" s="9">
        <f>'Volúmenes DIstribuidos '!B663</f>
        <v>44432</v>
      </c>
      <c r="B1008" s="10" t="str">
        <f>IF(OR('Volúmenes DIstribuidos '!C664="Azúcar",'Volúmenes DIstribuidos '!C664="azúcar"),"Azúcar o dulce",IF('Volúmenes DIstribuidos '!C664="Aceite","Aceite o grasas",IF('Volúmenes DIstribuidos '!C664="Avena","Otros almidones",'Volúmenes DIstribuidos '!C664)))</f>
        <v>Aceite o grasas</v>
      </c>
      <c r="C1008" s="10" t="s">
        <v>29</v>
      </c>
      <c r="D1008" s="12">
        <f>'Volúmenes DIstribuidos '!D664</f>
        <v>60.56</v>
      </c>
      <c r="E1008" s="12">
        <f>SUMIF('Parametros Inventario'!$A:$A,B1008,'Parametros Inventario'!$B:$B)+SUMIFS(D$2:D1008,B$2:B1008,B1008,C$2:C1008,"ENTRADA")-SUMIFS(D$2:D1008,B$2:B1008,B1008,C$2:C1008,"SALIDA")</f>
        <v>4217.8610000000008</v>
      </c>
    </row>
    <row r="1009" spans="1:5" x14ac:dyDescent="0.3">
      <c r="A1009" s="9">
        <f>'Volúmenes DIstribuidos '!B663</f>
        <v>44432</v>
      </c>
      <c r="B1009" s="10" t="str">
        <f>IF(OR('Volúmenes DIstribuidos '!C665="Azúcar",'Volúmenes DIstribuidos '!C665="azúcar"),"Azúcar o dulce",IF('Volúmenes DIstribuidos '!C665="Aceite","Aceite o grasas",IF('Volúmenes DIstribuidos '!C665="Avena","Otros almidones",'Volúmenes DIstribuidos '!C665)))</f>
        <v>Fideo</v>
      </c>
      <c r="C1009" s="10" t="s">
        <v>29</v>
      </c>
      <c r="D1009" s="12">
        <f>'Volúmenes DIstribuidos '!D665</f>
        <v>20.170000000000002</v>
      </c>
      <c r="E1009" s="12">
        <f>SUMIF('Parametros Inventario'!$A:$A,B1009,'Parametros Inventario'!$B:$B)+SUMIFS(D$2:D1009,B$2:B1009,B1009,C$2:C1009,"ENTRADA")-SUMIFS(D$2:D1009,B$2:B1009,B1009,C$2:C1009,"SALIDA")</f>
        <v>5651.326</v>
      </c>
    </row>
    <row r="1010" spans="1:5" x14ac:dyDescent="0.3">
      <c r="A1010" s="9">
        <f>'Volúmenes DIstribuidos '!B663</f>
        <v>44432</v>
      </c>
      <c r="B1010" s="10" t="str">
        <f>IF(OR('Volúmenes DIstribuidos '!C666="Azúcar",'Volúmenes DIstribuidos '!C666="azúcar"),"Azúcar o dulce",IF('Volúmenes DIstribuidos '!C666="Aceite","Aceite o grasas",IF('Volúmenes DIstribuidos '!C666="Avena","Otros almidones",'Volúmenes DIstribuidos '!C666)))</f>
        <v>Carnes blancas</v>
      </c>
      <c r="C1010" s="10" t="s">
        <v>29</v>
      </c>
      <c r="D1010" s="12">
        <f>'Volúmenes DIstribuidos '!D666</f>
        <v>33.15</v>
      </c>
      <c r="E1010" s="12">
        <f>SUMIF('Parametros Inventario'!$A:$A,B1010,'Parametros Inventario'!$B:$B)+SUMIFS(D$2:D1010,B$2:B1010,B1010,C$2:C1010,"ENTRADA")-SUMIFS(D$2:D1010,B$2:B1010,B1010,C$2:C1010,"SALIDA")</f>
        <v>4780.9560000000001</v>
      </c>
    </row>
    <row r="1011" spans="1:5" x14ac:dyDescent="0.3">
      <c r="A1011" s="9">
        <f>'Volúmenes DIstribuidos '!B663</f>
        <v>44432</v>
      </c>
      <c r="B1011" s="10" t="str">
        <f>IF(OR('Volúmenes DIstribuidos '!C667="Azúcar",'Volúmenes DIstribuidos '!C667="azúcar"),"Azúcar o dulce",IF('Volúmenes DIstribuidos '!C667="Aceite","Aceite o grasas",IF('Volúmenes DIstribuidos '!C667="Avena","Otros almidones",'Volúmenes DIstribuidos '!C667)))</f>
        <v>Otros almidones</v>
      </c>
      <c r="C1011" s="10" t="s">
        <v>29</v>
      </c>
      <c r="D1011" s="12">
        <f>'Volúmenes DIstribuidos '!D667</f>
        <v>85.463999999999999</v>
      </c>
      <c r="E1011" s="12">
        <f>SUMIF('Parametros Inventario'!$A:$A,B1011,'Parametros Inventario'!$B:$B)+SUMIFS(D$2:D1011,B$2:B1011,B1011,C$2:C1011,"ENTRADA")-SUMIFS(D$2:D1011,B$2:B1011,B1011,C$2:C1011,"SALIDA")</f>
        <v>4597.6459999999997</v>
      </c>
    </row>
    <row r="1012" spans="1:5" x14ac:dyDescent="0.3">
      <c r="A1012" s="9">
        <f>'Volúmenes DIstribuidos '!B663</f>
        <v>44432</v>
      </c>
      <c r="B1012" s="10" t="str">
        <f>IF(OR('Volúmenes DIstribuidos '!C668="Azúcar",'Volúmenes DIstribuidos '!C668="azúcar"),"Azúcar o dulce",IF('Volúmenes DIstribuidos '!C668="Aceite","Aceite o grasas",IF('Volúmenes DIstribuidos '!C668="Avena","Otros almidones",'Volúmenes DIstribuidos '!C668)))</f>
        <v>Fideo</v>
      </c>
      <c r="C1012" s="10" t="s">
        <v>29</v>
      </c>
      <c r="D1012" s="12">
        <f>'Volúmenes DIstribuidos '!D668</f>
        <v>25.17</v>
      </c>
      <c r="E1012" s="12">
        <f>SUMIF('Parametros Inventario'!$A:$A,B1012,'Parametros Inventario'!$B:$B)+SUMIFS(D$2:D1012,B$2:B1012,B1012,C$2:C1012,"ENTRADA")-SUMIFS(D$2:D1012,B$2:B1012,B1012,C$2:C1012,"SALIDA")</f>
        <v>5626.1559999999999</v>
      </c>
    </row>
    <row r="1013" spans="1:5" x14ac:dyDescent="0.3">
      <c r="A1013" s="9">
        <v>44435</v>
      </c>
      <c r="B1013" s="10" t="s">
        <v>14</v>
      </c>
      <c r="C1013" s="10" t="s">
        <v>28</v>
      </c>
      <c r="D1013" s="12">
        <v>166.05</v>
      </c>
      <c r="E1013" s="12">
        <f>SUMIF('Parametros Inventario'!$A:$A,B1013,'Parametros Inventario'!$B:$B)+SUMIFS(D$2:D1013,B$2:B1013,B1013,C$2:C1013,"ENTRADA")-SUMIFS(D$2:D1013,B$2:B1013,B1013,C$2:C1013,"SALIDA")</f>
        <v>4741.8770000000004</v>
      </c>
    </row>
    <row r="1014" spans="1:5" x14ac:dyDescent="0.3">
      <c r="A1014" s="9">
        <v>44435</v>
      </c>
      <c r="B1014" s="10" t="s">
        <v>12</v>
      </c>
      <c r="C1014" s="10" t="s">
        <v>28</v>
      </c>
      <c r="D1014" s="12">
        <v>157.03</v>
      </c>
      <c r="E1014" s="12">
        <f>SUMIF('Parametros Inventario'!$A:$A,B1014,'Parametros Inventario'!$B:$B)+SUMIFS(D$2:D1014,B$2:B1014,B1014,C$2:C1014,"ENTRADA")-SUMIFS(D$2:D1014,B$2:B1014,B1014,C$2:C1014,"SALIDA")</f>
        <v>5210.8809999999994</v>
      </c>
    </row>
    <row r="1015" spans="1:5" x14ac:dyDescent="0.3">
      <c r="A1015" s="9">
        <v>44435</v>
      </c>
      <c r="B1015" s="10" t="s">
        <v>16</v>
      </c>
      <c r="C1015" s="10" t="s">
        <v>28</v>
      </c>
      <c r="D1015" s="12">
        <v>205.05</v>
      </c>
      <c r="E1015" s="12">
        <f>SUMIF('Parametros Inventario'!$A:$A,B1015,'Parametros Inventario'!$B:$B)+SUMIFS(D$2:D1015,B$2:B1015,B1015,C$2:C1015,"ENTRADA")-SUMIFS(D$2:D1015,B$2:B1015,B1015,C$2:C1015,"SALIDA")</f>
        <v>4986.0059999999994</v>
      </c>
    </row>
    <row r="1016" spans="1:5" x14ac:dyDescent="0.3">
      <c r="A1016" s="9">
        <v>44435</v>
      </c>
      <c r="B1016" s="10" t="s">
        <v>17</v>
      </c>
      <c r="C1016" s="10" t="s">
        <v>28</v>
      </c>
      <c r="D1016" s="12">
        <v>75.319999999999993</v>
      </c>
      <c r="E1016" s="12">
        <f>SUMIF('Parametros Inventario'!$A:$A,B1016,'Parametros Inventario'!$B:$B)+SUMIFS(D$2:D1016,B$2:B1016,B1016,C$2:C1016,"ENTRADA")-SUMIFS(D$2:D1016,B$2:B1016,B1016,C$2:C1016,"SALIDA")</f>
        <v>4374.1409999999978</v>
      </c>
    </row>
    <row r="1017" spans="1:5" x14ac:dyDescent="0.3">
      <c r="A1017" s="9">
        <v>44435</v>
      </c>
      <c r="B1017" s="10" t="s">
        <v>18</v>
      </c>
      <c r="C1017" s="10" t="s">
        <v>28</v>
      </c>
      <c r="D1017" s="12">
        <v>212.73</v>
      </c>
      <c r="E1017" s="12">
        <f>SUMIF('Parametros Inventario'!$A:$A,B1017,'Parametros Inventario'!$B:$B)+SUMIFS(D$2:D1017,B$2:B1017,B1017,C$2:C1017,"ENTRADA")-SUMIFS(D$2:D1017,B$2:B1017,B1017,C$2:C1017,"SALIDA")</f>
        <v>5455.4899999999989</v>
      </c>
    </row>
    <row r="1018" spans="1:5" x14ac:dyDescent="0.3">
      <c r="A1018" s="9">
        <v>44435</v>
      </c>
      <c r="B1018" s="10" t="s">
        <v>10</v>
      </c>
      <c r="C1018" s="10" t="s">
        <v>28</v>
      </c>
      <c r="D1018" s="12">
        <v>218.94</v>
      </c>
      <c r="E1018" s="12">
        <f>SUMIF('Parametros Inventario'!$A:$A,B1018,'Parametros Inventario'!$B:$B)+SUMIFS(D$2:D1018,B$2:B1018,B1018,C$2:C1018,"ENTRADA")-SUMIFS(D$2:D1018,B$2:B1018,B1018,C$2:C1018,"SALIDA")</f>
        <v>5339.2369999999983</v>
      </c>
    </row>
    <row r="1019" spans="1:5" x14ac:dyDescent="0.3">
      <c r="A1019" s="9">
        <v>44435</v>
      </c>
      <c r="B1019" s="10" t="s">
        <v>8</v>
      </c>
      <c r="C1019" s="10" t="s">
        <v>28</v>
      </c>
      <c r="D1019" s="12">
        <v>56.49</v>
      </c>
      <c r="E1019" s="12">
        <f>SUMIF('Parametros Inventario'!$A:$A,B1019,'Parametros Inventario'!$B:$B)+SUMIFS(D$2:D1019,B$2:B1019,B1019,C$2:C1019,"ENTRADA")-SUMIFS(D$2:D1019,B$2:B1019,B1019,C$2:C1019,"SALIDA")</f>
        <v>4274.3510000000006</v>
      </c>
    </row>
    <row r="1020" spans="1:5" x14ac:dyDescent="0.3">
      <c r="A1020" s="9">
        <v>44435</v>
      </c>
      <c r="B1020" s="10" t="s">
        <v>13</v>
      </c>
      <c r="C1020" s="10" t="s">
        <v>28</v>
      </c>
      <c r="D1020" s="12">
        <v>179.3</v>
      </c>
      <c r="E1020" s="12">
        <f>SUMIF('Parametros Inventario'!$A:$A,B1020,'Parametros Inventario'!$B:$B)+SUMIFS(D$2:D1020,B$2:B1020,B1020,C$2:C1020,"ENTRADA")-SUMIFS(D$2:D1020,B$2:B1020,B1020,C$2:C1020,"SALIDA")</f>
        <v>6092.9810000000016</v>
      </c>
    </row>
    <row r="1021" spans="1:5" x14ac:dyDescent="0.3">
      <c r="A1021" s="9">
        <f>'Volúmenes DIstribuidos '!B669</f>
        <v>44435</v>
      </c>
      <c r="B1021" s="10" t="str">
        <f>IF(OR('Volúmenes DIstribuidos '!C669="Azúcar",'Volúmenes DIstribuidos '!C669="azúcar"),"Azúcar o dulce",IF('Volúmenes DIstribuidos '!C669="Aceite","Aceite o grasas",IF('Volúmenes DIstribuidos '!C669="Avena","Otros almidones",'Volúmenes DIstribuidos '!C669)))</f>
        <v>Lácteos</v>
      </c>
      <c r="C1021" s="10" t="s">
        <v>29</v>
      </c>
      <c r="D1021" s="12">
        <f>'Volúmenes DIstribuidos '!D669</f>
        <v>15.85</v>
      </c>
      <c r="E1021" s="12">
        <f>SUMIF('Parametros Inventario'!$A:$A,B1021,'Parametros Inventario'!$B:$B)+SUMIFS(D$2:D1021,B$2:B1021,B1021,C$2:C1021,"ENTRADA")-SUMIFS(D$2:D1021,B$2:B1021,B1021,C$2:C1021,"SALIDA")</f>
        <v>4358.2909999999974</v>
      </c>
    </row>
    <row r="1022" spans="1:5" x14ac:dyDescent="0.3">
      <c r="A1022" s="9">
        <f>'Volúmenes DIstribuidos '!B669</f>
        <v>44435</v>
      </c>
      <c r="B1022" s="10" t="str">
        <f>IF(OR('Volúmenes DIstribuidos '!C670="Azúcar",'Volúmenes DIstribuidos '!C670="azúcar"),"Azúcar o dulce",IF('Volúmenes DIstribuidos '!C670="Aceite","Aceite o grasas",IF('Volúmenes DIstribuidos '!C670="Avena","Otros almidones",'Volúmenes DIstribuidos '!C670)))</f>
        <v>Carnes blancas</v>
      </c>
      <c r="C1022" s="10" t="s">
        <v>29</v>
      </c>
      <c r="D1022" s="12">
        <f>'Volúmenes DIstribuidos '!D670</f>
        <v>25.72</v>
      </c>
      <c r="E1022" s="12">
        <f>SUMIF('Parametros Inventario'!$A:$A,B1022,'Parametros Inventario'!$B:$B)+SUMIFS(D$2:D1022,B$2:B1022,B1022,C$2:C1022,"ENTRADA")-SUMIFS(D$2:D1022,B$2:B1022,B1022,C$2:C1022,"SALIDA")</f>
        <v>4960.2860000000001</v>
      </c>
    </row>
    <row r="1023" spans="1:5" x14ac:dyDescent="0.3">
      <c r="A1023" s="9">
        <f>'Volúmenes DIstribuidos '!B669</f>
        <v>44435</v>
      </c>
      <c r="B1023" s="10" t="str">
        <f>IF(OR('Volúmenes DIstribuidos '!C671="Azúcar",'Volúmenes DIstribuidos '!C671="azúcar"),"Azúcar o dulce",IF('Volúmenes DIstribuidos '!C671="Aceite","Aceite o grasas",IF('Volúmenes DIstribuidos '!C671="Avena","Otros almidones",'Volúmenes DIstribuidos '!C671)))</f>
        <v>Lácteos</v>
      </c>
      <c r="C1023" s="10" t="s">
        <v>29</v>
      </c>
      <c r="D1023" s="12">
        <f>'Volúmenes DIstribuidos '!D671</f>
        <v>55.39</v>
      </c>
      <c r="E1023" s="12">
        <f>SUMIF('Parametros Inventario'!$A:$A,B1023,'Parametros Inventario'!$B:$B)+SUMIFS(D$2:D1023,B$2:B1023,B1023,C$2:C1023,"ENTRADA")-SUMIFS(D$2:D1023,B$2:B1023,B1023,C$2:C1023,"SALIDA")</f>
        <v>4302.900999999998</v>
      </c>
    </row>
    <row r="1024" spans="1:5" x14ac:dyDescent="0.3">
      <c r="A1024" s="9">
        <f>'Volúmenes DIstribuidos '!B669</f>
        <v>44435</v>
      </c>
      <c r="B1024" s="10" t="str">
        <f>IF(OR('Volúmenes DIstribuidos '!C672="Azúcar",'Volúmenes DIstribuidos '!C672="azúcar"),"Azúcar o dulce",IF('Volúmenes DIstribuidos '!C672="Aceite","Aceite o grasas",IF('Volúmenes DIstribuidos '!C672="Avena","Otros almidones",'Volúmenes DIstribuidos '!C672)))</f>
        <v>Panadería</v>
      </c>
      <c r="C1024" s="10" t="s">
        <v>29</v>
      </c>
      <c r="D1024" s="12">
        <f>'Volúmenes DIstribuidos '!D672</f>
        <v>10.66</v>
      </c>
      <c r="E1024" s="12">
        <f>SUMIF('Parametros Inventario'!$A:$A,B1024,'Parametros Inventario'!$B:$B)+SUMIFS(D$2:D1024,B$2:B1024,B1024,C$2:C1024,"ENTRADA")-SUMIFS(D$2:D1024,B$2:B1024,B1024,C$2:C1024,"SALIDA")</f>
        <v>3316.5190000000016</v>
      </c>
    </row>
    <row r="1025" spans="1:5" x14ac:dyDescent="0.3">
      <c r="A1025" s="9">
        <f>'Volúmenes DIstribuidos '!B669</f>
        <v>44435</v>
      </c>
      <c r="B1025" s="10" t="str">
        <f>IF(OR('Volúmenes DIstribuidos '!C673="Azúcar",'Volúmenes DIstribuidos '!C673="azúcar"),"Azúcar o dulce",IF('Volúmenes DIstribuidos '!C673="Aceite","Aceite o grasas",IF('Volúmenes DIstribuidos '!C673="Avena","Otros almidones",'Volúmenes DIstribuidos '!C673)))</f>
        <v>Vegetales y hojas</v>
      </c>
      <c r="C1025" s="10" t="s">
        <v>29</v>
      </c>
      <c r="D1025" s="12">
        <f>'Volúmenes DIstribuidos '!D673</f>
        <v>22.28</v>
      </c>
      <c r="E1025" s="12">
        <f>SUMIF('Parametros Inventario'!$A:$A,B1025,'Parametros Inventario'!$B:$B)+SUMIFS(D$2:D1025,B$2:B1025,B1025,C$2:C1025,"ENTRADA")-SUMIFS(D$2:D1025,B$2:B1025,B1025,C$2:C1025,"SALIDA")</f>
        <v>5316.9569999999985</v>
      </c>
    </row>
    <row r="1026" spans="1:5" x14ac:dyDescent="0.3">
      <c r="A1026" s="9">
        <f>'Volúmenes DIstribuidos '!B669</f>
        <v>44435</v>
      </c>
      <c r="B1026" s="10" t="str">
        <f>IF(OR('Volúmenes DIstribuidos '!C674="Azúcar",'Volúmenes DIstribuidos '!C674="azúcar"),"Azúcar o dulce",IF('Volúmenes DIstribuidos '!C674="Aceite","Aceite o grasas",IF('Volúmenes DIstribuidos '!C674="Avena","Otros almidones",'Volúmenes DIstribuidos '!C674)))</f>
        <v>Aceite o grasas</v>
      </c>
      <c r="C1026" s="10" t="s">
        <v>29</v>
      </c>
      <c r="D1026" s="12">
        <f>'Volúmenes DIstribuidos '!D674</f>
        <v>78.760000000000005</v>
      </c>
      <c r="E1026" s="12">
        <f>SUMIF('Parametros Inventario'!$A:$A,B1026,'Parametros Inventario'!$B:$B)+SUMIFS(D$2:D1026,B$2:B1026,B1026,C$2:C1026,"ENTRADA")-SUMIFS(D$2:D1026,B$2:B1026,B1026,C$2:C1026,"SALIDA")</f>
        <v>4195.5910000000003</v>
      </c>
    </row>
    <row r="1027" spans="1:5" x14ac:dyDescent="0.3">
      <c r="A1027" s="9">
        <f>'Volúmenes DIstribuidos '!B675</f>
        <v>44439</v>
      </c>
      <c r="B1027" s="10" t="str">
        <f>IF(OR('Volúmenes DIstribuidos '!C675="Azúcar",'Volúmenes DIstribuidos '!C675="azúcar"),"Azúcar o dulce",IF('Volúmenes DIstribuidos '!C675="Aceite","Aceite o grasas",IF('Volúmenes DIstribuidos '!C675="Avena","Otros almidones",'Volúmenes DIstribuidos '!C675)))</f>
        <v>Fideo</v>
      </c>
      <c r="C1027" s="10" t="s">
        <v>29</v>
      </c>
      <c r="D1027" s="12">
        <f>'Volúmenes DIstribuidos '!D675</f>
        <v>13.93</v>
      </c>
      <c r="E1027" s="12">
        <f>SUMIF('Parametros Inventario'!$A:$A,B1027,'Parametros Inventario'!$B:$B)+SUMIFS(D$2:D1027,B$2:B1027,B1027,C$2:C1027,"ENTRADA")-SUMIFS(D$2:D1027,B$2:B1027,B1027,C$2:C1027,"SALIDA")</f>
        <v>5612.2260000000006</v>
      </c>
    </row>
    <row r="1028" spans="1:5" x14ac:dyDescent="0.3">
      <c r="A1028" s="9">
        <f>'Volúmenes DIstribuidos '!B675</f>
        <v>44439</v>
      </c>
      <c r="B1028" s="10" t="str">
        <f>IF(OR('Volúmenes DIstribuidos '!C676="Azúcar",'Volúmenes DIstribuidos '!C676="azúcar"),"Azúcar o dulce",IF('Volúmenes DIstribuidos '!C676="Aceite","Aceite o grasas",IF('Volúmenes DIstribuidos '!C676="Avena","Otros almidones",'Volúmenes DIstribuidos '!C676)))</f>
        <v>Salsas</v>
      </c>
      <c r="C1028" s="10" t="s">
        <v>29</v>
      </c>
      <c r="D1028" s="12">
        <f>'Volúmenes DIstribuidos '!D676</f>
        <v>50.015999999999998</v>
      </c>
      <c r="E1028" s="12">
        <f>SUMIF('Parametros Inventario'!$A:$A,B1028,'Parametros Inventario'!$B:$B)+SUMIFS(D$2:D1028,B$2:B1028,B1028,C$2:C1028,"ENTRADA")-SUMIFS(D$2:D1028,B$2:B1028,B1028,C$2:C1028,"SALIDA")</f>
        <v>5405.4739999999983</v>
      </c>
    </row>
    <row r="1029" spans="1:5" x14ac:dyDescent="0.3">
      <c r="A1029" s="9">
        <f>'Volúmenes DIstribuidos '!B675</f>
        <v>44439</v>
      </c>
      <c r="B1029" s="10" t="str">
        <f>IF(OR('Volúmenes DIstribuidos '!C677="Azúcar",'Volúmenes DIstribuidos '!C677="azúcar"),"Azúcar o dulce",IF('Volúmenes DIstribuidos '!C677="Aceite","Aceite o grasas",IF('Volúmenes DIstribuidos '!C677="Avena","Otros almidones",'Volúmenes DIstribuidos '!C677)))</f>
        <v>Menestras</v>
      </c>
      <c r="C1029" s="10" t="s">
        <v>29</v>
      </c>
      <c r="D1029" s="12">
        <f>'Volúmenes DIstribuidos '!D677</f>
        <v>36.26</v>
      </c>
      <c r="E1029" s="12">
        <f>SUMIF('Parametros Inventario'!$A:$A,B1029,'Parametros Inventario'!$B:$B)+SUMIFS(D$2:D1029,B$2:B1029,B1029,C$2:C1029,"ENTRADA")-SUMIFS(D$2:D1029,B$2:B1029,B1029,C$2:C1029,"SALIDA")</f>
        <v>4705.6170000000002</v>
      </c>
    </row>
    <row r="1030" spans="1:5" x14ac:dyDescent="0.3">
      <c r="A1030" s="9">
        <f>'Volúmenes DIstribuidos '!B675</f>
        <v>44439</v>
      </c>
      <c r="B1030" s="10" t="str">
        <f>IF(OR('Volúmenes DIstribuidos '!C678="Azúcar",'Volúmenes DIstribuidos '!C678="azúcar"),"Azúcar o dulce",IF('Volúmenes DIstribuidos '!C678="Aceite","Aceite o grasas",IF('Volúmenes DIstribuidos '!C678="Avena","Otros almidones",'Volúmenes DIstribuidos '!C678)))</f>
        <v>Fideo</v>
      </c>
      <c r="C1030" s="10" t="s">
        <v>29</v>
      </c>
      <c r="D1030" s="12">
        <f>'Volúmenes DIstribuidos '!D678</f>
        <v>43.84</v>
      </c>
      <c r="E1030" s="12">
        <f>SUMIF('Parametros Inventario'!$A:$A,B1030,'Parametros Inventario'!$B:$B)+SUMIFS(D$2:D1030,B$2:B1030,B1030,C$2:C1030,"ENTRADA")-SUMIFS(D$2:D1030,B$2:B1030,B1030,C$2:C1030,"SALIDA")</f>
        <v>5568.3860000000004</v>
      </c>
    </row>
    <row r="1031" spans="1:5" x14ac:dyDescent="0.3">
      <c r="A1031" s="9">
        <f>'Volúmenes DIstribuidos '!B675</f>
        <v>44439</v>
      </c>
      <c r="B1031" s="10" t="str">
        <f>IF(OR('Volúmenes DIstribuidos '!C679="Azúcar",'Volúmenes DIstribuidos '!C679="azúcar"),"Azúcar o dulce",IF('Volúmenes DIstribuidos '!C679="Aceite","Aceite o grasas",IF('Volúmenes DIstribuidos '!C679="Avena","Otros almidones",'Volúmenes DIstribuidos '!C679)))</f>
        <v>Panadería</v>
      </c>
      <c r="C1031" s="10" t="s">
        <v>29</v>
      </c>
      <c r="D1031" s="12">
        <f>'Volúmenes DIstribuidos '!D679</f>
        <v>18.64</v>
      </c>
      <c r="E1031" s="12">
        <f>SUMIF('Parametros Inventario'!$A:$A,B1031,'Parametros Inventario'!$B:$B)+SUMIFS(D$2:D1031,B$2:B1031,B1031,C$2:C1031,"ENTRADA")-SUMIFS(D$2:D1031,B$2:B1031,B1031,C$2:C1031,"SALIDA")</f>
        <v>3297.8790000000017</v>
      </c>
    </row>
    <row r="1032" spans="1:5" x14ac:dyDescent="0.3">
      <c r="A1032" s="9">
        <f>'Volúmenes DIstribuidos '!B675</f>
        <v>44439</v>
      </c>
      <c r="B1032" s="10" t="str">
        <f>IF(OR('Volúmenes DIstribuidos '!C680="Azúcar",'Volúmenes DIstribuidos '!C680="azúcar"),"Azúcar o dulce",IF('Volúmenes DIstribuidos '!C680="Aceite","Aceite o grasas",IF('Volúmenes DIstribuidos '!C680="Avena","Otros almidones",'Volúmenes DIstribuidos '!C680)))</f>
        <v>Aceite o grasas</v>
      </c>
      <c r="C1032" s="10" t="s">
        <v>29</v>
      </c>
      <c r="D1032" s="12">
        <f>'Volúmenes DIstribuidos '!D680</f>
        <v>42.83</v>
      </c>
      <c r="E1032" s="12">
        <f>SUMIF('Parametros Inventario'!$A:$A,B1032,'Parametros Inventario'!$B:$B)+SUMIFS(D$2:D1032,B$2:B1032,B1032,C$2:C1032,"ENTRADA")-SUMIFS(D$2:D1032,B$2:B1032,B1032,C$2:C1032,"SALIDA")</f>
        <v>4152.7610000000004</v>
      </c>
    </row>
    <row r="1033" spans="1:5" x14ac:dyDescent="0.3">
      <c r="A1033" s="9">
        <f>'Volúmenes DIstribuidos '!B681</f>
        <v>44442</v>
      </c>
      <c r="B1033" s="10" t="str">
        <f>IF(OR('Volúmenes DIstribuidos '!C681="Azúcar",'Volúmenes DIstribuidos '!C681="azúcar"),"Azúcar o dulce",IF('Volúmenes DIstribuidos '!C681="Aceite","Aceite o grasas",IF('Volúmenes DIstribuidos '!C681="Avena","Otros almidones",'Volúmenes DIstribuidos '!C681)))</f>
        <v>Lácteos</v>
      </c>
      <c r="C1033" s="10" t="s">
        <v>29</v>
      </c>
      <c r="D1033" s="12">
        <f>'Volúmenes DIstribuidos '!D681</f>
        <v>23.51</v>
      </c>
      <c r="E1033" s="12">
        <f>SUMIF('Parametros Inventario'!$A:$A,B1033,'Parametros Inventario'!$B:$B)+SUMIFS(D$2:D1033,B$2:B1033,B1033,C$2:C1033,"ENTRADA")-SUMIFS(D$2:D1033,B$2:B1033,B1033,C$2:C1033,"SALIDA")</f>
        <v>4279.3909999999978</v>
      </c>
    </row>
    <row r="1034" spans="1:5" x14ac:dyDescent="0.3">
      <c r="A1034" s="9">
        <f>'Volúmenes DIstribuidos '!B681</f>
        <v>44442</v>
      </c>
      <c r="B1034" s="10" t="str">
        <f>IF(OR('Volúmenes DIstribuidos '!C682="Azúcar",'Volúmenes DIstribuidos '!C682="azúcar"),"Azúcar o dulce",IF('Volúmenes DIstribuidos '!C682="Aceite","Aceite o grasas",IF('Volúmenes DIstribuidos '!C682="Avena","Otros almidones",'Volúmenes DIstribuidos '!C682)))</f>
        <v>Salsas</v>
      </c>
      <c r="C1034" s="10" t="s">
        <v>29</v>
      </c>
      <c r="D1034" s="12">
        <f>'Volúmenes DIstribuidos '!D682</f>
        <v>8.8840000000000003</v>
      </c>
      <c r="E1034" s="12">
        <f>SUMIF('Parametros Inventario'!$A:$A,B1034,'Parametros Inventario'!$B:$B)+SUMIFS(D$2:D1034,B$2:B1034,B1034,C$2:C1034,"ENTRADA")-SUMIFS(D$2:D1034,B$2:B1034,B1034,C$2:C1034,"SALIDA")</f>
        <v>5396.5899999999983</v>
      </c>
    </row>
    <row r="1035" spans="1:5" x14ac:dyDescent="0.3">
      <c r="A1035" s="9">
        <f>'Volúmenes DIstribuidos '!B681</f>
        <v>44442</v>
      </c>
      <c r="B1035" s="10" t="str">
        <f>IF(OR('Volúmenes DIstribuidos '!C683="Azúcar",'Volúmenes DIstribuidos '!C683="azúcar"),"Azúcar o dulce",IF('Volúmenes DIstribuidos '!C683="Aceite","Aceite o grasas",IF('Volúmenes DIstribuidos '!C683="Avena","Otros almidones",'Volúmenes DIstribuidos '!C683)))</f>
        <v>Salsas</v>
      </c>
      <c r="C1035" s="10" t="s">
        <v>29</v>
      </c>
      <c r="D1035" s="12">
        <f>'Volúmenes DIstribuidos '!D683</f>
        <v>25.61</v>
      </c>
      <c r="E1035" s="12">
        <f>SUMIF('Parametros Inventario'!$A:$A,B1035,'Parametros Inventario'!$B:$B)+SUMIFS(D$2:D1035,B$2:B1035,B1035,C$2:C1035,"ENTRADA")-SUMIFS(D$2:D1035,B$2:B1035,B1035,C$2:C1035,"SALIDA")</f>
        <v>5370.9799999999987</v>
      </c>
    </row>
    <row r="1036" spans="1:5" x14ac:dyDescent="0.3">
      <c r="A1036" s="9">
        <f>'Volúmenes DIstribuidos '!B681</f>
        <v>44442</v>
      </c>
      <c r="B1036" s="10" t="str">
        <f>IF(OR('Volúmenes DIstribuidos '!C684="Azúcar",'Volúmenes DIstribuidos '!C684="azúcar"),"Azúcar o dulce",IF('Volúmenes DIstribuidos '!C684="Aceite","Aceite o grasas",IF('Volúmenes DIstribuidos '!C684="Avena","Otros almidones",'Volúmenes DIstribuidos '!C684)))</f>
        <v>Otros almidones</v>
      </c>
      <c r="C1036" s="10" t="s">
        <v>29</v>
      </c>
      <c r="D1036" s="12">
        <f>'Volúmenes DIstribuidos '!D684</f>
        <v>15.89</v>
      </c>
      <c r="E1036" s="12">
        <f>SUMIF('Parametros Inventario'!$A:$A,B1036,'Parametros Inventario'!$B:$B)+SUMIFS(D$2:D1036,B$2:B1036,B1036,C$2:C1036,"ENTRADA")-SUMIFS(D$2:D1036,B$2:B1036,B1036,C$2:C1036,"SALIDA")</f>
        <v>4581.7559999999994</v>
      </c>
    </row>
    <row r="1037" spans="1:5" x14ac:dyDescent="0.3">
      <c r="A1037" s="9">
        <f>'Volúmenes DIstribuidos '!B681</f>
        <v>44442</v>
      </c>
      <c r="B1037" s="10" t="str">
        <f>IF(OR('Volúmenes DIstribuidos '!C685="Azúcar",'Volúmenes DIstribuidos '!C685="azúcar"),"Azúcar o dulce",IF('Volúmenes DIstribuidos '!C685="Aceite","Aceite o grasas",IF('Volúmenes DIstribuidos '!C685="Avena","Otros almidones",'Volúmenes DIstribuidos '!C685)))</f>
        <v>Fideo</v>
      </c>
      <c r="C1037" s="10" t="s">
        <v>29</v>
      </c>
      <c r="D1037" s="12">
        <f>'Volúmenes DIstribuidos '!D685</f>
        <v>11.56</v>
      </c>
      <c r="E1037" s="12">
        <f>SUMIF('Parametros Inventario'!$A:$A,B1037,'Parametros Inventario'!$B:$B)+SUMIFS(D$2:D1037,B$2:B1037,B1037,C$2:C1037,"ENTRADA")-SUMIFS(D$2:D1037,B$2:B1037,B1037,C$2:C1037,"SALIDA")</f>
        <v>5556.826</v>
      </c>
    </row>
    <row r="1038" spans="1:5" x14ac:dyDescent="0.3">
      <c r="A1038" s="9">
        <f>'Volúmenes DIstribuidos '!B681</f>
        <v>44442</v>
      </c>
      <c r="B1038" s="10" t="str">
        <f>IF(OR('Volúmenes DIstribuidos '!C686="Azúcar",'Volúmenes DIstribuidos '!C686="azúcar"),"Azúcar o dulce",IF('Volúmenes DIstribuidos '!C686="Aceite","Aceite o grasas",IF('Volúmenes DIstribuidos '!C686="Avena","Otros almidones",'Volúmenes DIstribuidos '!C686)))</f>
        <v>Menestras</v>
      </c>
      <c r="C1038" s="10" t="s">
        <v>29</v>
      </c>
      <c r="D1038" s="12">
        <f>'Volúmenes DIstribuidos '!D686</f>
        <v>23.93</v>
      </c>
      <c r="E1038" s="12">
        <f>SUMIF('Parametros Inventario'!$A:$A,B1038,'Parametros Inventario'!$B:$B)+SUMIFS(D$2:D1038,B$2:B1038,B1038,C$2:C1038,"ENTRADA")-SUMIFS(D$2:D1038,B$2:B1038,B1038,C$2:C1038,"SALIDA")</f>
        <v>4681.6869999999999</v>
      </c>
    </row>
    <row r="1039" spans="1:5" x14ac:dyDescent="0.3">
      <c r="A1039" s="9">
        <f>'Volúmenes DIstribuidos '!B687</f>
        <v>44446</v>
      </c>
      <c r="B1039" s="10" t="str">
        <f>IF(OR('Volúmenes DIstribuidos '!C687="Azúcar",'Volúmenes DIstribuidos '!C687="azúcar"),"Azúcar o dulce",IF('Volúmenes DIstribuidos '!C687="Aceite","Aceite o grasas",IF('Volúmenes DIstribuidos '!C687="Avena","Otros almidones",'Volúmenes DIstribuidos '!C687)))</f>
        <v>Panadería</v>
      </c>
      <c r="C1039" s="10" t="s">
        <v>29</v>
      </c>
      <c r="D1039" s="12">
        <f>'Volúmenes DIstribuidos '!D687</f>
        <v>42.667999999999999</v>
      </c>
      <c r="E1039" s="12">
        <f>SUMIF('Parametros Inventario'!$A:$A,B1039,'Parametros Inventario'!$B:$B)+SUMIFS(D$2:D1039,B$2:B1039,B1039,C$2:C1039,"ENTRADA")-SUMIFS(D$2:D1039,B$2:B1039,B1039,C$2:C1039,"SALIDA")</f>
        <v>3255.2110000000016</v>
      </c>
    </row>
    <row r="1040" spans="1:5" x14ac:dyDescent="0.3">
      <c r="A1040" s="9">
        <f>'Volúmenes DIstribuidos '!B687</f>
        <v>44446</v>
      </c>
      <c r="B1040" s="10" t="str">
        <f>IF(OR('Volúmenes DIstribuidos '!C688="Azúcar",'Volúmenes DIstribuidos '!C688="azúcar"),"Azúcar o dulce",IF('Volúmenes DIstribuidos '!C688="Aceite","Aceite o grasas",IF('Volúmenes DIstribuidos '!C688="Avena","Otros almidones",'Volúmenes DIstribuidos '!C688)))</f>
        <v>Panadería</v>
      </c>
      <c r="C1040" s="10" t="s">
        <v>29</v>
      </c>
      <c r="D1040" s="12">
        <f>'Volúmenes DIstribuidos '!D688</f>
        <v>45.1</v>
      </c>
      <c r="E1040" s="12">
        <f>SUMIF('Parametros Inventario'!$A:$A,B1040,'Parametros Inventario'!$B:$B)+SUMIFS(D$2:D1040,B$2:B1040,B1040,C$2:C1040,"ENTRADA")-SUMIFS(D$2:D1040,B$2:B1040,B1040,C$2:C1040,"SALIDA")</f>
        <v>3210.1110000000017</v>
      </c>
    </row>
    <row r="1041" spans="1:5" x14ac:dyDescent="0.3">
      <c r="A1041" s="9">
        <f>'Volúmenes DIstribuidos '!B687</f>
        <v>44446</v>
      </c>
      <c r="B1041" s="10" t="str">
        <f>IF(OR('Volúmenes DIstribuidos '!C689="Azúcar",'Volúmenes DIstribuidos '!C689="azúcar"),"Azúcar o dulce",IF('Volúmenes DIstribuidos '!C689="Aceite","Aceite o grasas",IF('Volúmenes DIstribuidos '!C689="Avena","Otros almidones",'Volúmenes DIstribuidos '!C689)))</f>
        <v>Azúcar o dulce</v>
      </c>
      <c r="C1041" s="10" t="s">
        <v>29</v>
      </c>
      <c r="D1041" s="12">
        <f>'Volúmenes DIstribuidos '!D689</f>
        <v>13.19</v>
      </c>
      <c r="E1041" s="12">
        <f>SUMIF('Parametros Inventario'!$A:$A,B1041,'Parametros Inventario'!$B:$B)+SUMIFS(D$2:D1041,B$2:B1041,B1041,C$2:C1041,"ENTRADA")-SUMIFS(D$2:D1041,B$2:B1041,B1041,C$2:C1041,"SALIDA")</f>
        <v>6079.7910000000011</v>
      </c>
    </row>
    <row r="1042" spans="1:5" x14ac:dyDescent="0.3">
      <c r="A1042" s="9">
        <f>'Volúmenes DIstribuidos '!B687</f>
        <v>44446</v>
      </c>
      <c r="B1042" s="10" t="str">
        <f>IF(OR('Volúmenes DIstribuidos '!C690="Azúcar",'Volúmenes DIstribuidos '!C690="azúcar"),"Azúcar o dulce",IF('Volúmenes DIstribuidos '!C690="Aceite","Aceite o grasas",IF('Volúmenes DIstribuidos '!C690="Avena","Otros almidones",'Volúmenes DIstribuidos '!C690)))</f>
        <v>Lácteos</v>
      </c>
      <c r="C1042" s="10" t="s">
        <v>29</v>
      </c>
      <c r="D1042" s="12">
        <f>'Volúmenes DIstribuidos '!D690</f>
        <v>24.89</v>
      </c>
      <c r="E1042" s="12">
        <f>SUMIF('Parametros Inventario'!$A:$A,B1042,'Parametros Inventario'!$B:$B)+SUMIFS(D$2:D1042,B$2:B1042,B1042,C$2:C1042,"ENTRADA")-SUMIFS(D$2:D1042,B$2:B1042,B1042,C$2:C1042,"SALIDA")</f>
        <v>4254.5009999999984</v>
      </c>
    </row>
    <row r="1043" spans="1:5" x14ac:dyDescent="0.3">
      <c r="A1043" s="9">
        <f>'Volúmenes DIstribuidos '!B687</f>
        <v>44446</v>
      </c>
      <c r="B1043" s="10" t="str">
        <f>IF(OR('Volúmenes DIstribuidos '!C691="Azúcar",'Volúmenes DIstribuidos '!C691="azúcar"),"Azúcar o dulce",IF('Volúmenes DIstribuidos '!C691="Aceite","Aceite o grasas",IF('Volúmenes DIstribuidos '!C691="Avena","Otros almidones",'Volúmenes DIstribuidos '!C691)))</f>
        <v>Aceite o grasas</v>
      </c>
      <c r="C1043" s="10" t="s">
        <v>29</v>
      </c>
      <c r="D1043" s="12">
        <f>'Volúmenes DIstribuidos '!D691</f>
        <v>21.25</v>
      </c>
      <c r="E1043" s="12">
        <f>SUMIF('Parametros Inventario'!$A:$A,B1043,'Parametros Inventario'!$B:$B)+SUMIFS(D$2:D1043,B$2:B1043,B1043,C$2:C1043,"ENTRADA")-SUMIFS(D$2:D1043,B$2:B1043,B1043,C$2:C1043,"SALIDA")</f>
        <v>4131.5110000000004</v>
      </c>
    </row>
    <row r="1044" spans="1:5" x14ac:dyDescent="0.3">
      <c r="A1044" s="9">
        <f>'Volúmenes DIstribuidos '!B687</f>
        <v>44446</v>
      </c>
      <c r="B1044" s="10" t="str">
        <f>IF(OR('Volúmenes DIstribuidos '!C692="Azúcar",'Volúmenes DIstribuidos '!C692="azúcar"),"Azúcar o dulce",IF('Volúmenes DIstribuidos '!C692="Aceite","Aceite o grasas",IF('Volúmenes DIstribuidos '!C692="Avena","Otros almidones",'Volúmenes DIstribuidos '!C692)))</f>
        <v>Menestras</v>
      </c>
      <c r="C1044" s="10" t="s">
        <v>29</v>
      </c>
      <c r="D1044" s="12">
        <f>'Volúmenes DIstribuidos '!D692</f>
        <v>17.966999999999999</v>
      </c>
      <c r="E1044" s="12">
        <f>SUMIF('Parametros Inventario'!$A:$A,B1044,'Parametros Inventario'!$B:$B)+SUMIFS(D$2:D1044,B$2:B1044,B1044,C$2:C1044,"ENTRADA")-SUMIFS(D$2:D1044,B$2:B1044,B1044,C$2:C1044,"SALIDA")</f>
        <v>4663.72</v>
      </c>
    </row>
    <row r="1045" spans="1:5" x14ac:dyDescent="0.3">
      <c r="A1045" s="9">
        <v>44449</v>
      </c>
      <c r="B1045" s="10" t="s">
        <v>15</v>
      </c>
      <c r="C1045" s="10" t="s">
        <v>28</v>
      </c>
      <c r="D1045" s="12">
        <v>196.95</v>
      </c>
      <c r="E1045" s="12">
        <f>SUMIF('Parametros Inventario'!$A:$A,B1045,'Parametros Inventario'!$B:$B)+SUMIFS(D$2:D1045,B$2:B1045,B1045,C$2:C1045,"ENTRADA")-SUMIFS(D$2:D1045,B$2:B1045,B1045,C$2:C1045,"SALIDA")</f>
        <v>4778.7059999999992</v>
      </c>
    </row>
    <row r="1046" spans="1:5" x14ac:dyDescent="0.3">
      <c r="A1046" s="9">
        <v>44449</v>
      </c>
      <c r="B1046" s="10" t="s">
        <v>11</v>
      </c>
      <c r="C1046" s="10" t="s">
        <v>28</v>
      </c>
      <c r="D1046" s="12">
        <v>77</v>
      </c>
      <c r="E1046" s="12">
        <f>SUMIF('Parametros Inventario'!$A:$A,B1046,'Parametros Inventario'!$B:$B)+SUMIFS(D$2:D1046,B$2:B1046,B1046,C$2:C1046,"ENTRADA")-SUMIFS(D$2:D1046,B$2:B1046,B1046,C$2:C1046,"SALIDA")</f>
        <v>5633.826</v>
      </c>
    </row>
    <row r="1047" spans="1:5" x14ac:dyDescent="0.3">
      <c r="A1047" s="9">
        <v>44449</v>
      </c>
      <c r="B1047" s="10" t="s">
        <v>9</v>
      </c>
      <c r="C1047" s="10" t="s">
        <v>28</v>
      </c>
      <c r="D1047" s="12">
        <v>53.07</v>
      </c>
      <c r="E1047" s="12">
        <f>SUMIF('Parametros Inventario'!$A:$A,B1047,'Parametros Inventario'!$B:$B)+SUMIFS(D$2:D1047,B$2:B1047,B1047,C$2:C1047,"ENTRADA")-SUMIFS(D$2:D1047,B$2:B1047,B1047,C$2:C1047,"SALIDA")</f>
        <v>3263.1810000000014</v>
      </c>
    </row>
    <row r="1048" spans="1:5" x14ac:dyDescent="0.3">
      <c r="A1048" s="9">
        <v>44449</v>
      </c>
      <c r="B1048" s="10" t="s">
        <v>14</v>
      </c>
      <c r="C1048" s="10" t="s">
        <v>28</v>
      </c>
      <c r="D1048" s="12">
        <v>228.32</v>
      </c>
      <c r="E1048" s="12">
        <f>SUMIF('Parametros Inventario'!$A:$A,B1048,'Parametros Inventario'!$B:$B)+SUMIFS(D$2:D1048,B$2:B1048,B1048,C$2:C1048,"ENTRADA")-SUMIFS(D$2:D1048,B$2:B1048,B1048,C$2:C1048,"SALIDA")</f>
        <v>4892.04</v>
      </c>
    </row>
    <row r="1049" spans="1:5" x14ac:dyDescent="0.3">
      <c r="A1049" s="9">
        <v>44449</v>
      </c>
      <c r="B1049" s="10" t="s">
        <v>12</v>
      </c>
      <c r="C1049" s="10" t="s">
        <v>28</v>
      </c>
      <c r="D1049" s="12">
        <v>198.22</v>
      </c>
      <c r="E1049" s="12">
        <f>SUMIF('Parametros Inventario'!$A:$A,B1049,'Parametros Inventario'!$B:$B)+SUMIFS(D$2:D1049,B$2:B1049,B1049,C$2:C1049,"ENTRADA")-SUMIFS(D$2:D1049,B$2:B1049,B1049,C$2:C1049,"SALIDA")</f>
        <v>5409.1009999999997</v>
      </c>
    </row>
    <row r="1050" spans="1:5" x14ac:dyDescent="0.3">
      <c r="A1050" s="9">
        <v>44449</v>
      </c>
      <c r="B1050" s="10" t="s">
        <v>16</v>
      </c>
      <c r="C1050" s="10" t="s">
        <v>28</v>
      </c>
      <c r="D1050" s="12">
        <v>260.19</v>
      </c>
      <c r="E1050" s="12">
        <f>SUMIF('Parametros Inventario'!$A:$A,B1050,'Parametros Inventario'!$B:$B)+SUMIFS(D$2:D1050,B$2:B1050,B1050,C$2:C1050,"ENTRADA")-SUMIFS(D$2:D1050,B$2:B1050,B1050,C$2:C1050,"SALIDA")</f>
        <v>5220.4759999999997</v>
      </c>
    </row>
    <row r="1051" spans="1:5" x14ac:dyDescent="0.3">
      <c r="A1051" s="9">
        <v>44449</v>
      </c>
      <c r="B1051" s="10" t="s">
        <v>17</v>
      </c>
      <c r="C1051" s="10" t="s">
        <v>28</v>
      </c>
      <c r="D1051" s="12">
        <v>276.08999999999997</v>
      </c>
      <c r="E1051" s="12">
        <f>SUMIF('Parametros Inventario'!$A:$A,B1051,'Parametros Inventario'!$B:$B)+SUMIFS(D$2:D1051,B$2:B1051,B1051,C$2:C1051,"ENTRADA")-SUMIFS(D$2:D1051,B$2:B1051,B1051,C$2:C1051,"SALIDA")</f>
        <v>4530.5909999999985</v>
      </c>
    </row>
    <row r="1052" spans="1:5" x14ac:dyDescent="0.3">
      <c r="A1052" s="9">
        <v>44449</v>
      </c>
      <c r="B1052" s="10" t="s">
        <v>18</v>
      </c>
      <c r="C1052" s="10" t="s">
        <v>28</v>
      </c>
      <c r="D1052" s="12">
        <v>81.5</v>
      </c>
      <c r="E1052" s="12">
        <f>SUMIF('Parametros Inventario'!$A:$A,B1052,'Parametros Inventario'!$B:$B)+SUMIFS(D$2:D1052,B$2:B1052,B1052,C$2:C1052,"ENTRADA")-SUMIFS(D$2:D1052,B$2:B1052,B1052,C$2:C1052,"SALIDA")</f>
        <v>5452.4799999999987</v>
      </c>
    </row>
    <row r="1053" spans="1:5" x14ac:dyDescent="0.3">
      <c r="A1053" s="9">
        <v>44449</v>
      </c>
      <c r="B1053" s="10" t="s">
        <v>10</v>
      </c>
      <c r="C1053" s="10" t="s">
        <v>28</v>
      </c>
      <c r="D1053" s="12">
        <v>177.22</v>
      </c>
      <c r="E1053" s="12">
        <f>SUMIF('Parametros Inventario'!$A:$A,B1053,'Parametros Inventario'!$B:$B)+SUMIFS(D$2:D1053,B$2:B1053,B1053,C$2:C1053,"ENTRADA")-SUMIFS(D$2:D1053,B$2:B1053,B1053,C$2:C1053,"SALIDA")</f>
        <v>5494.1769999999988</v>
      </c>
    </row>
    <row r="1054" spans="1:5" x14ac:dyDescent="0.3">
      <c r="A1054" s="9">
        <v>44449</v>
      </c>
      <c r="B1054" s="10" t="s">
        <v>8</v>
      </c>
      <c r="C1054" s="10" t="s">
        <v>28</v>
      </c>
      <c r="D1054" s="12">
        <v>138.85</v>
      </c>
      <c r="E1054" s="12">
        <f>SUMIF('Parametros Inventario'!$A:$A,B1054,'Parametros Inventario'!$B:$B)+SUMIFS(D$2:D1054,B$2:B1054,B1054,C$2:C1054,"ENTRADA")-SUMIFS(D$2:D1054,B$2:B1054,B1054,C$2:C1054,"SALIDA")</f>
        <v>4270.3610000000008</v>
      </c>
    </row>
    <row r="1055" spans="1:5" x14ac:dyDescent="0.3">
      <c r="A1055" s="9">
        <f>'Volúmenes DIstribuidos '!B693</f>
        <v>44449</v>
      </c>
      <c r="B1055" s="10" t="str">
        <f>IF(OR('Volúmenes DIstribuidos '!C693="Azúcar",'Volúmenes DIstribuidos '!C693="azúcar"),"Azúcar o dulce",IF('Volúmenes DIstribuidos '!C693="Aceite","Aceite o grasas",IF('Volúmenes DIstribuidos '!C693="Avena","Otros almidones",'Volúmenes DIstribuidos '!C693)))</f>
        <v>Azúcar o dulce</v>
      </c>
      <c r="C1055" s="10" t="s">
        <v>29</v>
      </c>
      <c r="D1055" s="12">
        <f>'Volúmenes DIstribuidos '!D693</f>
        <v>5.86</v>
      </c>
      <c r="E1055" s="12">
        <f>SUMIF('Parametros Inventario'!$A:$A,B1055,'Parametros Inventario'!$B:$B)+SUMIFS(D$2:D1055,B$2:B1055,B1055,C$2:C1055,"ENTRADA")-SUMIFS(D$2:D1055,B$2:B1055,B1055,C$2:C1055,"SALIDA")</f>
        <v>6073.9310000000014</v>
      </c>
    </row>
    <row r="1056" spans="1:5" x14ac:dyDescent="0.3">
      <c r="A1056" s="9">
        <f>'Volúmenes DIstribuidos '!B693</f>
        <v>44449</v>
      </c>
      <c r="B1056" s="10" t="str">
        <f>IF(OR('Volúmenes DIstribuidos '!C694="Azúcar",'Volúmenes DIstribuidos '!C694="azúcar"),"Azúcar o dulce",IF('Volúmenes DIstribuidos '!C694="Aceite","Aceite o grasas",IF('Volúmenes DIstribuidos '!C694="Avena","Otros almidones",'Volúmenes DIstribuidos '!C694)))</f>
        <v>Carnes blancas</v>
      </c>
      <c r="C1056" s="10" t="s">
        <v>29</v>
      </c>
      <c r="D1056" s="12">
        <f>'Volúmenes DIstribuidos '!D694</f>
        <v>10.74</v>
      </c>
      <c r="E1056" s="12">
        <f>SUMIF('Parametros Inventario'!$A:$A,B1056,'Parametros Inventario'!$B:$B)+SUMIFS(D$2:D1056,B$2:B1056,B1056,C$2:C1056,"ENTRADA")-SUMIFS(D$2:D1056,B$2:B1056,B1056,C$2:C1056,"SALIDA")</f>
        <v>5209.7359999999999</v>
      </c>
    </row>
    <row r="1057" spans="1:5" x14ac:dyDescent="0.3">
      <c r="A1057" s="9">
        <f>'Volúmenes DIstribuidos '!B693</f>
        <v>44449</v>
      </c>
      <c r="B1057" s="10" t="str">
        <f>IF(OR('Volúmenes DIstribuidos '!C695="Azúcar",'Volúmenes DIstribuidos '!C695="azúcar"),"Azúcar o dulce",IF('Volúmenes DIstribuidos '!C695="Aceite","Aceite o grasas",IF('Volúmenes DIstribuidos '!C695="Avena","Otros almidones",'Volúmenes DIstribuidos '!C695)))</f>
        <v>Panadería</v>
      </c>
      <c r="C1057" s="10" t="s">
        <v>29</v>
      </c>
      <c r="D1057" s="12">
        <f>'Volúmenes DIstribuidos '!D695</f>
        <v>11.657</v>
      </c>
      <c r="E1057" s="12">
        <f>SUMIF('Parametros Inventario'!$A:$A,B1057,'Parametros Inventario'!$B:$B)+SUMIFS(D$2:D1057,B$2:B1057,B1057,C$2:C1057,"ENTRADA")-SUMIFS(D$2:D1057,B$2:B1057,B1057,C$2:C1057,"SALIDA")</f>
        <v>3251.5240000000013</v>
      </c>
    </row>
    <row r="1058" spans="1:5" x14ac:dyDescent="0.3">
      <c r="A1058" s="9">
        <f>'Volúmenes DIstribuidos '!B693</f>
        <v>44449</v>
      </c>
      <c r="B1058" s="10" t="str">
        <f>IF(OR('Volúmenes DIstribuidos '!C696="Azúcar",'Volúmenes DIstribuidos '!C696="azúcar"),"Azúcar o dulce",IF('Volúmenes DIstribuidos '!C696="Aceite","Aceite o grasas",IF('Volúmenes DIstribuidos '!C696="Avena","Otros almidones",'Volúmenes DIstribuidos '!C696)))</f>
        <v>Lácteos</v>
      </c>
      <c r="C1058" s="10" t="s">
        <v>29</v>
      </c>
      <c r="D1058" s="12">
        <f>'Volúmenes DIstribuidos '!D696</f>
        <v>9.2899999999999991</v>
      </c>
      <c r="E1058" s="12">
        <f>SUMIF('Parametros Inventario'!$A:$A,B1058,'Parametros Inventario'!$B:$B)+SUMIFS(D$2:D1058,B$2:B1058,B1058,C$2:C1058,"ENTRADA")-SUMIFS(D$2:D1058,B$2:B1058,B1058,C$2:C1058,"SALIDA")</f>
        <v>4521.3009999999977</v>
      </c>
    </row>
    <row r="1059" spans="1:5" x14ac:dyDescent="0.3">
      <c r="A1059" s="9">
        <f>'Volúmenes DIstribuidos '!B693</f>
        <v>44449</v>
      </c>
      <c r="B1059" s="10" t="str">
        <f>IF(OR('Volúmenes DIstribuidos '!C697="Azúcar",'Volúmenes DIstribuidos '!C697="azúcar"),"Azúcar o dulce",IF('Volúmenes DIstribuidos '!C697="Aceite","Aceite o grasas",IF('Volúmenes DIstribuidos '!C697="Avena","Otros almidones",'Volúmenes DIstribuidos '!C697)))</f>
        <v>Salsas</v>
      </c>
      <c r="C1059" s="10" t="s">
        <v>29</v>
      </c>
      <c r="D1059" s="12">
        <f>'Volúmenes DIstribuidos '!D697</f>
        <v>2.69</v>
      </c>
      <c r="E1059" s="12">
        <f>SUMIF('Parametros Inventario'!$A:$A,B1059,'Parametros Inventario'!$B:$B)+SUMIFS(D$2:D1059,B$2:B1059,B1059,C$2:C1059,"ENTRADA")-SUMIFS(D$2:D1059,B$2:B1059,B1059,C$2:C1059,"SALIDA")</f>
        <v>5449.7899999999991</v>
      </c>
    </row>
    <row r="1060" spans="1:5" x14ac:dyDescent="0.3">
      <c r="A1060" s="9">
        <f>'Volúmenes DIstribuidos '!B693</f>
        <v>44449</v>
      </c>
      <c r="B1060" s="10" t="str">
        <f>IF(OR('Volúmenes DIstribuidos '!C698="Azúcar",'Volúmenes DIstribuidos '!C698="azúcar"),"Azúcar o dulce",IF('Volúmenes DIstribuidos '!C698="Aceite","Aceite o grasas",IF('Volúmenes DIstribuidos '!C698="Avena","Otros almidones",'Volúmenes DIstribuidos '!C698)))</f>
        <v>Aceite o grasas</v>
      </c>
      <c r="C1060" s="10" t="s">
        <v>29</v>
      </c>
      <c r="D1060" s="12">
        <f>'Volúmenes DIstribuidos '!D698</f>
        <v>15.39</v>
      </c>
      <c r="E1060" s="12">
        <f>SUMIF('Parametros Inventario'!$A:$A,B1060,'Parametros Inventario'!$B:$B)+SUMIFS(D$2:D1060,B$2:B1060,B1060,C$2:C1060,"ENTRADA")-SUMIFS(D$2:D1060,B$2:B1060,B1060,C$2:C1060,"SALIDA")</f>
        <v>4254.9710000000005</v>
      </c>
    </row>
    <row r="1061" spans="1:5" x14ac:dyDescent="0.3">
      <c r="A1061" s="9">
        <v>44453</v>
      </c>
      <c r="B1061" s="10" t="s">
        <v>13</v>
      </c>
      <c r="C1061" s="10" t="s">
        <v>28</v>
      </c>
      <c r="D1061" s="12">
        <v>170.35</v>
      </c>
      <c r="E1061" s="12">
        <f>SUMIF('Parametros Inventario'!$A:$A,B1061,'Parametros Inventario'!$B:$B)+SUMIFS(D$2:D1061,B$2:B1061,B1061,C$2:C1061,"ENTRADA")-SUMIFS(D$2:D1061,B$2:B1061,B1061,C$2:C1061,"SALIDA")</f>
        <v>6244.2810000000018</v>
      </c>
    </row>
    <row r="1062" spans="1:5" x14ac:dyDescent="0.3">
      <c r="A1062" s="9">
        <v>44453</v>
      </c>
      <c r="B1062" s="10" t="s">
        <v>15</v>
      </c>
      <c r="C1062" s="10" t="s">
        <v>28</v>
      </c>
      <c r="D1062" s="12">
        <v>205.21</v>
      </c>
      <c r="E1062" s="12">
        <f>SUMIF('Parametros Inventario'!$A:$A,B1062,'Parametros Inventario'!$B:$B)+SUMIFS(D$2:D1062,B$2:B1062,B1062,C$2:C1062,"ENTRADA")-SUMIFS(D$2:D1062,B$2:B1062,B1062,C$2:C1062,"SALIDA")</f>
        <v>4983.9159999999993</v>
      </c>
    </row>
    <row r="1063" spans="1:5" x14ac:dyDescent="0.3">
      <c r="A1063" s="9">
        <v>44453</v>
      </c>
      <c r="B1063" s="10" t="s">
        <v>11</v>
      </c>
      <c r="C1063" s="10" t="s">
        <v>28</v>
      </c>
      <c r="D1063" s="12">
        <v>96.48</v>
      </c>
      <c r="E1063" s="12">
        <f>SUMIF('Parametros Inventario'!$A:$A,B1063,'Parametros Inventario'!$B:$B)+SUMIFS(D$2:D1063,B$2:B1063,B1063,C$2:C1063,"ENTRADA")-SUMIFS(D$2:D1063,B$2:B1063,B1063,C$2:C1063,"SALIDA")</f>
        <v>5730.3059999999996</v>
      </c>
    </row>
    <row r="1064" spans="1:5" x14ac:dyDescent="0.3">
      <c r="A1064" s="9">
        <v>44453</v>
      </c>
      <c r="B1064" s="10" t="s">
        <v>9</v>
      </c>
      <c r="C1064" s="10" t="s">
        <v>28</v>
      </c>
      <c r="D1064" s="12">
        <v>84.42</v>
      </c>
      <c r="E1064" s="12">
        <f>SUMIF('Parametros Inventario'!$A:$A,B1064,'Parametros Inventario'!$B:$B)+SUMIFS(D$2:D1064,B$2:B1064,B1064,C$2:C1064,"ENTRADA")-SUMIFS(D$2:D1064,B$2:B1064,B1064,C$2:C1064,"SALIDA")</f>
        <v>3335.9440000000013</v>
      </c>
    </row>
    <row r="1065" spans="1:5" x14ac:dyDescent="0.3">
      <c r="A1065" s="9">
        <v>44453</v>
      </c>
      <c r="B1065" s="10" t="s">
        <v>14</v>
      </c>
      <c r="C1065" s="10" t="s">
        <v>28</v>
      </c>
      <c r="D1065" s="12">
        <v>61.02</v>
      </c>
      <c r="E1065" s="12">
        <f>SUMIF('Parametros Inventario'!$A:$A,B1065,'Parametros Inventario'!$B:$B)+SUMIFS(D$2:D1065,B$2:B1065,B1065,C$2:C1065,"ENTRADA")-SUMIFS(D$2:D1065,B$2:B1065,B1065,C$2:C1065,"SALIDA")</f>
        <v>4953.0600000000004</v>
      </c>
    </row>
    <row r="1066" spans="1:5" x14ac:dyDescent="0.3">
      <c r="A1066" s="9">
        <v>44453</v>
      </c>
      <c r="B1066" s="10" t="s">
        <v>12</v>
      </c>
      <c r="C1066" s="10" t="s">
        <v>28</v>
      </c>
      <c r="D1066" s="12">
        <v>81.92</v>
      </c>
      <c r="E1066" s="12">
        <f>SUMIF('Parametros Inventario'!$A:$A,B1066,'Parametros Inventario'!$B:$B)+SUMIFS(D$2:D1066,B$2:B1066,B1066,C$2:C1066,"ENTRADA")-SUMIFS(D$2:D1066,B$2:B1066,B1066,C$2:C1066,"SALIDA")</f>
        <v>5491.0209999999997</v>
      </c>
    </row>
    <row r="1067" spans="1:5" x14ac:dyDescent="0.3">
      <c r="A1067" s="9">
        <v>44453</v>
      </c>
      <c r="B1067" s="10" t="s">
        <v>16</v>
      </c>
      <c r="C1067" s="10" t="s">
        <v>28</v>
      </c>
      <c r="D1067" s="12">
        <v>196.13</v>
      </c>
      <c r="E1067" s="12">
        <f>SUMIF('Parametros Inventario'!$A:$A,B1067,'Parametros Inventario'!$B:$B)+SUMIFS(D$2:D1067,B$2:B1067,B1067,C$2:C1067,"ENTRADA")-SUMIFS(D$2:D1067,B$2:B1067,B1067,C$2:C1067,"SALIDA")</f>
        <v>5405.866</v>
      </c>
    </row>
    <row r="1068" spans="1:5" x14ac:dyDescent="0.3">
      <c r="A1068" s="9">
        <v>44453</v>
      </c>
      <c r="B1068" s="10" t="s">
        <v>17</v>
      </c>
      <c r="C1068" s="10" t="s">
        <v>28</v>
      </c>
      <c r="D1068" s="12">
        <v>178.28</v>
      </c>
      <c r="E1068" s="12">
        <f>SUMIF('Parametros Inventario'!$A:$A,B1068,'Parametros Inventario'!$B:$B)+SUMIFS(D$2:D1068,B$2:B1068,B1068,C$2:C1068,"ENTRADA")-SUMIFS(D$2:D1068,B$2:B1068,B1068,C$2:C1068,"SALIDA")</f>
        <v>4699.5809999999983</v>
      </c>
    </row>
    <row r="1069" spans="1:5" x14ac:dyDescent="0.3">
      <c r="A1069" s="9">
        <v>44453</v>
      </c>
      <c r="B1069" s="10" t="s">
        <v>18</v>
      </c>
      <c r="C1069" s="10" t="s">
        <v>28</v>
      </c>
      <c r="D1069" s="12">
        <v>212.93</v>
      </c>
      <c r="E1069" s="12">
        <f>SUMIF('Parametros Inventario'!$A:$A,B1069,'Parametros Inventario'!$B:$B)+SUMIFS(D$2:D1069,B$2:B1069,B1069,C$2:C1069,"ENTRADA")-SUMIFS(D$2:D1069,B$2:B1069,B1069,C$2:C1069,"SALIDA")</f>
        <v>5662.7199999999993</v>
      </c>
    </row>
    <row r="1070" spans="1:5" x14ac:dyDescent="0.3">
      <c r="A1070" s="9">
        <f>'Volúmenes DIstribuidos '!B699</f>
        <v>44453</v>
      </c>
      <c r="B1070" s="10" t="str">
        <f>IF(OR('Volúmenes DIstribuidos '!C699="Azúcar",'Volúmenes DIstribuidos '!C699="azúcar"),"Azúcar o dulce",IF('Volúmenes DIstribuidos '!C699="Aceite","Aceite o grasas",IF('Volúmenes DIstribuidos '!C699="Avena","Otros almidones",'Volúmenes DIstribuidos '!C699)))</f>
        <v>Azúcar o dulce</v>
      </c>
      <c r="C1070" s="10" t="s">
        <v>29</v>
      </c>
      <c r="D1070" s="12">
        <f>'Volúmenes DIstribuidos '!D699</f>
        <v>121.41800000000001</v>
      </c>
      <c r="E1070" s="12">
        <f>SUMIF('Parametros Inventario'!$A:$A,B1070,'Parametros Inventario'!$B:$B)+SUMIFS(D$2:D1070,B$2:B1070,B1070,C$2:C1070,"ENTRADA")-SUMIFS(D$2:D1070,B$2:B1070,B1070,C$2:C1070,"SALIDA")</f>
        <v>6122.8630000000012</v>
      </c>
    </row>
    <row r="1071" spans="1:5" x14ac:dyDescent="0.3">
      <c r="A1071" s="9">
        <f>'Volúmenes DIstribuidos '!B699</f>
        <v>44453</v>
      </c>
      <c r="B1071" s="10" t="str">
        <f>IF(OR('Volúmenes DIstribuidos '!C700="Azúcar",'Volúmenes DIstribuidos '!C700="azúcar"),"Azúcar o dulce",IF('Volúmenes DIstribuidos '!C700="Aceite","Aceite o grasas",IF('Volúmenes DIstribuidos '!C700="Avena","Otros almidones",'Volúmenes DIstribuidos '!C700)))</f>
        <v>Fideo</v>
      </c>
      <c r="C1071" s="10" t="s">
        <v>29</v>
      </c>
      <c r="D1071" s="12">
        <f>'Volúmenes DIstribuidos '!D700</f>
        <v>32.130000000000003</v>
      </c>
      <c r="E1071" s="12">
        <f>SUMIF('Parametros Inventario'!$A:$A,B1071,'Parametros Inventario'!$B:$B)+SUMIFS(D$2:D1071,B$2:B1071,B1071,C$2:C1071,"ENTRADA")-SUMIFS(D$2:D1071,B$2:B1071,B1071,C$2:C1071,"SALIDA")</f>
        <v>5698.1759999999995</v>
      </c>
    </row>
    <row r="1072" spans="1:5" x14ac:dyDescent="0.3">
      <c r="A1072" s="9">
        <f>'Volúmenes DIstribuidos '!B699</f>
        <v>44453</v>
      </c>
      <c r="B1072" s="10" t="str">
        <f>IF(OR('Volúmenes DIstribuidos '!C701="Azúcar",'Volúmenes DIstribuidos '!C701="azúcar"),"Azúcar o dulce",IF('Volúmenes DIstribuidos '!C701="Aceite","Aceite o grasas",IF('Volúmenes DIstribuidos '!C701="Avena","Otros almidones",'Volúmenes DIstribuidos '!C701)))</f>
        <v>Otros almidones</v>
      </c>
      <c r="C1072" s="10" t="s">
        <v>29</v>
      </c>
      <c r="D1072" s="12">
        <f>'Volúmenes DIstribuidos '!D701</f>
        <v>36.74</v>
      </c>
      <c r="E1072" s="12">
        <f>SUMIF('Parametros Inventario'!$A:$A,B1072,'Parametros Inventario'!$B:$B)+SUMIFS(D$2:D1072,B$2:B1072,B1072,C$2:C1072,"ENTRADA")-SUMIFS(D$2:D1072,B$2:B1072,B1072,C$2:C1072,"SALIDA")</f>
        <v>4947.1759999999995</v>
      </c>
    </row>
    <row r="1073" spans="1:5" x14ac:dyDescent="0.3">
      <c r="A1073" s="9">
        <f>'Volúmenes DIstribuidos '!B699</f>
        <v>44453</v>
      </c>
      <c r="B1073" s="10" t="str">
        <f>IF(OR('Volúmenes DIstribuidos '!C702="Azúcar",'Volúmenes DIstribuidos '!C702="azúcar"),"Azúcar o dulce",IF('Volúmenes DIstribuidos '!C702="Aceite","Aceite o grasas",IF('Volúmenes DIstribuidos '!C702="Avena","Otros almidones",'Volúmenes DIstribuidos '!C702)))</f>
        <v>Carnes rojas</v>
      </c>
      <c r="C1073" s="10" t="s">
        <v>29</v>
      </c>
      <c r="D1073" s="12">
        <f>'Volúmenes DIstribuidos '!D702</f>
        <v>64.25</v>
      </c>
      <c r="E1073" s="12">
        <f>SUMIF('Parametros Inventario'!$A:$A,B1073,'Parametros Inventario'!$B:$B)+SUMIFS(D$2:D1073,B$2:B1073,B1073,C$2:C1073,"ENTRADA")-SUMIFS(D$2:D1073,B$2:B1073,B1073,C$2:C1073,"SALIDA")</f>
        <v>5426.7709999999997</v>
      </c>
    </row>
    <row r="1074" spans="1:5" x14ac:dyDescent="0.3">
      <c r="A1074" s="9">
        <f>'Volúmenes DIstribuidos '!B699</f>
        <v>44453</v>
      </c>
      <c r="B1074" s="10" t="str">
        <f>IF(OR('Volúmenes DIstribuidos '!C703="Azúcar",'Volúmenes DIstribuidos '!C703="azúcar"),"Azúcar o dulce",IF('Volúmenes DIstribuidos '!C703="Aceite","Aceite o grasas",IF('Volúmenes DIstribuidos '!C703="Avena","Otros almidones",'Volúmenes DIstribuidos '!C703)))</f>
        <v>Menestras</v>
      </c>
      <c r="C1074" s="10" t="s">
        <v>29</v>
      </c>
      <c r="D1074" s="12">
        <f>'Volúmenes DIstribuidos '!D703</f>
        <v>53.74</v>
      </c>
      <c r="E1074" s="12">
        <f>SUMIF('Parametros Inventario'!$A:$A,B1074,'Parametros Inventario'!$B:$B)+SUMIFS(D$2:D1074,B$2:B1074,B1074,C$2:C1074,"ENTRADA")-SUMIFS(D$2:D1074,B$2:B1074,B1074,C$2:C1074,"SALIDA")</f>
        <v>4899.32</v>
      </c>
    </row>
    <row r="1075" spans="1:5" x14ac:dyDescent="0.3">
      <c r="A1075" s="9">
        <f>'Volúmenes DIstribuidos '!B699</f>
        <v>44453</v>
      </c>
      <c r="B1075" s="10" t="str">
        <f>IF(OR('Volúmenes DIstribuidos '!C704="Azúcar",'Volúmenes DIstribuidos '!C704="azúcar"),"Azúcar o dulce",IF('Volúmenes DIstribuidos '!C704="Aceite","Aceite o grasas",IF('Volúmenes DIstribuidos '!C704="Avena","Otros almidones",'Volúmenes DIstribuidos '!C704)))</f>
        <v>Panadería</v>
      </c>
      <c r="C1075" s="10" t="s">
        <v>29</v>
      </c>
      <c r="D1075" s="12">
        <f>'Volúmenes DIstribuidos '!D704</f>
        <v>48.53</v>
      </c>
      <c r="E1075" s="12">
        <f>SUMIF('Parametros Inventario'!$A:$A,B1075,'Parametros Inventario'!$B:$B)+SUMIFS(D$2:D1075,B$2:B1075,B1075,C$2:C1075,"ENTRADA")-SUMIFS(D$2:D1075,B$2:B1075,B1075,C$2:C1075,"SALIDA")</f>
        <v>3287.4140000000011</v>
      </c>
    </row>
    <row r="1076" spans="1:5" x14ac:dyDescent="0.3">
      <c r="A1076" s="9">
        <f>'Volúmenes DIstribuidos '!B705</f>
        <v>44456</v>
      </c>
      <c r="B1076" s="10" t="str">
        <f>IF(OR('Volúmenes DIstribuidos '!C705="Azúcar",'Volúmenes DIstribuidos '!C705="azúcar"),"Azúcar o dulce",IF('Volúmenes DIstribuidos '!C705="Aceite","Aceite o grasas",IF('Volúmenes DIstribuidos '!C705="Avena","Otros almidones",'Volúmenes DIstribuidos '!C705)))</f>
        <v>Azúcar o dulce</v>
      </c>
      <c r="C1076" s="10" t="s">
        <v>29</v>
      </c>
      <c r="D1076" s="12">
        <f>'Volúmenes DIstribuidos '!D705</f>
        <v>14.79</v>
      </c>
      <c r="E1076" s="12">
        <f>SUMIF('Parametros Inventario'!$A:$A,B1076,'Parametros Inventario'!$B:$B)+SUMIFS(D$2:D1076,B$2:B1076,B1076,C$2:C1076,"ENTRADA")-SUMIFS(D$2:D1076,B$2:B1076,B1076,C$2:C1076,"SALIDA")</f>
        <v>6108.0730000000021</v>
      </c>
    </row>
    <row r="1077" spans="1:5" x14ac:dyDescent="0.3">
      <c r="A1077" s="9">
        <f>'Volúmenes DIstribuidos '!B705</f>
        <v>44456</v>
      </c>
      <c r="B1077" s="10" t="str">
        <f>IF(OR('Volúmenes DIstribuidos '!C706="Azúcar",'Volúmenes DIstribuidos '!C706="azúcar"),"Azúcar o dulce",IF('Volúmenes DIstribuidos '!C706="Aceite","Aceite o grasas",IF('Volúmenes DIstribuidos '!C706="Avena","Otros almidones",'Volúmenes DIstribuidos '!C706)))</f>
        <v>Lácteos</v>
      </c>
      <c r="C1077" s="10" t="s">
        <v>29</v>
      </c>
      <c r="D1077" s="12">
        <f>'Volúmenes DIstribuidos '!D706</f>
        <v>13.56</v>
      </c>
      <c r="E1077" s="12">
        <f>SUMIF('Parametros Inventario'!$A:$A,B1077,'Parametros Inventario'!$B:$B)+SUMIFS(D$2:D1077,B$2:B1077,B1077,C$2:C1077,"ENTRADA")-SUMIFS(D$2:D1077,B$2:B1077,B1077,C$2:C1077,"SALIDA")</f>
        <v>4686.0209999999979</v>
      </c>
    </row>
    <row r="1078" spans="1:5" x14ac:dyDescent="0.3">
      <c r="A1078" s="9">
        <f>'Volúmenes DIstribuidos '!B705</f>
        <v>44456</v>
      </c>
      <c r="B1078" s="10" t="str">
        <f>IF(OR('Volúmenes DIstribuidos '!C707="Azúcar",'Volúmenes DIstribuidos '!C707="azúcar"),"Azúcar o dulce",IF('Volúmenes DIstribuidos '!C707="Aceite","Aceite o grasas",IF('Volúmenes DIstribuidos '!C707="Avena","Otros almidones",'Volúmenes DIstribuidos '!C707)))</f>
        <v>Vegetales y hojas</v>
      </c>
      <c r="C1078" s="10" t="s">
        <v>29</v>
      </c>
      <c r="D1078" s="12">
        <f>'Volúmenes DIstribuidos '!D707</f>
        <v>15.16</v>
      </c>
      <c r="E1078" s="12">
        <f>SUMIF('Parametros Inventario'!$A:$A,B1078,'Parametros Inventario'!$B:$B)+SUMIFS(D$2:D1078,B$2:B1078,B1078,C$2:C1078,"ENTRADA")-SUMIFS(D$2:D1078,B$2:B1078,B1078,C$2:C1078,"SALIDA")</f>
        <v>5479.0169999999989</v>
      </c>
    </row>
    <row r="1079" spans="1:5" x14ac:dyDescent="0.3">
      <c r="A1079" s="9">
        <f>'Volúmenes DIstribuidos '!B705</f>
        <v>44456</v>
      </c>
      <c r="B1079" s="10" t="str">
        <f>IF(OR('Volúmenes DIstribuidos '!C708="Azúcar",'Volúmenes DIstribuidos '!C708="azúcar"),"Azúcar o dulce",IF('Volúmenes DIstribuidos '!C708="Aceite","Aceite o grasas",IF('Volúmenes DIstribuidos '!C708="Avena","Otros almidones",'Volúmenes DIstribuidos '!C708)))</f>
        <v>Panadería</v>
      </c>
      <c r="C1079" s="10" t="s">
        <v>29</v>
      </c>
      <c r="D1079" s="12">
        <f>'Volúmenes DIstribuidos '!D708</f>
        <v>60.889000000000003</v>
      </c>
      <c r="E1079" s="12">
        <f>SUMIF('Parametros Inventario'!$A:$A,B1079,'Parametros Inventario'!$B:$B)+SUMIFS(D$2:D1079,B$2:B1079,B1079,C$2:C1079,"ENTRADA")-SUMIFS(D$2:D1079,B$2:B1079,B1079,C$2:C1079,"SALIDA")</f>
        <v>3226.525000000001</v>
      </c>
    </row>
    <row r="1080" spans="1:5" x14ac:dyDescent="0.3">
      <c r="A1080" s="9">
        <f>'Volúmenes DIstribuidos '!B705</f>
        <v>44456</v>
      </c>
      <c r="B1080" s="10" t="str">
        <f>IF(OR('Volúmenes DIstribuidos '!C709="Azúcar",'Volúmenes DIstribuidos '!C709="azúcar"),"Azúcar o dulce",IF('Volúmenes DIstribuidos '!C709="Aceite","Aceite o grasas",IF('Volúmenes DIstribuidos '!C709="Avena","Otros almidones",'Volúmenes DIstribuidos '!C709)))</f>
        <v>Azúcar o dulce</v>
      </c>
      <c r="C1080" s="10" t="s">
        <v>29</v>
      </c>
      <c r="D1080" s="12">
        <f>'Volúmenes DIstribuidos '!D709</f>
        <v>21.94</v>
      </c>
      <c r="E1080" s="12">
        <f>SUMIF('Parametros Inventario'!$A:$A,B1080,'Parametros Inventario'!$B:$B)+SUMIFS(D$2:D1080,B$2:B1080,B1080,C$2:C1080,"ENTRADA")-SUMIFS(D$2:D1080,B$2:B1080,B1080,C$2:C1080,"SALIDA")</f>
        <v>6086.1330000000016</v>
      </c>
    </row>
    <row r="1081" spans="1:5" x14ac:dyDescent="0.3">
      <c r="A1081" s="9">
        <f>'Volúmenes DIstribuidos '!B705</f>
        <v>44456</v>
      </c>
      <c r="B1081" s="10" t="str">
        <f>IF(OR('Volúmenes DIstribuidos '!C710="Azúcar",'Volúmenes DIstribuidos '!C710="azúcar"),"Azúcar o dulce",IF('Volúmenes DIstribuidos '!C710="Aceite","Aceite o grasas",IF('Volúmenes DIstribuidos '!C710="Avena","Otros almidones",'Volúmenes DIstribuidos '!C710)))</f>
        <v>Aceite o grasas</v>
      </c>
      <c r="C1081" s="10" t="s">
        <v>29</v>
      </c>
      <c r="D1081" s="12">
        <f>'Volúmenes DIstribuidos '!D710</f>
        <v>11.86</v>
      </c>
      <c r="E1081" s="12">
        <f>SUMIF('Parametros Inventario'!$A:$A,B1081,'Parametros Inventario'!$B:$B)+SUMIFS(D$2:D1081,B$2:B1081,B1081,C$2:C1081,"ENTRADA")-SUMIFS(D$2:D1081,B$2:B1081,B1081,C$2:C1081,"SALIDA")</f>
        <v>4243.1110000000008</v>
      </c>
    </row>
    <row r="1082" spans="1:5" x14ac:dyDescent="0.3">
      <c r="A1082" s="9">
        <f>'Volúmenes DIstribuidos '!B711</f>
        <v>44460</v>
      </c>
      <c r="B1082" s="10" t="str">
        <f>IF(OR('Volúmenes DIstribuidos '!C711="Azúcar",'Volúmenes DIstribuidos '!C711="azúcar"),"Azúcar o dulce",IF('Volúmenes DIstribuidos '!C711="Aceite","Aceite o grasas",IF('Volúmenes DIstribuidos '!C711="Avena","Otros almidones",'Volúmenes DIstribuidos '!C711)))</f>
        <v>Lácteos</v>
      </c>
      <c r="C1082" s="10" t="s">
        <v>29</v>
      </c>
      <c r="D1082" s="12">
        <f>'Volúmenes DIstribuidos '!D711</f>
        <v>58.78</v>
      </c>
      <c r="E1082" s="12">
        <f>SUMIF('Parametros Inventario'!$A:$A,B1082,'Parametros Inventario'!$B:$B)+SUMIFS(D$2:D1082,B$2:B1082,B1082,C$2:C1082,"ENTRADA")-SUMIFS(D$2:D1082,B$2:B1082,B1082,C$2:C1082,"SALIDA")</f>
        <v>4627.2409999999982</v>
      </c>
    </row>
    <row r="1083" spans="1:5" x14ac:dyDescent="0.3">
      <c r="A1083" s="9">
        <f>'Volúmenes DIstribuidos '!B711</f>
        <v>44460</v>
      </c>
      <c r="B1083" s="10" t="str">
        <f>IF(OR('Volúmenes DIstribuidos '!C712="Azúcar",'Volúmenes DIstribuidos '!C712="azúcar"),"Azúcar o dulce",IF('Volúmenes DIstribuidos '!C712="Aceite","Aceite o grasas",IF('Volúmenes DIstribuidos '!C712="Avena","Otros almidones",'Volúmenes DIstribuidos '!C712)))</f>
        <v>Panadería</v>
      </c>
      <c r="C1083" s="10" t="s">
        <v>29</v>
      </c>
      <c r="D1083" s="12">
        <f>'Volúmenes DIstribuidos '!D712</f>
        <v>63.762999999999998</v>
      </c>
      <c r="E1083" s="12">
        <f>SUMIF('Parametros Inventario'!$A:$A,B1083,'Parametros Inventario'!$B:$B)+SUMIFS(D$2:D1083,B$2:B1083,B1083,C$2:C1083,"ENTRADA")-SUMIFS(D$2:D1083,B$2:B1083,B1083,C$2:C1083,"SALIDA")</f>
        <v>3162.7620000000011</v>
      </c>
    </row>
    <row r="1084" spans="1:5" x14ac:dyDescent="0.3">
      <c r="A1084" s="9">
        <f>'Volúmenes DIstribuidos '!B711</f>
        <v>44460</v>
      </c>
      <c r="B1084" s="10" t="str">
        <f>IF(OR('Volúmenes DIstribuidos '!C713="Azúcar",'Volúmenes DIstribuidos '!C713="azúcar"),"Azúcar o dulce",IF('Volúmenes DIstribuidos '!C713="Aceite","Aceite o grasas",IF('Volúmenes DIstribuidos '!C713="Avena","Otros almidones",'Volúmenes DIstribuidos '!C713)))</f>
        <v>Otros almidones</v>
      </c>
      <c r="C1084" s="10" t="s">
        <v>29</v>
      </c>
      <c r="D1084" s="12">
        <f>'Volúmenes DIstribuidos '!D713</f>
        <v>10.75</v>
      </c>
      <c r="E1084" s="12">
        <f>SUMIF('Parametros Inventario'!$A:$A,B1084,'Parametros Inventario'!$B:$B)+SUMIFS(D$2:D1084,B$2:B1084,B1084,C$2:C1084,"ENTRADA")-SUMIFS(D$2:D1084,B$2:B1084,B1084,C$2:C1084,"SALIDA")</f>
        <v>4936.4259999999995</v>
      </c>
    </row>
    <row r="1085" spans="1:5" x14ac:dyDescent="0.3">
      <c r="A1085" s="9">
        <f>'Volúmenes DIstribuidos '!B711</f>
        <v>44460</v>
      </c>
      <c r="B1085" s="10" t="str">
        <f>IF(OR('Volúmenes DIstribuidos '!C714="Azúcar",'Volúmenes DIstribuidos '!C714="azúcar"),"Azúcar o dulce",IF('Volúmenes DIstribuidos '!C714="Aceite","Aceite o grasas",IF('Volúmenes DIstribuidos '!C714="Avena","Otros almidones",'Volúmenes DIstribuidos '!C714)))</f>
        <v>Lácteos</v>
      </c>
      <c r="C1085" s="10" t="s">
        <v>29</v>
      </c>
      <c r="D1085" s="12">
        <f>'Volúmenes DIstribuidos '!D714</f>
        <v>12.96</v>
      </c>
      <c r="E1085" s="12">
        <f>SUMIF('Parametros Inventario'!$A:$A,B1085,'Parametros Inventario'!$B:$B)+SUMIFS(D$2:D1085,B$2:B1085,B1085,C$2:C1085,"ENTRADA")-SUMIFS(D$2:D1085,B$2:B1085,B1085,C$2:C1085,"SALIDA")</f>
        <v>4614.2809999999972</v>
      </c>
    </row>
    <row r="1086" spans="1:5" x14ac:dyDescent="0.3">
      <c r="A1086" s="9">
        <f>'Volúmenes DIstribuidos '!B711</f>
        <v>44460</v>
      </c>
      <c r="B1086" s="10" t="str">
        <f>IF(OR('Volúmenes DIstribuidos '!C715="Azúcar",'Volúmenes DIstribuidos '!C715="azúcar"),"Azúcar o dulce",IF('Volúmenes DIstribuidos '!C715="Aceite","Aceite o grasas",IF('Volúmenes DIstribuidos '!C715="Avena","Otros almidones",'Volúmenes DIstribuidos '!C715)))</f>
        <v>Salsas</v>
      </c>
      <c r="C1086" s="10" t="s">
        <v>29</v>
      </c>
      <c r="D1086" s="12">
        <f>'Volúmenes DIstribuidos '!D715</f>
        <v>10.394</v>
      </c>
      <c r="E1086" s="12">
        <f>SUMIF('Parametros Inventario'!$A:$A,B1086,'Parametros Inventario'!$B:$B)+SUMIFS(D$2:D1086,B$2:B1086,B1086,C$2:C1086,"ENTRADA")-SUMIFS(D$2:D1086,B$2:B1086,B1086,C$2:C1086,"SALIDA")</f>
        <v>5652.3259999999991</v>
      </c>
    </row>
    <row r="1087" spans="1:5" x14ac:dyDescent="0.3">
      <c r="A1087" s="9">
        <f>'Volúmenes DIstribuidos '!B711</f>
        <v>44460</v>
      </c>
      <c r="B1087" s="10" t="str">
        <f>IF(OR('Volúmenes DIstribuidos '!C716="Azúcar",'Volúmenes DIstribuidos '!C716="azúcar"),"Azúcar o dulce",IF('Volúmenes DIstribuidos '!C716="Aceite","Aceite o grasas",IF('Volúmenes DIstribuidos '!C716="Avena","Otros almidones",'Volúmenes DIstribuidos '!C716)))</f>
        <v>Carnes rojas</v>
      </c>
      <c r="C1087" s="10" t="s">
        <v>29</v>
      </c>
      <c r="D1087" s="12">
        <f>'Volúmenes DIstribuidos '!D716</f>
        <v>12.12</v>
      </c>
      <c r="E1087" s="12">
        <f>SUMIF('Parametros Inventario'!$A:$A,B1087,'Parametros Inventario'!$B:$B)+SUMIFS(D$2:D1087,B$2:B1087,B1087,C$2:C1087,"ENTRADA")-SUMIFS(D$2:D1087,B$2:B1087,B1087,C$2:C1087,"SALIDA")</f>
        <v>5414.6509999999998</v>
      </c>
    </row>
    <row r="1088" spans="1:5" x14ac:dyDescent="0.3">
      <c r="A1088" s="9">
        <v>44463</v>
      </c>
      <c r="B1088" s="10" t="s">
        <v>10</v>
      </c>
      <c r="C1088" s="10" t="s">
        <v>28</v>
      </c>
      <c r="D1088" s="12">
        <v>139.44</v>
      </c>
      <c r="E1088" s="12">
        <f>SUMIF('Parametros Inventario'!$A:$A,B1088,'Parametros Inventario'!$B:$B)+SUMIFS(D$2:D1088,B$2:B1088,B1088,C$2:C1088,"ENTRADA")-SUMIFS(D$2:D1088,B$2:B1088,B1088,C$2:C1088,"SALIDA")</f>
        <v>5618.4569999999985</v>
      </c>
    </row>
    <row r="1089" spans="1:5" x14ac:dyDescent="0.3">
      <c r="A1089" s="9">
        <v>44463</v>
      </c>
      <c r="B1089" s="10" t="s">
        <v>8</v>
      </c>
      <c r="C1089" s="10" t="s">
        <v>28</v>
      </c>
      <c r="D1089" s="12">
        <v>195.92</v>
      </c>
      <c r="E1089" s="12">
        <f>SUMIF('Parametros Inventario'!$A:$A,B1089,'Parametros Inventario'!$B:$B)+SUMIFS(D$2:D1089,B$2:B1089,B1089,C$2:C1089,"ENTRADA")-SUMIFS(D$2:D1089,B$2:B1089,B1089,C$2:C1089,"SALIDA")</f>
        <v>4439.0310000000009</v>
      </c>
    </row>
    <row r="1090" spans="1:5" x14ac:dyDescent="0.3">
      <c r="A1090" s="9">
        <v>44463</v>
      </c>
      <c r="B1090" s="10" t="s">
        <v>13</v>
      </c>
      <c r="C1090" s="10" t="s">
        <v>28</v>
      </c>
      <c r="D1090" s="12">
        <v>185.29</v>
      </c>
      <c r="E1090" s="12">
        <f>SUMIF('Parametros Inventario'!$A:$A,B1090,'Parametros Inventario'!$B:$B)+SUMIFS(D$2:D1090,B$2:B1090,B1090,C$2:C1090,"ENTRADA")-SUMIFS(D$2:D1090,B$2:B1090,B1090,C$2:C1090,"SALIDA")</f>
        <v>6271.4230000000007</v>
      </c>
    </row>
    <row r="1091" spans="1:5" x14ac:dyDescent="0.3">
      <c r="A1091" s="9">
        <v>44463</v>
      </c>
      <c r="B1091" s="10" t="s">
        <v>15</v>
      </c>
      <c r="C1091" s="10" t="s">
        <v>28</v>
      </c>
      <c r="D1091" s="12">
        <v>86.41</v>
      </c>
      <c r="E1091" s="12">
        <f>SUMIF('Parametros Inventario'!$A:$A,B1091,'Parametros Inventario'!$B:$B)+SUMIFS(D$2:D1091,B$2:B1091,B1091,C$2:C1091,"ENTRADA")-SUMIFS(D$2:D1091,B$2:B1091,B1091,C$2:C1091,"SALIDA")</f>
        <v>5022.8359999999993</v>
      </c>
    </row>
    <row r="1092" spans="1:5" x14ac:dyDescent="0.3">
      <c r="A1092" s="9">
        <v>44463</v>
      </c>
      <c r="B1092" s="10" t="s">
        <v>11</v>
      </c>
      <c r="C1092" s="10" t="s">
        <v>28</v>
      </c>
      <c r="D1092" s="12">
        <v>167.38</v>
      </c>
      <c r="E1092" s="12">
        <f>SUMIF('Parametros Inventario'!$A:$A,B1092,'Parametros Inventario'!$B:$B)+SUMIFS(D$2:D1092,B$2:B1092,B1092,C$2:C1092,"ENTRADA")-SUMIFS(D$2:D1092,B$2:B1092,B1092,C$2:C1092,"SALIDA")</f>
        <v>5865.5559999999996</v>
      </c>
    </row>
    <row r="1093" spans="1:5" x14ac:dyDescent="0.3">
      <c r="A1093" s="9">
        <v>44463</v>
      </c>
      <c r="B1093" s="10" t="s">
        <v>9</v>
      </c>
      <c r="C1093" s="10" t="s">
        <v>28</v>
      </c>
      <c r="D1093" s="12">
        <v>200.83</v>
      </c>
      <c r="E1093" s="12">
        <f>SUMIF('Parametros Inventario'!$A:$A,B1093,'Parametros Inventario'!$B:$B)+SUMIFS(D$2:D1093,B$2:B1093,B1093,C$2:C1093,"ENTRADA")-SUMIFS(D$2:D1093,B$2:B1093,B1093,C$2:C1093,"SALIDA")</f>
        <v>3363.592000000001</v>
      </c>
    </row>
    <row r="1094" spans="1:5" x14ac:dyDescent="0.3">
      <c r="A1094" s="9">
        <v>44463</v>
      </c>
      <c r="B1094" s="10" t="s">
        <v>14</v>
      </c>
      <c r="C1094" s="10" t="s">
        <v>28</v>
      </c>
      <c r="D1094" s="12">
        <v>122.77</v>
      </c>
      <c r="E1094" s="12">
        <f>SUMIF('Parametros Inventario'!$A:$A,B1094,'Parametros Inventario'!$B:$B)+SUMIFS(D$2:D1094,B$2:B1094,B1094,C$2:C1094,"ENTRADA")-SUMIFS(D$2:D1094,B$2:B1094,B1094,C$2:C1094,"SALIDA")</f>
        <v>5022.09</v>
      </c>
    </row>
    <row r="1095" spans="1:5" x14ac:dyDescent="0.3">
      <c r="A1095" s="9">
        <v>44463</v>
      </c>
      <c r="B1095" s="10" t="s">
        <v>12</v>
      </c>
      <c r="C1095" s="10" t="s">
        <v>28</v>
      </c>
      <c r="D1095" s="12">
        <v>292.57</v>
      </c>
      <c r="E1095" s="12">
        <f>SUMIF('Parametros Inventario'!$A:$A,B1095,'Parametros Inventario'!$B:$B)+SUMIFS(D$2:D1095,B$2:B1095,B1095,C$2:C1095,"ENTRADA")-SUMIFS(D$2:D1095,B$2:B1095,B1095,C$2:C1095,"SALIDA")</f>
        <v>5707.2209999999995</v>
      </c>
    </row>
    <row r="1096" spans="1:5" x14ac:dyDescent="0.3">
      <c r="A1096" s="9">
        <v>44463</v>
      </c>
      <c r="B1096" s="10" t="s">
        <v>16</v>
      </c>
      <c r="C1096" s="10" t="s">
        <v>28</v>
      </c>
      <c r="D1096" s="12">
        <v>179.42</v>
      </c>
      <c r="E1096" s="12">
        <f>SUMIF('Parametros Inventario'!$A:$A,B1096,'Parametros Inventario'!$B:$B)+SUMIFS(D$2:D1096,B$2:B1096,B1096,C$2:C1096,"ENTRADA")-SUMIFS(D$2:D1096,B$2:B1096,B1096,C$2:C1096,"SALIDA")</f>
        <v>5585.2860000000001</v>
      </c>
    </row>
    <row r="1097" spans="1:5" x14ac:dyDescent="0.3">
      <c r="A1097" s="9">
        <v>44463</v>
      </c>
      <c r="B1097" s="10" t="s">
        <v>17</v>
      </c>
      <c r="C1097" s="10" t="s">
        <v>28</v>
      </c>
      <c r="D1097" s="12">
        <v>214.42</v>
      </c>
      <c r="E1097" s="12">
        <f>SUMIF('Parametros Inventario'!$A:$A,B1097,'Parametros Inventario'!$B:$B)+SUMIFS(D$2:D1097,B$2:B1097,B1097,C$2:C1097,"ENTRADA")-SUMIFS(D$2:D1097,B$2:B1097,B1097,C$2:C1097,"SALIDA")</f>
        <v>4828.7009999999973</v>
      </c>
    </row>
    <row r="1098" spans="1:5" x14ac:dyDescent="0.3">
      <c r="A1098" s="9">
        <f>'Volúmenes DIstribuidos '!B717</f>
        <v>44463</v>
      </c>
      <c r="B1098" s="10" t="str">
        <f>IF(OR('Volúmenes DIstribuidos '!C717="Azúcar",'Volúmenes DIstribuidos '!C717="azúcar"),"Azúcar o dulce",IF('Volúmenes DIstribuidos '!C717="Aceite","Aceite o grasas",IF('Volúmenes DIstribuidos '!C717="Avena","Otros almidones",'Volúmenes DIstribuidos '!C717)))</f>
        <v>Carnes blancas</v>
      </c>
      <c r="C1098" s="10" t="s">
        <v>29</v>
      </c>
      <c r="D1098" s="12">
        <f>'Volúmenes DIstribuidos '!D717</f>
        <v>31.02</v>
      </c>
      <c r="E1098" s="12">
        <f>SUMIF('Parametros Inventario'!$A:$A,B1098,'Parametros Inventario'!$B:$B)+SUMIFS(D$2:D1098,B$2:B1098,B1098,C$2:C1098,"ENTRADA")-SUMIFS(D$2:D1098,B$2:B1098,B1098,C$2:C1098,"SALIDA")</f>
        <v>5554.2659999999996</v>
      </c>
    </row>
    <row r="1099" spans="1:5" x14ac:dyDescent="0.3">
      <c r="A1099" s="9">
        <f>'Volúmenes DIstribuidos '!B717</f>
        <v>44463</v>
      </c>
      <c r="B1099" s="10" t="str">
        <f>IF(OR('Volúmenes DIstribuidos '!C718="Azúcar",'Volúmenes DIstribuidos '!C718="azúcar"),"Azúcar o dulce",IF('Volúmenes DIstribuidos '!C718="Aceite","Aceite o grasas",IF('Volúmenes DIstribuidos '!C718="Avena","Otros almidones",'Volúmenes DIstribuidos '!C718)))</f>
        <v>Otros almidones</v>
      </c>
      <c r="C1099" s="10" t="s">
        <v>29</v>
      </c>
      <c r="D1099" s="12">
        <f>'Volúmenes DIstribuidos '!D718</f>
        <v>19.805</v>
      </c>
      <c r="E1099" s="12">
        <f>SUMIF('Parametros Inventario'!$A:$A,B1099,'Parametros Inventario'!$B:$B)+SUMIFS(D$2:D1099,B$2:B1099,B1099,C$2:C1099,"ENTRADA")-SUMIFS(D$2:D1099,B$2:B1099,B1099,C$2:C1099,"SALIDA")</f>
        <v>5003.030999999999</v>
      </c>
    </row>
    <row r="1100" spans="1:5" x14ac:dyDescent="0.3">
      <c r="A1100" s="9">
        <f>'Volúmenes DIstribuidos '!B717</f>
        <v>44463</v>
      </c>
      <c r="B1100" s="10" t="str">
        <f>IF(OR('Volúmenes DIstribuidos '!C719="Azúcar",'Volúmenes DIstribuidos '!C719="azúcar"),"Azúcar o dulce",IF('Volúmenes DIstribuidos '!C719="Aceite","Aceite o grasas",IF('Volúmenes DIstribuidos '!C719="Avena","Otros almidones",'Volúmenes DIstribuidos '!C719)))</f>
        <v>Aceite o grasas</v>
      </c>
      <c r="C1100" s="10" t="s">
        <v>29</v>
      </c>
      <c r="D1100" s="12">
        <f>'Volúmenes DIstribuidos '!D719</f>
        <v>131.83000000000001</v>
      </c>
      <c r="E1100" s="12">
        <f>SUMIF('Parametros Inventario'!$A:$A,B1100,'Parametros Inventario'!$B:$B)+SUMIFS(D$2:D1100,B$2:B1100,B1100,C$2:C1100,"ENTRADA")-SUMIFS(D$2:D1100,B$2:B1100,B1100,C$2:C1100,"SALIDA")</f>
        <v>4307.2010000000009</v>
      </c>
    </row>
    <row r="1101" spans="1:5" x14ac:dyDescent="0.3">
      <c r="A1101" s="9">
        <f>'Volúmenes DIstribuidos '!B717</f>
        <v>44463</v>
      </c>
      <c r="B1101" s="10" t="str">
        <f>IF(OR('Volúmenes DIstribuidos '!C720="Azúcar",'Volúmenes DIstribuidos '!C720="azúcar"),"Azúcar o dulce",IF('Volúmenes DIstribuidos '!C720="Aceite","Aceite o grasas",IF('Volúmenes DIstribuidos '!C720="Avena","Otros almidones",'Volúmenes DIstribuidos '!C720)))</f>
        <v>Fideo</v>
      </c>
      <c r="C1101" s="10" t="s">
        <v>29</v>
      </c>
      <c r="D1101" s="12">
        <f>'Volúmenes DIstribuidos '!D720</f>
        <v>140</v>
      </c>
      <c r="E1101" s="12">
        <f>SUMIF('Parametros Inventario'!$A:$A,B1101,'Parametros Inventario'!$B:$B)+SUMIFS(D$2:D1101,B$2:B1101,B1101,C$2:C1101,"ENTRADA")-SUMIFS(D$2:D1101,B$2:B1101,B1101,C$2:C1101,"SALIDA")</f>
        <v>5725.5559999999996</v>
      </c>
    </row>
    <row r="1102" spans="1:5" x14ac:dyDescent="0.3">
      <c r="A1102" s="9">
        <f>'Volúmenes DIstribuidos '!B717</f>
        <v>44463</v>
      </c>
      <c r="B1102" s="10" t="str">
        <f>IF(OR('Volúmenes DIstribuidos '!C721="Azúcar",'Volúmenes DIstribuidos '!C721="azúcar"),"Azúcar o dulce",IF('Volúmenes DIstribuidos '!C721="Aceite","Aceite o grasas",IF('Volúmenes DIstribuidos '!C721="Avena","Otros almidones",'Volúmenes DIstribuidos '!C721)))</f>
        <v>Azúcar o dulce</v>
      </c>
      <c r="C1102" s="10" t="s">
        <v>29</v>
      </c>
      <c r="D1102" s="12">
        <f>'Volúmenes DIstribuidos '!D721</f>
        <v>70</v>
      </c>
      <c r="E1102" s="12">
        <f>SUMIF('Parametros Inventario'!$A:$A,B1102,'Parametros Inventario'!$B:$B)+SUMIFS(D$2:D1102,B$2:B1102,B1102,C$2:C1102,"ENTRADA")-SUMIFS(D$2:D1102,B$2:B1102,B1102,C$2:C1102,"SALIDA")</f>
        <v>6201.4230000000007</v>
      </c>
    </row>
    <row r="1103" spans="1:5" x14ac:dyDescent="0.3">
      <c r="A1103" s="9">
        <f>'Volúmenes DIstribuidos '!B717</f>
        <v>44463</v>
      </c>
      <c r="B1103" s="10" t="str">
        <f>IF(OR('Volúmenes DIstribuidos '!C722="Azúcar",'Volúmenes DIstribuidos '!C722="azúcar"),"Azúcar o dulce",IF('Volúmenes DIstribuidos '!C722="Aceite","Aceite o grasas",IF('Volúmenes DIstribuidos '!C722="Avena","Otros almidones",'Volúmenes DIstribuidos '!C722)))</f>
        <v>Carnes rojas</v>
      </c>
      <c r="C1103" s="10" t="s">
        <v>29</v>
      </c>
      <c r="D1103" s="12">
        <f>'Volúmenes DIstribuidos '!D722</f>
        <v>80</v>
      </c>
      <c r="E1103" s="12">
        <f>SUMIF('Parametros Inventario'!$A:$A,B1103,'Parametros Inventario'!$B:$B)+SUMIFS(D$2:D1103,B$2:B1103,B1103,C$2:C1103,"ENTRADA")-SUMIFS(D$2:D1103,B$2:B1103,B1103,C$2:C1103,"SALIDA")</f>
        <v>5627.2209999999995</v>
      </c>
    </row>
    <row r="1104" spans="1:5" x14ac:dyDescent="0.3">
      <c r="A1104" s="9">
        <f>'Volúmenes DIstribuidos '!B723</f>
        <v>44467</v>
      </c>
      <c r="B1104" s="10" t="str">
        <f>IF(OR('Volúmenes DIstribuidos '!C723="Azúcar",'Volúmenes DIstribuidos '!C723="azúcar"),"Azúcar o dulce",IF('Volúmenes DIstribuidos '!C723="Aceite","Aceite o grasas",IF('Volúmenes DIstribuidos '!C723="Avena","Otros almidones",'Volúmenes DIstribuidos '!C723)))</f>
        <v>Menestras</v>
      </c>
      <c r="C1104" s="10" t="s">
        <v>29</v>
      </c>
      <c r="D1104" s="12">
        <f>'Volúmenes DIstribuidos '!D723</f>
        <v>21.898</v>
      </c>
      <c r="E1104" s="12">
        <f>SUMIF('Parametros Inventario'!$A:$A,B1104,'Parametros Inventario'!$B:$B)+SUMIFS(D$2:D1104,B$2:B1104,B1104,C$2:C1104,"ENTRADA")-SUMIFS(D$2:D1104,B$2:B1104,B1104,C$2:C1104,"SALIDA")</f>
        <v>5000.1920000000009</v>
      </c>
    </row>
    <row r="1105" spans="1:5" x14ac:dyDescent="0.3">
      <c r="A1105" s="9">
        <f>'Volúmenes DIstribuidos '!B723</f>
        <v>44467</v>
      </c>
      <c r="B1105" s="10" t="str">
        <f>IF(OR('Volúmenes DIstribuidos '!C724="Azúcar",'Volúmenes DIstribuidos '!C724="azúcar"),"Azúcar o dulce",IF('Volúmenes DIstribuidos '!C724="Aceite","Aceite o grasas",IF('Volúmenes DIstribuidos '!C724="Avena","Otros almidones",'Volúmenes DIstribuidos '!C724)))</f>
        <v>Lácteos</v>
      </c>
      <c r="C1105" s="10" t="s">
        <v>29</v>
      </c>
      <c r="D1105" s="12">
        <f>'Volúmenes DIstribuidos '!D724</f>
        <v>26.74</v>
      </c>
      <c r="E1105" s="12">
        <f>SUMIF('Parametros Inventario'!$A:$A,B1105,'Parametros Inventario'!$B:$B)+SUMIFS(D$2:D1105,B$2:B1105,B1105,C$2:C1105,"ENTRADA")-SUMIFS(D$2:D1105,B$2:B1105,B1105,C$2:C1105,"SALIDA")</f>
        <v>4801.9609999999975</v>
      </c>
    </row>
    <row r="1106" spans="1:5" x14ac:dyDescent="0.3">
      <c r="A1106" s="9">
        <f>'Volúmenes DIstribuidos '!B723</f>
        <v>44467</v>
      </c>
      <c r="B1106" s="10" t="str">
        <f>IF(OR('Volúmenes DIstribuidos '!C725="Azúcar",'Volúmenes DIstribuidos '!C725="azúcar"),"Azúcar o dulce",IF('Volúmenes DIstribuidos '!C725="Aceite","Aceite o grasas",IF('Volúmenes DIstribuidos '!C725="Avena","Otros almidones",'Volúmenes DIstribuidos '!C725)))</f>
        <v>Otros almidones</v>
      </c>
      <c r="C1106" s="10" t="s">
        <v>29</v>
      </c>
      <c r="D1106" s="12">
        <f>'Volúmenes DIstribuidos '!D725</f>
        <v>5.66</v>
      </c>
      <c r="E1106" s="12">
        <f>SUMIF('Parametros Inventario'!$A:$A,B1106,'Parametros Inventario'!$B:$B)+SUMIFS(D$2:D1106,B$2:B1106,B1106,C$2:C1106,"ENTRADA")-SUMIFS(D$2:D1106,B$2:B1106,B1106,C$2:C1106,"SALIDA")</f>
        <v>4997.3709999999992</v>
      </c>
    </row>
    <row r="1107" spans="1:5" x14ac:dyDescent="0.3">
      <c r="A1107" s="9">
        <f>'Volúmenes DIstribuidos '!B723</f>
        <v>44467</v>
      </c>
      <c r="B1107" s="10" t="str">
        <f>IF(OR('Volúmenes DIstribuidos '!C726="Azúcar",'Volúmenes DIstribuidos '!C726="azúcar"),"Azúcar o dulce",IF('Volúmenes DIstribuidos '!C726="Aceite","Aceite o grasas",IF('Volúmenes DIstribuidos '!C726="Avena","Otros almidones",'Volúmenes DIstribuidos '!C726)))</f>
        <v>Salsas</v>
      </c>
      <c r="C1107" s="10" t="s">
        <v>29</v>
      </c>
      <c r="D1107" s="12">
        <f>'Volúmenes DIstribuidos '!D726</f>
        <v>29.97</v>
      </c>
      <c r="E1107" s="12">
        <f>SUMIF('Parametros Inventario'!$A:$A,B1107,'Parametros Inventario'!$B:$B)+SUMIFS(D$2:D1107,B$2:B1107,B1107,C$2:C1107,"ENTRADA")-SUMIFS(D$2:D1107,B$2:B1107,B1107,C$2:C1107,"SALIDA")</f>
        <v>5622.3559999999989</v>
      </c>
    </row>
    <row r="1108" spans="1:5" x14ac:dyDescent="0.3">
      <c r="A1108" s="9">
        <f>'Volúmenes DIstribuidos '!B723</f>
        <v>44467</v>
      </c>
      <c r="B1108" s="10" t="str">
        <f>IF(OR('Volúmenes DIstribuidos '!C727="Azúcar",'Volúmenes DIstribuidos '!C727="azúcar"),"Azúcar o dulce",IF('Volúmenes DIstribuidos '!C727="Aceite","Aceite o grasas",IF('Volúmenes DIstribuidos '!C727="Avena","Otros almidones",'Volúmenes DIstribuidos '!C727)))</f>
        <v>Azúcar o dulce</v>
      </c>
      <c r="C1108" s="10" t="s">
        <v>29</v>
      </c>
      <c r="D1108" s="12">
        <f>'Volúmenes DIstribuidos '!D727</f>
        <v>17.89</v>
      </c>
      <c r="E1108" s="12">
        <f>SUMIF('Parametros Inventario'!$A:$A,B1108,'Parametros Inventario'!$B:$B)+SUMIFS(D$2:D1108,B$2:B1108,B1108,C$2:C1108,"ENTRADA")-SUMIFS(D$2:D1108,B$2:B1108,B1108,C$2:C1108,"SALIDA")</f>
        <v>6183.5330000000013</v>
      </c>
    </row>
    <row r="1109" spans="1:5" x14ac:dyDescent="0.3">
      <c r="A1109" s="9">
        <f>'Volúmenes DIstribuidos '!B723</f>
        <v>44467</v>
      </c>
      <c r="B1109" s="10" t="str">
        <f>IF(OR('Volúmenes DIstribuidos '!C728="Azúcar",'Volúmenes DIstribuidos '!C728="azúcar"),"Azúcar o dulce",IF('Volúmenes DIstribuidos '!C728="Aceite","Aceite o grasas",IF('Volúmenes DIstribuidos '!C728="Avena","Otros almidones",'Volúmenes DIstribuidos '!C728)))</f>
        <v>Azúcar o dulce</v>
      </c>
      <c r="C1109" s="10" t="s">
        <v>29</v>
      </c>
      <c r="D1109" s="12">
        <f>'Volúmenes DIstribuidos '!D728</f>
        <v>2.87</v>
      </c>
      <c r="E1109" s="12">
        <f>SUMIF('Parametros Inventario'!$A:$A,B1109,'Parametros Inventario'!$B:$B)+SUMIFS(D$2:D1109,B$2:B1109,B1109,C$2:C1109,"ENTRADA")-SUMIFS(D$2:D1109,B$2:B1109,B1109,C$2:C1109,"SALIDA")</f>
        <v>6180.6630000000005</v>
      </c>
    </row>
    <row r="1110" spans="1:5" x14ac:dyDescent="0.3">
      <c r="A1110" s="9">
        <v>44470</v>
      </c>
      <c r="B1110" s="10" t="s">
        <v>18</v>
      </c>
      <c r="C1110" s="10" t="s">
        <v>28</v>
      </c>
      <c r="D1110" s="12">
        <v>86.15</v>
      </c>
      <c r="E1110" s="12">
        <f>SUMIF('Parametros Inventario'!$A:$A,B1110,'Parametros Inventario'!$B:$B)+SUMIFS(D$2:D1110,B$2:B1110,B1110,C$2:C1110,"ENTRADA")-SUMIFS(D$2:D1110,B$2:B1110,B1110,C$2:C1110,"SALIDA")</f>
        <v>5708.5059999999985</v>
      </c>
    </row>
    <row r="1111" spans="1:5" x14ac:dyDescent="0.3">
      <c r="A1111" s="9">
        <v>44470</v>
      </c>
      <c r="B1111" s="10" t="s">
        <v>10</v>
      </c>
      <c r="C1111" s="10" t="s">
        <v>28</v>
      </c>
      <c r="D1111" s="12">
        <v>109.35</v>
      </c>
      <c r="E1111" s="12">
        <f>SUMIF('Parametros Inventario'!$A:$A,B1111,'Parametros Inventario'!$B:$B)+SUMIFS(D$2:D1111,B$2:B1111,B1111,C$2:C1111,"ENTRADA")-SUMIFS(D$2:D1111,B$2:B1111,B1111,C$2:C1111,"SALIDA")</f>
        <v>5727.8069999999989</v>
      </c>
    </row>
    <row r="1112" spans="1:5" x14ac:dyDescent="0.3">
      <c r="A1112" s="9">
        <v>44470</v>
      </c>
      <c r="B1112" s="10" t="s">
        <v>8</v>
      </c>
      <c r="C1112" s="10" t="s">
        <v>28</v>
      </c>
      <c r="D1112" s="12">
        <v>254.8</v>
      </c>
      <c r="E1112" s="12">
        <f>SUMIF('Parametros Inventario'!$A:$A,B1112,'Parametros Inventario'!$B:$B)+SUMIFS(D$2:D1112,B$2:B1112,B1112,C$2:C1112,"ENTRADA")-SUMIFS(D$2:D1112,B$2:B1112,B1112,C$2:C1112,"SALIDA")</f>
        <v>4562.0010000000002</v>
      </c>
    </row>
    <row r="1113" spans="1:5" x14ac:dyDescent="0.3">
      <c r="A1113" s="9">
        <v>44470</v>
      </c>
      <c r="B1113" s="10" t="s">
        <v>13</v>
      </c>
      <c r="C1113" s="10" t="s">
        <v>28</v>
      </c>
      <c r="D1113" s="12">
        <v>189.86</v>
      </c>
      <c r="E1113" s="12">
        <f>SUMIF('Parametros Inventario'!$A:$A,B1113,'Parametros Inventario'!$B:$B)+SUMIFS(D$2:D1113,B$2:B1113,B1113,C$2:C1113,"ENTRADA")-SUMIFS(D$2:D1113,B$2:B1113,B1113,C$2:C1113,"SALIDA")</f>
        <v>6370.523000000001</v>
      </c>
    </row>
    <row r="1114" spans="1:5" x14ac:dyDescent="0.3">
      <c r="A1114" s="9">
        <v>44470</v>
      </c>
      <c r="B1114" s="10" t="s">
        <v>15</v>
      </c>
      <c r="C1114" s="10" t="s">
        <v>28</v>
      </c>
      <c r="D1114" s="12">
        <v>63.65</v>
      </c>
      <c r="E1114" s="12">
        <f>SUMIF('Parametros Inventario'!$A:$A,B1114,'Parametros Inventario'!$B:$B)+SUMIFS(D$2:D1114,B$2:B1114,B1114,C$2:C1114,"ENTRADA")-SUMIFS(D$2:D1114,B$2:B1114,B1114,C$2:C1114,"SALIDA")</f>
        <v>5061.0209999999988</v>
      </c>
    </row>
    <row r="1115" spans="1:5" x14ac:dyDescent="0.3">
      <c r="A1115" s="9">
        <v>44470</v>
      </c>
      <c r="B1115" s="10" t="s">
        <v>11</v>
      </c>
      <c r="C1115" s="10" t="s">
        <v>28</v>
      </c>
      <c r="D1115" s="12">
        <v>135.94999999999999</v>
      </c>
      <c r="E1115" s="12">
        <f>SUMIF('Parametros Inventario'!$A:$A,B1115,'Parametros Inventario'!$B:$B)+SUMIFS(D$2:D1115,B$2:B1115,B1115,C$2:C1115,"ENTRADA")-SUMIFS(D$2:D1115,B$2:B1115,B1115,C$2:C1115,"SALIDA")</f>
        <v>5861.5059999999994</v>
      </c>
    </row>
    <row r="1116" spans="1:5" x14ac:dyDescent="0.3">
      <c r="A1116" s="9">
        <v>44470</v>
      </c>
      <c r="B1116" s="10" t="s">
        <v>9</v>
      </c>
      <c r="C1116" s="10" t="s">
        <v>28</v>
      </c>
      <c r="D1116" s="12">
        <v>294.13</v>
      </c>
      <c r="E1116" s="12">
        <f>SUMIF('Parametros Inventario'!$A:$A,B1116,'Parametros Inventario'!$B:$B)+SUMIFS(D$2:D1116,B$2:B1116,B1116,C$2:C1116,"ENTRADA")-SUMIFS(D$2:D1116,B$2:B1116,B1116,C$2:C1116,"SALIDA")</f>
        <v>3657.7220000000011</v>
      </c>
    </row>
    <row r="1117" spans="1:5" x14ac:dyDescent="0.3">
      <c r="A1117" s="9">
        <v>44470</v>
      </c>
      <c r="B1117" s="10" t="s">
        <v>14</v>
      </c>
      <c r="C1117" s="10" t="s">
        <v>28</v>
      </c>
      <c r="D1117" s="12">
        <v>210.14</v>
      </c>
      <c r="E1117" s="12">
        <f>SUMIF('Parametros Inventario'!$A:$A,B1117,'Parametros Inventario'!$B:$B)+SUMIFS(D$2:D1117,B$2:B1117,B1117,C$2:C1117,"ENTRADA")-SUMIFS(D$2:D1117,B$2:B1117,B1117,C$2:C1117,"SALIDA")</f>
        <v>5210.3320000000012</v>
      </c>
    </row>
    <row r="1118" spans="1:5" x14ac:dyDescent="0.3">
      <c r="A1118" s="9">
        <f>'Volúmenes DIstribuidos '!B729</f>
        <v>44470</v>
      </c>
      <c r="B1118" s="10" t="str">
        <f>IF(OR('Volúmenes DIstribuidos '!C729="Azúcar",'Volúmenes DIstribuidos '!C729="azúcar"),"Azúcar o dulce",IF('Volúmenes DIstribuidos '!C729="Aceite","Aceite o grasas",IF('Volúmenes DIstribuidos '!C729="Avena","Otros almidones",'Volúmenes DIstribuidos '!C729)))</f>
        <v>Vegetales y hojas</v>
      </c>
      <c r="C1118" s="10" t="s">
        <v>29</v>
      </c>
      <c r="D1118" s="12">
        <f>'Volúmenes DIstribuidos '!D729</f>
        <v>11.12</v>
      </c>
      <c r="E1118" s="12">
        <f>SUMIF('Parametros Inventario'!$A:$A,B1118,'Parametros Inventario'!$B:$B)+SUMIFS(D$2:D1118,B$2:B1118,B1118,C$2:C1118,"ENTRADA")-SUMIFS(D$2:D1118,B$2:B1118,B1118,C$2:C1118,"SALIDA")</f>
        <v>5716.686999999999</v>
      </c>
    </row>
    <row r="1119" spans="1:5" x14ac:dyDescent="0.3">
      <c r="A1119" s="9">
        <f>'Volúmenes DIstribuidos '!B729</f>
        <v>44470</v>
      </c>
      <c r="B1119" s="10" t="str">
        <f>IF(OR('Volúmenes DIstribuidos '!C730="Azúcar",'Volúmenes DIstribuidos '!C730="azúcar"),"Azúcar o dulce",IF('Volúmenes DIstribuidos '!C730="Aceite","Aceite o grasas",IF('Volúmenes DIstribuidos '!C730="Avena","Otros almidones",'Volúmenes DIstribuidos '!C730)))</f>
        <v>Lácteos</v>
      </c>
      <c r="C1119" s="10" t="s">
        <v>29</v>
      </c>
      <c r="D1119" s="12">
        <f>'Volúmenes DIstribuidos '!D730</f>
        <v>4.6500000000000004</v>
      </c>
      <c r="E1119" s="12">
        <f>SUMIF('Parametros Inventario'!$A:$A,B1119,'Parametros Inventario'!$B:$B)+SUMIFS(D$2:D1119,B$2:B1119,B1119,C$2:C1119,"ENTRADA")-SUMIFS(D$2:D1119,B$2:B1119,B1119,C$2:C1119,"SALIDA")</f>
        <v>4797.3109999999979</v>
      </c>
    </row>
    <row r="1120" spans="1:5" x14ac:dyDescent="0.3">
      <c r="A1120" s="9">
        <f>'Volúmenes DIstribuidos '!B729</f>
        <v>44470</v>
      </c>
      <c r="B1120" s="10" t="str">
        <f>IF(OR('Volúmenes DIstribuidos '!C731="Azúcar",'Volúmenes DIstribuidos '!C731="azúcar"),"Azúcar o dulce",IF('Volúmenes DIstribuidos '!C731="Aceite","Aceite o grasas",IF('Volúmenes DIstribuidos '!C731="Avena","Otros almidones",'Volúmenes DIstribuidos '!C731)))</f>
        <v>Salsas</v>
      </c>
      <c r="C1120" s="10" t="s">
        <v>29</v>
      </c>
      <c r="D1120" s="12">
        <f>'Volúmenes DIstribuidos '!D731</f>
        <v>22.24</v>
      </c>
      <c r="E1120" s="12">
        <f>SUMIF('Parametros Inventario'!$A:$A,B1120,'Parametros Inventario'!$B:$B)+SUMIFS(D$2:D1120,B$2:B1120,B1120,C$2:C1120,"ENTRADA")-SUMIFS(D$2:D1120,B$2:B1120,B1120,C$2:C1120,"SALIDA")</f>
        <v>5686.2659999999987</v>
      </c>
    </row>
    <row r="1121" spans="1:5" x14ac:dyDescent="0.3">
      <c r="A1121" s="9">
        <f>'Volúmenes DIstribuidos '!B729</f>
        <v>44470</v>
      </c>
      <c r="B1121" s="10" t="str">
        <f>IF(OR('Volúmenes DIstribuidos '!C732="Azúcar",'Volúmenes DIstribuidos '!C732="azúcar"),"Azúcar o dulce",IF('Volúmenes DIstribuidos '!C732="Aceite","Aceite o grasas",IF('Volúmenes DIstribuidos '!C732="Avena","Otros almidones",'Volúmenes DIstribuidos '!C732)))</f>
        <v>Panadería</v>
      </c>
      <c r="C1121" s="10" t="s">
        <v>29</v>
      </c>
      <c r="D1121" s="12">
        <f>'Volúmenes DIstribuidos '!D732</f>
        <v>37.973999999999997</v>
      </c>
      <c r="E1121" s="12">
        <f>SUMIF('Parametros Inventario'!$A:$A,B1121,'Parametros Inventario'!$B:$B)+SUMIFS(D$2:D1121,B$2:B1121,B1121,C$2:C1121,"ENTRADA")-SUMIFS(D$2:D1121,B$2:B1121,B1121,C$2:C1121,"SALIDA")</f>
        <v>3619.748000000001</v>
      </c>
    </row>
    <row r="1122" spans="1:5" x14ac:dyDescent="0.3">
      <c r="A1122" s="9">
        <f>'Volúmenes DIstribuidos '!B729</f>
        <v>44470</v>
      </c>
      <c r="B1122" s="10" t="str">
        <f>IF(OR('Volúmenes DIstribuidos '!C733="Azúcar",'Volúmenes DIstribuidos '!C733="azúcar"),"Azúcar o dulce",IF('Volúmenes DIstribuidos '!C733="Aceite","Aceite o grasas",IF('Volúmenes DIstribuidos '!C733="Avena","Otros almidones",'Volúmenes DIstribuidos '!C733)))</f>
        <v>Azúcar o dulce</v>
      </c>
      <c r="C1122" s="10" t="s">
        <v>29</v>
      </c>
      <c r="D1122" s="12">
        <f>'Volúmenes DIstribuidos '!D733</f>
        <v>19.21</v>
      </c>
      <c r="E1122" s="12">
        <f>SUMIF('Parametros Inventario'!$A:$A,B1122,'Parametros Inventario'!$B:$B)+SUMIFS(D$2:D1122,B$2:B1122,B1122,C$2:C1122,"ENTRADA")-SUMIFS(D$2:D1122,B$2:B1122,B1122,C$2:C1122,"SALIDA")</f>
        <v>6351.3130000000019</v>
      </c>
    </row>
    <row r="1123" spans="1:5" x14ac:dyDescent="0.3">
      <c r="A1123" s="9">
        <f>'Volúmenes DIstribuidos '!B729</f>
        <v>44470</v>
      </c>
      <c r="B1123" s="10" t="str">
        <f>IF(OR('Volúmenes DIstribuidos '!C734="Azúcar",'Volúmenes DIstribuidos '!C734="azúcar"),"Azúcar o dulce",IF('Volúmenes DIstribuidos '!C734="Aceite","Aceite o grasas",IF('Volúmenes DIstribuidos '!C734="Avena","Otros almidones",'Volúmenes DIstribuidos '!C734)))</f>
        <v>Carnes rojas</v>
      </c>
      <c r="C1123" s="10" t="s">
        <v>29</v>
      </c>
      <c r="D1123" s="12">
        <f>'Volúmenes DIstribuidos '!D734</f>
        <v>47.68</v>
      </c>
      <c r="E1123" s="12">
        <f>SUMIF('Parametros Inventario'!$A:$A,B1123,'Parametros Inventario'!$B:$B)+SUMIFS(D$2:D1123,B$2:B1123,B1123,C$2:C1123,"ENTRADA")-SUMIFS(D$2:D1123,B$2:B1123,B1123,C$2:C1123,"SALIDA")</f>
        <v>5579.5409999999993</v>
      </c>
    </row>
    <row r="1124" spans="1:5" x14ac:dyDescent="0.3">
      <c r="A1124" s="9">
        <f>'Volúmenes DIstribuidos '!B735</f>
        <v>44474</v>
      </c>
      <c r="B1124" s="10" t="str">
        <f>IF(OR('Volúmenes DIstribuidos '!C735="Azúcar",'Volúmenes DIstribuidos '!C735="azúcar"),"Azúcar o dulce",IF('Volúmenes DIstribuidos '!C735="Aceite","Aceite o grasas",IF('Volúmenes DIstribuidos '!C735="Avena","Otros almidones",'Volúmenes DIstribuidos '!C735)))</f>
        <v>Fideo</v>
      </c>
      <c r="C1124" s="10" t="s">
        <v>29</v>
      </c>
      <c r="D1124" s="12">
        <f>'Volúmenes DIstribuidos '!D735</f>
        <v>19.29</v>
      </c>
      <c r="E1124" s="12">
        <f>SUMIF('Parametros Inventario'!$A:$A,B1124,'Parametros Inventario'!$B:$B)+SUMIFS(D$2:D1124,B$2:B1124,B1124,C$2:C1124,"ENTRADA")-SUMIFS(D$2:D1124,B$2:B1124,B1124,C$2:C1124,"SALIDA")</f>
        <v>5842.2159999999994</v>
      </c>
    </row>
    <row r="1125" spans="1:5" x14ac:dyDescent="0.3">
      <c r="A1125" s="9">
        <f>'Volúmenes DIstribuidos '!B735</f>
        <v>44474</v>
      </c>
      <c r="B1125" s="10" t="str">
        <f>IF(OR('Volúmenes DIstribuidos '!C736="Azúcar",'Volúmenes DIstribuidos '!C736="azúcar"),"Azúcar o dulce",IF('Volúmenes DIstribuidos '!C736="Aceite","Aceite o grasas",IF('Volúmenes DIstribuidos '!C736="Avena","Otros almidones",'Volúmenes DIstribuidos '!C736)))</f>
        <v>Carnes blancas</v>
      </c>
      <c r="C1125" s="10" t="s">
        <v>29</v>
      </c>
      <c r="D1125" s="12">
        <f>'Volúmenes DIstribuidos '!D736</f>
        <v>12.96</v>
      </c>
      <c r="E1125" s="12">
        <f>SUMIF('Parametros Inventario'!$A:$A,B1125,'Parametros Inventario'!$B:$B)+SUMIFS(D$2:D1125,B$2:B1125,B1125,C$2:C1125,"ENTRADA")-SUMIFS(D$2:D1125,B$2:B1125,B1125,C$2:C1125,"SALIDA")</f>
        <v>5541.3060000000005</v>
      </c>
    </row>
    <row r="1126" spans="1:5" x14ac:dyDescent="0.3">
      <c r="A1126" s="9">
        <f>'Volúmenes DIstribuidos '!B735</f>
        <v>44474</v>
      </c>
      <c r="B1126" s="10" t="str">
        <f>IF(OR('Volúmenes DIstribuidos '!C737="Azúcar",'Volúmenes DIstribuidos '!C737="azúcar"),"Azúcar o dulce",IF('Volúmenes DIstribuidos '!C737="Aceite","Aceite o grasas",IF('Volúmenes DIstribuidos '!C737="Avena","Otros almidones",'Volúmenes DIstribuidos '!C737)))</f>
        <v>Menestras</v>
      </c>
      <c r="C1126" s="10" t="s">
        <v>29</v>
      </c>
      <c r="D1126" s="12">
        <f>'Volúmenes DIstribuidos '!D737</f>
        <v>83.575000000000003</v>
      </c>
      <c r="E1126" s="12">
        <f>SUMIF('Parametros Inventario'!$A:$A,B1126,'Parametros Inventario'!$B:$B)+SUMIFS(D$2:D1126,B$2:B1126,B1126,C$2:C1126,"ENTRADA")-SUMIFS(D$2:D1126,B$2:B1126,B1126,C$2:C1126,"SALIDA")</f>
        <v>5126.7570000000014</v>
      </c>
    </row>
    <row r="1127" spans="1:5" x14ac:dyDescent="0.3">
      <c r="A1127" s="9">
        <f>'Volúmenes DIstribuidos '!B735</f>
        <v>44474</v>
      </c>
      <c r="B1127" s="10" t="str">
        <f>IF(OR('Volúmenes DIstribuidos '!C738="Azúcar",'Volúmenes DIstribuidos '!C738="azúcar"),"Azúcar o dulce",IF('Volúmenes DIstribuidos '!C738="Aceite","Aceite o grasas",IF('Volúmenes DIstribuidos '!C738="Avena","Otros almidones",'Volúmenes DIstribuidos '!C738)))</f>
        <v>Fideo</v>
      </c>
      <c r="C1127" s="10" t="s">
        <v>29</v>
      </c>
      <c r="D1127" s="12">
        <f>'Volúmenes DIstribuidos '!D738</f>
        <v>38.68</v>
      </c>
      <c r="E1127" s="12">
        <f>SUMIF('Parametros Inventario'!$A:$A,B1127,'Parametros Inventario'!$B:$B)+SUMIFS(D$2:D1127,B$2:B1127,B1127,C$2:C1127,"ENTRADA")-SUMIFS(D$2:D1127,B$2:B1127,B1127,C$2:C1127,"SALIDA")</f>
        <v>5803.5360000000001</v>
      </c>
    </row>
    <row r="1128" spans="1:5" x14ac:dyDescent="0.3">
      <c r="A1128" s="9">
        <f>'Volúmenes DIstribuidos '!B735</f>
        <v>44474</v>
      </c>
      <c r="B1128" s="10" t="str">
        <f>IF(OR('Volúmenes DIstribuidos '!C739="Azúcar",'Volúmenes DIstribuidos '!C739="azúcar"),"Azúcar o dulce",IF('Volúmenes DIstribuidos '!C739="Aceite","Aceite o grasas",IF('Volúmenes DIstribuidos '!C739="Avena","Otros almidones",'Volúmenes DIstribuidos '!C739)))</f>
        <v>Carnes blancas</v>
      </c>
      <c r="C1128" s="10" t="s">
        <v>29</v>
      </c>
      <c r="D1128" s="12">
        <f>'Volúmenes DIstribuidos '!D739</f>
        <v>9.2100000000000009</v>
      </c>
      <c r="E1128" s="12">
        <f>SUMIF('Parametros Inventario'!$A:$A,B1128,'Parametros Inventario'!$B:$B)+SUMIFS(D$2:D1128,B$2:B1128,B1128,C$2:C1128,"ENTRADA")-SUMIFS(D$2:D1128,B$2:B1128,B1128,C$2:C1128,"SALIDA")</f>
        <v>5532.0959999999995</v>
      </c>
    </row>
    <row r="1129" spans="1:5" x14ac:dyDescent="0.3">
      <c r="A1129" s="9">
        <f>'Volúmenes DIstribuidos '!B735</f>
        <v>44474</v>
      </c>
      <c r="B1129" s="10" t="str">
        <f>IF(OR('Volúmenes DIstribuidos '!C740="Azúcar",'Volúmenes DIstribuidos '!C740="azúcar"),"Azúcar o dulce",IF('Volúmenes DIstribuidos '!C740="Aceite","Aceite o grasas",IF('Volúmenes DIstribuidos '!C740="Avena","Otros almidones",'Volúmenes DIstribuidos '!C740)))</f>
        <v>Vegetales y hojas</v>
      </c>
      <c r="C1129" s="10" t="s">
        <v>29</v>
      </c>
      <c r="D1129" s="12">
        <f>'Volúmenes DIstribuidos '!D740</f>
        <v>33.97</v>
      </c>
      <c r="E1129" s="12">
        <f>SUMIF('Parametros Inventario'!$A:$A,B1129,'Parametros Inventario'!$B:$B)+SUMIFS(D$2:D1129,B$2:B1129,B1129,C$2:C1129,"ENTRADA")-SUMIFS(D$2:D1129,B$2:B1129,B1129,C$2:C1129,"SALIDA")</f>
        <v>5682.7169999999987</v>
      </c>
    </row>
    <row r="1130" spans="1:5" x14ac:dyDescent="0.3">
      <c r="A1130" s="9">
        <f>'Volúmenes DIstribuidos '!B741</f>
        <v>44477</v>
      </c>
      <c r="B1130" s="10" t="str">
        <f>IF(OR('Volúmenes DIstribuidos '!C741="Azúcar",'Volúmenes DIstribuidos '!C741="azúcar"),"Azúcar o dulce",IF('Volúmenes DIstribuidos '!C741="Aceite","Aceite o grasas",IF('Volúmenes DIstribuidos '!C741="Avena","Otros almidones",'Volúmenes DIstribuidos '!C741)))</f>
        <v>Carnes rojas</v>
      </c>
      <c r="C1130" s="10" t="s">
        <v>29</v>
      </c>
      <c r="D1130" s="12">
        <f>'Volúmenes DIstribuidos '!D741</f>
        <v>36.53</v>
      </c>
      <c r="E1130" s="12">
        <f>SUMIF('Parametros Inventario'!$A:$A,B1130,'Parametros Inventario'!$B:$B)+SUMIFS(D$2:D1130,B$2:B1130,B1130,C$2:C1130,"ENTRADA")-SUMIFS(D$2:D1130,B$2:B1130,B1130,C$2:C1130,"SALIDA")</f>
        <v>5543.0109999999995</v>
      </c>
    </row>
    <row r="1131" spans="1:5" x14ac:dyDescent="0.3">
      <c r="A1131" s="9">
        <f>'Volúmenes DIstribuidos '!B741</f>
        <v>44477</v>
      </c>
      <c r="B1131" s="10" t="str">
        <f>IF(OR('Volúmenes DIstribuidos '!C742="Azúcar",'Volúmenes DIstribuidos '!C742="azúcar"),"Azúcar o dulce",IF('Volúmenes DIstribuidos '!C742="Aceite","Aceite o grasas",IF('Volúmenes DIstribuidos '!C742="Avena","Otros almidones",'Volúmenes DIstribuidos '!C742)))</f>
        <v>Lácteos</v>
      </c>
      <c r="C1131" s="10" t="s">
        <v>29</v>
      </c>
      <c r="D1131" s="12">
        <f>'Volúmenes DIstribuidos '!D742</f>
        <v>66.180000000000007</v>
      </c>
      <c r="E1131" s="12">
        <f>SUMIF('Parametros Inventario'!$A:$A,B1131,'Parametros Inventario'!$B:$B)+SUMIFS(D$2:D1131,B$2:B1131,B1131,C$2:C1131,"ENTRADA")-SUMIFS(D$2:D1131,B$2:B1131,B1131,C$2:C1131,"SALIDA")</f>
        <v>4731.1309999999976</v>
      </c>
    </row>
    <row r="1132" spans="1:5" x14ac:dyDescent="0.3">
      <c r="A1132" s="9">
        <f>'Volúmenes DIstribuidos '!B741</f>
        <v>44477</v>
      </c>
      <c r="B1132" s="10" t="str">
        <f>IF(OR('Volúmenes DIstribuidos '!C743="Azúcar",'Volúmenes DIstribuidos '!C743="azúcar"),"Azúcar o dulce",IF('Volúmenes DIstribuidos '!C743="Aceite","Aceite o grasas",IF('Volúmenes DIstribuidos '!C743="Avena","Otros almidones",'Volúmenes DIstribuidos '!C743)))</f>
        <v>Azúcar o dulce</v>
      </c>
      <c r="C1132" s="10" t="s">
        <v>29</v>
      </c>
      <c r="D1132" s="12">
        <f>'Volúmenes DIstribuidos '!D743</f>
        <v>16.155000000000001</v>
      </c>
      <c r="E1132" s="12">
        <f>SUMIF('Parametros Inventario'!$A:$A,B1132,'Parametros Inventario'!$B:$B)+SUMIFS(D$2:D1132,B$2:B1132,B1132,C$2:C1132,"ENTRADA")-SUMIFS(D$2:D1132,B$2:B1132,B1132,C$2:C1132,"SALIDA")</f>
        <v>6335.1580000000013</v>
      </c>
    </row>
    <row r="1133" spans="1:5" x14ac:dyDescent="0.3">
      <c r="A1133" s="9">
        <f>'Volúmenes DIstribuidos '!B741</f>
        <v>44477</v>
      </c>
      <c r="B1133" s="10" t="str">
        <f>IF(OR('Volúmenes DIstribuidos '!C744="Azúcar",'Volúmenes DIstribuidos '!C744="azúcar"),"Azúcar o dulce",IF('Volúmenes DIstribuidos '!C744="Aceite","Aceite o grasas",IF('Volúmenes DIstribuidos '!C744="Avena","Otros almidones",'Volúmenes DIstribuidos '!C744)))</f>
        <v>Carnes rojas</v>
      </c>
      <c r="C1133" s="10" t="s">
        <v>29</v>
      </c>
      <c r="D1133" s="12">
        <f>'Volúmenes DIstribuidos '!D744</f>
        <v>47.29</v>
      </c>
      <c r="E1133" s="12">
        <f>SUMIF('Parametros Inventario'!$A:$A,B1133,'Parametros Inventario'!$B:$B)+SUMIFS(D$2:D1133,B$2:B1133,B1133,C$2:C1133,"ENTRADA")-SUMIFS(D$2:D1133,B$2:B1133,B1133,C$2:C1133,"SALIDA")</f>
        <v>5495.7209999999995</v>
      </c>
    </row>
    <row r="1134" spans="1:5" x14ac:dyDescent="0.3">
      <c r="A1134" s="9">
        <f>'Volúmenes DIstribuidos '!B741</f>
        <v>44477</v>
      </c>
      <c r="B1134" s="10" t="str">
        <f>IF(OR('Volúmenes DIstribuidos '!C745="Azúcar",'Volúmenes DIstribuidos '!C745="azúcar"),"Azúcar o dulce",IF('Volúmenes DIstribuidos '!C745="Aceite","Aceite o grasas",IF('Volúmenes DIstribuidos '!C745="Avena","Otros almidones",'Volúmenes DIstribuidos '!C745)))</f>
        <v>Menestras</v>
      </c>
      <c r="C1134" s="10" t="s">
        <v>29</v>
      </c>
      <c r="D1134" s="12">
        <f>'Volúmenes DIstribuidos '!D745</f>
        <v>12.5</v>
      </c>
      <c r="E1134" s="12">
        <f>SUMIF('Parametros Inventario'!$A:$A,B1134,'Parametros Inventario'!$B:$B)+SUMIFS(D$2:D1134,B$2:B1134,B1134,C$2:C1134,"ENTRADA")-SUMIFS(D$2:D1134,B$2:B1134,B1134,C$2:C1134,"SALIDA")</f>
        <v>5114.2570000000014</v>
      </c>
    </row>
    <row r="1135" spans="1:5" x14ac:dyDescent="0.3">
      <c r="A1135" s="9">
        <f>'Volúmenes DIstribuidos '!B741</f>
        <v>44477</v>
      </c>
      <c r="B1135" s="10" t="str">
        <f>IF(OR('Volúmenes DIstribuidos '!C746="Azúcar",'Volúmenes DIstribuidos '!C746="azúcar"),"Azúcar o dulce",IF('Volúmenes DIstribuidos '!C746="Aceite","Aceite o grasas",IF('Volúmenes DIstribuidos '!C746="Avena","Otros almidones",'Volúmenes DIstribuidos '!C746)))</f>
        <v>Aceite o grasas</v>
      </c>
      <c r="C1135" s="10" t="s">
        <v>29</v>
      </c>
      <c r="D1135" s="12">
        <f>'Volúmenes DIstribuidos '!D746</f>
        <v>17.489999999999998</v>
      </c>
      <c r="E1135" s="12">
        <f>SUMIF('Parametros Inventario'!$A:$A,B1135,'Parametros Inventario'!$B:$B)+SUMIFS(D$2:D1135,B$2:B1135,B1135,C$2:C1135,"ENTRADA")-SUMIFS(D$2:D1135,B$2:B1135,B1135,C$2:C1135,"SALIDA")</f>
        <v>4544.5110000000004</v>
      </c>
    </row>
    <row r="1136" spans="1:5" x14ac:dyDescent="0.3">
      <c r="A1136" s="9">
        <f>'Volúmenes DIstribuidos '!B747</f>
        <v>44481</v>
      </c>
      <c r="B1136" s="10" t="str">
        <f>IF(OR('Volúmenes DIstribuidos '!C747="Azúcar",'Volúmenes DIstribuidos '!C747="azúcar"),"Azúcar o dulce",IF('Volúmenes DIstribuidos '!C747="Aceite","Aceite o grasas",IF('Volúmenes DIstribuidos '!C747="Avena","Otros almidones",'Volúmenes DIstribuidos '!C747)))</f>
        <v>Salsas</v>
      </c>
      <c r="C1136" s="10" t="s">
        <v>29</v>
      </c>
      <c r="D1136" s="12">
        <f>'Volúmenes DIstribuidos '!D747</f>
        <v>20.91</v>
      </c>
      <c r="E1136" s="12">
        <f>SUMIF('Parametros Inventario'!$A:$A,B1136,'Parametros Inventario'!$B:$B)+SUMIFS(D$2:D1136,B$2:B1136,B1136,C$2:C1136,"ENTRADA")-SUMIFS(D$2:D1136,B$2:B1136,B1136,C$2:C1136,"SALIDA")</f>
        <v>5665.3559999999989</v>
      </c>
    </row>
    <row r="1137" spans="1:5" x14ac:dyDescent="0.3">
      <c r="A1137" s="9">
        <f>'Volúmenes DIstribuidos '!B747</f>
        <v>44481</v>
      </c>
      <c r="B1137" s="10" t="str">
        <f>IF(OR('Volúmenes DIstribuidos '!C748="Azúcar",'Volúmenes DIstribuidos '!C748="azúcar"),"Azúcar o dulce",IF('Volúmenes DIstribuidos '!C748="Aceite","Aceite o grasas",IF('Volúmenes DIstribuidos '!C748="Avena","Otros almidones",'Volúmenes DIstribuidos '!C748)))</f>
        <v>Vegetales y hojas</v>
      </c>
      <c r="C1137" s="10" t="s">
        <v>29</v>
      </c>
      <c r="D1137" s="12">
        <f>'Volúmenes DIstribuidos '!D748</f>
        <v>12.3</v>
      </c>
      <c r="E1137" s="12">
        <f>SUMIF('Parametros Inventario'!$A:$A,B1137,'Parametros Inventario'!$B:$B)+SUMIFS(D$2:D1137,B$2:B1137,B1137,C$2:C1137,"ENTRADA")-SUMIFS(D$2:D1137,B$2:B1137,B1137,C$2:C1137,"SALIDA")</f>
        <v>5670.4169999999986</v>
      </c>
    </row>
    <row r="1138" spans="1:5" x14ac:dyDescent="0.3">
      <c r="A1138" s="9">
        <f>'Volúmenes DIstribuidos '!B747</f>
        <v>44481</v>
      </c>
      <c r="B1138" s="10" t="str">
        <f>IF(OR('Volúmenes DIstribuidos '!C749="Azúcar",'Volúmenes DIstribuidos '!C749="azúcar"),"Azúcar o dulce",IF('Volúmenes DIstribuidos '!C749="Aceite","Aceite o grasas",IF('Volúmenes DIstribuidos '!C749="Avena","Otros almidones",'Volúmenes DIstribuidos '!C749)))</f>
        <v>Carnes rojas</v>
      </c>
      <c r="C1138" s="10" t="s">
        <v>29</v>
      </c>
      <c r="D1138" s="12">
        <f>'Volúmenes DIstribuidos '!D749</f>
        <v>11.09</v>
      </c>
      <c r="E1138" s="12">
        <f>SUMIF('Parametros Inventario'!$A:$A,B1138,'Parametros Inventario'!$B:$B)+SUMIFS(D$2:D1138,B$2:B1138,B1138,C$2:C1138,"ENTRADA")-SUMIFS(D$2:D1138,B$2:B1138,B1138,C$2:C1138,"SALIDA")</f>
        <v>5484.6309999999994</v>
      </c>
    </row>
    <row r="1139" spans="1:5" x14ac:dyDescent="0.3">
      <c r="A1139" s="9">
        <f>'Volúmenes DIstribuidos '!B747</f>
        <v>44481</v>
      </c>
      <c r="B1139" s="10" t="str">
        <f>IF(OR('Volúmenes DIstribuidos '!C750="Azúcar",'Volúmenes DIstribuidos '!C750="azúcar"),"Azúcar o dulce",IF('Volúmenes DIstribuidos '!C750="Aceite","Aceite o grasas",IF('Volúmenes DIstribuidos '!C750="Avena","Otros almidones",'Volúmenes DIstribuidos '!C750)))</f>
        <v>Menestras</v>
      </c>
      <c r="C1139" s="10" t="s">
        <v>29</v>
      </c>
      <c r="D1139" s="12">
        <f>'Volúmenes DIstribuidos '!D750</f>
        <v>22.83</v>
      </c>
      <c r="E1139" s="12">
        <f>SUMIF('Parametros Inventario'!$A:$A,B1139,'Parametros Inventario'!$B:$B)+SUMIFS(D$2:D1139,B$2:B1139,B1139,C$2:C1139,"ENTRADA")-SUMIFS(D$2:D1139,B$2:B1139,B1139,C$2:C1139,"SALIDA")</f>
        <v>5091.4270000000015</v>
      </c>
    </row>
    <row r="1140" spans="1:5" x14ac:dyDescent="0.3">
      <c r="A1140" s="9">
        <f>'Volúmenes DIstribuidos '!B747</f>
        <v>44481</v>
      </c>
      <c r="B1140" s="10" t="str">
        <f>IF(OR('Volúmenes DIstribuidos '!C751="Azúcar",'Volúmenes DIstribuidos '!C751="azúcar"),"Azúcar o dulce",IF('Volúmenes DIstribuidos '!C751="Aceite","Aceite o grasas",IF('Volúmenes DIstribuidos '!C751="Avena","Otros almidones",'Volúmenes DIstribuidos '!C751)))</f>
        <v>Azúcar o dulce</v>
      </c>
      <c r="C1140" s="10" t="s">
        <v>29</v>
      </c>
      <c r="D1140" s="12">
        <f>'Volúmenes DIstribuidos '!D751</f>
        <v>22.5</v>
      </c>
      <c r="E1140" s="12">
        <f>SUMIF('Parametros Inventario'!$A:$A,B1140,'Parametros Inventario'!$B:$B)+SUMIFS(D$2:D1140,B$2:B1140,B1140,C$2:C1140,"ENTRADA")-SUMIFS(D$2:D1140,B$2:B1140,B1140,C$2:C1140,"SALIDA")</f>
        <v>6312.6580000000013</v>
      </c>
    </row>
    <row r="1141" spans="1:5" x14ac:dyDescent="0.3">
      <c r="A1141" s="9">
        <f>'Volúmenes DIstribuidos '!B747</f>
        <v>44481</v>
      </c>
      <c r="B1141" s="10" t="str">
        <f>IF(OR('Volúmenes DIstribuidos '!C752="Azúcar",'Volúmenes DIstribuidos '!C752="azúcar"),"Azúcar o dulce",IF('Volúmenes DIstribuidos '!C752="Aceite","Aceite o grasas",IF('Volúmenes DIstribuidos '!C752="Avena","Otros almidones",'Volúmenes DIstribuidos '!C752)))</f>
        <v>Otros almidones</v>
      </c>
      <c r="C1141" s="10" t="s">
        <v>29</v>
      </c>
      <c r="D1141" s="12">
        <f>'Volúmenes DIstribuidos '!D752</f>
        <v>6.16</v>
      </c>
      <c r="E1141" s="12">
        <f>SUMIF('Parametros Inventario'!$A:$A,B1141,'Parametros Inventario'!$B:$B)+SUMIFS(D$2:D1141,B$2:B1141,B1141,C$2:C1141,"ENTRADA")-SUMIFS(D$2:D1141,B$2:B1141,B1141,C$2:C1141,"SALIDA")</f>
        <v>5054.860999999999</v>
      </c>
    </row>
    <row r="1142" spans="1:5" x14ac:dyDescent="0.3">
      <c r="A1142" s="9">
        <v>44484</v>
      </c>
      <c r="B1142" s="10" t="s">
        <v>12</v>
      </c>
      <c r="C1142" s="10" t="s">
        <v>28</v>
      </c>
      <c r="D1142" s="12">
        <v>100.32</v>
      </c>
      <c r="E1142" s="12">
        <f>SUMIF('Parametros Inventario'!$A:$A,B1142,'Parametros Inventario'!$B:$B)+SUMIFS(D$2:D1142,B$2:B1142,B1142,C$2:C1142,"ENTRADA")-SUMIFS(D$2:D1142,B$2:B1142,B1142,C$2:C1142,"SALIDA")</f>
        <v>5584.9509999999991</v>
      </c>
    </row>
    <row r="1143" spans="1:5" x14ac:dyDescent="0.3">
      <c r="A1143" s="9">
        <v>44484</v>
      </c>
      <c r="B1143" s="10" t="s">
        <v>16</v>
      </c>
      <c r="C1143" s="10" t="s">
        <v>28</v>
      </c>
      <c r="D1143" s="12">
        <v>67.099999999999994</v>
      </c>
      <c r="E1143" s="12">
        <f>SUMIF('Parametros Inventario'!$A:$A,B1143,'Parametros Inventario'!$B:$B)+SUMIFS(D$2:D1143,B$2:B1143,B1143,C$2:C1143,"ENTRADA")-SUMIFS(D$2:D1143,B$2:B1143,B1143,C$2:C1143,"SALIDA")</f>
        <v>5599.1959999999999</v>
      </c>
    </row>
    <row r="1144" spans="1:5" x14ac:dyDescent="0.3">
      <c r="A1144" s="9">
        <v>44484</v>
      </c>
      <c r="B1144" s="10" t="s">
        <v>17</v>
      </c>
      <c r="C1144" s="10" t="s">
        <v>28</v>
      </c>
      <c r="D1144" s="12">
        <v>97.34</v>
      </c>
      <c r="E1144" s="12">
        <f>SUMIF('Parametros Inventario'!$A:$A,B1144,'Parametros Inventario'!$B:$B)+SUMIFS(D$2:D1144,B$2:B1144,B1144,C$2:C1144,"ENTRADA")-SUMIFS(D$2:D1144,B$2:B1144,B1144,C$2:C1144,"SALIDA")</f>
        <v>4828.4709999999977</v>
      </c>
    </row>
    <row r="1145" spans="1:5" x14ac:dyDescent="0.3">
      <c r="A1145" s="9">
        <v>44484</v>
      </c>
      <c r="B1145" s="10" t="s">
        <v>18</v>
      </c>
      <c r="C1145" s="10" t="s">
        <v>28</v>
      </c>
      <c r="D1145" s="12">
        <v>168.93</v>
      </c>
      <c r="E1145" s="12">
        <f>SUMIF('Parametros Inventario'!$A:$A,B1145,'Parametros Inventario'!$B:$B)+SUMIFS(D$2:D1145,B$2:B1145,B1145,C$2:C1145,"ENTRADA")-SUMIFS(D$2:D1145,B$2:B1145,B1145,C$2:C1145,"SALIDA")</f>
        <v>5834.2859999999991</v>
      </c>
    </row>
    <row r="1146" spans="1:5" x14ac:dyDescent="0.3">
      <c r="A1146" s="9">
        <v>44484</v>
      </c>
      <c r="B1146" s="10" t="s">
        <v>10</v>
      </c>
      <c r="C1146" s="10" t="s">
        <v>28</v>
      </c>
      <c r="D1146" s="12">
        <v>222.96</v>
      </c>
      <c r="E1146" s="12">
        <f>SUMIF('Parametros Inventario'!$A:$A,B1146,'Parametros Inventario'!$B:$B)+SUMIFS(D$2:D1146,B$2:B1146,B1146,C$2:C1146,"ENTRADA")-SUMIFS(D$2:D1146,B$2:B1146,B1146,C$2:C1146,"SALIDA")</f>
        <v>5893.3769999999986</v>
      </c>
    </row>
    <row r="1147" spans="1:5" x14ac:dyDescent="0.3">
      <c r="A1147" s="9">
        <v>44484</v>
      </c>
      <c r="B1147" s="10" t="s">
        <v>8</v>
      </c>
      <c r="C1147" s="10" t="s">
        <v>28</v>
      </c>
      <c r="D1147" s="12">
        <v>166.85</v>
      </c>
      <c r="E1147" s="12">
        <f>SUMIF('Parametros Inventario'!$A:$A,B1147,'Parametros Inventario'!$B:$B)+SUMIFS(D$2:D1147,B$2:B1147,B1147,C$2:C1147,"ENTRADA")-SUMIFS(D$2:D1147,B$2:B1147,B1147,C$2:C1147,"SALIDA")</f>
        <v>4711.3610000000008</v>
      </c>
    </row>
    <row r="1148" spans="1:5" x14ac:dyDescent="0.3">
      <c r="A1148" s="9">
        <v>44484</v>
      </c>
      <c r="B1148" s="10" t="s">
        <v>13</v>
      </c>
      <c r="C1148" s="10" t="s">
        <v>28</v>
      </c>
      <c r="D1148" s="12">
        <v>223.1</v>
      </c>
      <c r="E1148" s="12">
        <f>SUMIF('Parametros Inventario'!$A:$A,B1148,'Parametros Inventario'!$B:$B)+SUMIFS(D$2:D1148,B$2:B1148,B1148,C$2:C1148,"ENTRADA")-SUMIFS(D$2:D1148,B$2:B1148,B1148,C$2:C1148,"SALIDA")</f>
        <v>6535.7580000000016</v>
      </c>
    </row>
    <row r="1149" spans="1:5" x14ac:dyDescent="0.3">
      <c r="A1149" s="9">
        <f>'Volúmenes DIstribuidos '!B753</f>
        <v>44484</v>
      </c>
      <c r="B1149" s="10" t="str">
        <f>IF(OR('Volúmenes DIstribuidos '!C753="Azúcar",'Volúmenes DIstribuidos '!C753="azúcar"),"Azúcar o dulce",IF('Volúmenes DIstribuidos '!C753="Aceite","Aceite o grasas",IF('Volúmenes DIstribuidos '!C753="Avena","Otros almidones",'Volúmenes DIstribuidos '!C753)))</f>
        <v>Carnes blancas</v>
      </c>
      <c r="C1149" s="10" t="s">
        <v>29</v>
      </c>
      <c r="D1149" s="12">
        <f>'Volúmenes DIstribuidos '!D753</f>
        <v>4.34</v>
      </c>
      <c r="E1149" s="12">
        <f>SUMIF('Parametros Inventario'!$A:$A,B1149,'Parametros Inventario'!$B:$B)+SUMIFS(D$2:D1149,B$2:B1149,B1149,C$2:C1149,"ENTRADA")-SUMIFS(D$2:D1149,B$2:B1149,B1149,C$2:C1149,"SALIDA")</f>
        <v>5594.8559999999998</v>
      </c>
    </row>
    <row r="1150" spans="1:5" x14ac:dyDescent="0.3">
      <c r="A1150" s="9">
        <f>'Volúmenes DIstribuidos '!B753</f>
        <v>44484</v>
      </c>
      <c r="B1150" s="10" t="str">
        <f>IF(OR('Volúmenes DIstribuidos '!C754="Azúcar",'Volúmenes DIstribuidos '!C754="azúcar"),"Azúcar o dulce",IF('Volúmenes DIstribuidos '!C754="Aceite","Aceite o grasas",IF('Volúmenes DIstribuidos '!C754="Avena","Otros almidones",'Volúmenes DIstribuidos '!C754)))</f>
        <v>Lácteos</v>
      </c>
      <c r="C1150" s="10" t="s">
        <v>29</v>
      </c>
      <c r="D1150" s="12">
        <f>'Volúmenes DIstribuidos '!D754</f>
        <v>33.411000000000001</v>
      </c>
      <c r="E1150" s="12">
        <f>SUMIF('Parametros Inventario'!$A:$A,B1150,'Parametros Inventario'!$B:$B)+SUMIFS(D$2:D1150,B$2:B1150,B1150,C$2:C1150,"ENTRADA")-SUMIFS(D$2:D1150,B$2:B1150,B1150,C$2:C1150,"SALIDA")</f>
        <v>4795.0599999999977</v>
      </c>
    </row>
    <row r="1151" spans="1:5" x14ac:dyDescent="0.3">
      <c r="A1151" s="9">
        <f>'Volúmenes DIstribuidos '!B753</f>
        <v>44484</v>
      </c>
      <c r="B1151" s="10" t="str">
        <f>IF(OR('Volúmenes DIstribuidos '!C755="Azúcar",'Volúmenes DIstribuidos '!C755="azúcar"),"Azúcar o dulce",IF('Volúmenes DIstribuidos '!C755="Aceite","Aceite o grasas",IF('Volúmenes DIstribuidos '!C755="Avena","Otros almidones",'Volúmenes DIstribuidos '!C755)))</f>
        <v>Vegetales y hojas</v>
      </c>
      <c r="C1151" s="10" t="s">
        <v>29</v>
      </c>
      <c r="D1151" s="12">
        <f>'Volúmenes DIstribuidos '!D755</f>
        <v>68.97</v>
      </c>
      <c r="E1151" s="12">
        <f>SUMIF('Parametros Inventario'!$A:$A,B1151,'Parametros Inventario'!$B:$B)+SUMIFS(D$2:D1151,B$2:B1151,B1151,C$2:C1151,"ENTRADA")-SUMIFS(D$2:D1151,B$2:B1151,B1151,C$2:C1151,"SALIDA")</f>
        <v>5824.4069999999992</v>
      </c>
    </row>
    <row r="1152" spans="1:5" x14ac:dyDescent="0.3">
      <c r="A1152" s="9">
        <f>'Volúmenes DIstribuidos '!B753</f>
        <v>44484</v>
      </c>
      <c r="B1152" s="10" t="str">
        <f>IF(OR('Volúmenes DIstribuidos '!C756="Azúcar",'Volúmenes DIstribuidos '!C756="azúcar"),"Azúcar o dulce",IF('Volúmenes DIstribuidos '!C756="Aceite","Aceite o grasas",IF('Volúmenes DIstribuidos '!C756="Avena","Otros almidones",'Volúmenes DIstribuidos '!C756)))</f>
        <v>Azúcar o dulce</v>
      </c>
      <c r="C1152" s="10" t="s">
        <v>29</v>
      </c>
      <c r="D1152" s="12">
        <f>'Volúmenes DIstribuidos '!D756</f>
        <v>91.13</v>
      </c>
      <c r="E1152" s="12">
        <f>SUMIF('Parametros Inventario'!$A:$A,B1152,'Parametros Inventario'!$B:$B)+SUMIFS(D$2:D1152,B$2:B1152,B1152,C$2:C1152,"ENTRADA")-SUMIFS(D$2:D1152,B$2:B1152,B1152,C$2:C1152,"SALIDA")</f>
        <v>6444.6280000000015</v>
      </c>
    </row>
    <row r="1153" spans="1:5" x14ac:dyDescent="0.3">
      <c r="A1153" s="9">
        <f>'Volúmenes DIstribuidos '!B753</f>
        <v>44484</v>
      </c>
      <c r="B1153" s="10" t="str">
        <f>IF(OR('Volúmenes DIstribuidos '!C757="Azúcar",'Volúmenes DIstribuidos '!C757="azúcar"),"Azúcar o dulce",IF('Volúmenes DIstribuidos '!C757="Aceite","Aceite o grasas",IF('Volúmenes DIstribuidos '!C757="Avena","Otros almidones",'Volúmenes DIstribuidos '!C757)))</f>
        <v>Fideo</v>
      </c>
      <c r="C1153" s="10" t="s">
        <v>29</v>
      </c>
      <c r="D1153" s="12">
        <f>'Volúmenes DIstribuidos '!D757</f>
        <v>67.84</v>
      </c>
      <c r="E1153" s="12">
        <f>SUMIF('Parametros Inventario'!$A:$A,B1153,'Parametros Inventario'!$B:$B)+SUMIFS(D$2:D1153,B$2:B1153,B1153,C$2:C1153,"ENTRADA")-SUMIFS(D$2:D1153,B$2:B1153,B1153,C$2:C1153,"SALIDA")</f>
        <v>5735.6959999999999</v>
      </c>
    </row>
    <row r="1154" spans="1:5" x14ac:dyDescent="0.3">
      <c r="A1154" s="9">
        <f>'Volúmenes DIstribuidos '!B753</f>
        <v>44484</v>
      </c>
      <c r="B1154" s="10" t="str">
        <f>IF(OR('Volúmenes DIstribuidos '!C758="Azúcar",'Volúmenes DIstribuidos '!C758="azúcar"),"Azúcar o dulce",IF('Volúmenes DIstribuidos '!C758="Aceite","Aceite o grasas",IF('Volúmenes DIstribuidos '!C758="Avena","Otros almidones",'Volúmenes DIstribuidos '!C758)))</f>
        <v>Otros almidones</v>
      </c>
      <c r="C1154" s="10" t="s">
        <v>29</v>
      </c>
      <c r="D1154" s="12">
        <f>'Volúmenes DIstribuidos '!D758</f>
        <v>38.36</v>
      </c>
      <c r="E1154" s="12">
        <f>SUMIF('Parametros Inventario'!$A:$A,B1154,'Parametros Inventario'!$B:$B)+SUMIFS(D$2:D1154,B$2:B1154,B1154,C$2:C1154,"ENTRADA")-SUMIFS(D$2:D1154,B$2:B1154,B1154,C$2:C1154,"SALIDA")</f>
        <v>5016.5009999999984</v>
      </c>
    </row>
    <row r="1155" spans="1:5" x14ac:dyDescent="0.3">
      <c r="A1155" s="9">
        <f>'Volúmenes DIstribuidos '!B759</f>
        <v>44488</v>
      </c>
      <c r="B1155" s="10" t="str">
        <f>IF(OR('Volúmenes DIstribuidos '!C759="Azúcar",'Volúmenes DIstribuidos '!C759="azúcar"),"Azúcar o dulce",IF('Volúmenes DIstribuidos '!C759="Aceite","Aceite o grasas",IF('Volúmenes DIstribuidos '!C759="Avena","Otros almidones",'Volúmenes DIstribuidos '!C759)))</f>
        <v>Lácteos</v>
      </c>
      <c r="C1155" s="10" t="s">
        <v>29</v>
      </c>
      <c r="D1155" s="12">
        <f>'Volúmenes DIstribuidos '!D759</f>
        <v>47.4</v>
      </c>
      <c r="E1155" s="12">
        <f>SUMIF('Parametros Inventario'!$A:$A,B1155,'Parametros Inventario'!$B:$B)+SUMIFS(D$2:D1155,B$2:B1155,B1155,C$2:C1155,"ENTRADA")-SUMIFS(D$2:D1155,B$2:B1155,B1155,C$2:C1155,"SALIDA")</f>
        <v>4747.659999999998</v>
      </c>
    </row>
    <row r="1156" spans="1:5" x14ac:dyDescent="0.3">
      <c r="A1156" s="9">
        <f>'Volúmenes DIstribuidos '!B759</f>
        <v>44488</v>
      </c>
      <c r="B1156" s="10" t="str">
        <f>IF(OR('Volúmenes DIstribuidos '!C760="Azúcar",'Volúmenes DIstribuidos '!C760="azúcar"),"Azúcar o dulce",IF('Volúmenes DIstribuidos '!C760="Aceite","Aceite o grasas",IF('Volúmenes DIstribuidos '!C760="Avena","Otros almidones",'Volúmenes DIstribuidos '!C760)))</f>
        <v>Carnes rojas</v>
      </c>
      <c r="C1156" s="10" t="s">
        <v>29</v>
      </c>
      <c r="D1156" s="12">
        <f>'Volúmenes DIstribuidos '!D760</f>
        <v>9.0220000000000002</v>
      </c>
      <c r="E1156" s="12">
        <f>SUMIF('Parametros Inventario'!$A:$A,B1156,'Parametros Inventario'!$B:$B)+SUMIFS(D$2:D1156,B$2:B1156,B1156,C$2:C1156,"ENTRADA")-SUMIFS(D$2:D1156,B$2:B1156,B1156,C$2:C1156,"SALIDA")</f>
        <v>5575.9289999999992</v>
      </c>
    </row>
    <row r="1157" spans="1:5" x14ac:dyDescent="0.3">
      <c r="A1157" s="9">
        <f>'Volúmenes DIstribuidos '!B759</f>
        <v>44488</v>
      </c>
      <c r="B1157" s="10" t="str">
        <f>IF(OR('Volúmenes DIstribuidos '!C761="Azúcar",'Volúmenes DIstribuidos '!C761="azúcar"),"Azúcar o dulce",IF('Volúmenes DIstribuidos '!C761="Aceite","Aceite o grasas",IF('Volúmenes DIstribuidos '!C761="Avena","Otros almidones",'Volúmenes DIstribuidos '!C761)))</f>
        <v>Carnes rojas</v>
      </c>
      <c r="C1157" s="10" t="s">
        <v>29</v>
      </c>
      <c r="D1157" s="12">
        <f>'Volúmenes DIstribuidos '!D761</f>
        <v>7.79</v>
      </c>
      <c r="E1157" s="12">
        <f>SUMIF('Parametros Inventario'!$A:$A,B1157,'Parametros Inventario'!$B:$B)+SUMIFS(D$2:D1157,B$2:B1157,B1157,C$2:C1157,"ENTRADA")-SUMIFS(D$2:D1157,B$2:B1157,B1157,C$2:C1157,"SALIDA")</f>
        <v>5568.1389999999992</v>
      </c>
    </row>
    <row r="1158" spans="1:5" x14ac:dyDescent="0.3">
      <c r="A1158" s="9">
        <f>'Volúmenes DIstribuidos '!B759</f>
        <v>44488</v>
      </c>
      <c r="B1158" s="10" t="str">
        <f>IF(OR('Volúmenes DIstribuidos '!C762="Azúcar",'Volúmenes DIstribuidos '!C762="azúcar"),"Azúcar o dulce",IF('Volúmenes DIstribuidos '!C762="Aceite","Aceite o grasas",IF('Volúmenes DIstribuidos '!C762="Avena","Otros almidones",'Volúmenes DIstribuidos '!C762)))</f>
        <v>Aceite o grasas</v>
      </c>
      <c r="C1158" s="10" t="s">
        <v>29</v>
      </c>
      <c r="D1158" s="12">
        <f>'Volúmenes DIstribuidos '!D762</f>
        <v>25.92</v>
      </c>
      <c r="E1158" s="12">
        <f>SUMIF('Parametros Inventario'!$A:$A,B1158,'Parametros Inventario'!$B:$B)+SUMIFS(D$2:D1158,B$2:B1158,B1158,C$2:C1158,"ENTRADA")-SUMIFS(D$2:D1158,B$2:B1158,B1158,C$2:C1158,"SALIDA")</f>
        <v>4685.4410000000007</v>
      </c>
    </row>
    <row r="1159" spans="1:5" x14ac:dyDescent="0.3">
      <c r="A1159" s="9">
        <f>'Volúmenes DIstribuidos '!B759</f>
        <v>44488</v>
      </c>
      <c r="B1159" s="10" t="str">
        <f>IF(OR('Volúmenes DIstribuidos '!C763="Azúcar",'Volúmenes DIstribuidos '!C763="azúcar"),"Azúcar o dulce",IF('Volúmenes DIstribuidos '!C763="Aceite","Aceite o grasas",IF('Volúmenes DIstribuidos '!C763="Avena","Otros almidones",'Volúmenes DIstribuidos '!C763)))</f>
        <v>Fideo</v>
      </c>
      <c r="C1159" s="10" t="s">
        <v>29</v>
      </c>
      <c r="D1159" s="12">
        <f>'Volúmenes DIstribuidos '!D763</f>
        <v>21.148</v>
      </c>
      <c r="E1159" s="12">
        <f>SUMIF('Parametros Inventario'!$A:$A,B1159,'Parametros Inventario'!$B:$B)+SUMIFS(D$2:D1159,B$2:B1159,B1159,C$2:C1159,"ENTRADA")-SUMIFS(D$2:D1159,B$2:B1159,B1159,C$2:C1159,"SALIDA")</f>
        <v>5714.5479999999998</v>
      </c>
    </row>
    <row r="1160" spans="1:5" x14ac:dyDescent="0.3">
      <c r="A1160" s="9">
        <f>'Volúmenes DIstribuidos '!B759</f>
        <v>44488</v>
      </c>
      <c r="B1160" s="10" t="str">
        <f>IF(OR('Volúmenes DIstribuidos '!C764="Azúcar",'Volúmenes DIstribuidos '!C764="azúcar"),"Azúcar o dulce",IF('Volúmenes DIstribuidos '!C764="Aceite","Aceite o grasas",IF('Volúmenes DIstribuidos '!C764="Avena","Otros almidones",'Volúmenes DIstribuidos '!C764)))</f>
        <v>Aceite o grasas</v>
      </c>
      <c r="C1160" s="10" t="s">
        <v>29</v>
      </c>
      <c r="D1160" s="12">
        <f>'Volúmenes DIstribuidos '!D764</f>
        <v>89.9</v>
      </c>
      <c r="E1160" s="12">
        <f>SUMIF('Parametros Inventario'!$A:$A,B1160,'Parametros Inventario'!$B:$B)+SUMIFS(D$2:D1160,B$2:B1160,B1160,C$2:C1160,"ENTRADA")-SUMIFS(D$2:D1160,B$2:B1160,B1160,C$2:C1160,"SALIDA")</f>
        <v>4595.5410000000011</v>
      </c>
    </row>
    <row r="1161" spans="1:5" x14ac:dyDescent="0.3">
      <c r="A1161" s="9">
        <f>'Volúmenes DIstribuidos '!B765</f>
        <v>44491</v>
      </c>
      <c r="B1161" s="10" t="str">
        <f>IF(OR('Volúmenes DIstribuidos '!C765="Azúcar",'Volúmenes DIstribuidos '!C765="azúcar"),"Azúcar o dulce",IF('Volúmenes DIstribuidos '!C765="Aceite","Aceite o grasas",IF('Volúmenes DIstribuidos '!C765="Avena","Otros almidones",'Volúmenes DIstribuidos '!C765)))</f>
        <v>Azúcar o dulce</v>
      </c>
      <c r="C1161" s="10" t="s">
        <v>29</v>
      </c>
      <c r="D1161" s="12">
        <f>'Volúmenes DIstribuidos '!D765</f>
        <v>101.92</v>
      </c>
      <c r="E1161" s="12">
        <f>SUMIF('Parametros Inventario'!$A:$A,B1161,'Parametros Inventario'!$B:$B)+SUMIFS(D$2:D1161,B$2:B1161,B1161,C$2:C1161,"ENTRADA")-SUMIFS(D$2:D1161,B$2:B1161,B1161,C$2:C1161,"SALIDA")</f>
        <v>6342.7080000000014</v>
      </c>
    </row>
    <row r="1162" spans="1:5" x14ac:dyDescent="0.3">
      <c r="A1162" s="9">
        <f>'Volúmenes DIstribuidos '!B765</f>
        <v>44491</v>
      </c>
      <c r="B1162" s="10" t="str">
        <f>IF(OR('Volúmenes DIstribuidos '!C766="Azúcar",'Volúmenes DIstribuidos '!C766="azúcar"),"Azúcar o dulce",IF('Volúmenes DIstribuidos '!C766="Aceite","Aceite o grasas",IF('Volúmenes DIstribuidos '!C766="Avena","Otros almidones",'Volúmenes DIstribuidos '!C766)))</f>
        <v>Fideo</v>
      </c>
      <c r="C1162" s="10" t="s">
        <v>29</v>
      </c>
      <c r="D1162" s="12">
        <f>'Volúmenes DIstribuidos '!D766</f>
        <v>3.383</v>
      </c>
      <c r="E1162" s="12">
        <f>SUMIF('Parametros Inventario'!$A:$A,B1162,'Parametros Inventario'!$B:$B)+SUMIFS(D$2:D1162,B$2:B1162,B1162,C$2:C1162,"ENTRADA")-SUMIFS(D$2:D1162,B$2:B1162,B1162,C$2:C1162,"SALIDA")</f>
        <v>5711.165</v>
      </c>
    </row>
    <row r="1163" spans="1:5" x14ac:dyDescent="0.3">
      <c r="A1163" s="9">
        <f>'Volúmenes DIstribuidos '!B765</f>
        <v>44491</v>
      </c>
      <c r="B1163" s="10" t="str">
        <f>IF(OR('Volúmenes DIstribuidos '!C767="Azúcar",'Volúmenes DIstribuidos '!C767="azúcar"),"Azúcar o dulce",IF('Volúmenes DIstribuidos '!C767="Aceite","Aceite o grasas",IF('Volúmenes DIstribuidos '!C767="Avena","Otros almidones",'Volúmenes DIstribuidos '!C767)))</f>
        <v>Salsas</v>
      </c>
      <c r="C1163" s="10" t="s">
        <v>29</v>
      </c>
      <c r="D1163" s="12">
        <f>'Volúmenes DIstribuidos '!D767</f>
        <v>14.08</v>
      </c>
      <c r="E1163" s="12">
        <f>SUMIF('Parametros Inventario'!$A:$A,B1163,'Parametros Inventario'!$B:$B)+SUMIFS(D$2:D1163,B$2:B1163,B1163,C$2:C1163,"ENTRADA")-SUMIFS(D$2:D1163,B$2:B1163,B1163,C$2:C1163,"SALIDA")</f>
        <v>5820.2059999999992</v>
      </c>
    </row>
    <row r="1164" spans="1:5" x14ac:dyDescent="0.3">
      <c r="A1164" s="9">
        <f>'Volúmenes DIstribuidos '!B765</f>
        <v>44491</v>
      </c>
      <c r="B1164" s="10" t="str">
        <f>IF(OR('Volúmenes DIstribuidos '!C768="Azúcar",'Volúmenes DIstribuidos '!C768="azúcar"),"Azúcar o dulce",IF('Volúmenes DIstribuidos '!C768="Aceite","Aceite o grasas",IF('Volúmenes DIstribuidos '!C768="Avena","Otros almidones",'Volúmenes DIstribuidos '!C768)))</f>
        <v>Lácteos</v>
      </c>
      <c r="C1164" s="10" t="s">
        <v>29</v>
      </c>
      <c r="D1164" s="12">
        <f>'Volúmenes DIstribuidos '!D768</f>
        <v>14.82</v>
      </c>
      <c r="E1164" s="12">
        <f>SUMIF('Parametros Inventario'!$A:$A,B1164,'Parametros Inventario'!$B:$B)+SUMIFS(D$2:D1164,B$2:B1164,B1164,C$2:C1164,"ENTRADA")-SUMIFS(D$2:D1164,B$2:B1164,B1164,C$2:C1164,"SALIDA")</f>
        <v>4732.8399999999983</v>
      </c>
    </row>
    <row r="1165" spans="1:5" x14ac:dyDescent="0.3">
      <c r="A1165" s="9">
        <f>'Volúmenes DIstribuidos '!B765</f>
        <v>44491</v>
      </c>
      <c r="B1165" s="10" t="str">
        <f>IF(OR('Volúmenes DIstribuidos '!C769="Azúcar",'Volúmenes DIstribuidos '!C769="azúcar"),"Azúcar o dulce",IF('Volúmenes DIstribuidos '!C769="Aceite","Aceite o grasas",IF('Volúmenes DIstribuidos '!C769="Avena","Otros almidones",'Volúmenes DIstribuidos '!C769)))</f>
        <v>Panadería</v>
      </c>
      <c r="C1165" s="10" t="s">
        <v>29</v>
      </c>
      <c r="D1165" s="12">
        <f>'Volúmenes DIstribuidos '!D769</f>
        <v>6.84</v>
      </c>
      <c r="E1165" s="12">
        <f>SUMIF('Parametros Inventario'!$A:$A,B1165,'Parametros Inventario'!$B:$B)+SUMIFS(D$2:D1165,B$2:B1165,B1165,C$2:C1165,"ENTRADA")-SUMIFS(D$2:D1165,B$2:B1165,B1165,C$2:C1165,"SALIDA")</f>
        <v>3612.9080000000008</v>
      </c>
    </row>
    <row r="1166" spans="1:5" x14ac:dyDescent="0.3">
      <c r="A1166" s="9">
        <f>'Volúmenes DIstribuidos '!B765</f>
        <v>44491</v>
      </c>
      <c r="B1166" s="10" t="str">
        <f>IF(OR('Volúmenes DIstribuidos '!C770="Azúcar",'Volúmenes DIstribuidos '!C770="azúcar"),"Azúcar o dulce",IF('Volúmenes DIstribuidos '!C770="Aceite","Aceite o grasas",IF('Volúmenes DIstribuidos '!C770="Avena","Otros almidones",'Volúmenes DIstribuidos '!C770)))</f>
        <v>Menestras</v>
      </c>
      <c r="C1166" s="10" t="s">
        <v>29</v>
      </c>
      <c r="D1166" s="12">
        <f>'Volúmenes DIstribuidos '!D770</f>
        <v>15.51</v>
      </c>
      <c r="E1166" s="12">
        <f>SUMIF('Parametros Inventario'!$A:$A,B1166,'Parametros Inventario'!$B:$B)+SUMIFS(D$2:D1166,B$2:B1166,B1166,C$2:C1166,"ENTRADA")-SUMIFS(D$2:D1166,B$2:B1166,B1166,C$2:C1166,"SALIDA")</f>
        <v>5075.9170000000013</v>
      </c>
    </row>
    <row r="1167" spans="1:5" x14ac:dyDescent="0.3">
      <c r="A1167" s="9">
        <f>'Volúmenes DIstribuidos '!B771</f>
        <v>44495</v>
      </c>
      <c r="B1167" s="10" t="str">
        <f>IF(OR('Volúmenes DIstribuidos '!C771="Azúcar",'Volúmenes DIstribuidos '!C771="azúcar"),"Azúcar o dulce",IF('Volúmenes DIstribuidos '!C771="Aceite","Aceite o grasas",IF('Volúmenes DIstribuidos '!C771="Avena","Otros almidones",'Volúmenes DIstribuidos '!C771)))</f>
        <v>Carnes rojas</v>
      </c>
      <c r="C1167" s="10" t="s">
        <v>29</v>
      </c>
      <c r="D1167" s="12">
        <f>'Volúmenes DIstribuidos '!D771</f>
        <v>9.4390000000000001</v>
      </c>
      <c r="E1167" s="12">
        <f>SUMIF('Parametros Inventario'!$A:$A,B1167,'Parametros Inventario'!$B:$B)+SUMIFS(D$2:D1167,B$2:B1167,B1167,C$2:C1167,"ENTRADA")-SUMIFS(D$2:D1167,B$2:B1167,B1167,C$2:C1167,"SALIDA")</f>
        <v>5558.6999999999989</v>
      </c>
    </row>
    <row r="1168" spans="1:5" x14ac:dyDescent="0.3">
      <c r="A1168" s="9">
        <f>'Volúmenes DIstribuidos '!B771</f>
        <v>44495</v>
      </c>
      <c r="B1168" s="10" t="str">
        <f>IF(OR('Volúmenes DIstribuidos '!C772="Azúcar",'Volúmenes DIstribuidos '!C772="azúcar"),"Azúcar o dulce",IF('Volúmenes DIstribuidos '!C772="Aceite","Aceite o grasas",IF('Volúmenes DIstribuidos '!C772="Avena","Otros almidones",'Volúmenes DIstribuidos '!C772)))</f>
        <v>Lácteos</v>
      </c>
      <c r="C1168" s="10" t="s">
        <v>29</v>
      </c>
      <c r="D1168" s="12">
        <f>'Volúmenes DIstribuidos '!D772</f>
        <v>29.6</v>
      </c>
      <c r="E1168" s="12">
        <f>SUMIF('Parametros Inventario'!$A:$A,B1168,'Parametros Inventario'!$B:$B)+SUMIFS(D$2:D1168,B$2:B1168,B1168,C$2:C1168,"ENTRADA")-SUMIFS(D$2:D1168,B$2:B1168,B1168,C$2:C1168,"SALIDA")</f>
        <v>4703.239999999998</v>
      </c>
    </row>
    <row r="1169" spans="1:5" x14ac:dyDescent="0.3">
      <c r="A1169" s="9">
        <f>'Volúmenes DIstribuidos '!B771</f>
        <v>44495</v>
      </c>
      <c r="B1169" s="10" t="str">
        <f>IF(OR('Volúmenes DIstribuidos '!C773="Azúcar",'Volúmenes DIstribuidos '!C773="azúcar"),"Azúcar o dulce",IF('Volúmenes DIstribuidos '!C773="Aceite","Aceite o grasas",IF('Volúmenes DIstribuidos '!C773="Avena","Otros almidones",'Volúmenes DIstribuidos '!C773)))</f>
        <v>Otros almidones</v>
      </c>
      <c r="C1169" s="10" t="s">
        <v>29</v>
      </c>
      <c r="D1169" s="12">
        <f>'Volúmenes DIstribuidos '!D773</f>
        <v>12.67</v>
      </c>
      <c r="E1169" s="12">
        <f>SUMIF('Parametros Inventario'!$A:$A,B1169,'Parametros Inventario'!$B:$B)+SUMIFS(D$2:D1169,B$2:B1169,B1169,C$2:C1169,"ENTRADA")-SUMIFS(D$2:D1169,B$2:B1169,B1169,C$2:C1169,"SALIDA")</f>
        <v>5003.8309999999983</v>
      </c>
    </row>
    <row r="1170" spans="1:5" x14ac:dyDescent="0.3">
      <c r="A1170" s="9">
        <f>'Volúmenes DIstribuidos '!B771</f>
        <v>44495</v>
      </c>
      <c r="B1170" s="10" t="str">
        <f>IF(OR('Volúmenes DIstribuidos '!C774="Azúcar",'Volúmenes DIstribuidos '!C774="azúcar"),"Azúcar o dulce",IF('Volúmenes DIstribuidos '!C774="Aceite","Aceite o grasas",IF('Volúmenes DIstribuidos '!C774="Avena","Otros almidones",'Volúmenes DIstribuidos '!C774)))</f>
        <v>Carnes rojas</v>
      </c>
      <c r="C1170" s="10" t="s">
        <v>29</v>
      </c>
      <c r="D1170" s="12">
        <f>'Volúmenes DIstribuidos '!D774</f>
        <v>8.8000000000000007</v>
      </c>
      <c r="E1170" s="12">
        <f>SUMIF('Parametros Inventario'!$A:$A,B1170,'Parametros Inventario'!$B:$B)+SUMIFS(D$2:D1170,B$2:B1170,B1170,C$2:C1170,"ENTRADA")-SUMIFS(D$2:D1170,B$2:B1170,B1170,C$2:C1170,"SALIDA")</f>
        <v>5549.9</v>
      </c>
    </row>
    <row r="1171" spans="1:5" x14ac:dyDescent="0.3">
      <c r="A1171" s="9">
        <f>'Volúmenes DIstribuidos '!B771</f>
        <v>44495</v>
      </c>
      <c r="B1171" s="10" t="str">
        <f>IF(OR('Volúmenes DIstribuidos '!C775="Azúcar",'Volúmenes DIstribuidos '!C775="azúcar"),"Azúcar o dulce",IF('Volúmenes DIstribuidos '!C775="Aceite","Aceite o grasas",IF('Volúmenes DIstribuidos '!C775="Avena","Otros almidones",'Volúmenes DIstribuidos '!C775)))</f>
        <v>Vegetales y hojas</v>
      </c>
      <c r="C1171" s="10" t="s">
        <v>29</v>
      </c>
      <c r="D1171" s="12">
        <f>'Volúmenes DIstribuidos '!D775</f>
        <v>5.89</v>
      </c>
      <c r="E1171" s="12">
        <f>SUMIF('Parametros Inventario'!$A:$A,B1171,'Parametros Inventario'!$B:$B)+SUMIFS(D$2:D1171,B$2:B1171,B1171,C$2:C1171,"ENTRADA")-SUMIFS(D$2:D1171,B$2:B1171,B1171,C$2:C1171,"SALIDA")</f>
        <v>5818.5169999999989</v>
      </c>
    </row>
    <row r="1172" spans="1:5" x14ac:dyDescent="0.3">
      <c r="A1172" s="9">
        <f>'Volúmenes DIstribuidos '!B771</f>
        <v>44495</v>
      </c>
      <c r="B1172" s="10" t="str">
        <f>IF(OR('Volúmenes DIstribuidos '!C776="Azúcar",'Volúmenes DIstribuidos '!C776="azúcar"),"Azúcar o dulce",IF('Volúmenes DIstribuidos '!C776="Aceite","Aceite o grasas",IF('Volúmenes DIstribuidos '!C776="Avena","Otros almidones",'Volúmenes DIstribuidos '!C776)))</f>
        <v>Salsas</v>
      </c>
      <c r="C1172" s="10" t="s">
        <v>29</v>
      </c>
      <c r="D1172" s="12">
        <f>'Volúmenes DIstribuidos '!D776</f>
        <v>44.38</v>
      </c>
      <c r="E1172" s="12">
        <f>SUMIF('Parametros Inventario'!$A:$A,B1172,'Parametros Inventario'!$B:$B)+SUMIFS(D$2:D1172,B$2:B1172,B1172,C$2:C1172,"ENTRADA")-SUMIFS(D$2:D1172,B$2:B1172,B1172,C$2:C1172,"SALIDA")</f>
        <v>5775.8259999999991</v>
      </c>
    </row>
    <row r="1173" spans="1:5" x14ac:dyDescent="0.3">
      <c r="A1173" s="9">
        <v>44498</v>
      </c>
      <c r="B1173" s="10" t="s">
        <v>15</v>
      </c>
      <c r="C1173" s="10" t="s">
        <v>28</v>
      </c>
      <c r="D1173" s="12">
        <v>263</v>
      </c>
      <c r="E1173" s="12">
        <f>SUMIF('Parametros Inventario'!$A:$A,B1173,'Parametros Inventario'!$B:$B)+SUMIFS(D$2:D1173,B$2:B1173,B1173,C$2:C1173,"ENTRADA")-SUMIFS(D$2:D1173,B$2:B1173,B1173,C$2:C1173,"SALIDA")</f>
        <v>5266.8309999999983</v>
      </c>
    </row>
    <row r="1174" spans="1:5" x14ac:dyDescent="0.3">
      <c r="A1174" s="9">
        <v>44498</v>
      </c>
      <c r="B1174" s="10" t="s">
        <v>11</v>
      </c>
      <c r="C1174" s="10" t="s">
        <v>28</v>
      </c>
      <c r="D1174" s="12">
        <v>191.52</v>
      </c>
      <c r="E1174" s="12">
        <f>SUMIF('Parametros Inventario'!$A:$A,B1174,'Parametros Inventario'!$B:$B)+SUMIFS(D$2:D1174,B$2:B1174,B1174,C$2:C1174,"ENTRADA")-SUMIFS(D$2:D1174,B$2:B1174,B1174,C$2:C1174,"SALIDA")</f>
        <v>5902.6850000000004</v>
      </c>
    </row>
    <row r="1175" spans="1:5" x14ac:dyDescent="0.3">
      <c r="A1175" s="9">
        <v>44498</v>
      </c>
      <c r="B1175" s="10" t="s">
        <v>9</v>
      </c>
      <c r="C1175" s="10" t="s">
        <v>28</v>
      </c>
      <c r="D1175" s="12">
        <v>133.91999999999999</v>
      </c>
      <c r="E1175" s="12">
        <f>SUMIF('Parametros Inventario'!$A:$A,B1175,'Parametros Inventario'!$B:$B)+SUMIFS(D$2:D1175,B$2:B1175,B1175,C$2:C1175,"ENTRADA")-SUMIFS(D$2:D1175,B$2:B1175,B1175,C$2:C1175,"SALIDA")</f>
        <v>3746.8280000000009</v>
      </c>
    </row>
    <row r="1176" spans="1:5" x14ac:dyDescent="0.3">
      <c r="A1176" s="9">
        <v>44498</v>
      </c>
      <c r="B1176" s="10" t="s">
        <v>14</v>
      </c>
      <c r="C1176" s="10" t="s">
        <v>28</v>
      </c>
      <c r="D1176" s="12">
        <v>124.91</v>
      </c>
      <c r="E1176" s="12">
        <f>SUMIF('Parametros Inventario'!$A:$A,B1176,'Parametros Inventario'!$B:$B)+SUMIFS(D$2:D1176,B$2:B1176,B1176,C$2:C1176,"ENTRADA")-SUMIFS(D$2:D1176,B$2:B1176,B1176,C$2:C1176,"SALIDA")</f>
        <v>5200.8270000000011</v>
      </c>
    </row>
    <row r="1177" spans="1:5" x14ac:dyDescent="0.3">
      <c r="A1177" s="9">
        <v>44498</v>
      </c>
      <c r="B1177" s="10" t="s">
        <v>12</v>
      </c>
      <c r="C1177" s="10" t="s">
        <v>28</v>
      </c>
      <c r="D1177" s="12">
        <v>132.15</v>
      </c>
      <c r="E1177" s="12">
        <f>SUMIF('Parametros Inventario'!$A:$A,B1177,'Parametros Inventario'!$B:$B)+SUMIFS(D$2:D1177,B$2:B1177,B1177,C$2:C1177,"ENTRADA")-SUMIFS(D$2:D1177,B$2:B1177,B1177,C$2:C1177,"SALIDA")</f>
        <v>5682.0499999999993</v>
      </c>
    </row>
    <row r="1178" spans="1:5" x14ac:dyDescent="0.3">
      <c r="A1178" s="9">
        <v>44498</v>
      </c>
      <c r="B1178" s="10" t="s">
        <v>16</v>
      </c>
      <c r="C1178" s="10" t="s">
        <v>28</v>
      </c>
      <c r="D1178" s="12">
        <v>76.209999999999994</v>
      </c>
      <c r="E1178" s="12">
        <f>SUMIF('Parametros Inventario'!$A:$A,B1178,'Parametros Inventario'!$B:$B)+SUMIFS(D$2:D1178,B$2:B1178,B1178,C$2:C1178,"ENTRADA")-SUMIFS(D$2:D1178,B$2:B1178,B1178,C$2:C1178,"SALIDA")</f>
        <v>5671.0660000000007</v>
      </c>
    </row>
    <row r="1179" spans="1:5" x14ac:dyDescent="0.3">
      <c r="A1179" s="9">
        <v>44498</v>
      </c>
      <c r="B1179" s="10" t="s">
        <v>17</v>
      </c>
      <c r="C1179" s="10" t="s">
        <v>28</v>
      </c>
      <c r="D1179" s="12">
        <v>269.02999999999997</v>
      </c>
      <c r="E1179" s="12">
        <f>SUMIF('Parametros Inventario'!$A:$A,B1179,'Parametros Inventario'!$B:$B)+SUMIFS(D$2:D1179,B$2:B1179,B1179,C$2:C1179,"ENTRADA")-SUMIFS(D$2:D1179,B$2:B1179,B1179,C$2:C1179,"SALIDA")</f>
        <v>4972.2699999999977</v>
      </c>
    </row>
    <row r="1180" spans="1:5" x14ac:dyDescent="0.3">
      <c r="A1180" s="9">
        <v>44498</v>
      </c>
      <c r="B1180" s="10" t="s">
        <v>18</v>
      </c>
      <c r="C1180" s="10" t="s">
        <v>28</v>
      </c>
      <c r="D1180" s="12">
        <v>277.64</v>
      </c>
      <c r="E1180" s="12">
        <f>SUMIF('Parametros Inventario'!$A:$A,B1180,'Parametros Inventario'!$B:$B)+SUMIFS(D$2:D1180,B$2:B1180,B1180,C$2:C1180,"ENTRADA")-SUMIFS(D$2:D1180,B$2:B1180,B1180,C$2:C1180,"SALIDA")</f>
        <v>6053.4659999999994</v>
      </c>
    </row>
    <row r="1181" spans="1:5" x14ac:dyDescent="0.3">
      <c r="A1181" s="9">
        <v>44498</v>
      </c>
      <c r="B1181" s="10" t="s">
        <v>10</v>
      </c>
      <c r="C1181" s="10" t="s">
        <v>28</v>
      </c>
      <c r="D1181" s="12">
        <v>173.98</v>
      </c>
      <c r="E1181" s="12">
        <f>SUMIF('Parametros Inventario'!$A:$A,B1181,'Parametros Inventario'!$B:$B)+SUMIFS(D$2:D1181,B$2:B1181,B1181,C$2:C1181,"ENTRADA")-SUMIFS(D$2:D1181,B$2:B1181,B1181,C$2:C1181,"SALIDA")</f>
        <v>5992.4969999999985</v>
      </c>
    </row>
    <row r="1182" spans="1:5" x14ac:dyDescent="0.3">
      <c r="A1182" s="9">
        <v>44498</v>
      </c>
      <c r="B1182" s="10" t="s">
        <v>8</v>
      </c>
      <c r="C1182" s="10" t="s">
        <v>28</v>
      </c>
      <c r="D1182" s="12">
        <v>279.99</v>
      </c>
      <c r="E1182" s="12">
        <f>SUMIF('Parametros Inventario'!$A:$A,B1182,'Parametros Inventario'!$B:$B)+SUMIFS(D$2:D1182,B$2:B1182,B1182,C$2:C1182,"ENTRADA")-SUMIFS(D$2:D1182,B$2:B1182,B1182,C$2:C1182,"SALIDA")</f>
        <v>4875.5310000000009</v>
      </c>
    </row>
    <row r="1183" spans="1:5" x14ac:dyDescent="0.3">
      <c r="A1183" s="9">
        <v>44498</v>
      </c>
      <c r="B1183" s="10" t="s">
        <v>13</v>
      </c>
      <c r="C1183" s="10" t="s">
        <v>28</v>
      </c>
      <c r="D1183" s="12">
        <v>209.69</v>
      </c>
      <c r="E1183" s="12">
        <f>SUMIF('Parametros Inventario'!$A:$A,B1183,'Parametros Inventario'!$B:$B)+SUMIFS(D$2:D1183,B$2:B1183,B1183,C$2:C1183,"ENTRADA")-SUMIFS(D$2:D1183,B$2:B1183,B1183,C$2:C1183,"SALIDA")</f>
        <v>6552.398000000002</v>
      </c>
    </row>
    <row r="1184" spans="1:5" x14ac:dyDescent="0.3">
      <c r="A1184" s="9">
        <f>'Volúmenes DIstribuidos '!B777</f>
        <v>44498</v>
      </c>
      <c r="B1184" s="10" t="str">
        <f>IF(OR('Volúmenes DIstribuidos '!C777="Azúcar",'Volúmenes DIstribuidos '!C777="azúcar"),"Azúcar o dulce",IF('Volúmenes DIstribuidos '!C777="Aceite","Aceite o grasas",IF('Volúmenes DIstribuidos '!C777="Avena","Otros almidones",'Volúmenes DIstribuidos '!C777)))</f>
        <v>Azúcar o dulce</v>
      </c>
      <c r="C1184" s="10" t="s">
        <v>29</v>
      </c>
      <c r="D1184" s="12">
        <f>'Volúmenes DIstribuidos '!D777</f>
        <v>16.114999999999998</v>
      </c>
      <c r="E1184" s="12">
        <f>SUMIF('Parametros Inventario'!$A:$A,B1184,'Parametros Inventario'!$B:$B)+SUMIFS(D$2:D1184,B$2:B1184,B1184,C$2:C1184,"ENTRADA")-SUMIFS(D$2:D1184,B$2:B1184,B1184,C$2:C1184,"SALIDA")</f>
        <v>6536.2830000000022</v>
      </c>
    </row>
    <row r="1185" spans="1:5" x14ac:dyDescent="0.3">
      <c r="A1185" s="9">
        <f>'Volúmenes DIstribuidos '!B777</f>
        <v>44498</v>
      </c>
      <c r="B1185" s="10" t="str">
        <f>IF(OR('Volúmenes DIstribuidos '!C778="Azúcar",'Volúmenes DIstribuidos '!C778="azúcar"),"Azúcar o dulce",IF('Volúmenes DIstribuidos '!C778="Aceite","Aceite o grasas",IF('Volúmenes DIstribuidos '!C778="Avena","Otros almidones",'Volúmenes DIstribuidos '!C778)))</f>
        <v>Aceite o grasas</v>
      </c>
      <c r="C1185" s="10" t="s">
        <v>29</v>
      </c>
      <c r="D1185" s="12">
        <f>'Volúmenes DIstribuidos '!D778</f>
        <v>32.07</v>
      </c>
      <c r="E1185" s="12">
        <f>SUMIF('Parametros Inventario'!$A:$A,B1185,'Parametros Inventario'!$B:$B)+SUMIFS(D$2:D1185,B$2:B1185,B1185,C$2:C1185,"ENTRADA")-SUMIFS(D$2:D1185,B$2:B1185,B1185,C$2:C1185,"SALIDA")</f>
        <v>4843.4610000000011</v>
      </c>
    </row>
    <row r="1186" spans="1:5" x14ac:dyDescent="0.3">
      <c r="A1186" s="9">
        <f>'Volúmenes DIstribuidos '!B777</f>
        <v>44498</v>
      </c>
      <c r="B1186" s="10" t="str">
        <f>IF(OR('Volúmenes DIstribuidos '!C779="Azúcar",'Volúmenes DIstribuidos '!C779="azúcar"),"Azúcar o dulce",IF('Volúmenes DIstribuidos '!C779="Aceite","Aceite o grasas",IF('Volúmenes DIstribuidos '!C779="Avena","Otros almidones",'Volúmenes DIstribuidos '!C779)))</f>
        <v>Salsas</v>
      </c>
      <c r="C1186" s="10" t="s">
        <v>29</v>
      </c>
      <c r="D1186" s="12">
        <f>'Volúmenes DIstribuidos '!D779</f>
        <v>36.99</v>
      </c>
      <c r="E1186" s="12">
        <f>SUMIF('Parametros Inventario'!$A:$A,B1186,'Parametros Inventario'!$B:$B)+SUMIFS(D$2:D1186,B$2:B1186,B1186,C$2:C1186,"ENTRADA")-SUMIFS(D$2:D1186,B$2:B1186,B1186,C$2:C1186,"SALIDA")</f>
        <v>6016.4759999999987</v>
      </c>
    </row>
    <row r="1187" spans="1:5" x14ac:dyDescent="0.3">
      <c r="A1187" s="9">
        <f>'Volúmenes DIstribuidos '!B777</f>
        <v>44498</v>
      </c>
      <c r="B1187" s="10" t="str">
        <f>IF(OR('Volúmenes DIstribuidos '!C780="Azúcar",'Volúmenes DIstribuidos '!C780="azúcar"),"Azúcar o dulce",IF('Volúmenes DIstribuidos '!C780="Aceite","Aceite o grasas",IF('Volúmenes DIstribuidos '!C780="Avena","Otros almidones",'Volúmenes DIstribuidos '!C780)))</f>
        <v>Panadería</v>
      </c>
      <c r="C1187" s="10" t="s">
        <v>29</v>
      </c>
      <c r="D1187" s="12">
        <f>'Volúmenes DIstribuidos '!D780</f>
        <v>66.05</v>
      </c>
      <c r="E1187" s="12">
        <f>SUMIF('Parametros Inventario'!$A:$A,B1187,'Parametros Inventario'!$B:$B)+SUMIFS(D$2:D1187,B$2:B1187,B1187,C$2:C1187,"ENTRADA")-SUMIFS(D$2:D1187,B$2:B1187,B1187,C$2:C1187,"SALIDA")</f>
        <v>3680.7780000000007</v>
      </c>
    </row>
    <row r="1188" spans="1:5" x14ac:dyDescent="0.3">
      <c r="A1188" s="9">
        <f>'Volúmenes DIstribuidos '!B777</f>
        <v>44498</v>
      </c>
      <c r="B1188" s="10" t="str">
        <f>IF(OR('Volúmenes DIstribuidos '!C781="Azúcar",'Volúmenes DIstribuidos '!C781="azúcar"),"Azúcar o dulce",IF('Volúmenes DIstribuidos '!C781="Aceite","Aceite o grasas",IF('Volúmenes DIstribuidos '!C781="Avena","Otros almidones",'Volúmenes DIstribuidos '!C781)))</f>
        <v>Otros almidones</v>
      </c>
      <c r="C1188" s="10" t="s">
        <v>29</v>
      </c>
      <c r="D1188" s="12">
        <f>'Volúmenes DIstribuidos '!D781</f>
        <v>30.29</v>
      </c>
      <c r="E1188" s="12">
        <f>SUMIF('Parametros Inventario'!$A:$A,B1188,'Parametros Inventario'!$B:$B)+SUMIFS(D$2:D1188,B$2:B1188,B1188,C$2:C1188,"ENTRADA")-SUMIFS(D$2:D1188,B$2:B1188,B1188,C$2:C1188,"SALIDA")</f>
        <v>5236.5409999999983</v>
      </c>
    </row>
    <row r="1189" spans="1:5" x14ac:dyDescent="0.3">
      <c r="A1189" s="9">
        <f>'Volúmenes DIstribuidos '!B777</f>
        <v>44498</v>
      </c>
      <c r="B1189" s="10" t="str">
        <f>IF(OR('Volúmenes DIstribuidos '!C782="Azúcar",'Volúmenes DIstribuidos '!C782="azúcar"),"Azúcar o dulce",IF('Volúmenes DIstribuidos '!C782="Aceite","Aceite o grasas",IF('Volúmenes DIstribuidos '!C782="Avena","Otros almidones",'Volúmenes DIstribuidos '!C782)))</f>
        <v>Lácteos</v>
      </c>
      <c r="C1189" s="10" t="s">
        <v>29</v>
      </c>
      <c r="D1189" s="12">
        <f>'Volúmenes DIstribuidos '!D782</f>
        <v>13.616</v>
      </c>
      <c r="E1189" s="12">
        <f>SUMIF('Parametros Inventario'!$A:$A,B1189,'Parametros Inventario'!$B:$B)+SUMIFS(D$2:D1189,B$2:B1189,B1189,C$2:C1189,"ENTRADA")-SUMIFS(D$2:D1189,B$2:B1189,B1189,C$2:C1189,"SALIDA")</f>
        <v>4958.6539999999977</v>
      </c>
    </row>
    <row r="1190" spans="1:5" x14ac:dyDescent="0.3">
      <c r="A1190" s="9">
        <f>'Volúmenes DIstribuidos '!B783</f>
        <v>44502</v>
      </c>
      <c r="B1190" s="10" t="str">
        <f>IF(OR('Volúmenes DIstribuidos '!C783="Azúcar",'Volúmenes DIstribuidos '!C783="azúcar"),"Azúcar o dulce",IF('Volúmenes DIstribuidos '!C783="Aceite","Aceite o grasas",IF('Volúmenes DIstribuidos '!C783="Avena","Otros almidones",'Volúmenes DIstribuidos '!C783)))</f>
        <v>Vegetales y hojas</v>
      </c>
      <c r="C1190" s="10" t="s">
        <v>29</v>
      </c>
      <c r="D1190" s="12">
        <f>'Volúmenes DIstribuidos '!D783</f>
        <v>12.3</v>
      </c>
      <c r="E1190" s="12">
        <f>SUMIF('Parametros Inventario'!$A:$A,B1190,'Parametros Inventario'!$B:$B)+SUMIFS(D$2:D1190,B$2:B1190,B1190,C$2:C1190,"ENTRADA")-SUMIFS(D$2:D1190,B$2:B1190,B1190,C$2:C1190,"SALIDA")</f>
        <v>5980.1969999999983</v>
      </c>
    </row>
    <row r="1191" spans="1:5" x14ac:dyDescent="0.3">
      <c r="A1191" s="9">
        <f>'Volúmenes DIstribuidos '!B783</f>
        <v>44502</v>
      </c>
      <c r="B1191" s="10" t="str">
        <f>IF(OR('Volúmenes DIstribuidos '!C784="Azúcar",'Volúmenes DIstribuidos '!C784="azúcar"),"Azúcar o dulce",IF('Volúmenes DIstribuidos '!C784="Aceite","Aceite o grasas",IF('Volúmenes DIstribuidos '!C784="Avena","Otros almidones",'Volúmenes DIstribuidos '!C784)))</f>
        <v>Aceite o grasas</v>
      </c>
      <c r="C1191" s="10" t="s">
        <v>29</v>
      </c>
      <c r="D1191" s="12">
        <f>'Volúmenes DIstribuidos '!D784</f>
        <v>60.48</v>
      </c>
      <c r="E1191" s="12">
        <f>SUMIF('Parametros Inventario'!$A:$A,B1191,'Parametros Inventario'!$B:$B)+SUMIFS(D$2:D1191,B$2:B1191,B1191,C$2:C1191,"ENTRADA")-SUMIFS(D$2:D1191,B$2:B1191,B1191,C$2:C1191,"SALIDA")</f>
        <v>4782.9810000000007</v>
      </c>
    </row>
    <row r="1192" spans="1:5" x14ac:dyDescent="0.3">
      <c r="A1192" s="9">
        <f>'Volúmenes DIstribuidos '!B783</f>
        <v>44502</v>
      </c>
      <c r="B1192" s="10" t="str">
        <f>IF(OR('Volúmenes DIstribuidos '!C785="Azúcar",'Volúmenes DIstribuidos '!C785="azúcar"),"Azúcar o dulce",IF('Volúmenes DIstribuidos '!C785="Aceite","Aceite o grasas",IF('Volúmenes DIstribuidos '!C785="Avena","Otros almidones",'Volúmenes DIstribuidos '!C785)))</f>
        <v>Otros almidones</v>
      </c>
      <c r="C1192" s="10" t="s">
        <v>29</v>
      </c>
      <c r="D1192" s="12">
        <f>'Volúmenes DIstribuidos '!D785</f>
        <v>17.36</v>
      </c>
      <c r="E1192" s="12">
        <f>SUMIF('Parametros Inventario'!$A:$A,B1192,'Parametros Inventario'!$B:$B)+SUMIFS(D$2:D1192,B$2:B1192,B1192,C$2:C1192,"ENTRADA")-SUMIFS(D$2:D1192,B$2:B1192,B1192,C$2:C1192,"SALIDA")</f>
        <v>5219.1809999999987</v>
      </c>
    </row>
    <row r="1193" spans="1:5" x14ac:dyDescent="0.3">
      <c r="A1193" s="9">
        <f>'Volúmenes DIstribuidos '!B783</f>
        <v>44502</v>
      </c>
      <c r="B1193" s="10" t="str">
        <f>IF(OR('Volúmenes DIstribuidos '!C786="Azúcar",'Volúmenes DIstribuidos '!C786="azúcar"),"Azúcar o dulce",IF('Volúmenes DIstribuidos '!C786="Aceite","Aceite o grasas",IF('Volúmenes DIstribuidos '!C786="Avena","Otros almidones",'Volúmenes DIstribuidos '!C786)))</f>
        <v>Salsas</v>
      </c>
      <c r="C1193" s="10" t="s">
        <v>29</v>
      </c>
      <c r="D1193" s="12">
        <f>'Volúmenes DIstribuidos '!D786</f>
        <v>18.975000000000001</v>
      </c>
      <c r="E1193" s="12">
        <f>SUMIF('Parametros Inventario'!$A:$A,B1193,'Parametros Inventario'!$B:$B)+SUMIFS(D$2:D1193,B$2:B1193,B1193,C$2:C1193,"ENTRADA")-SUMIFS(D$2:D1193,B$2:B1193,B1193,C$2:C1193,"SALIDA")</f>
        <v>5997.5009999999993</v>
      </c>
    </row>
    <row r="1194" spans="1:5" x14ac:dyDescent="0.3">
      <c r="A1194" s="9">
        <f>'Volúmenes DIstribuidos '!B783</f>
        <v>44502</v>
      </c>
      <c r="B1194" s="10" t="str">
        <f>IF(OR('Volúmenes DIstribuidos '!C787="Azúcar",'Volúmenes DIstribuidos '!C787="azúcar"),"Azúcar o dulce",IF('Volúmenes DIstribuidos '!C787="Aceite","Aceite o grasas",IF('Volúmenes DIstribuidos '!C787="Avena","Otros almidones",'Volúmenes DIstribuidos '!C787)))</f>
        <v>Salsas</v>
      </c>
      <c r="C1194" s="10" t="s">
        <v>29</v>
      </c>
      <c r="D1194" s="12">
        <f>'Volúmenes DIstribuidos '!D787</f>
        <v>11.02</v>
      </c>
      <c r="E1194" s="12">
        <f>SUMIF('Parametros Inventario'!$A:$A,B1194,'Parametros Inventario'!$B:$B)+SUMIFS(D$2:D1194,B$2:B1194,B1194,C$2:C1194,"ENTRADA")-SUMIFS(D$2:D1194,B$2:B1194,B1194,C$2:C1194,"SALIDA")</f>
        <v>5986.4809999999998</v>
      </c>
    </row>
    <row r="1195" spans="1:5" x14ac:dyDescent="0.3">
      <c r="A1195" s="9">
        <f>'Volúmenes DIstribuidos '!B783</f>
        <v>44502</v>
      </c>
      <c r="B1195" s="10" t="str">
        <f>IF(OR('Volúmenes DIstribuidos '!C788="Azúcar",'Volúmenes DIstribuidos '!C788="azúcar"),"Azúcar o dulce",IF('Volúmenes DIstribuidos '!C788="Aceite","Aceite o grasas",IF('Volúmenes DIstribuidos '!C788="Avena","Otros almidones",'Volúmenes DIstribuidos '!C788)))</f>
        <v>Aceite o grasas</v>
      </c>
      <c r="C1195" s="10" t="s">
        <v>29</v>
      </c>
      <c r="D1195" s="12">
        <f>'Volúmenes DIstribuidos '!D788</f>
        <v>57.18</v>
      </c>
      <c r="E1195" s="12">
        <f>SUMIF('Parametros Inventario'!$A:$A,B1195,'Parametros Inventario'!$B:$B)+SUMIFS(D$2:D1195,B$2:B1195,B1195,C$2:C1195,"ENTRADA")-SUMIFS(D$2:D1195,B$2:B1195,B1195,C$2:C1195,"SALIDA")</f>
        <v>4725.8010000000013</v>
      </c>
    </row>
    <row r="1196" spans="1:5" x14ac:dyDescent="0.3">
      <c r="A1196" s="9">
        <v>44505</v>
      </c>
      <c r="B1196" s="10" t="s">
        <v>15</v>
      </c>
      <c r="C1196" s="10" t="s">
        <v>28</v>
      </c>
      <c r="D1196" s="12">
        <v>223.31</v>
      </c>
      <c r="E1196" s="12">
        <f>SUMIF('Parametros Inventario'!$A:$A,B1196,'Parametros Inventario'!$B:$B)+SUMIFS(D$2:D1196,B$2:B1196,B1196,C$2:C1196,"ENTRADA")-SUMIFS(D$2:D1196,B$2:B1196,B1196,C$2:C1196,"SALIDA")</f>
        <v>5442.4909999999982</v>
      </c>
    </row>
    <row r="1197" spans="1:5" x14ac:dyDescent="0.3">
      <c r="A1197" s="9">
        <v>44505</v>
      </c>
      <c r="B1197" s="10" t="s">
        <v>11</v>
      </c>
      <c r="C1197" s="10" t="s">
        <v>28</v>
      </c>
      <c r="D1197" s="12">
        <v>166.63</v>
      </c>
      <c r="E1197" s="12">
        <f>SUMIF('Parametros Inventario'!$A:$A,B1197,'Parametros Inventario'!$B:$B)+SUMIFS(D$2:D1197,B$2:B1197,B1197,C$2:C1197,"ENTRADA")-SUMIFS(D$2:D1197,B$2:B1197,B1197,C$2:C1197,"SALIDA")</f>
        <v>6069.3150000000005</v>
      </c>
    </row>
    <row r="1198" spans="1:5" x14ac:dyDescent="0.3">
      <c r="A1198" s="9">
        <v>44505</v>
      </c>
      <c r="B1198" s="10" t="s">
        <v>9</v>
      </c>
      <c r="C1198" s="10" t="s">
        <v>28</v>
      </c>
      <c r="D1198" s="12">
        <v>103.28</v>
      </c>
      <c r="E1198" s="12">
        <f>SUMIF('Parametros Inventario'!$A:$A,B1198,'Parametros Inventario'!$B:$B)+SUMIFS(D$2:D1198,B$2:B1198,B1198,C$2:C1198,"ENTRADA")-SUMIFS(D$2:D1198,B$2:B1198,B1198,C$2:C1198,"SALIDA")</f>
        <v>3784.0580000000004</v>
      </c>
    </row>
    <row r="1199" spans="1:5" x14ac:dyDescent="0.3">
      <c r="A1199" s="9">
        <v>44505</v>
      </c>
      <c r="B1199" s="10" t="s">
        <v>14</v>
      </c>
      <c r="C1199" s="10" t="s">
        <v>28</v>
      </c>
      <c r="D1199" s="12">
        <v>170.19</v>
      </c>
      <c r="E1199" s="12">
        <f>SUMIF('Parametros Inventario'!$A:$A,B1199,'Parametros Inventario'!$B:$B)+SUMIFS(D$2:D1199,B$2:B1199,B1199,C$2:C1199,"ENTRADA")-SUMIFS(D$2:D1199,B$2:B1199,B1199,C$2:C1199,"SALIDA")</f>
        <v>5371.0169999999998</v>
      </c>
    </row>
    <row r="1200" spans="1:5" x14ac:dyDescent="0.3">
      <c r="A1200" s="9">
        <v>44505</v>
      </c>
      <c r="B1200" s="10" t="s">
        <v>12</v>
      </c>
      <c r="C1200" s="10" t="s">
        <v>28</v>
      </c>
      <c r="D1200" s="12">
        <v>242.09</v>
      </c>
      <c r="E1200" s="12">
        <f>SUMIF('Parametros Inventario'!$A:$A,B1200,'Parametros Inventario'!$B:$B)+SUMIFS(D$2:D1200,B$2:B1200,B1200,C$2:C1200,"ENTRADA")-SUMIFS(D$2:D1200,B$2:B1200,B1200,C$2:C1200,"SALIDA")</f>
        <v>5924.1399999999994</v>
      </c>
    </row>
    <row r="1201" spans="1:5" x14ac:dyDescent="0.3">
      <c r="A1201" s="9">
        <v>44505</v>
      </c>
      <c r="B1201" s="10" t="s">
        <v>16</v>
      </c>
      <c r="C1201" s="10" t="s">
        <v>28</v>
      </c>
      <c r="D1201" s="12">
        <v>253.66</v>
      </c>
      <c r="E1201" s="12">
        <f>SUMIF('Parametros Inventario'!$A:$A,B1201,'Parametros Inventario'!$B:$B)+SUMIFS(D$2:D1201,B$2:B1201,B1201,C$2:C1201,"ENTRADA")-SUMIFS(D$2:D1201,B$2:B1201,B1201,C$2:C1201,"SALIDA")</f>
        <v>5924.7260000000006</v>
      </c>
    </row>
    <row r="1202" spans="1:5" x14ac:dyDescent="0.3">
      <c r="A1202" s="9">
        <v>44505</v>
      </c>
      <c r="B1202" s="10" t="s">
        <v>17</v>
      </c>
      <c r="C1202" s="10" t="s">
        <v>28</v>
      </c>
      <c r="D1202" s="12">
        <v>251.82</v>
      </c>
      <c r="E1202" s="12">
        <f>SUMIF('Parametros Inventario'!$A:$A,B1202,'Parametros Inventario'!$B:$B)+SUMIFS(D$2:D1202,B$2:B1202,B1202,C$2:C1202,"ENTRADA")-SUMIFS(D$2:D1202,B$2:B1202,B1202,C$2:C1202,"SALIDA")</f>
        <v>5210.4739999999974</v>
      </c>
    </row>
    <row r="1203" spans="1:5" x14ac:dyDescent="0.3">
      <c r="A1203" s="9">
        <v>44505</v>
      </c>
      <c r="B1203" s="10" t="s">
        <v>18</v>
      </c>
      <c r="C1203" s="10" t="s">
        <v>28</v>
      </c>
      <c r="D1203" s="12">
        <v>143.97999999999999</v>
      </c>
      <c r="E1203" s="12">
        <f>SUMIF('Parametros Inventario'!$A:$A,B1203,'Parametros Inventario'!$B:$B)+SUMIFS(D$2:D1203,B$2:B1203,B1203,C$2:C1203,"ENTRADA")-SUMIFS(D$2:D1203,B$2:B1203,B1203,C$2:C1203,"SALIDA")</f>
        <v>6130.4609999999993</v>
      </c>
    </row>
    <row r="1204" spans="1:5" x14ac:dyDescent="0.3">
      <c r="A1204" s="9">
        <v>44505</v>
      </c>
      <c r="B1204" s="10" t="s">
        <v>10</v>
      </c>
      <c r="C1204" s="10" t="s">
        <v>28</v>
      </c>
      <c r="D1204" s="12">
        <v>150.08000000000001</v>
      </c>
      <c r="E1204" s="12">
        <f>SUMIF('Parametros Inventario'!$A:$A,B1204,'Parametros Inventario'!$B:$B)+SUMIFS(D$2:D1204,B$2:B1204,B1204,C$2:C1204,"ENTRADA")-SUMIFS(D$2:D1204,B$2:B1204,B1204,C$2:C1204,"SALIDA")</f>
        <v>6130.2769999999982</v>
      </c>
    </row>
    <row r="1205" spans="1:5" x14ac:dyDescent="0.3">
      <c r="A1205" s="9">
        <v>44505</v>
      </c>
      <c r="B1205" s="10" t="s">
        <v>8</v>
      </c>
      <c r="C1205" s="10" t="s">
        <v>28</v>
      </c>
      <c r="D1205" s="12">
        <v>256.52</v>
      </c>
      <c r="E1205" s="12">
        <f>SUMIF('Parametros Inventario'!$A:$A,B1205,'Parametros Inventario'!$B:$B)+SUMIFS(D$2:D1205,B$2:B1205,B1205,C$2:C1205,"ENTRADA")-SUMIFS(D$2:D1205,B$2:B1205,B1205,C$2:C1205,"SALIDA")</f>
        <v>4982.3210000000017</v>
      </c>
    </row>
    <row r="1206" spans="1:5" x14ac:dyDescent="0.3">
      <c r="A1206" s="9">
        <f>'Volúmenes DIstribuidos '!B789</f>
        <v>44505</v>
      </c>
      <c r="B1206" s="10" t="str">
        <f>IF(OR('Volúmenes DIstribuidos '!C789="Azúcar",'Volúmenes DIstribuidos '!C789="azúcar"),"Azúcar o dulce",IF('Volúmenes DIstribuidos '!C789="Aceite","Aceite o grasas",IF('Volúmenes DIstribuidos '!C789="Avena","Otros almidones",'Volúmenes DIstribuidos '!C789)))</f>
        <v>Otros almidones</v>
      </c>
      <c r="C1206" s="10" t="s">
        <v>29</v>
      </c>
      <c r="D1206" s="12">
        <f>'Volúmenes DIstribuidos '!D789</f>
        <v>104.36</v>
      </c>
      <c r="E1206" s="12">
        <f>SUMIF('Parametros Inventario'!$A:$A,B1206,'Parametros Inventario'!$B:$B)+SUMIFS(D$2:D1206,B$2:B1206,B1206,C$2:C1206,"ENTRADA")-SUMIFS(D$2:D1206,B$2:B1206,B1206,C$2:C1206,"SALIDA")</f>
        <v>5338.1309999999985</v>
      </c>
    </row>
    <row r="1207" spans="1:5" x14ac:dyDescent="0.3">
      <c r="A1207" s="9">
        <f>'Volúmenes DIstribuidos '!B789</f>
        <v>44505</v>
      </c>
      <c r="B1207" s="10" t="str">
        <f>IF(OR('Volúmenes DIstribuidos '!C790="Azúcar",'Volúmenes DIstribuidos '!C790="azúcar"),"Azúcar o dulce",IF('Volúmenes DIstribuidos '!C790="Aceite","Aceite o grasas",IF('Volúmenes DIstribuidos '!C790="Avena","Otros almidones",'Volúmenes DIstribuidos '!C790)))</f>
        <v>Fideo</v>
      </c>
      <c r="C1207" s="10" t="s">
        <v>29</v>
      </c>
      <c r="D1207" s="12">
        <f>'Volúmenes DIstribuidos '!D790</f>
        <v>18.399999999999999</v>
      </c>
      <c r="E1207" s="12">
        <f>SUMIF('Parametros Inventario'!$A:$A,B1207,'Parametros Inventario'!$B:$B)+SUMIFS(D$2:D1207,B$2:B1207,B1207,C$2:C1207,"ENTRADA")-SUMIFS(D$2:D1207,B$2:B1207,B1207,C$2:C1207,"SALIDA")</f>
        <v>6050.915</v>
      </c>
    </row>
    <row r="1208" spans="1:5" x14ac:dyDescent="0.3">
      <c r="A1208" s="9">
        <f>'Volúmenes DIstribuidos '!B789</f>
        <v>44505</v>
      </c>
      <c r="B1208" s="10" t="str">
        <f>IF(OR('Volúmenes DIstribuidos '!C791="Azúcar",'Volúmenes DIstribuidos '!C791="azúcar"),"Azúcar o dulce",IF('Volúmenes DIstribuidos '!C791="Aceite","Aceite o grasas",IF('Volúmenes DIstribuidos '!C791="Avena","Otros almidones",'Volúmenes DIstribuidos '!C791)))</f>
        <v>Lácteos</v>
      </c>
      <c r="C1208" s="10" t="s">
        <v>29</v>
      </c>
      <c r="D1208" s="12">
        <f>'Volúmenes DIstribuidos '!D791</f>
        <v>51.65</v>
      </c>
      <c r="E1208" s="12">
        <f>SUMIF('Parametros Inventario'!$A:$A,B1208,'Parametros Inventario'!$B:$B)+SUMIFS(D$2:D1208,B$2:B1208,B1208,C$2:C1208,"ENTRADA")-SUMIFS(D$2:D1208,B$2:B1208,B1208,C$2:C1208,"SALIDA")</f>
        <v>5158.8239999999969</v>
      </c>
    </row>
    <row r="1209" spans="1:5" x14ac:dyDescent="0.3">
      <c r="A1209" s="9">
        <f>'Volúmenes DIstribuidos '!B789</f>
        <v>44505</v>
      </c>
      <c r="B1209" s="10" t="str">
        <f>IF(OR('Volúmenes DIstribuidos '!C792="Azúcar",'Volúmenes DIstribuidos '!C792="azúcar"),"Azúcar o dulce",IF('Volúmenes DIstribuidos '!C792="Aceite","Aceite o grasas",IF('Volúmenes DIstribuidos '!C792="Avena","Otros almidones",'Volúmenes DIstribuidos '!C792)))</f>
        <v>Carnes rojas</v>
      </c>
      <c r="C1209" s="10" t="s">
        <v>29</v>
      </c>
      <c r="D1209" s="12">
        <f>'Volúmenes DIstribuidos '!D792</f>
        <v>21.895</v>
      </c>
      <c r="E1209" s="12">
        <f>SUMIF('Parametros Inventario'!$A:$A,B1209,'Parametros Inventario'!$B:$B)+SUMIFS(D$2:D1209,B$2:B1209,B1209,C$2:C1209,"ENTRADA")-SUMIFS(D$2:D1209,B$2:B1209,B1209,C$2:C1209,"SALIDA")</f>
        <v>5902.244999999999</v>
      </c>
    </row>
    <row r="1210" spans="1:5" x14ac:dyDescent="0.3">
      <c r="A1210" s="9">
        <f>'Volúmenes DIstribuidos '!B789</f>
        <v>44505</v>
      </c>
      <c r="B1210" s="10" t="str">
        <f>IF(OR('Volúmenes DIstribuidos '!C793="Azúcar",'Volúmenes DIstribuidos '!C793="azúcar"),"Azúcar o dulce",IF('Volúmenes DIstribuidos '!C793="Aceite","Aceite o grasas",IF('Volúmenes DIstribuidos '!C793="Avena","Otros almidones",'Volúmenes DIstribuidos '!C793)))</f>
        <v>Salsas</v>
      </c>
      <c r="C1210" s="10" t="s">
        <v>29</v>
      </c>
      <c r="D1210" s="12">
        <f>'Volúmenes DIstribuidos '!D793</f>
        <v>129.77000000000001</v>
      </c>
      <c r="E1210" s="12">
        <f>SUMIF('Parametros Inventario'!$A:$A,B1210,'Parametros Inventario'!$B:$B)+SUMIFS(D$2:D1210,B$2:B1210,B1210,C$2:C1210,"ENTRADA")-SUMIFS(D$2:D1210,B$2:B1210,B1210,C$2:C1210,"SALIDA")</f>
        <v>6000.6909999999989</v>
      </c>
    </row>
    <row r="1211" spans="1:5" x14ac:dyDescent="0.3">
      <c r="A1211" s="9">
        <f>'Volúmenes DIstribuidos '!B789</f>
        <v>44505</v>
      </c>
      <c r="B1211" s="10" t="str">
        <f>IF(OR('Volúmenes DIstribuidos '!C794="Azúcar",'Volúmenes DIstribuidos '!C794="azúcar"),"Azúcar o dulce",IF('Volúmenes DIstribuidos '!C794="Aceite","Aceite o grasas",IF('Volúmenes DIstribuidos '!C794="Avena","Otros almidones",'Volúmenes DIstribuidos '!C794)))</f>
        <v>Fideo</v>
      </c>
      <c r="C1211" s="10" t="s">
        <v>29</v>
      </c>
      <c r="D1211" s="12">
        <f>'Volúmenes DIstribuidos '!D794</f>
        <v>32.979999999999997</v>
      </c>
      <c r="E1211" s="12">
        <f>SUMIF('Parametros Inventario'!$A:$A,B1211,'Parametros Inventario'!$B:$B)+SUMIFS(D$2:D1211,B$2:B1211,B1211,C$2:C1211,"ENTRADA")-SUMIFS(D$2:D1211,B$2:B1211,B1211,C$2:C1211,"SALIDA")</f>
        <v>6017.9350000000004</v>
      </c>
    </row>
    <row r="1212" spans="1:5" x14ac:dyDescent="0.3">
      <c r="A1212" s="9">
        <v>44509</v>
      </c>
      <c r="B1212" s="10" t="s">
        <v>13</v>
      </c>
      <c r="C1212" s="10" t="s">
        <v>28</v>
      </c>
      <c r="D1212" s="12">
        <v>51.68</v>
      </c>
      <c r="E1212" s="12">
        <f>SUMIF('Parametros Inventario'!$A:$A,B1212,'Parametros Inventario'!$B:$B)+SUMIFS(D$2:D1212,B$2:B1212,B1212,C$2:C1212,"ENTRADA")-SUMIFS(D$2:D1212,B$2:B1212,B1212,C$2:C1212,"SALIDA")</f>
        <v>6587.9630000000025</v>
      </c>
    </row>
    <row r="1213" spans="1:5" x14ac:dyDescent="0.3">
      <c r="A1213" s="9">
        <v>44509</v>
      </c>
      <c r="B1213" s="10" t="s">
        <v>15</v>
      </c>
      <c r="C1213" s="10" t="s">
        <v>28</v>
      </c>
      <c r="D1213" s="12">
        <v>52.47</v>
      </c>
      <c r="E1213" s="12">
        <f>SUMIF('Parametros Inventario'!$A:$A,B1213,'Parametros Inventario'!$B:$B)+SUMIFS(D$2:D1213,B$2:B1213,B1213,C$2:C1213,"ENTRADA")-SUMIFS(D$2:D1213,B$2:B1213,B1213,C$2:C1213,"SALIDA")</f>
        <v>5390.6009999999987</v>
      </c>
    </row>
    <row r="1214" spans="1:5" x14ac:dyDescent="0.3">
      <c r="A1214" s="9">
        <v>44509</v>
      </c>
      <c r="B1214" s="10" t="s">
        <v>11</v>
      </c>
      <c r="C1214" s="10" t="s">
        <v>28</v>
      </c>
      <c r="D1214" s="12">
        <v>139.47</v>
      </c>
      <c r="E1214" s="12">
        <f>SUMIF('Parametros Inventario'!$A:$A,B1214,'Parametros Inventario'!$B:$B)+SUMIFS(D$2:D1214,B$2:B1214,B1214,C$2:C1214,"ENTRADA")-SUMIFS(D$2:D1214,B$2:B1214,B1214,C$2:C1214,"SALIDA")</f>
        <v>6157.4050000000007</v>
      </c>
    </row>
    <row r="1215" spans="1:5" x14ac:dyDescent="0.3">
      <c r="A1215" s="9">
        <v>44509</v>
      </c>
      <c r="B1215" s="10" t="s">
        <v>9</v>
      </c>
      <c r="C1215" s="10" t="s">
        <v>28</v>
      </c>
      <c r="D1215" s="12">
        <v>188.67</v>
      </c>
      <c r="E1215" s="12">
        <f>SUMIF('Parametros Inventario'!$A:$A,B1215,'Parametros Inventario'!$B:$B)+SUMIFS(D$2:D1215,B$2:B1215,B1215,C$2:C1215,"ENTRADA")-SUMIFS(D$2:D1215,B$2:B1215,B1215,C$2:C1215,"SALIDA")</f>
        <v>3972.7280000000005</v>
      </c>
    </row>
    <row r="1216" spans="1:5" x14ac:dyDescent="0.3">
      <c r="A1216" s="9">
        <v>44509</v>
      </c>
      <c r="B1216" s="10" t="s">
        <v>14</v>
      </c>
      <c r="C1216" s="10" t="s">
        <v>28</v>
      </c>
      <c r="D1216" s="12">
        <v>85.6</v>
      </c>
      <c r="E1216" s="12">
        <f>SUMIF('Parametros Inventario'!$A:$A,B1216,'Parametros Inventario'!$B:$B)+SUMIFS(D$2:D1216,B$2:B1216,B1216,C$2:C1216,"ENTRADA")-SUMIFS(D$2:D1216,B$2:B1216,B1216,C$2:C1216,"SALIDA")</f>
        <v>5456.6170000000002</v>
      </c>
    </row>
    <row r="1217" spans="1:5" x14ac:dyDescent="0.3">
      <c r="A1217" s="9">
        <v>44509</v>
      </c>
      <c r="B1217" s="10" t="s">
        <v>12</v>
      </c>
      <c r="C1217" s="10" t="s">
        <v>28</v>
      </c>
      <c r="D1217" s="12">
        <v>160.1</v>
      </c>
      <c r="E1217" s="12">
        <f>SUMIF('Parametros Inventario'!$A:$A,B1217,'Parametros Inventario'!$B:$B)+SUMIFS(D$2:D1217,B$2:B1217,B1217,C$2:C1217,"ENTRADA")-SUMIFS(D$2:D1217,B$2:B1217,B1217,C$2:C1217,"SALIDA")</f>
        <v>6062.3449999999993</v>
      </c>
    </row>
    <row r="1218" spans="1:5" x14ac:dyDescent="0.3">
      <c r="A1218" s="9">
        <f>'Volúmenes DIstribuidos '!B795</f>
        <v>44509</v>
      </c>
      <c r="B1218" s="10" t="str">
        <f>IF(OR('Volúmenes DIstribuidos '!C795="Azúcar",'Volúmenes DIstribuidos '!C795="azúcar"),"Azúcar o dulce",IF('Volúmenes DIstribuidos '!C795="Aceite","Aceite o grasas",IF('Volúmenes DIstribuidos '!C795="Avena","Otros almidones",'Volúmenes DIstribuidos '!C795)))</f>
        <v>Carnes blancas</v>
      </c>
      <c r="C1218" s="10" t="s">
        <v>29</v>
      </c>
      <c r="D1218" s="12">
        <f>'Volúmenes DIstribuidos '!D795</f>
        <v>52.81</v>
      </c>
      <c r="E1218" s="12">
        <f>SUMIF('Parametros Inventario'!$A:$A,B1218,'Parametros Inventario'!$B:$B)+SUMIFS(D$2:D1218,B$2:B1218,B1218,C$2:C1218,"ENTRADA")-SUMIFS(D$2:D1218,B$2:B1218,B1218,C$2:C1218,"SALIDA")</f>
        <v>5871.9160000000011</v>
      </c>
    </row>
    <row r="1219" spans="1:5" x14ac:dyDescent="0.3">
      <c r="A1219" s="9">
        <f>'Volúmenes DIstribuidos '!B795</f>
        <v>44509</v>
      </c>
      <c r="B1219" s="10" t="str">
        <f>IF(OR('Volúmenes DIstribuidos '!C796="Azúcar",'Volúmenes DIstribuidos '!C796="azúcar"),"Azúcar o dulce",IF('Volúmenes DIstribuidos '!C796="Aceite","Aceite o grasas",IF('Volúmenes DIstribuidos '!C796="Avena","Otros almidones",'Volúmenes DIstribuidos '!C796)))</f>
        <v>Azúcar o dulce</v>
      </c>
      <c r="C1219" s="10" t="s">
        <v>29</v>
      </c>
      <c r="D1219" s="12">
        <f>'Volúmenes DIstribuidos '!D796</f>
        <v>96.206999999999994</v>
      </c>
      <c r="E1219" s="12">
        <f>SUMIF('Parametros Inventario'!$A:$A,B1219,'Parametros Inventario'!$B:$B)+SUMIFS(D$2:D1219,B$2:B1219,B1219,C$2:C1219,"ENTRADA")-SUMIFS(D$2:D1219,B$2:B1219,B1219,C$2:C1219,"SALIDA")</f>
        <v>6491.756000000003</v>
      </c>
    </row>
    <row r="1220" spans="1:5" x14ac:dyDescent="0.3">
      <c r="A1220" s="9">
        <f>'Volúmenes DIstribuidos '!B795</f>
        <v>44509</v>
      </c>
      <c r="B1220" s="10" t="str">
        <f>IF(OR('Volúmenes DIstribuidos '!C797="Azúcar",'Volúmenes DIstribuidos '!C797="azúcar"),"Azúcar o dulce",IF('Volúmenes DIstribuidos '!C797="Aceite","Aceite o grasas",IF('Volúmenes DIstribuidos '!C797="Avena","Otros almidones",'Volúmenes DIstribuidos '!C797)))</f>
        <v>Fideo</v>
      </c>
      <c r="C1220" s="10" t="s">
        <v>29</v>
      </c>
      <c r="D1220" s="12">
        <f>'Volúmenes DIstribuidos '!D797</f>
        <v>64.760000000000005</v>
      </c>
      <c r="E1220" s="12">
        <f>SUMIF('Parametros Inventario'!$A:$A,B1220,'Parametros Inventario'!$B:$B)+SUMIFS(D$2:D1220,B$2:B1220,B1220,C$2:C1220,"ENTRADA")-SUMIFS(D$2:D1220,B$2:B1220,B1220,C$2:C1220,"SALIDA")</f>
        <v>6092.6450000000004</v>
      </c>
    </row>
    <row r="1221" spans="1:5" x14ac:dyDescent="0.3">
      <c r="A1221" s="9">
        <f>'Volúmenes DIstribuidos '!B795</f>
        <v>44509</v>
      </c>
      <c r="B1221" s="10" t="str">
        <f>IF(OR('Volúmenes DIstribuidos '!C798="Azúcar",'Volúmenes DIstribuidos '!C798="azúcar"),"Azúcar o dulce",IF('Volúmenes DIstribuidos '!C798="Aceite","Aceite o grasas",IF('Volúmenes DIstribuidos '!C798="Avena","Otros almidones",'Volúmenes DIstribuidos '!C798)))</f>
        <v>Carnes blancas</v>
      </c>
      <c r="C1221" s="10" t="s">
        <v>29</v>
      </c>
      <c r="D1221" s="12">
        <f>'Volúmenes DIstribuidos '!D798</f>
        <v>21.03</v>
      </c>
      <c r="E1221" s="12">
        <f>SUMIF('Parametros Inventario'!$A:$A,B1221,'Parametros Inventario'!$B:$B)+SUMIFS(D$2:D1221,B$2:B1221,B1221,C$2:C1221,"ENTRADA")-SUMIFS(D$2:D1221,B$2:B1221,B1221,C$2:C1221,"SALIDA")</f>
        <v>5850.8860000000004</v>
      </c>
    </row>
    <row r="1222" spans="1:5" x14ac:dyDescent="0.3">
      <c r="A1222" s="9">
        <f>'Volúmenes DIstribuidos '!B795</f>
        <v>44509</v>
      </c>
      <c r="B1222" s="10" t="str">
        <f>IF(OR('Volúmenes DIstribuidos '!C799="Azúcar",'Volúmenes DIstribuidos '!C799="azúcar"),"Azúcar o dulce",IF('Volúmenes DIstribuidos '!C799="Aceite","Aceite o grasas",IF('Volúmenes DIstribuidos '!C799="Avena","Otros almidones",'Volúmenes DIstribuidos '!C799)))</f>
        <v>Vegetales y hojas</v>
      </c>
      <c r="C1222" s="10" t="s">
        <v>29</v>
      </c>
      <c r="D1222" s="12">
        <f>'Volúmenes DIstribuidos '!D799</f>
        <v>52.81</v>
      </c>
      <c r="E1222" s="12">
        <f>SUMIF('Parametros Inventario'!$A:$A,B1222,'Parametros Inventario'!$B:$B)+SUMIFS(D$2:D1222,B$2:B1222,B1222,C$2:C1222,"ENTRADA")-SUMIFS(D$2:D1222,B$2:B1222,B1222,C$2:C1222,"SALIDA")</f>
        <v>6077.4669999999987</v>
      </c>
    </row>
    <row r="1223" spans="1:5" x14ac:dyDescent="0.3">
      <c r="A1223" s="9">
        <f>'Volúmenes DIstribuidos '!B795</f>
        <v>44509</v>
      </c>
      <c r="B1223" s="10" t="str">
        <f>IF(OR('Volúmenes DIstribuidos '!C800="Azúcar",'Volúmenes DIstribuidos '!C800="azúcar"),"Azúcar o dulce",IF('Volúmenes DIstribuidos '!C800="Aceite","Aceite o grasas",IF('Volúmenes DIstribuidos '!C800="Avena","Otros almidones",'Volúmenes DIstribuidos '!C800)))</f>
        <v>Carnes rojas</v>
      </c>
      <c r="C1223" s="10" t="s">
        <v>29</v>
      </c>
      <c r="D1223" s="12">
        <f>'Volúmenes DIstribuidos '!D800</f>
        <v>17.321999999999999</v>
      </c>
      <c r="E1223" s="12">
        <f>SUMIF('Parametros Inventario'!$A:$A,B1223,'Parametros Inventario'!$B:$B)+SUMIFS(D$2:D1223,B$2:B1223,B1223,C$2:C1223,"ENTRADA")-SUMIFS(D$2:D1223,B$2:B1223,B1223,C$2:C1223,"SALIDA")</f>
        <v>6045.0229999999992</v>
      </c>
    </row>
    <row r="1224" spans="1:5" x14ac:dyDescent="0.3">
      <c r="A1224" s="9">
        <f>'Volúmenes DIstribuidos '!B801</f>
        <v>44512</v>
      </c>
      <c r="B1224" s="10" t="str">
        <f>IF(OR('Volúmenes DIstribuidos '!C801="Azúcar",'Volúmenes DIstribuidos '!C801="azúcar"),"Azúcar o dulce",IF('Volúmenes DIstribuidos '!C801="Aceite","Aceite o grasas",IF('Volúmenes DIstribuidos '!C801="Avena","Otros almidones",'Volúmenes DIstribuidos '!C801)))</f>
        <v>Salsas</v>
      </c>
      <c r="C1224" s="10" t="s">
        <v>29</v>
      </c>
      <c r="D1224" s="12">
        <f>'Volúmenes DIstribuidos '!D801</f>
        <v>33.86</v>
      </c>
      <c r="E1224" s="12">
        <f>SUMIF('Parametros Inventario'!$A:$A,B1224,'Parametros Inventario'!$B:$B)+SUMIFS(D$2:D1224,B$2:B1224,B1224,C$2:C1224,"ENTRADA")-SUMIFS(D$2:D1224,B$2:B1224,B1224,C$2:C1224,"SALIDA")</f>
        <v>5966.8309999999992</v>
      </c>
    </row>
    <row r="1225" spans="1:5" x14ac:dyDescent="0.3">
      <c r="A1225" s="9">
        <f>'Volúmenes DIstribuidos '!B801</f>
        <v>44512</v>
      </c>
      <c r="B1225" s="10" t="str">
        <f>IF(OR('Volúmenes DIstribuidos '!C802="Azúcar",'Volúmenes DIstribuidos '!C802="azúcar"),"Azúcar o dulce",IF('Volúmenes DIstribuidos '!C802="Aceite","Aceite o grasas",IF('Volúmenes DIstribuidos '!C802="Avena","Otros almidones",'Volúmenes DIstribuidos '!C802)))</f>
        <v>Aceite o grasas</v>
      </c>
      <c r="C1225" s="10" t="s">
        <v>29</v>
      </c>
      <c r="D1225" s="12">
        <f>'Volúmenes DIstribuidos '!D802</f>
        <v>31.99</v>
      </c>
      <c r="E1225" s="12">
        <f>SUMIF('Parametros Inventario'!$A:$A,B1225,'Parametros Inventario'!$B:$B)+SUMIFS(D$2:D1225,B$2:B1225,B1225,C$2:C1225,"ENTRADA")-SUMIFS(D$2:D1225,B$2:B1225,B1225,C$2:C1225,"SALIDA")</f>
        <v>4950.3310000000019</v>
      </c>
    </row>
    <row r="1226" spans="1:5" x14ac:dyDescent="0.3">
      <c r="A1226" s="9">
        <f>'Volúmenes DIstribuidos '!B801</f>
        <v>44512</v>
      </c>
      <c r="B1226" s="10" t="str">
        <f>IF(OR('Volúmenes DIstribuidos '!C803="Azúcar",'Volúmenes DIstribuidos '!C803="azúcar"),"Azúcar o dulce",IF('Volúmenes DIstribuidos '!C803="Aceite","Aceite o grasas",IF('Volúmenes DIstribuidos '!C803="Avena","Otros almidones",'Volúmenes DIstribuidos '!C803)))</f>
        <v>Vegetales y hojas</v>
      </c>
      <c r="C1226" s="10" t="s">
        <v>29</v>
      </c>
      <c r="D1226" s="12">
        <f>'Volúmenes DIstribuidos '!D803</f>
        <v>72.63</v>
      </c>
      <c r="E1226" s="12">
        <f>SUMIF('Parametros Inventario'!$A:$A,B1226,'Parametros Inventario'!$B:$B)+SUMIFS(D$2:D1226,B$2:B1226,B1226,C$2:C1226,"ENTRADA")-SUMIFS(D$2:D1226,B$2:B1226,B1226,C$2:C1226,"SALIDA")</f>
        <v>6004.8369999999977</v>
      </c>
    </row>
    <row r="1227" spans="1:5" x14ac:dyDescent="0.3">
      <c r="A1227" s="9">
        <f>'Volúmenes DIstribuidos '!B801</f>
        <v>44512</v>
      </c>
      <c r="B1227" s="10" t="str">
        <f>IF(OR('Volúmenes DIstribuidos '!C804="Azúcar",'Volúmenes DIstribuidos '!C804="azúcar"),"Azúcar o dulce",IF('Volúmenes DIstribuidos '!C804="Aceite","Aceite o grasas",IF('Volúmenes DIstribuidos '!C804="Avena","Otros almidones",'Volúmenes DIstribuidos '!C804)))</f>
        <v>Otros almidones</v>
      </c>
      <c r="C1227" s="10" t="s">
        <v>29</v>
      </c>
      <c r="D1227" s="12">
        <f>'Volúmenes DIstribuidos '!D804</f>
        <v>28.76</v>
      </c>
      <c r="E1227" s="12">
        <f>SUMIF('Parametros Inventario'!$A:$A,B1227,'Parametros Inventario'!$B:$B)+SUMIFS(D$2:D1227,B$2:B1227,B1227,C$2:C1227,"ENTRADA")-SUMIFS(D$2:D1227,B$2:B1227,B1227,C$2:C1227,"SALIDA")</f>
        <v>5361.8409999999985</v>
      </c>
    </row>
    <row r="1228" spans="1:5" x14ac:dyDescent="0.3">
      <c r="A1228" s="9">
        <f>'Volúmenes DIstribuidos '!B801</f>
        <v>44512</v>
      </c>
      <c r="B1228" s="10" t="str">
        <f>IF(OR('Volúmenes DIstribuidos '!C805="Azúcar",'Volúmenes DIstribuidos '!C805="azúcar"),"Azúcar o dulce",IF('Volúmenes DIstribuidos '!C805="Aceite","Aceite o grasas",IF('Volúmenes DIstribuidos '!C805="Avena","Otros almidones",'Volúmenes DIstribuidos '!C805)))</f>
        <v>Menestras</v>
      </c>
      <c r="C1228" s="10" t="s">
        <v>29</v>
      </c>
      <c r="D1228" s="12">
        <f>'Volúmenes DIstribuidos '!D805</f>
        <v>11.648</v>
      </c>
      <c r="E1228" s="12">
        <f>SUMIF('Parametros Inventario'!$A:$A,B1228,'Parametros Inventario'!$B:$B)+SUMIFS(D$2:D1228,B$2:B1228,B1228,C$2:C1228,"ENTRADA")-SUMIFS(D$2:D1228,B$2:B1228,B1228,C$2:C1228,"SALIDA")</f>
        <v>5444.969000000001</v>
      </c>
    </row>
    <row r="1229" spans="1:5" x14ac:dyDescent="0.3">
      <c r="A1229" s="9">
        <f>'Volúmenes DIstribuidos '!B801</f>
        <v>44512</v>
      </c>
      <c r="B1229" s="10" t="str">
        <f>IF(OR('Volúmenes DIstribuidos '!C806="Azúcar",'Volúmenes DIstribuidos '!C806="azúcar"),"Azúcar o dulce",IF('Volúmenes DIstribuidos '!C806="Aceite","Aceite o grasas",IF('Volúmenes DIstribuidos '!C806="Avena","Otros almidones",'Volúmenes DIstribuidos '!C806)))</f>
        <v>Vegetales y hojas</v>
      </c>
      <c r="C1229" s="10" t="s">
        <v>29</v>
      </c>
      <c r="D1229" s="12">
        <f>'Volúmenes DIstribuidos '!D806</f>
        <v>3.55</v>
      </c>
      <c r="E1229" s="12">
        <f>SUMIF('Parametros Inventario'!$A:$A,B1229,'Parametros Inventario'!$B:$B)+SUMIFS(D$2:D1229,B$2:B1229,B1229,C$2:C1229,"ENTRADA")-SUMIFS(D$2:D1229,B$2:B1229,B1229,C$2:C1229,"SALIDA")</f>
        <v>6001.2869999999984</v>
      </c>
    </row>
    <row r="1230" spans="1:5" x14ac:dyDescent="0.3">
      <c r="A1230" s="9">
        <f>'Volúmenes DIstribuidos '!B807</f>
        <v>44516</v>
      </c>
      <c r="B1230" s="10" t="str">
        <f>IF(OR('Volúmenes DIstribuidos '!C807="Azúcar",'Volúmenes DIstribuidos '!C807="azúcar"),"Azúcar o dulce",IF('Volúmenes DIstribuidos '!C807="Aceite","Aceite o grasas",IF('Volúmenes DIstribuidos '!C807="Avena","Otros almidones",'Volúmenes DIstribuidos '!C807)))</f>
        <v>Aceite o grasas</v>
      </c>
      <c r="C1230" s="10" t="s">
        <v>29</v>
      </c>
      <c r="D1230" s="12">
        <f>'Volúmenes DIstribuidos '!D807</f>
        <v>31.24</v>
      </c>
      <c r="E1230" s="12">
        <f>SUMIF('Parametros Inventario'!$A:$A,B1230,'Parametros Inventario'!$B:$B)+SUMIFS(D$2:D1230,B$2:B1230,B1230,C$2:C1230,"ENTRADA")-SUMIFS(D$2:D1230,B$2:B1230,B1230,C$2:C1230,"SALIDA")</f>
        <v>4919.0910000000022</v>
      </c>
    </row>
    <row r="1231" spans="1:5" x14ac:dyDescent="0.3">
      <c r="A1231" s="9">
        <f>'Volúmenes DIstribuidos '!B807</f>
        <v>44516</v>
      </c>
      <c r="B1231" s="10" t="str">
        <f>IF(OR('Volúmenes DIstribuidos '!C808="Azúcar",'Volúmenes DIstribuidos '!C808="azúcar"),"Azúcar o dulce",IF('Volúmenes DIstribuidos '!C808="Aceite","Aceite o grasas",IF('Volúmenes DIstribuidos '!C808="Avena","Otros almidones",'Volúmenes DIstribuidos '!C808)))</f>
        <v>Azúcar o dulce</v>
      </c>
      <c r="C1231" s="10" t="s">
        <v>29</v>
      </c>
      <c r="D1231" s="12">
        <f>'Volúmenes DIstribuidos '!D808</f>
        <v>8.19</v>
      </c>
      <c r="E1231" s="12">
        <f>SUMIF('Parametros Inventario'!$A:$A,B1231,'Parametros Inventario'!$B:$B)+SUMIFS(D$2:D1231,B$2:B1231,B1231,C$2:C1231,"ENTRADA")-SUMIFS(D$2:D1231,B$2:B1231,B1231,C$2:C1231,"SALIDA")</f>
        <v>6483.5660000000025</v>
      </c>
    </row>
    <row r="1232" spans="1:5" x14ac:dyDescent="0.3">
      <c r="A1232" s="9">
        <f>'Volúmenes DIstribuidos '!B807</f>
        <v>44516</v>
      </c>
      <c r="B1232" s="10" t="str">
        <f>IF(OR('Volúmenes DIstribuidos '!C809="Azúcar",'Volúmenes DIstribuidos '!C809="azúcar"),"Azúcar o dulce",IF('Volúmenes DIstribuidos '!C809="Aceite","Aceite o grasas",IF('Volúmenes DIstribuidos '!C809="Avena","Otros almidones",'Volúmenes DIstribuidos '!C809)))</f>
        <v>Salsas</v>
      </c>
      <c r="C1232" s="10" t="s">
        <v>29</v>
      </c>
      <c r="D1232" s="12">
        <f>'Volúmenes DIstribuidos '!D809</f>
        <v>13.39</v>
      </c>
      <c r="E1232" s="12">
        <f>SUMIF('Parametros Inventario'!$A:$A,B1232,'Parametros Inventario'!$B:$B)+SUMIFS(D$2:D1232,B$2:B1232,B1232,C$2:C1232,"ENTRADA")-SUMIFS(D$2:D1232,B$2:B1232,B1232,C$2:C1232,"SALIDA")</f>
        <v>5953.4409999999989</v>
      </c>
    </row>
    <row r="1233" spans="1:5" x14ac:dyDescent="0.3">
      <c r="A1233" s="9">
        <f>'Volúmenes DIstribuidos '!B807</f>
        <v>44516</v>
      </c>
      <c r="B1233" s="10" t="str">
        <f>IF(OR('Volúmenes DIstribuidos '!C810="Azúcar",'Volúmenes DIstribuidos '!C810="azúcar"),"Azúcar o dulce",IF('Volúmenes DIstribuidos '!C810="Aceite","Aceite o grasas",IF('Volúmenes DIstribuidos '!C810="Avena","Otros almidones",'Volúmenes DIstribuidos '!C810)))</f>
        <v>Lácteos</v>
      </c>
      <c r="C1233" s="10" t="s">
        <v>29</v>
      </c>
      <c r="D1233" s="12">
        <f>'Volúmenes DIstribuidos '!D810</f>
        <v>21.331</v>
      </c>
      <c r="E1233" s="12">
        <f>SUMIF('Parametros Inventario'!$A:$A,B1233,'Parametros Inventario'!$B:$B)+SUMIFS(D$2:D1233,B$2:B1233,B1233,C$2:C1233,"ENTRADA")-SUMIFS(D$2:D1233,B$2:B1233,B1233,C$2:C1233,"SALIDA")</f>
        <v>5137.4929999999968</v>
      </c>
    </row>
    <row r="1234" spans="1:5" x14ac:dyDescent="0.3">
      <c r="A1234" s="9">
        <f>'Volúmenes DIstribuidos '!B807</f>
        <v>44516</v>
      </c>
      <c r="B1234" s="10" t="str">
        <f>IF(OR('Volúmenes DIstribuidos '!C811="Azúcar",'Volúmenes DIstribuidos '!C811="azúcar"),"Azúcar o dulce",IF('Volúmenes DIstribuidos '!C811="Aceite","Aceite o grasas",IF('Volúmenes DIstribuidos '!C811="Avena","Otros almidones",'Volúmenes DIstribuidos '!C811)))</f>
        <v>Vegetales y hojas</v>
      </c>
      <c r="C1234" s="10" t="s">
        <v>29</v>
      </c>
      <c r="D1234" s="12">
        <f>'Volúmenes DIstribuidos '!D811</f>
        <v>23</v>
      </c>
      <c r="E1234" s="12">
        <f>SUMIF('Parametros Inventario'!$A:$A,B1234,'Parametros Inventario'!$B:$B)+SUMIFS(D$2:D1234,B$2:B1234,B1234,C$2:C1234,"ENTRADA")-SUMIFS(D$2:D1234,B$2:B1234,B1234,C$2:C1234,"SALIDA")</f>
        <v>5978.2869999999984</v>
      </c>
    </row>
    <row r="1235" spans="1:5" x14ac:dyDescent="0.3">
      <c r="A1235" s="9">
        <f>'Volúmenes DIstribuidos '!B807</f>
        <v>44516</v>
      </c>
      <c r="B1235" s="10" t="str">
        <f>IF(OR('Volúmenes DIstribuidos '!C812="Azúcar",'Volúmenes DIstribuidos '!C812="azúcar"),"Azúcar o dulce",IF('Volúmenes DIstribuidos '!C812="Aceite","Aceite o grasas",IF('Volúmenes DIstribuidos '!C812="Avena","Otros almidones",'Volúmenes DIstribuidos '!C812)))</f>
        <v>Lácteos</v>
      </c>
      <c r="C1235" s="10" t="s">
        <v>29</v>
      </c>
      <c r="D1235" s="12">
        <f>'Volúmenes DIstribuidos '!D812</f>
        <v>30.96</v>
      </c>
      <c r="E1235" s="12">
        <f>SUMIF('Parametros Inventario'!$A:$A,B1235,'Parametros Inventario'!$B:$B)+SUMIFS(D$2:D1235,B$2:B1235,B1235,C$2:C1235,"ENTRADA")-SUMIFS(D$2:D1235,B$2:B1235,B1235,C$2:C1235,"SALIDA")</f>
        <v>5106.5329999999976</v>
      </c>
    </row>
    <row r="1236" spans="1:5" x14ac:dyDescent="0.3">
      <c r="A1236" s="9">
        <f>'Volúmenes DIstribuidos '!B813</f>
        <v>44519</v>
      </c>
      <c r="B1236" s="10" t="str">
        <f>IF(OR('Volúmenes DIstribuidos '!C813="Azúcar",'Volúmenes DIstribuidos '!C813="azúcar"),"Azúcar o dulce",IF('Volúmenes DIstribuidos '!C813="Aceite","Aceite o grasas",IF('Volúmenes DIstribuidos '!C813="Avena","Otros almidones",'Volúmenes DIstribuidos '!C813)))</f>
        <v>Salsas</v>
      </c>
      <c r="C1236" s="10" t="s">
        <v>29</v>
      </c>
      <c r="D1236" s="12">
        <f>'Volúmenes DIstribuidos '!D813</f>
        <v>6.694</v>
      </c>
      <c r="E1236" s="12">
        <f>SUMIF('Parametros Inventario'!$A:$A,B1236,'Parametros Inventario'!$B:$B)+SUMIFS(D$2:D1236,B$2:B1236,B1236,C$2:C1236,"ENTRADA")-SUMIFS(D$2:D1236,B$2:B1236,B1236,C$2:C1236,"SALIDA")</f>
        <v>5946.7469999999994</v>
      </c>
    </row>
    <row r="1237" spans="1:5" x14ac:dyDescent="0.3">
      <c r="A1237" s="9">
        <f>'Volúmenes DIstribuidos '!B813</f>
        <v>44519</v>
      </c>
      <c r="B1237" s="10" t="str">
        <f>IF(OR('Volúmenes DIstribuidos '!C814="Azúcar",'Volúmenes DIstribuidos '!C814="azúcar"),"Azúcar o dulce",IF('Volúmenes DIstribuidos '!C814="Aceite","Aceite o grasas",IF('Volúmenes DIstribuidos '!C814="Avena","Otros almidones",'Volúmenes DIstribuidos '!C814)))</f>
        <v>Lácteos</v>
      </c>
      <c r="C1237" s="10" t="s">
        <v>29</v>
      </c>
      <c r="D1237" s="12">
        <f>'Volúmenes DIstribuidos '!D814</f>
        <v>7.37</v>
      </c>
      <c r="E1237" s="12">
        <f>SUMIF('Parametros Inventario'!$A:$A,B1237,'Parametros Inventario'!$B:$B)+SUMIFS(D$2:D1237,B$2:B1237,B1237,C$2:C1237,"ENTRADA")-SUMIFS(D$2:D1237,B$2:B1237,B1237,C$2:C1237,"SALIDA")</f>
        <v>5099.1629999999968</v>
      </c>
    </row>
    <row r="1238" spans="1:5" x14ac:dyDescent="0.3">
      <c r="A1238" s="9">
        <f>'Volúmenes DIstribuidos '!B813</f>
        <v>44519</v>
      </c>
      <c r="B1238" s="10" t="str">
        <f>IF(OR('Volúmenes DIstribuidos '!C815="Azúcar",'Volúmenes DIstribuidos '!C815="azúcar"),"Azúcar o dulce",IF('Volúmenes DIstribuidos '!C815="Aceite","Aceite o grasas",IF('Volúmenes DIstribuidos '!C815="Avena","Otros almidones",'Volúmenes DIstribuidos '!C815)))</f>
        <v>Menestras</v>
      </c>
      <c r="C1238" s="10" t="s">
        <v>29</v>
      </c>
      <c r="D1238" s="12">
        <f>'Volúmenes DIstribuidos '!D815</f>
        <v>5.62</v>
      </c>
      <c r="E1238" s="12">
        <f>SUMIF('Parametros Inventario'!$A:$A,B1238,'Parametros Inventario'!$B:$B)+SUMIFS(D$2:D1238,B$2:B1238,B1238,C$2:C1238,"ENTRADA")-SUMIFS(D$2:D1238,B$2:B1238,B1238,C$2:C1238,"SALIDA")</f>
        <v>5439.3490000000002</v>
      </c>
    </row>
    <row r="1239" spans="1:5" x14ac:dyDescent="0.3">
      <c r="A1239" s="9">
        <f>'Volúmenes DIstribuidos '!B813</f>
        <v>44519</v>
      </c>
      <c r="B1239" s="10" t="str">
        <f>IF(OR('Volúmenes DIstribuidos '!C816="Azúcar",'Volúmenes DIstribuidos '!C816="azúcar"),"Azúcar o dulce",IF('Volúmenes DIstribuidos '!C816="Aceite","Aceite o grasas",IF('Volúmenes DIstribuidos '!C816="Avena","Otros almidones",'Volúmenes DIstribuidos '!C816)))</f>
        <v>Salsas</v>
      </c>
      <c r="C1239" s="10" t="s">
        <v>29</v>
      </c>
      <c r="D1239" s="12">
        <f>'Volúmenes DIstribuidos '!D816</f>
        <v>16.79</v>
      </c>
      <c r="E1239" s="12">
        <f>SUMIF('Parametros Inventario'!$A:$A,B1239,'Parametros Inventario'!$B:$B)+SUMIFS(D$2:D1239,B$2:B1239,B1239,C$2:C1239,"ENTRADA")-SUMIFS(D$2:D1239,B$2:B1239,B1239,C$2:C1239,"SALIDA")</f>
        <v>5929.9569999999985</v>
      </c>
    </row>
    <row r="1240" spans="1:5" x14ac:dyDescent="0.3">
      <c r="A1240" s="9">
        <f>'Volúmenes DIstribuidos '!B813</f>
        <v>44519</v>
      </c>
      <c r="B1240" s="10" t="str">
        <f>IF(OR('Volúmenes DIstribuidos '!C817="Azúcar",'Volúmenes DIstribuidos '!C817="azúcar"),"Azúcar o dulce",IF('Volúmenes DIstribuidos '!C817="Aceite","Aceite o grasas",IF('Volúmenes DIstribuidos '!C817="Avena","Otros almidones",'Volúmenes DIstribuidos '!C817)))</f>
        <v>Otros almidones</v>
      </c>
      <c r="C1240" s="10" t="s">
        <v>29</v>
      </c>
      <c r="D1240" s="12">
        <f>'Volúmenes DIstribuidos '!D817</f>
        <v>8.59</v>
      </c>
      <c r="E1240" s="12">
        <f>SUMIF('Parametros Inventario'!$A:$A,B1240,'Parametros Inventario'!$B:$B)+SUMIFS(D$2:D1240,B$2:B1240,B1240,C$2:C1240,"ENTRADA")-SUMIFS(D$2:D1240,B$2:B1240,B1240,C$2:C1240,"SALIDA")</f>
        <v>5353.2509999999984</v>
      </c>
    </row>
    <row r="1241" spans="1:5" x14ac:dyDescent="0.3">
      <c r="A1241" s="9">
        <f>'Volúmenes DIstribuidos '!B813</f>
        <v>44519</v>
      </c>
      <c r="B1241" s="10" t="str">
        <f>IF(OR('Volúmenes DIstribuidos '!C818="Azúcar",'Volúmenes DIstribuidos '!C818="azúcar"),"Azúcar o dulce",IF('Volúmenes DIstribuidos '!C818="Aceite","Aceite o grasas",IF('Volúmenes DIstribuidos '!C818="Avena","Otros almidones",'Volúmenes DIstribuidos '!C818)))</f>
        <v>Carnes rojas</v>
      </c>
      <c r="C1241" s="10" t="s">
        <v>29</v>
      </c>
      <c r="D1241" s="12">
        <f>'Volúmenes DIstribuidos '!D818</f>
        <v>13.59</v>
      </c>
      <c r="E1241" s="12">
        <f>SUMIF('Parametros Inventario'!$A:$A,B1241,'Parametros Inventario'!$B:$B)+SUMIFS(D$2:D1241,B$2:B1241,B1241,C$2:C1241,"ENTRADA")-SUMIFS(D$2:D1241,B$2:B1241,B1241,C$2:C1241,"SALIDA")</f>
        <v>6031.433</v>
      </c>
    </row>
    <row r="1242" spans="1:5" x14ac:dyDescent="0.3">
      <c r="A1242" s="9">
        <f>'Volúmenes DIstribuidos '!B819</f>
        <v>44523</v>
      </c>
      <c r="B1242" s="10" t="str">
        <f>IF(OR('Volúmenes DIstribuidos '!C819="Azúcar",'Volúmenes DIstribuidos '!C819="azúcar"),"Azúcar o dulce",IF('Volúmenes DIstribuidos '!C819="Aceite","Aceite o grasas",IF('Volúmenes DIstribuidos '!C819="Avena","Otros almidones",'Volúmenes DIstribuidos '!C819)))</f>
        <v>Azúcar o dulce</v>
      </c>
      <c r="C1242" s="10" t="s">
        <v>29</v>
      </c>
      <c r="D1242" s="12">
        <f>'Volúmenes DIstribuidos '!D819</f>
        <v>25.041</v>
      </c>
      <c r="E1242" s="12">
        <f>SUMIF('Parametros Inventario'!$A:$A,B1242,'Parametros Inventario'!$B:$B)+SUMIFS(D$2:D1242,B$2:B1242,B1242,C$2:C1242,"ENTRADA")-SUMIFS(D$2:D1242,B$2:B1242,B1242,C$2:C1242,"SALIDA")</f>
        <v>6458.5250000000024</v>
      </c>
    </row>
    <row r="1243" spans="1:5" x14ac:dyDescent="0.3">
      <c r="A1243" s="9">
        <f>'Volúmenes DIstribuidos '!B819</f>
        <v>44523</v>
      </c>
      <c r="B1243" s="10" t="str">
        <f>IF(OR('Volúmenes DIstribuidos '!C820="Azúcar",'Volúmenes DIstribuidos '!C820="azúcar"),"Azúcar o dulce",IF('Volúmenes DIstribuidos '!C820="Aceite","Aceite o grasas",IF('Volúmenes DIstribuidos '!C820="Avena","Otros almidones",'Volúmenes DIstribuidos '!C820)))</f>
        <v>Carnes rojas</v>
      </c>
      <c r="C1243" s="10" t="s">
        <v>29</v>
      </c>
      <c r="D1243" s="12">
        <f>'Volúmenes DIstribuidos '!D820</f>
        <v>18.32</v>
      </c>
      <c r="E1243" s="12">
        <f>SUMIF('Parametros Inventario'!$A:$A,B1243,'Parametros Inventario'!$B:$B)+SUMIFS(D$2:D1243,B$2:B1243,B1243,C$2:C1243,"ENTRADA")-SUMIFS(D$2:D1243,B$2:B1243,B1243,C$2:C1243,"SALIDA")</f>
        <v>6013.1129999999994</v>
      </c>
    </row>
    <row r="1244" spans="1:5" x14ac:dyDescent="0.3">
      <c r="A1244" s="9">
        <f>'Volúmenes DIstribuidos '!B819</f>
        <v>44523</v>
      </c>
      <c r="B1244" s="10" t="str">
        <f>IF(OR('Volúmenes DIstribuidos '!C821="Azúcar",'Volúmenes DIstribuidos '!C821="azúcar"),"Azúcar o dulce",IF('Volúmenes DIstribuidos '!C821="Aceite","Aceite o grasas",IF('Volúmenes DIstribuidos '!C821="Avena","Otros almidones",'Volúmenes DIstribuidos '!C821)))</f>
        <v>Lácteos</v>
      </c>
      <c r="C1244" s="10" t="s">
        <v>29</v>
      </c>
      <c r="D1244" s="12">
        <f>'Volúmenes DIstribuidos '!D821</f>
        <v>40.98</v>
      </c>
      <c r="E1244" s="12">
        <f>SUMIF('Parametros Inventario'!$A:$A,B1244,'Parametros Inventario'!$B:$B)+SUMIFS(D$2:D1244,B$2:B1244,B1244,C$2:C1244,"ENTRADA")-SUMIFS(D$2:D1244,B$2:B1244,B1244,C$2:C1244,"SALIDA")</f>
        <v>5058.1829999999973</v>
      </c>
    </row>
    <row r="1245" spans="1:5" x14ac:dyDescent="0.3">
      <c r="A1245" s="9">
        <f>'Volúmenes DIstribuidos '!B819</f>
        <v>44523</v>
      </c>
      <c r="B1245" s="10" t="str">
        <f>IF(OR('Volúmenes DIstribuidos '!C822="Azúcar",'Volúmenes DIstribuidos '!C822="azúcar"),"Azúcar o dulce",IF('Volúmenes DIstribuidos '!C822="Aceite","Aceite o grasas",IF('Volúmenes DIstribuidos '!C822="Avena","Otros almidones",'Volúmenes DIstribuidos '!C822)))</f>
        <v>Fideo</v>
      </c>
      <c r="C1245" s="10" t="s">
        <v>29</v>
      </c>
      <c r="D1245" s="12">
        <f>'Volúmenes DIstribuidos '!D822</f>
        <v>18.54</v>
      </c>
      <c r="E1245" s="12">
        <f>SUMIF('Parametros Inventario'!$A:$A,B1245,'Parametros Inventario'!$B:$B)+SUMIFS(D$2:D1245,B$2:B1245,B1245,C$2:C1245,"ENTRADA")-SUMIFS(D$2:D1245,B$2:B1245,B1245,C$2:C1245,"SALIDA")</f>
        <v>6074.1050000000005</v>
      </c>
    </row>
    <row r="1246" spans="1:5" x14ac:dyDescent="0.3">
      <c r="A1246" s="9">
        <f>'Volúmenes DIstribuidos '!B819</f>
        <v>44523</v>
      </c>
      <c r="B1246" s="10" t="str">
        <f>IF(OR('Volúmenes DIstribuidos '!C823="Azúcar",'Volúmenes DIstribuidos '!C823="azúcar"),"Azúcar o dulce",IF('Volúmenes DIstribuidos '!C823="Aceite","Aceite o grasas",IF('Volúmenes DIstribuidos '!C823="Avena","Otros almidones",'Volúmenes DIstribuidos '!C823)))</f>
        <v>Carnes blancas</v>
      </c>
      <c r="C1246" s="10" t="s">
        <v>29</v>
      </c>
      <c r="D1246" s="12">
        <f>'Volúmenes DIstribuidos '!D823</f>
        <v>16.22</v>
      </c>
      <c r="E1246" s="12">
        <f>SUMIF('Parametros Inventario'!$A:$A,B1246,'Parametros Inventario'!$B:$B)+SUMIFS(D$2:D1246,B$2:B1246,B1246,C$2:C1246,"ENTRADA")-SUMIFS(D$2:D1246,B$2:B1246,B1246,C$2:C1246,"SALIDA")</f>
        <v>5834.6660000000011</v>
      </c>
    </row>
    <row r="1247" spans="1:5" x14ac:dyDescent="0.3">
      <c r="A1247" s="9">
        <f>'Volúmenes DIstribuidos '!B819</f>
        <v>44523</v>
      </c>
      <c r="B1247" s="10" t="str">
        <f>IF(OR('Volúmenes DIstribuidos '!C824="Azúcar",'Volúmenes DIstribuidos '!C824="azúcar"),"Azúcar o dulce",IF('Volúmenes DIstribuidos '!C824="Aceite","Aceite o grasas",IF('Volúmenes DIstribuidos '!C824="Avena","Otros almidones",'Volúmenes DIstribuidos '!C824)))</f>
        <v>Menestras</v>
      </c>
      <c r="C1247" s="10" t="s">
        <v>29</v>
      </c>
      <c r="D1247" s="12">
        <f>'Volúmenes DIstribuidos '!D824</f>
        <v>26.58</v>
      </c>
      <c r="E1247" s="12">
        <f>SUMIF('Parametros Inventario'!$A:$A,B1247,'Parametros Inventario'!$B:$B)+SUMIFS(D$2:D1247,B$2:B1247,B1247,C$2:C1247,"ENTRADA")-SUMIFS(D$2:D1247,B$2:B1247,B1247,C$2:C1247,"SALIDA")</f>
        <v>5412.7690000000002</v>
      </c>
    </row>
    <row r="1248" spans="1:5" x14ac:dyDescent="0.3">
      <c r="A1248" s="9">
        <f>'Volúmenes DIstribuidos '!B825</f>
        <v>44526</v>
      </c>
      <c r="B1248" s="10" t="str">
        <f>IF(OR('Volúmenes DIstribuidos '!C825="Azúcar",'Volúmenes DIstribuidos '!C825="azúcar"),"Azúcar o dulce",IF('Volúmenes DIstribuidos '!C825="Aceite","Aceite o grasas",IF('Volúmenes DIstribuidos '!C825="Avena","Otros almidones",'Volúmenes DIstribuidos '!C825)))</f>
        <v>Panadería</v>
      </c>
      <c r="C1248" s="10" t="s">
        <v>29</v>
      </c>
      <c r="D1248" s="12">
        <f>'Volúmenes DIstribuidos '!D825</f>
        <v>53.27</v>
      </c>
      <c r="E1248" s="12">
        <f>SUMIF('Parametros Inventario'!$A:$A,B1248,'Parametros Inventario'!$B:$B)+SUMIFS(D$2:D1248,B$2:B1248,B1248,C$2:C1248,"ENTRADA")-SUMIFS(D$2:D1248,B$2:B1248,B1248,C$2:C1248,"SALIDA")</f>
        <v>3919.4580000000005</v>
      </c>
    </row>
    <row r="1249" spans="1:5" x14ac:dyDescent="0.3">
      <c r="A1249" s="9">
        <f>'Volúmenes DIstribuidos '!B825</f>
        <v>44526</v>
      </c>
      <c r="B1249" s="10" t="str">
        <f>IF(OR('Volúmenes DIstribuidos '!C826="Azúcar",'Volúmenes DIstribuidos '!C826="azúcar"),"Azúcar o dulce",IF('Volúmenes DIstribuidos '!C826="Aceite","Aceite o grasas",IF('Volúmenes DIstribuidos '!C826="Avena","Otros almidones",'Volúmenes DIstribuidos '!C826)))</f>
        <v>Carnes rojas</v>
      </c>
      <c r="C1249" s="10" t="s">
        <v>29</v>
      </c>
      <c r="D1249" s="12">
        <f>'Volúmenes DIstribuidos '!D826</f>
        <v>29.24</v>
      </c>
      <c r="E1249" s="12">
        <f>SUMIF('Parametros Inventario'!$A:$A,B1249,'Parametros Inventario'!$B:$B)+SUMIFS(D$2:D1249,B$2:B1249,B1249,C$2:C1249,"ENTRADA")-SUMIFS(D$2:D1249,B$2:B1249,B1249,C$2:C1249,"SALIDA")</f>
        <v>5983.8729999999996</v>
      </c>
    </row>
    <row r="1250" spans="1:5" x14ac:dyDescent="0.3">
      <c r="A1250" s="9">
        <f>'Volúmenes DIstribuidos '!B825</f>
        <v>44526</v>
      </c>
      <c r="B1250" s="10" t="str">
        <f>IF(OR('Volúmenes DIstribuidos '!C827="Azúcar",'Volúmenes DIstribuidos '!C827="azúcar"),"Azúcar o dulce",IF('Volúmenes DIstribuidos '!C827="Aceite","Aceite o grasas",IF('Volúmenes DIstribuidos '!C827="Avena","Otros almidones",'Volúmenes DIstribuidos '!C827)))</f>
        <v>Lácteos</v>
      </c>
      <c r="C1250" s="10" t="s">
        <v>29</v>
      </c>
      <c r="D1250" s="12">
        <f>'Volúmenes DIstribuidos '!D827</f>
        <v>93.585999999999999</v>
      </c>
      <c r="E1250" s="12">
        <f>SUMIF('Parametros Inventario'!$A:$A,B1250,'Parametros Inventario'!$B:$B)+SUMIFS(D$2:D1250,B$2:B1250,B1250,C$2:C1250,"ENTRADA")-SUMIFS(D$2:D1250,B$2:B1250,B1250,C$2:C1250,"SALIDA")</f>
        <v>4964.5969999999979</v>
      </c>
    </row>
    <row r="1251" spans="1:5" x14ac:dyDescent="0.3">
      <c r="A1251" s="9">
        <f>'Volúmenes DIstribuidos '!B825</f>
        <v>44526</v>
      </c>
      <c r="B1251" s="10" t="str">
        <f>IF(OR('Volúmenes DIstribuidos '!C828="Azúcar",'Volúmenes DIstribuidos '!C828="azúcar"),"Azúcar o dulce",IF('Volúmenes DIstribuidos '!C828="Aceite","Aceite o grasas",IF('Volúmenes DIstribuidos '!C828="Avena","Otros almidones",'Volúmenes DIstribuidos '!C828)))</f>
        <v>Fideo</v>
      </c>
      <c r="C1251" s="10" t="s">
        <v>29</v>
      </c>
      <c r="D1251" s="12">
        <f>'Volúmenes DIstribuidos '!D828</f>
        <v>26.4</v>
      </c>
      <c r="E1251" s="12">
        <f>SUMIF('Parametros Inventario'!$A:$A,B1251,'Parametros Inventario'!$B:$B)+SUMIFS(D$2:D1251,B$2:B1251,B1251,C$2:C1251,"ENTRADA")-SUMIFS(D$2:D1251,B$2:B1251,B1251,C$2:C1251,"SALIDA")</f>
        <v>6047.7049999999999</v>
      </c>
    </row>
    <row r="1252" spans="1:5" x14ac:dyDescent="0.3">
      <c r="A1252" s="9">
        <f>'Volúmenes DIstribuidos '!B825</f>
        <v>44526</v>
      </c>
      <c r="B1252" s="10" t="str">
        <f>IF(OR('Volúmenes DIstribuidos '!C829="Azúcar",'Volúmenes DIstribuidos '!C829="azúcar"),"Azúcar o dulce",IF('Volúmenes DIstribuidos '!C829="Aceite","Aceite o grasas",IF('Volúmenes DIstribuidos '!C829="Avena","Otros almidones",'Volúmenes DIstribuidos '!C829)))</f>
        <v>Menestras</v>
      </c>
      <c r="C1252" s="10" t="s">
        <v>29</v>
      </c>
      <c r="D1252" s="12">
        <f>'Volúmenes DIstribuidos '!D829</f>
        <v>49.68</v>
      </c>
      <c r="E1252" s="12">
        <f>SUMIF('Parametros Inventario'!$A:$A,B1252,'Parametros Inventario'!$B:$B)+SUMIFS(D$2:D1252,B$2:B1252,B1252,C$2:C1252,"ENTRADA")-SUMIFS(D$2:D1252,B$2:B1252,B1252,C$2:C1252,"SALIDA")</f>
        <v>5363.0890000000009</v>
      </c>
    </row>
    <row r="1253" spans="1:5" x14ac:dyDescent="0.3">
      <c r="A1253" s="9">
        <f>'Volúmenes DIstribuidos '!B825</f>
        <v>44526</v>
      </c>
      <c r="B1253" s="10" t="str">
        <f>IF(OR('Volúmenes DIstribuidos '!C830="Azúcar",'Volúmenes DIstribuidos '!C830="azúcar"),"Azúcar o dulce",IF('Volúmenes DIstribuidos '!C830="Aceite","Aceite o grasas",IF('Volúmenes DIstribuidos '!C830="Avena","Otros almidones",'Volúmenes DIstribuidos '!C830)))</f>
        <v>Panadería</v>
      </c>
      <c r="C1253" s="10" t="s">
        <v>29</v>
      </c>
      <c r="D1253" s="12">
        <f>'Volúmenes DIstribuidos '!D830</f>
        <v>13.71</v>
      </c>
      <c r="E1253" s="12">
        <f>SUMIF('Parametros Inventario'!$A:$A,B1253,'Parametros Inventario'!$B:$B)+SUMIFS(D$2:D1253,B$2:B1253,B1253,C$2:C1253,"ENTRADA")-SUMIFS(D$2:D1253,B$2:B1253,B1253,C$2:C1253,"SALIDA")</f>
        <v>3905.7480000000005</v>
      </c>
    </row>
    <row r="1254" spans="1:5" x14ac:dyDescent="0.3">
      <c r="A1254" s="9">
        <f>'Volúmenes DIstribuidos '!B831</f>
        <v>44530</v>
      </c>
      <c r="B1254" s="10" t="str">
        <f>IF(OR('Volúmenes DIstribuidos '!C831="Azúcar",'Volúmenes DIstribuidos '!C831="azúcar"),"Azúcar o dulce",IF('Volúmenes DIstribuidos '!C831="Aceite","Aceite o grasas",IF('Volúmenes DIstribuidos '!C831="Avena","Otros almidones",'Volúmenes DIstribuidos '!C831)))</f>
        <v>Salsas</v>
      </c>
      <c r="C1254" s="10" t="s">
        <v>29</v>
      </c>
      <c r="D1254" s="12">
        <f>'Volúmenes DIstribuidos '!D831</f>
        <v>11.47</v>
      </c>
      <c r="E1254" s="12">
        <f>SUMIF('Parametros Inventario'!$A:$A,B1254,'Parametros Inventario'!$B:$B)+SUMIFS(D$2:D1254,B$2:B1254,B1254,C$2:C1254,"ENTRADA")-SUMIFS(D$2:D1254,B$2:B1254,B1254,C$2:C1254,"SALIDA")</f>
        <v>5918.4869999999992</v>
      </c>
    </row>
    <row r="1255" spans="1:5" x14ac:dyDescent="0.3">
      <c r="A1255" s="9">
        <f>'Volúmenes DIstribuidos '!B831</f>
        <v>44530</v>
      </c>
      <c r="B1255" s="10" t="str">
        <f>IF(OR('Volúmenes DIstribuidos '!C832="Azúcar",'Volúmenes DIstribuidos '!C832="azúcar"),"Azúcar o dulce",IF('Volúmenes DIstribuidos '!C832="Aceite","Aceite o grasas",IF('Volúmenes DIstribuidos '!C832="Avena","Otros almidones",'Volúmenes DIstribuidos '!C832)))</f>
        <v>Carnes rojas</v>
      </c>
      <c r="C1255" s="10" t="s">
        <v>29</v>
      </c>
      <c r="D1255" s="12">
        <f>'Volúmenes DIstribuidos '!D832</f>
        <v>30.306000000000001</v>
      </c>
      <c r="E1255" s="12">
        <f>SUMIF('Parametros Inventario'!$A:$A,B1255,'Parametros Inventario'!$B:$B)+SUMIFS(D$2:D1255,B$2:B1255,B1255,C$2:C1255,"ENTRADA")-SUMIFS(D$2:D1255,B$2:B1255,B1255,C$2:C1255,"SALIDA")</f>
        <v>5953.567</v>
      </c>
    </row>
    <row r="1256" spans="1:5" x14ac:dyDescent="0.3">
      <c r="A1256" s="9">
        <f>'Volúmenes DIstribuidos '!B831</f>
        <v>44530</v>
      </c>
      <c r="B1256" s="10" t="str">
        <f>IF(OR('Volúmenes DIstribuidos '!C833="Azúcar",'Volúmenes DIstribuidos '!C833="azúcar"),"Azúcar o dulce",IF('Volúmenes DIstribuidos '!C833="Aceite","Aceite o grasas",IF('Volúmenes DIstribuidos '!C833="Avena","Otros almidones",'Volúmenes DIstribuidos '!C833)))</f>
        <v>Carnes blancas</v>
      </c>
      <c r="C1256" s="10" t="s">
        <v>29</v>
      </c>
      <c r="D1256" s="12">
        <f>'Volúmenes DIstribuidos '!D833</f>
        <v>16.829999999999998</v>
      </c>
      <c r="E1256" s="12">
        <f>SUMIF('Parametros Inventario'!$A:$A,B1256,'Parametros Inventario'!$B:$B)+SUMIFS(D$2:D1256,B$2:B1256,B1256,C$2:C1256,"ENTRADA")-SUMIFS(D$2:D1256,B$2:B1256,B1256,C$2:C1256,"SALIDA")</f>
        <v>5817.8360000000011</v>
      </c>
    </row>
    <row r="1257" spans="1:5" x14ac:dyDescent="0.3">
      <c r="A1257" s="9">
        <f>'Volúmenes DIstribuidos '!B831</f>
        <v>44530</v>
      </c>
      <c r="B1257" s="10" t="str">
        <f>IF(OR('Volúmenes DIstribuidos '!C834="Azúcar",'Volúmenes DIstribuidos '!C834="azúcar"),"Azúcar o dulce",IF('Volúmenes DIstribuidos '!C834="Aceite","Aceite o grasas",IF('Volúmenes DIstribuidos '!C834="Avena","Otros almidones",'Volúmenes DIstribuidos '!C834)))</f>
        <v>Panadería</v>
      </c>
      <c r="C1257" s="10" t="s">
        <v>29</v>
      </c>
      <c r="D1257" s="12">
        <f>'Volúmenes DIstribuidos '!D834</f>
        <v>29.91</v>
      </c>
      <c r="E1257" s="12">
        <f>SUMIF('Parametros Inventario'!$A:$A,B1257,'Parametros Inventario'!$B:$B)+SUMIFS(D$2:D1257,B$2:B1257,B1257,C$2:C1257,"ENTRADA")-SUMIFS(D$2:D1257,B$2:B1257,B1257,C$2:C1257,"SALIDA")</f>
        <v>3875.8380000000006</v>
      </c>
    </row>
    <row r="1258" spans="1:5" x14ac:dyDescent="0.3">
      <c r="A1258" s="9">
        <f>'Volúmenes DIstribuidos '!B831</f>
        <v>44530</v>
      </c>
      <c r="B1258" s="10" t="str">
        <f>IF(OR('Volúmenes DIstribuidos '!C835="Azúcar",'Volúmenes DIstribuidos '!C835="azúcar"),"Azúcar o dulce",IF('Volúmenes DIstribuidos '!C835="Aceite","Aceite o grasas",IF('Volúmenes DIstribuidos '!C835="Avena","Otros almidones",'Volúmenes DIstribuidos '!C835)))</f>
        <v>Carnes rojas</v>
      </c>
      <c r="C1258" s="10" t="s">
        <v>29</v>
      </c>
      <c r="D1258" s="12">
        <f>'Volúmenes DIstribuidos '!D835</f>
        <v>89.76</v>
      </c>
      <c r="E1258" s="12">
        <f>SUMIF('Parametros Inventario'!$A:$A,B1258,'Parametros Inventario'!$B:$B)+SUMIFS(D$2:D1258,B$2:B1258,B1258,C$2:C1258,"ENTRADA")-SUMIFS(D$2:D1258,B$2:B1258,B1258,C$2:C1258,"SALIDA")</f>
        <v>5863.8069999999998</v>
      </c>
    </row>
    <row r="1259" spans="1:5" x14ac:dyDescent="0.3">
      <c r="A1259" s="9">
        <f>'Volúmenes DIstribuidos '!B831</f>
        <v>44530</v>
      </c>
      <c r="B1259" s="10" t="str">
        <f>IF(OR('Volúmenes DIstribuidos '!C836="Azúcar",'Volúmenes DIstribuidos '!C836="azúcar"),"Azúcar o dulce",IF('Volúmenes DIstribuidos '!C836="Aceite","Aceite o grasas",IF('Volúmenes DIstribuidos '!C836="Avena","Otros almidones",'Volúmenes DIstribuidos '!C836)))</f>
        <v>Azúcar o dulce</v>
      </c>
      <c r="C1259" s="10" t="s">
        <v>29</v>
      </c>
      <c r="D1259" s="12">
        <f>'Volúmenes DIstribuidos '!D836</f>
        <v>14.76</v>
      </c>
      <c r="E1259" s="12">
        <f>SUMIF('Parametros Inventario'!$A:$A,B1259,'Parametros Inventario'!$B:$B)+SUMIFS(D$2:D1259,B$2:B1259,B1259,C$2:C1259,"ENTRADA")-SUMIFS(D$2:D1259,B$2:B1259,B1259,C$2:C1259,"SALIDA")</f>
        <v>6443.7650000000021</v>
      </c>
    </row>
    <row r="1260" spans="1:5" x14ac:dyDescent="0.3">
      <c r="A1260" s="9">
        <f>'Volúmenes DIstribuidos '!B837</f>
        <v>44533</v>
      </c>
      <c r="B1260" s="10" t="str">
        <f>IF(OR('Volúmenes DIstribuidos '!C837="Azúcar",'Volúmenes DIstribuidos '!C837="azúcar"),"Azúcar o dulce",IF('Volúmenes DIstribuidos '!C837="Aceite","Aceite o grasas",IF('Volúmenes DIstribuidos '!C837="Avena","Otros almidones",'Volúmenes DIstribuidos '!C837)))</f>
        <v>Aceite o grasas</v>
      </c>
      <c r="C1260" s="10" t="s">
        <v>29</v>
      </c>
      <c r="D1260" s="12">
        <f>'Volúmenes DIstribuidos '!D837</f>
        <v>5.61</v>
      </c>
      <c r="E1260" s="12">
        <f>SUMIF('Parametros Inventario'!$A:$A,B1260,'Parametros Inventario'!$B:$B)+SUMIFS(D$2:D1260,B$2:B1260,B1260,C$2:C1260,"ENTRADA")-SUMIFS(D$2:D1260,B$2:B1260,B1260,C$2:C1260,"SALIDA")</f>
        <v>4913.4810000000016</v>
      </c>
    </row>
    <row r="1261" spans="1:5" x14ac:dyDescent="0.3">
      <c r="A1261" s="9">
        <f>'Volúmenes DIstribuidos '!B837</f>
        <v>44533</v>
      </c>
      <c r="B1261" s="10" t="str">
        <f>IF(OR('Volúmenes DIstribuidos '!C838="Azúcar",'Volúmenes DIstribuidos '!C838="azúcar"),"Azúcar o dulce",IF('Volúmenes DIstribuidos '!C838="Aceite","Aceite o grasas",IF('Volúmenes DIstribuidos '!C838="Avena","Otros almidones",'Volúmenes DIstribuidos '!C838)))</f>
        <v>Salsas</v>
      </c>
      <c r="C1261" s="10" t="s">
        <v>29</v>
      </c>
      <c r="D1261" s="12">
        <f>'Volúmenes DIstribuidos '!D838</f>
        <v>26.58</v>
      </c>
      <c r="E1261" s="12">
        <f>SUMIF('Parametros Inventario'!$A:$A,B1261,'Parametros Inventario'!$B:$B)+SUMIFS(D$2:D1261,B$2:B1261,B1261,C$2:C1261,"ENTRADA")-SUMIFS(D$2:D1261,B$2:B1261,B1261,C$2:C1261,"SALIDA")</f>
        <v>5891.9069999999992</v>
      </c>
    </row>
    <row r="1262" spans="1:5" x14ac:dyDescent="0.3">
      <c r="A1262" s="9">
        <f>'Volúmenes DIstribuidos '!B837</f>
        <v>44533</v>
      </c>
      <c r="B1262" s="10" t="str">
        <f>IF(OR('Volúmenes DIstribuidos '!C839="Azúcar",'Volúmenes DIstribuidos '!C839="azúcar"),"Azúcar o dulce",IF('Volúmenes DIstribuidos '!C839="Aceite","Aceite o grasas",IF('Volúmenes DIstribuidos '!C839="Avena","Otros almidones",'Volúmenes DIstribuidos '!C839)))</f>
        <v>Azúcar o dulce</v>
      </c>
      <c r="C1262" s="10" t="s">
        <v>29</v>
      </c>
      <c r="D1262" s="12">
        <f>'Volúmenes DIstribuidos '!D839</f>
        <v>23.7</v>
      </c>
      <c r="E1262" s="12">
        <f>SUMIF('Parametros Inventario'!$A:$A,B1262,'Parametros Inventario'!$B:$B)+SUMIFS(D$2:D1262,B$2:B1262,B1262,C$2:C1262,"ENTRADA")-SUMIFS(D$2:D1262,B$2:B1262,B1262,C$2:C1262,"SALIDA")</f>
        <v>6420.0650000000023</v>
      </c>
    </row>
    <row r="1263" spans="1:5" x14ac:dyDescent="0.3">
      <c r="A1263" s="9">
        <f>'Volúmenes DIstribuidos '!B837</f>
        <v>44533</v>
      </c>
      <c r="B1263" s="10" t="str">
        <f>IF(OR('Volúmenes DIstribuidos '!C840="Azúcar",'Volúmenes DIstribuidos '!C840="azúcar"),"Azúcar o dulce",IF('Volúmenes DIstribuidos '!C840="Aceite","Aceite o grasas",IF('Volúmenes DIstribuidos '!C840="Avena","Otros almidones",'Volúmenes DIstribuidos '!C840)))</f>
        <v>Otros almidones</v>
      </c>
      <c r="C1263" s="10" t="s">
        <v>29</v>
      </c>
      <c r="D1263" s="12">
        <f>'Volúmenes DIstribuidos '!D840</f>
        <v>20.9</v>
      </c>
      <c r="E1263" s="12">
        <f>SUMIF('Parametros Inventario'!$A:$A,B1263,'Parametros Inventario'!$B:$B)+SUMIFS(D$2:D1263,B$2:B1263,B1263,C$2:C1263,"ENTRADA")-SUMIFS(D$2:D1263,B$2:B1263,B1263,C$2:C1263,"SALIDA")</f>
        <v>5332.3509999999987</v>
      </c>
    </row>
    <row r="1264" spans="1:5" x14ac:dyDescent="0.3">
      <c r="A1264" s="9">
        <f>'Volúmenes DIstribuidos '!B837</f>
        <v>44533</v>
      </c>
      <c r="B1264" s="10" t="str">
        <f>IF(OR('Volúmenes DIstribuidos '!C841="Azúcar",'Volúmenes DIstribuidos '!C841="azúcar"),"Azúcar o dulce",IF('Volúmenes DIstribuidos '!C841="Aceite","Aceite o grasas",IF('Volúmenes DIstribuidos '!C841="Avena","Otros almidones",'Volúmenes DIstribuidos '!C841)))</f>
        <v>Panadería</v>
      </c>
      <c r="C1264" s="10" t="s">
        <v>29</v>
      </c>
      <c r="D1264" s="12">
        <f>'Volúmenes DIstribuidos '!D841</f>
        <v>80.058000000000007</v>
      </c>
      <c r="E1264" s="12">
        <f>SUMIF('Parametros Inventario'!$A:$A,B1264,'Parametros Inventario'!$B:$B)+SUMIFS(D$2:D1264,B$2:B1264,B1264,C$2:C1264,"ENTRADA")-SUMIFS(D$2:D1264,B$2:B1264,B1264,C$2:C1264,"SALIDA")</f>
        <v>3795.7800000000007</v>
      </c>
    </row>
    <row r="1265" spans="1:5" x14ac:dyDescent="0.3">
      <c r="A1265" s="9">
        <f>'Volúmenes DIstribuidos '!B837</f>
        <v>44533</v>
      </c>
      <c r="B1265" s="10" t="str">
        <f>IF(OR('Volúmenes DIstribuidos '!C842="Azúcar",'Volúmenes DIstribuidos '!C842="azúcar"),"Azúcar o dulce",IF('Volúmenes DIstribuidos '!C842="Aceite","Aceite o grasas",IF('Volúmenes DIstribuidos '!C842="Avena","Otros almidones",'Volúmenes DIstribuidos '!C842)))</f>
        <v>Azúcar o dulce</v>
      </c>
      <c r="C1265" s="10" t="s">
        <v>29</v>
      </c>
      <c r="D1265" s="12">
        <f>'Volúmenes DIstribuidos '!D842</f>
        <v>19.97</v>
      </c>
      <c r="E1265" s="12">
        <f>SUMIF('Parametros Inventario'!$A:$A,B1265,'Parametros Inventario'!$B:$B)+SUMIFS(D$2:D1265,B$2:B1265,B1265,C$2:C1265,"ENTRADA")-SUMIFS(D$2:D1265,B$2:B1265,B1265,C$2:C1265,"SALIDA")</f>
        <v>6400.095000000003</v>
      </c>
    </row>
    <row r="1266" spans="1:5" x14ac:dyDescent="0.3">
      <c r="A1266" s="9">
        <f>'Volúmenes DIstribuidos '!B843</f>
        <v>44537</v>
      </c>
      <c r="B1266" s="10" t="str">
        <f>IF(OR('Volúmenes DIstribuidos '!C843="Azúcar",'Volúmenes DIstribuidos '!C843="azúcar"),"Azúcar o dulce",IF('Volúmenes DIstribuidos '!C843="Aceite","Aceite o grasas",IF('Volúmenes DIstribuidos '!C843="Avena","Otros almidones",'Volúmenes DIstribuidos '!C843)))</f>
        <v>Carnes blancas</v>
      </c>
      <c r="C1266" s="10" t="s">
        <v>29</v>
      </c>
      <c r="D1266" s="12">
        <f>'Volúmenes DIstribuidos '!D843</f>
        <v>30.17</v>
      </c>
      <c r="E1266" s="12">
        <f>SUMIF('Parametros Inventario'!$A:$A,B1266,'Parametros Inventario'!$B:$B)+SUMIFS(D$2:D1266,B$2:B1266,B1266,C$2:C1266,"ENTRADA")-SUMIFS(D$2:D1266,B$2:B1266,B1266,C$2:C1266,"SALIDA")</f>
        <v>5787.6660000000011</v>
      </c>
    </row>
    <row r="1267" spans="1:5" x14ac:dyDescent="0.3">
      <c r="A1267" s="9">
        <f>'Volúmenes DIstribuidos '!B843</f>
        <v>44537</v>
      </c>
      <c r="B1267" s="10" t="str">
        <f>IF(OR('Volúmenes DIstribuidos '!C844="Azúcar",'Volúmenes DIstribuidos '!C844="azúcar"),"Azúcar o dulce",IF('Volúmenes DIstribuidos '!C844="Aceite","Aceite o grasas",IF('Volúmenes DIstribuidos '!C844="Avena","Otros almidones",'Volúmenes DIstribuidos '!C844)))</f>
        <v>Vegetales y hojas</v>
      </c>
      <c r="C1267" s="10" t="s">
        <v>29</v>
      </c>
      <c r="D1267" s="12">
        <f>'Volúmenes DIstribuidos '!D844</f>
        <v>57.28</v>
      </c>
      <c r="E1267" s="12">
        <f>SUMIF('Parametros Inventario'!$A:$A,B1267,'Parametros Inventario'!$B:$B)+SUMIFS(D$2:D1267,B$2:B1267,B1267,C$2:C1267,"ENTRADA")-SUMIFS(D$2:D1267,B$2:B1267,B1267,C$2:C1267,"SALIDA")</f>
        <v>5921.0069999999978</v>
      </c>
    </row>
    <row r="1268" spans="1:5" x14ac:dyDescent="0.3">
      <c r="A1268" s="9">
        <f>'Volúmenes DIstribuidos '!B843</f>
        <v>44537</v>
      </c>
      <c r="B1268" s="10" t="str">
        <f>IF(OR('Volúmenes DIstribuidos '!C845="Azúcar",'Volúmenes DIstribuidos '!C845="azúcar"),"Azúcar o dulce",IF('Volúmenes DIstribuidos '!C845="Aceite","Aceite o grasas",IF('Volúmenes DIstribuidos '!C845="Avena","Otros almidones",'Volúmenes DIstribuidos '!C845)))</f>
        <v>Carnes rojas</v>
      </c>
      <c r="C1268" s="10" t="s">
        <v>29</v>
      </c>
      <c r="D1268" s="12">
        <f>'Volúmenes DIstribuidos '!D845</f>
        <v>31.283000000000001</v>
      </c>
      <c r="E1268" s="12">
        <f>SUMIF('Parametros Inventario'!$A:$A,B1268,'Parametros Inventario'!$B:$B)+SUMIFS(D$2:D1268,B$2:B1268,B1268,C$2:C1268,"ENTRADA")-SUMIFS(D$2:D1268,B$2:B1268,B1268,C$2:C1268,"SALIDA")</f>
        <v>5832.5239999999994</v>
      </c>
    </row>
    <row r="1269" spans="1:5" x14ac:dyDescent="0.3">
      <c r="A1269" s="9">
        <f>'Volúmenes DIstribuidos '!B843</f>
        <v>44537</v>
      </c>
      <c r="B1269" s="10" t="str">
        <f>IF(OR('Volúmenes DIstribuidos '!C846="Azúcar",'Volúmenes DIstribuidos '!C846="azúcar"),"Azúcar o dulce",IF('Volúmenes DIstribuidos '!C846="Aceite","Aceite o grasas",IF('Volúmenes DIstribuidos '!C846="Avena","Otros almidones",'Volúmenes DIstribuidos '!C846)))</f>
        <v>Menestras</v>
      </c>
      <c r="C1269" s="10" t="s">
        <v>29</v>
      </c>
      <c r="D1269" s="12">
        <f>'Volúmenes DIstribuidos '!D846</f>
        <v>46.36</v>
      </c>
      <c r="E1269" s="12">
        <f>SUMIF('Parametros Inventario'!$A:$A,B1269,'Parametros Inventario'!$B:$B)+SUMIFS(D$2:D1269,B$2:B1269,B1269,C$2:C1269,"ENTRADA")-SUMIFS(D$2:D1269,B$2:B1269,B1269,C$2:C1269,"SALIDA")</f>
        <v>5316.7290000000012</v>
      </c>
    </row>
    <row r="1270" spans="1:5" x14ac:dyDescent="0.3">
      <c r="A1270" s="9">
        <f>'Volúmenes DIstribuidos '!B843</f>
        <v>44537</v>
      </c>
      <c r="B1270" s="10" t="str">
        <f>IF(OR('Volúmenes DIstribuidos '!C847="Azúcar",'Volúmenes DIstribuidos '!C847="azúcar"),"Azúcar o dulce",IF('Volúmenes DIstribuidos '!C847="Aceite","Aceite o grasas",IF('Volúmenes DIstribuidos '!C847="Avena","Otros almidones",'Volúmenes DIstribuidos '!C847)))</f>
        <v>Fideo</v>
      </c>
      <c r="C1270" s="10" t="s">
        <v>29</v>
      </c>
      <c r="D1270" s="12">
        <f>'Volúmenes DIstribuidos '!D847</f>
        <v>42.12</v>
      </c>
      <c r="E1270" s="12">
        <f>SUMIF('Parametros Inventario'!$A:$A,B1270,'Parametros Inventario'!$B:$B)+SUMIFS(D$2:D1270,B$2:B1270,B1270,C$2:C1270,"ENTRADA")-SUMIFS(D$2:D1270,B$2:B1270,B1270,C$2:C1270,"SALIDA")</f>
        <v>6005.5850000000009</v>
      </c>
    </row>
    <row r="1271" spans="1:5" x14ac:dyDescent="0.3">
      <c r="A1271" s="9">
        <f>'Volúmenes DIstribuidos '!B843</f>
        <v>44537</v>
      </c>
      <c r="B1271" s="10" t="str">
        <f>IF(OR('Volúmenes DIstribuidos '!C848="Azúcar",'Volúmenes DIstribuidos '!C848="azúcar"),"Azúcar o dulce",IF('Volúmenes DIstribuidos '!C848="Aceite","Aceite o grasas",IF('Volúmenes DIstribuidos '!C848="Avena","Otros almidones",'Volúmenes DIstribuidos '!C848)))</f>
        <v>Otros almidones</v>
      </c>
      <c r="C1271" s="10" t="s">
        <v>29</v>
      </c>
      <c r="D1271" s="12">
        <f>'Volúmenes DIstribuidos '!D848</f>
        <v>13.837</v>
      </c>
      <c r="E1271" s="12">
        <f>SUMIF('Parametros Inventario'!$A:$A,B1271,'Parametros Inventario'!$B:$B)+SUMIFS(D$2:D1271,B$2:B1271,B1271,C$2:C1271,"ENTRADA")-SUMIFS(D$2:D1271,B$2:B1271,B1271,C$2:C1271,"SALIDA")</f>
        <v>5318.5139999999983</v>
      </c>
    </row>
    <row r="1272" spans="1:5" x14ac:dyDescent="0.3">
      <c r="A1272" s="9">
        <v>44540</v>
      </c>
      <c r="B1272" s="10" t="s">
        <v>16</v>
      </c>
      <c r="C1272" s="10" t="s">
        <v>28</v>
      </c>
      <c r="D1272" s="12">
        <v>207.83</v>
      </c>
      <c r="E1272" s="12">
        <f>SUMIF('Parametros Inventario'!$A:$A,B1272,'Parametros Inventario'!$B:$B)+SUMIFS(D$2:D1272,B$2:B1272,B1272,C$2:C1272,"ENTRADA")-SUMIFS(D$2:D1272,B$2:B1272,B1272,C$2:C1272,"SALIDA")</f>
        <v>5995.4959999999992</v>
      </c>
    </row>
    <row r="1273" spans="1:5" x14ac:dyDescent="0.3">
      <c r="A1273" s="9">
        <v>44540</v>
      </c>
      <c r="B1273" s="10" t="s">
        <v>17</v>
      </c>
      <c r="C1273" s="10" t="s">
        <v>28</v>
      </c>
      <c r="D1273" s="12">
        <v>278.18</v>
      </c>
      <c r="E1273" s="12">
        <f>SUMIF('Parametros Inventario'!$A:$A,B1273,'Parametros Inventario'!$B:$B)+SUMIFS(D$2:D1273,B$2:B1273,B1273,C$2:C1273,"ENTRADA")-SUMIFS(D$2:D1273,B$2:B1273,B1273,C$2:C1273,"SALIDA")</f>
        <v>5242.7769999999982</v>
      </c>
    </row>
    <row r="1274" spans="1:5" x14ac:dyDescent="0.3">
      <c r="A1274" s="9">
        <v>44540</v>
      </c>
      <c r="B1274" s="10" t="s">
        <v>18</v>
      </c>
      <c r="C1274" s="10" t="s">
        <v>28</v>
      </c>
      <c r="D1274" s="12">
        <v>139.97999999999999</v>
      </c>
      <c r="E1274" s="12">
        <f>SUMIF('Parametros Inventario'!$A:$A,B1274,'Parametros Inventario'!$B:$B)+SUMIFS(D$2:D1274,B$2:B1274,B1274,C$2:C1274,"ENTRADA")-SUMIFS(D$2:D1274,B$2:B1274,B1274,C$2:C1274,"SALIDA")</f>
        <v>6031.8869999999988</v>
      </c>
    </row>
    <row r="1275" spans="1:5" x14ac:dyDescent="0.3">
      <c r="A1275" s="9">
        <v>44540</v>
      </c>
      <c r="B1275" s="10" t="s">
        <v>10</v>
      </c>
      <c r="C1275" s="10" t="s">
        <v>28</v>
      </c>
      <c r="D1275" s="12">
        <v>293.83</v>
      </c>
      <c r="E1275" s="12">
        <f>SUMIF('Parametros Inventario'!$A:$A,B1275,'Parametros Inventario'!$B:$B)+SUMIFS(D$2:D1275,B$2:B1275,B1275,C$2:C1275,"ENTRADA")-SUMIFS(D$2:D1275,B$2:B1275,B1275,C$2:C1275,"SALIDA")</f>
        <v>6214.8369999999977</v>
      </c>
    </row>
    <row r="1276" spans="1:5" x14ac:dyDescent="0.3">
      <c r="A1276" s="9">
        <v>44540</v>
      </c>
      <c r="B1276" s="10" t="s">
        <v>8</v>
      </c>
      <c r="C1276" s="10" t="s">
        <v>28</v>
      </c>
      <c r="D1276" s="12">
        <v>99.78</v>
      </c>
      <c r="E1276" s="12">
        <f>SUMIF('Parametros Inventario'!$A:$A,B1276,'Parametros Inventario'!$B:$B)+SUMIFS(D$2:D1276,B$2:B1276,B1276,C$2:C1276,"ENTRADA")-SUMIFS(D$2:D1276,B$2:B1276,B1276,C$2:C1276,"SALIDA")</f>
        <v>5013.2610000000013</v>
      </c>
    </row>
    <row r="1277" spans="1:5" x14ac:dyDescent="0.3">
      <c r="A1277" s="9">
        <v>44540</v>
      </c>
      <c r="B1277" s="10" t="s">
        <v>13</v>
      </c>
      <c r="C1277" s="10" t="s">
        <v>28</v>
      </c>
      <c r="D1277" s="12">
        <v>121.03</v>
      </c>
      <c r="E1277" s="12">
        <f>SUMIF('Parametros Inventario'!$A:$A,B1277,'Parametros Inventario'!$B:$B)+SUMIFS(D$2:D1277,B$2:B1277,B1277,C$2:C1277,"ENTRADA")-SUMIFS(D$2:D1277,B$2:B1277,B1277,C$2:C1277,"SALIDA")</f>
        <v>6521.1250000000018</v>
      </c>
    </row>
    <row r="1278" spans="1:5" x14ac:dyDescent="0.3">
      <c r="A1278" s="9">
        <v>44540</v>
      </c>
      <c r="B1278" s="10" t="s">
        <v>15</v>
      </c>
      <c r="C1278" s="10" t="s">
        <v>28</v>
      </c>
      <c r="D1278" s="12">
        <v>104.74</v>
      </c>
      <c r="E1278" s="12">
        <f>SUMIF('Parametros Inventario'!$A:$A,B1278,'Parametros Inventario'!$B:$B)+SUMIFS(D$2:D1278,B$2:B1278,B1278,C$2:C1278,"ENTRADA")-SUMIFS(D$2:D1278,B$2:B1278,B1278,C$2:C1278,"SALIDA")</f>
        <v>5423.2539999999981</v>
      </c>
    </row>
    <row r="1279" spans="1:5" x14ac:dyDescent="0.3">
      <c r="A1279" s="9">
        <v>44540</v>
      </c>
      <c r="B1279" s="10" t="s">
        <v>11</v>
      </c>
      <c r="C1279" s="10" t="s">
        <v>28</v>
      </c>
      <c r="D1279" s="12">
        <v>115.5</v>
      </c>
      <c r="E1279" s="12">
        <f>SUMIF('Parametros Inventario'!$A:$A,B1279,'Parametros Inventario'!$B:$B)+SUMIFS(D$2:D1279,B$2:B1279,B1279,C$2:C1279,"ENTRADA")-SUMIFS(D$2:D1279,B$2:B1279,B1279,C$2:C1279,"SALIDA")</f>
        <v>6121.0850000000009</v>
      </c>
    </row>
    <row r="1280" spans="1:5" x14ac:dyDescent="0.3">
      <c r="A1280" s="9">
        <v>44540</v>
      </c>
      <c r="B1280" s="10" t="s">
        <v>9</v>
      </c>
      <c r="C1280" s="10" t="s">
        <v>28</v>
      </c>
      <c r="D1280" s="12">
        <v>93.57</v>
      </c>
      <c r="E1280" s="12">
        <f>SUMIF('Parametros Inventario'!$A:$A,B1280,'Parametros Inventario'!$B:$B)+SUMIFS(D$2:D1280,B$2:B1280,B1280,C$2:C1280,"ENTRADA")-SUMIFS(D$2:D1280,B$2:B1280,B1280,C$2:C1280,"SALIDA")</f>
        <v>3889.3500000000004</v>
      </c>
    </row>
    <row r="1281" spans="1:5" x14ac:dyDescent="0.3">
      <c r="A1281" s="9">
        <v>44540</v>
      </c>
      <c r="B1281" s="10" t="s">
        <v>14</v>
      </c>
      <c r="C1281" s="10" t="s">
        <v>28</v>
      </c>
      <c r="D1281" s="12">
        <v>261.88</v>
      </c>
      <c r="E1281" s="12">
        <f>SUMIF('Parametros Inventario'!$A:$A,B1281,'Parametros Inventario'!$B:$B)+SUMIFS(D$2:D1281,B$2:B1281,B1281,C$2:C1281,"ENTRADA")-SUMIFS(D$2:D1281,B$2:B1281,B1281,C$2:C1281,"SALIDA")</f>
        <v>5578.6090000000004</v>
      </c>
    </row>
    <row r="1282" spans="1:5" x14ac:dyDescent="0.3">
      <c r="A1282" s="9">
        <f>'Volúmenes DIstribuidos '!B849</f>
        <v>44540</v>
      </c>
      <c r="B1282" s="10" t="str">
        <f>IF(OR('Volúmenes DIstribuidos '!C849="Azúcar",'Volúmenes DIstribuidos '!C849="azúcar"),"Azúcar o dulce",IF('Volúmenes DIstribuidos '!C849="Aceite","Aceite o grasas",IF('Volúmenes DIstribuidos '!C849="Avena","Otros almidones",'Volúmenes DIstribuidos '!C849)))</f>
        <v>Carnes rojas</v>
      </c>
      <c r="C1282" s="10" t="s">
        <v>29</v>
      </c>
      <c r="D1282" s="12">
        <f>'Volúmenes DIstribuidos '!D849</f>
        <v>13.93</v>
      </c>
      <c r="E1282" s="12">
        <f>SUMIF('Parametros Inventario'!$A:$A,B1282,'Parametros Inventario'!$B:$B)+SUMIFS(D$2:D1282,B$2:B1282,B1282,C$2:C1282,"ENTRADA")-SUMIFS(D$2:D1282,B$2:B1282,B1282,C$2:C1282,"SALIDA")</f>
        <v>5818.5940000000001</v>
      </c>
    </row>
    <row r="1283" spans="1:5" x14ac:dyDescent="0.3">
      <c r="A1283" s="9">
        <f>'Volúmenes DIstribuidos '!B849</f>
        <v>44540</v>
      </c>
      <c r="B1283" s="10" t="str">
        <f>IF(OR('Volúmenes DIstribuidos '!C850="Azúcar",'Volúmenes DIstribuidos '!C850="azúcar"),"Azúcar o dulce",IF('Volúmenes DIstribuidos '!C850="Aceite","Aceite o grasas",IF('Volúmenes DIstribuidos '!C850="Avena","Otros almidones",'Volúmenes DIstribuidos '!C850)))</f>
        <v>Fideo</v>
      </c>
      <c r="C1283" s="10" t="s">
        <v>29</v>
      </c>
      <c r="D1283" s="12">
        <f>'Volúmenes DIstribuidos '!D850</f>
        <v>6.93</v>
      </c>
      <c r="E1283" s="12">
        <f>SUMIF('Parametros Inventario'!$A:$A,B1283,'Parametros Inventario'!$B:$B)+SUMIFS(D$2:D1283,B$2:B1283,B1283,C$2:C1283,"ENTRADA")-SUMIFS(D$2:D1283,B$2:B1283,B1283,C$2:C1283,"SALIDA")</f>
        <v>6114.1550000000007</v>
      </c>
    </row>
    <row r="1284" spans="1:5" x14ac:dyDescent="0.3">
      <c r="A1284" s="9">
        <f>'Volúmenes DIstribuidos '!B849</f>
        <v>44540</v>
      </c>
      <c r="B1284" s="10" t="str">
        <f>IF(OR('Volúmenes DIstribuidos '!C851="Azúcar",'Volúmenes DIstribuidos '!C851="azúcar"),"Azúcar o dulce",IF('Volúmenes DIstribuidos '!C851="Aceite","Aceite o grasas",IF('Volúmenes DIstribuidos '!C851="Avena","Otros almidones",'Volúmenes DIstribuidos '!C851)))</f>
        <v>Panadería</v>
      </c>
      <c r="C1284" s="10" t="s">
        <v>29</v>
      </c>
      <c r="D1284" s="12">
        <f>'Volúmenes DIstribuidos '!D851</f>
        <v>14.22</v>
      </c>
      <c r="E1284" s="12">
        <f>SUMIF('Parametros Inventario'!$A:$A,B1284,'Parametros Inventario'!$B:$B)+SUMIFS(D$2:D1284,B$2:B1284,B1284,C$2:C1284,"ENTRADA")-SUMIFS(D$2:D1284,B$2:B1284,B1284,C$2:C1284,"SALIDA")</f>
        <v>3875.1300000000006</v>
      </c>
    </row>
    <row r="1285" spans="1:5" x14ac:dyDescent="0.3">
      <c r="A1285" s="9">
        <f>'Volúmenes DIstribuidos '!B849</f>
        <v>44540</v>
      </c>
      <c r="B1285" s="10" t="str">
        <f>IF(OR('Volúmenes DIstribuidos '!C852="Azúcar",'Volúmenes DIstribuidos '!C852="azúcar"),"Azúcar o dulce",IF('Volúmenes DIstribuidos '!C852="Aceite","Aceite o grasas",IF('Volúmenes DIstribuidos '!C852="Avena","Otros almidones",'Volúmenes DIstribuidos '!C852)))</f>
        <v>Lácteos</v>
      </c>
      <c r="C1285" s="10" t="s">
        <v>29</v>
      </c>
      <c r="D1285" s="12">
        <f>'Volúmenes DIstribuidos '!D852</f>
        <v>20.47</v>
      </c>
      <c r="E1285" s="12">
        <f>SUMIF('Parametros Inventario'!$A:$A,B1285,'Parametros Inventario'!$B:$B)+SUMIFS(D$2:D1285,B$2:B1285,B1285,C$2:C1285,"ENTRADA")-SUMIFS(D$2:D1285,B$2:B1285,B1285,C$2:C1285,"SALIDA")</f>
        <v>5222.306999999998</v>
      </c>
    </row>
    <row r="1286" spans="1:5" x14ac:dyDescent="0.3">
      <c r="A1286" s="9">
        <f>'Volúmenes DIstribuidos '!B849</f>
        <v>44540</v>
      </c>
      <c r="B1286" s="10" t="str">
        <f>IF(OR('Volúmenes DIstribuidos '!C853="Azúcar",'Volúmenes DIstribuidos '!C853="azúcar"),"Azúcar o dulce",IF('Volúmenes DIstribuidos '!C853="Aceite","Aceite o grasas",IF('Volúmenes DIstribuidos '!C853="Avena","Otros almidones",'Volúmenes DIstribuidos '!C853)))</f>
        <v>Menestras</v>
      </c>
      <c r="C1286" s="10" t="s">
        <v>29</v>
      </c>
      <c r="D1286" s="12">
        <f>'Volúmenes DIstribuidos '!D853</f>
        <v>21.338999999999999</v>
      </c>
      <c r="E1286" s="12">
        <f>SUMIF('Parametros Inventario'!$A:$A,B1286,'Parametros Inventario'!$B:$B)+SUMIFS(D$2:D1286,B$2:B1286,B1286,C$2:C1286,"ENTRADA")-SUMIFS(D$2:D1286,B$2:B1286,B1286,C$2:C1286,"SALIDA")</f>
        <v>5557.27</v>
      </c>
    </row>
    <row r="1287" spans="1:5" x14ac:dyDescent="0.3">
      <c r="A1287" s="9">
        <f>'Volúmenes DIstribuidos '!B849</f>
        <v>44540</v>
      </c>
      <c r="B1287" s="10" t="str">
        <f>IF(OR('Volúmenes DIstribuidos '!C854="Azúcar",'Volúmenes DIstribuidos '!C854="azúcar"),"Azúcar o dulce",IF('Volúmenes DIstribuidos '!C854="Aceite","Aceite o grasas",IF('Volúmenes DIstribuidos '!C854="Avena","Otros almidones",'Volúmenes DIstribuidos '!C854)))</f>
        <v>Salsas</v>
      </c>
      <c r="C1287" s="10" t="s">
        <v>29</v>
      </c>
      <c r="D1287" s="12">
        <f>'Volúmenes DIstribuidos '!D854</f>
        <v>33.5</v>
      </c>
      <c r="E1287" s="12">
        <f>SUMIF('Parametros Inventario'!$A:$A,B1287,'Parametros Inventario'!$B:$B)+SUMIFS(D$2:D1287,B$2:B1287,B1287,C$2:C1287,"ENTRADA")-SUMIFS(D$2:D1287,B$2:B1287,B1287,C$2:C1287,"SALIDA")</f>
        <v>5998.3869999999988</v>
      </c>
    </row>
    <row r="1288" spans="1:5" x14ac:dyDescent="0.3">
      <c r="A1288" s="9">
        <f>'Volúmenes DIstribuidos '!B855</f>
        <v>44544</v>
      </c>
      <c r="B1288" s="10" t="str">
        <f>IF(OR('Volúmenes DIstribuidos '!C855="Azúcar",'Volúmenes DIstribuidos '!C855="azúcar"),"Azúcar o dulce",IF('Volúmenes DIstribuidos '!C855="Aceite","Aceite o grasas",IF('Volúmenes DIstribuidos '!C855="Avena","Otros almidones",'Volúmenes DIstribuidos '!C855)))</f>
        <v>Carnes rojas</v>
      </c>
      <c r="C1288" s="10" t="s">
        <v>29</v>
      </c>
      <c r="D1288" s="12">
        <f>'Volúmenes DIstribuidos '!D855</f>
        <v>31.19</v>
      </c>
      <c r="E1288" s="12">
        <f>SUMIF('Parametros Inventario'!$A:$A,B1288,'Parametros Inventario'!$B:$B)+SUMIFS(D$2:D1288,B$2:B1288,B1288,C$2:C1288,"ENTRADA")-SUMIFS(D$2:D1288,B$2:B1288,B1288,C$2:C1288,"SALIDA")</f>
        <v>5787.4040000000005</v>
      </c>
    </row>
    <row r="1289" spans="1:5" x14ac:dyDescent="0.3">
      <c r="A1289" s="9">
        <f>'Volúmenes DIstribuidos '!B855</f>
        <v>44544</v>
      </c>
      <c r="B1289" s="10" t="str">
        <f>IF(OR('Volúmenes DIstribuidos '!C856="Azúcar",'Volúmenes DIstribuidos '!C856="azúcar"),"Azúcar o dulce",IF('Volúmenes DIstribuidos '!C856="Aceite","Aceite o grasas",IF('Volúmenes DIstribuidos '!C856="Avena","Otros almidones",'Volúmenes DIstribuidos '!C856)))</f>
        <v>Aceite o grasas</v>
      </c>
      <c r="C1289" s="10" t="s">
        <v>29</v>
      </c>
      <c r="D1289" s="12">
        <f>'Volúmenes DIstribuidos '!D856</f>
        <v>157.33000000000001</v>
      </c>
      <c r="E1289" s="12">
        <f>SUMIF('Parametros Inventario'!$A:$A,B1289,'Parametros Inventario'!$B:$B)+SUMIFS(D$2:D1289,B$2:B1289,B1289,C$2:C1289,"ENTRADA")-SUMIFS(D$2:D1289,B$2:B1289,B1289,C$2:C1289,"SALIDA")</f>
        <v>4855.9310000000014</v>
      </c>
    </row>
    <row r="1290" spans="1:5" x14ac:dyDescent="0.3">
      <c r="A1290" s="9">
        <f>'Volúmenes DIstribuidos '!B855</f>
        <v>44544</v>
      </c>
      <c r="B1290" s="10" t="str">
        <f>IF(OR('Volúmenes DIstribuidos '!C857="Azúcar",'Volúmenes DIstribuidos '!C857="azúcar"),"Azúcar o dulce",IF('Volúmenes DIstribuidos '!C857="Aceite","Aceite o grasas",IF('Volúmenes DIstribuidos '!C857="Avena","Otros almidones",'Volúmenes DIstribuidos '!C857)))</f>
        <v>Fideo</v>
      </c>
      <c r="C1290" s="10" t="s">
        <v>29</v>
      </c>
      <c r="D1290" s="12">
        <f>'Volúmenes DIstribuidos '!D857</f>
        <v>5.8639999999999999</v>
      </c>
      <c r="E1290" s="12">
        <f>SUMIF('Parametros Inventario'!$A:$A,B1290,'Parametros Inventario'!$B:$B)+SUMIFS(D$2:D1290,B$2:B1290,B1290,C$2:C1290,"ENTRADA")-SUMIFS(D$2:D1290,B$2:B1290,B1290,C$2:C1290,"SALIDA")</f>
        <v>6108.2910000000002</v>
      </c>
    </row>
    <row r="1291" spans="1:5" x14ac:dyDescent="0.3">
      <c r="A1291" s="9">
        <f>'Volúmenes DIstribuidos '!B855</f>
        <v>44544</v>
      </c>
      <c r="B1291" s="10" t="str">
        <f>IF(OR('Volúmenes DIstribuidos '!C858="Azúcar",'Volúmenes DIstribuidos '!C858="azúcar"),"Azúcar o dulce",IF('Volúmenes DIstribuidos '!C858="Aceite","Aceite o grasas",IF('Volúmenes DIstribuidos '!C858="Avena","Otros almidones",'Volúmenes DIstribuidos '!C858)))</f>
        <v>Vegetales y hojas</v>
      </c>
      <c r="C1291" s="10" t="s">
        <v>29</v>
      </c>
      <c r="D1291" s="12">
        <f>'Volúmenes DIstribuidos '!D858</f>
        <v>6.18</v>
      </c>
      <c r="E1291" s="12">
        <f>SUMIF('Parametros Inventario'!$A:$A,B1291,'Parametros Inventario'!$B:$B)+SUMIFS(D$2:D1291,B$2:B1291,B1291,C$2:C1291,"ENTRADA")-SUMIFS(D$2:D1291,B$2:B1291,B1291,C$2:C1291,"SALIDA")</f>
        <v>6208.6569999999983</v>
      </c>
    </row>
    <row r="1292" spans="1:5" x14ac:dyDescent="0.3">
      <c r="A1292" s="9">
        <f>'Volúmenes DIstribuidos '!B855</f>
        <v>44544</v>
      </c>
      <c r="B1292" s="10" t="str">
        <f>IF(OR('Volúmenes DIstribuidos '!C859="Azúcar",'Volúmenes DIstribuidos '!C859="azúcar"),"Azúcar o dulce",IF('Volúmenes DIstribuidos '!C859="Aceite","Aceite o grasas",IF('Volúmenes DIstribuidos '!C859="Avena","Otros almidones",'Volúmenes DIstribuidos '!C859)))</f>
        <v>Aceite o grasas</v>
      </c>
      <c r="C1292" s="10" t="s">
        <v>29</v>
      </c>
      <c r="D1292" s="12">
        <f>'Volúmenes DIstribuidos '!D859</f>
        <v>15.11</v>
      </c>
      <c r="E1292" s="12">
        <f>SUMIF('Parametros Inventario'!$A:$A,B1292,'Parametros Inventario'!$B:$B)+SUMIFS(D$2:D1292,B$2:B1292,B1292,C$2:C1292,"ENTRADA")-SUMIFS(D$2:D1292,B$2:B1292,B1292,C$2:C1292,"SALIDA")</f>
        <v>4840.8210000000017</v>
      </c>
    </row>
    <row r="1293" spans="1:5" x14ac:dyDescent="0.3">
      <c r="A1293" s="9">
        <f>'Volúmenes DIstribuidos '!B855</f>
        <v>44544</v>
      </c>
      <c r="B1293" s="10" t="str">
        <f>IF(OR('Volúmenes DIstribuidos '!C860="Azúcar",'Volúmenes DIstribuidos '!C860="azúcar"),"Azúcar o dulce",IF('Volúmenes DIstribuidos '!C860="Aceite","Aceite o grasas",IF('Volúmenes DIstribuidos '!C860="Avena","Otros almidones",'Volúmenes DIstribuidos '!C860)))</f>
        <v>Menestras</v>
      </c>
      <c r="C1293" s="10" t="s">
        <v>29</v>
      </c>
      <c r="D1293" s="12">
        <f>'Volúmenes DIstribuidos '!D860</f>
        <v>14.78</v>
      </c>
      <c r="E1293" s="12">
        <f>SUMIF('Parametros Inventario'!$A:$A,B1293,'Parametros Inventario'!$B:$B)+SUMIFS(D$2:D1293,B$2:B1293,B1293,C$2:C1293,"ENTRADA")-SUMIFS(D$2:D1293,B$2:B1293,B1293,C$2:C1293,"SALIDA")</f>
        <v>5542.4900000000007</v>
      </c>
    </row>
    <row r="1294" spans="1:5" x14ac:dyDescent="0.3">
      <c r="A1294" s="9">
        <v>44547</v>
      </c>
      <c r="B1294" s="10" t="s">
        <v>12</v>
      </c>
      <c r="C1294" s="10" t="s">
        <v>28</v>
      </c>
      <c r="D1294" s="12">
        <v>111.49</v>
      </c>
      <c r="E1294" s="12">
        <f>SUMIF('Parametros Inventario'!$A:$A,B1294,'Parametros Inventario'!$B:$B)+SUMIFS(D$2:D1294,B$2:B1294,B1294,C$2:C1294,"ENTRADA")-SUMIFS(D$2:D1294,B$2:B1294,B1294,C$2:C1294,"SALIDA")</f>
        <v>5898.8940000000002</v>
      </c>
    </row>
    <row r="1295" spans="1:5" x14ac:dyDescent="0.3">
      <c r="A1295" s="9">
        <v>44547</v>
      </c>
      <c r="B1295" s="10" t="s">
        <v>16</v>
      </c>
      <c r="C1295" s="10" t="s">
        <v>28</v>
      </c>
      <c r="D1295" s="12">
        <v>99</v>
      </c>
      <c r="E1295" s="12">
        <f>SUMIF('Parametros Inventario'!$A:$A,B1295,'Parametros Inventario'!$B:$B)+SUMIFS(D$2:D1295,B$2:B1295,B1295,C$2:C1295,"ENTRADA")-SUMIFS(D$2:D1295,B$2:B1295,B1295,C$2:C1295,"SALIDA")</f>
        <v>6094.4959999999992</v>
      </c>
    </row>
    <row r="1296" spans="1:5" x14ac:dyDescent="0.3">
      <c r="A1296" s="9">
        <v>44547</v>
      </c>
      <c r="B1296" s="10" t="s">
        <v>17</v>
      </c>
      <c r="C1296" s="10" t="s">
        <v>28</v>
      </c>
      <c r="D1296" s="12">
        <v>94.02</v>
      </c>
      <c r="E1296" s="12">
        <f>SUMIF('Parametros Inventario'!$A:$A,B1296,'Parametros Inventario'!$B:$B)+SUMIFS(D$2:D1296,B$2:B1296,B1296,C$2:C1296,"ENTRADA")-SUMIFS(D$2:D1296,B$2:B1296,B1296,C$2:C1296,"SALIDA")</f>
        <v>5316.3269999999984</v>
      </c>
    </row>
    <row r="1297" spans="1:5" x14ac:dyDescent="0.3">
      <c r="A1297" s="9">
        <v>44547</v>
      </c>
      <c r="B1297" s="10" t="s">
        <v>18</v>
      </c>
      <c r="C1297" s="10" t="s">
        <v>28</v>
      </c>
      <c r="D1297" s="12">
        <v>115.45</v>
      </c>
      <c r="E1297" s="12">
        <f>SUMIF('Parametros Inventario'!$A:$A,B1297,'Parametros Inventario'!$B:$B)+SUMIFS(D$2:D1297,B$2:B1297,B1297,C$2:C1297,"ENTRADA")-SUMIFS(D$2:D1297,B$2:B1297,B1297,C$2:C1297,"SALIDA")</f>
        <v>6113.8369999999986</v>
      </c>
    </row>
    <row r="1298" spans="1:5" x14ac:dyDescent="0.3">
      <c r="A1298" s="9">
        <v>44547</v>
      </c>
      <c r="B1298" s="10" t="s">
        <v>10</v>
      </c>
      <c r="C1298" s="10" t="s">
        <v>28</v>
      </c>
      <c r="D1298" s="12">
        <v>75.3</v>
      </c>
      <c r="E1298" s="12">
        <f>SUMIF('Parametros Inventario'!$A:$A,B1298,'Parametros Inventario'!$B:$B)+SUMIFS(D$2:D1298,B$2:B1298,B1298,C$2:C1298,"ENTRADA")-SUMIFS(D$2:D1298,B$2:B1298,B1298,C$2:C1298,"SALIDA")</f>
        <v>6283.9569999999985</v>
      </c>
    </row>
    <row r="1299" spans="1:5" x14ac:dyDescent="0.3">
      <c r="A1299" s="9">
        <v>44547</v>
      </c>
      <c r="B1299" s="10" t="s">
        <v>8</v>
      </c>
      <c r="C1299" s="10" t="s">
        <v>28</v>
      </c>
      <c r="D1299" s="12">
        <v>257.86</v>
      </c>
      <c r="E1299" s="12">
        <f>SUMIF('Parametros Inventario'!$A:$A,B1299,'Parametros Inventario'!$B:$B)+SUMIFS(D$2:D1299,B$2:B1299,B1299,C$2:C1299,"ENTRADA")-SUMIFS(D$2:D1299,B$2:B1299,B1299,C$2:C1299,"SALIDA")</f>
        <v>5098.6810000000005</v>
      </c>
    </row>
    <row r="1300" spans="1:5" x14ac:dyDescent="0.3">
      <c r="A1300" s="9">
        <v>44547</v>
      </c>
      <c r="B1300" s="10" t="s">
        <v>13</v>
      </c>
      <c r="C1300" s="10" t="s">
        <v>28</v>
      </c>
      <c r="D1300" s="12">
        <v>84.31</v>
      </c>
      <c r="E1300" s="12">
        <f>SUMIF('Parametros Inventario'!$A:$A,B1300,'Parametros Inventario'!$B:$B)+SUMIFS(D$2:D1300,B$2:B1300,B1300,C$2:C1300,"ENTRADA")-SUMIFS(D$2:D1300,B$2:B1300,B1300,C$2:C1300,"SALIDA")</f>
        <v>6605.4350000000031</v>
      </c>
    </row>
    <row r="1301" spans="1:5" x14ac:dyDescent="0.3">
      <c r="A1301" s="9">
        <v>44547</v>
      </c>
      <c r="B1301" s="10" t="s">
        <v>15</v>
      </c>
      <c r="C1301" s="10" t="s">
        <v>28</v>
      </c>
      <c r="D1301" s="12">
        <v>213.72</v>
      </c>
      <c r="E1301" s="12">
        <f>SUMIF('Parametros Inventario'!$A:$A,B1301,'Parametros Inventario'!$B:$B)+SUMIFS(D$2:D1301,B$2:B1301,B1301,C$2:C1301,"ENTRADA")-SUMIFS(D$2:D1301,B$2:B1301,B1301,C$2:C1301,"SALIDA")</f>
        <v>5636.9739999999983</v>
      </c>
    </row>
    <row r="1302" spans="1:5" x14ac:dyDescent="0.3">
      <c r="A1302" s="9">
        <v>44547</v>
      </c>
      <c r="B1302" s="10" t="s">
        <v>11</v>
      </c>
      <c r="C1302" s="10" t="s">
        <v>28</v>
      </c>
      <c r="D1302" s="12">
        <v>271.25</v>
      </c>
      <c r="E1302" s="12">
        <f>SUMIF('Parametros Inventario'!$A:$A,B1302,'Parametros Inventario'!$B:$B)+SUMIFS(D$2:D1302,B$2:B1302,B1302,C$2:C1302,"ENTRADA")-SUMIFS(D$2:D1302,B$2:B1302,B1302,C$2:C1302,"SALIDA")</f>
        <v>6379.5410000000011</v>
      </c>
    </row>
    <row r="1303" spans="1:5" x14ac:dyDescent="0.3">
      <c r="A1303" s="9">
        <v>44547</v>
      </c>
      <c r="B1303" s="10" t="s">
        <v>9</v>
      </c>
      <c r="C1303" s="10" t="s">
        <v>28</v>
      </c>
      <c r="D1303" s="12">
        <v>134.6</v>
      </c>
      <c r="E1303" s="12">
        <f>SUMIF('Parametros Inventario'!$A:$A,B1303,'Parametros Inventario'!$B:$B)+SUMIFS(D$2:D1303,B$2:B1303,B1303,C$2:C1303,"ENTRADA")-SUMIFS(D$2:D1303,B$2:B1303,B1303,C$2:C1303,"SALIDA")</f>
        <v>4009.7300000000009</v>
      </c>
    </row>
    <row r="1304" spans="1:5" x14ac:dyDescent="0.3">
      <c r="A1304" s="9">
        <f>'Volúmenes DIstribuidos '!B861</f>
        <v>44547</v>
      </c>
      <c r="B1304" s="10" t="str">
        <f>IF(OR('Volúmenes DIstribuidos '!C861="Azúcar",'Volúmenes DIstribuidos '!C861="azúcar"),"Azúcar o dulce",IF('Volúmenes DIstribuidos '!C861="Aceite","Aceite o grasas",IF('Volúmenes DIstribuidos '!C861="Avena","Otros almidones",'Volúmenes DIstribuidos '!C861)))</f>
        <v>Lácteos</v>
      </c>
      <c r="C1304" s="10" t="s">
        <v>29</v>
      </c>
      <c r="D1304" s="12">
        <f>'Volúmenes DIstribuidos '!D861</f>
        <v>11.88</v>
      </c>
      <c r="E1304" s="12">
        <f>SUMIF('Parametros Inventario'!$A:$A,B1304,'Parametros Inventario'!$B:$B)+SUMIFS(D$2:D1304,B$2:B1304,B1304,C$2:C1304,"ENTRADA")-SUMIFS(D$2:D1304,B$2:B1304,B1304,C$2:C1304,"SALIDA")</f>
        <v>5304.4469999999983</v>
      </c>
    </row>
    <row r="1305" spans="1:5" x14ac:dyDescent="0.3">
      <c r="A1305" s="9">
        <f>'Volúmenes DIstribuidos '!B861</f>
        <v>44547</v>
      </c>
      <c r="B1305" s="10" t="str">
        <f>IF(OR('Volúmenes DIstribuidos '!C862="Azúcar",'Volúmenes DIstribuidos '!C862="azúcar"),"Azúcar o dulce",IF('Volúmenes DIstribuidos '!C862="Aceite","Aceite o grasas",IF('Volúmenes DIstribuidos '!C862="Avena","Otros almidones",'Volúmenes DIstribuidos '!C862)))</f>
        <v>Carnes blancas</v>
      </c>
      <c r="C1305" s="10" t="s">
        <v>29</v>
      </c>
      <c r="D1305" s="12">
        <f>'Volúmenes DIstribuidos '!D862</f>
        <v>29.92</v>
      </c>
      <c r="E1305" s="12">
        <f>SUMIF('Parametros Inventario'!$A:$A,B1305,'Parametros Inventario'!$B:$B)+SUMIFS(D$2:D1305,B$2:B1305,B1305,C$2:C1305,"ENTRADA")-SUMIFS(D$2:D1305,B$2:B1305,B1305,C$2:C1305,"SALIDA")</f>
        <v>6064.5759999999991</v>
      </c>
    </row>
    <row r="1306" spans="1:5" x14ac:dyDescent="0.3">
      <c r="A1306" s="9">
        <f>'Volúmenes DIstribuidos '!B861</f>
        <v>44547</v>
      </c>
      <c r="B1306" s="10" t="str">
        <f>IF(OR('Volúmenes DIstribuidos '!C863="Azúcar",'Volúmenes DIstribuidos '!C863="azúcar"),"Azúcar o dulce",IF('Volúmenes DIstribuidos '!C863="Aceite","Aceite o grasas",IF('Volúmenes DIstribuidos '!C863="Avena","Otros almidones",'Volúmenes DIstribuidos '!C863)))</f>
        <v>Azúcar o dulce</v>
      </c>
      <c r="C1306" s="10" t="s">
        <v>29</v>
      </c>
      <c r="D1306" s="12">
        <f>'Volúmenes DIstribuidos '!D863</f>
        <v>7.7460000000000004</v>
      </c>
      <c r="E1306" s="12">
        <f>SUMIF('Parametros Inventario'!$A:$A,B1306,'Parametros Inventario'!$B:$B)+SUMIFS(D$2:D1306,B$2:B1306,B1306,C$2:C1306,"ENTRADA")-SUMIFS(D$2:D1306,B$2:B1306,B1306,C$2:C1306,"SALIDA")</f>
        <v>6597.6890000000021</v>
      </c>
    </row>
    <row r="1307" spans="1:5" x14ac:dyDescent="0.3">
      <c r="A1307" s="9">
        <f>'Volúmenes DIstribuidos '!B861</f>
        <v>44547</v>
      </c>
      <c r="B1307" s="10" t="str">
        <f>IF(OR('Volúmenes DIstribuidos '!C864="Azúcar",'Volúmenes DIstribuidos '!C864="azúcar"),"Azúcar o dulce",IF('Volúmenes DIstribuidos '!C864="Aceite","Aceite o grasas",IF('Volúmenes DIstribuidos '!C864="Avena","Otros almidones",'Volúmenes DIstribuidos '!C864)))</f>
        <v>Aceite o grasas</v>
      </c>
      <c r="C1307" s="10" t="s">
        <v>29</v>
      </c>
      <c r="D1307" s="12">
        <f>'Volúmenes DIstribuidos '!D864</f>
        <v>21.16</v>
      </c>
      <c r="E1307" s="12">
        <f>SUMIF('Parametros Inventario'!$A:$A,B1307,'Parametros Inventario'!$B:$B)+SUMIFS(D$2:D1307,B$2:B1307,B1307,C$2:C1307,"ENTRADA")-SUMIFS(D$2:D1307,B$2:B1307,B1307,C$2:C1307,"SALIDA")</f>
        <v>5077.5210000000006</v>
      </c>
    </row>
    <row r="1308" spans="1:5" x14ac:dyDescent="0.3">
      <c r="A1308" s="9">
        <f>'Volúmenes DIstribuidos '!B861</f>
        <v>44547</v>
      </c>
      <c r="B1308" s="10" t="str">
        <f>IF(OR('Volúmenes DIstribuidos '!C865="Azúcar",'Volúmenes DIstribuidos '!C865="azúcar"),"Azúcar o dulce",IF('Volúmenes DIstribuidos '!C865="Aceite","Aceite o grasas",IF('Volúmenes DIstribuidos '!C865="Avena","Otros almidones",'Volúmenes DIstribuidos '!C865)))</f>
        <v>Menestras</v>
      </c>
      <c r="C1308" s="10" t="s">
        <v>29</v>
      </c>
      <c r="D1308" s="12">
        <f>'Volúmenes DIstribuidos '!D865</f>
        <v>49.23</v>
      </c>
      <c r="E1308" s="12">
        <f>SUMIF('Parametros Inventario'!$A:$A,B1308,'Parametros Inventario'!$B:$B)+SUMIFS(D$2:D1308,B$2:B1308,B1308,C$2:C1308,"ENTRADA")-SUMIFS(D$2:D1308,B$2:B1308,B1308,C$2:C1308,"SALIDA")</f>
        <v>5493.26</v>
      </c>
    </row>
    <row r="1309" spans="1:5" x14ac:dyDescent="0.3">
      <c r="A1309" s="9">
        <f>'Volúmenes DIstribuidos '!B861</f>
        <v>44547</v>
      </c>
      <c r="B1309" s="10" t="str">
        <f>IF(OR('Volúmenes DIstribuidos '!C866="Azúcar",'Volúmenes DIstribuidos '!C866="azúcar"),"Azúcar o dulce",IF('Volúmenes DIstribuidos '!C866="Aceite","Aceite o grasas",IF('Volúmenes DIstribuidos '!C866="Avena","Otros almidones",'Volúmenes DIstribuidos '!C866)))</f>
        <v>Panadería</v>
      </c>
      <c r="C1309" s="10" t="s">
        <v>29</v>
      </c>
      <c r="D1309" s="12">
        <f>'Volúmenes DIstribuidos '!D866</f>
        <v>71.38</v>
      </c>
      <c r="E1309" s="12">
        <f>SUMIF('Parametros Inventario'!$A:$A,B1309,'Parametros Inventario'!$B:$B)+SUMIFS(D$2:D1309,B$2:B1309,B1309,C$2:C1309,"ENTRADA")-SUMIFS(D$2:D1309,B$2:B1309,B1309,C$2:C1309,"SALIDA")</f>
        <v>3938.3500000000008</v>
      </c>
    </row>
    <row r="1310" spans="1:5" x14ac:dyDescent="0.3">
      <c r="A1310" s="9">
        <f>'Volúmenes DIstribuidos '!B867</f>
        <v>44551</v>
      </c>
      <c r="B1310" s="10" t="str">
        <f>IF(OR('Volúmenes DIstribuidos '!C867="Azúcar",'Volúmenes DIstribuidos '!C867="azúcar"),"Azúcar o dulce",IF('Volúmenes DIstribuidos '!C867="Aceite","Aceite o grasas",IF('Volúmenes DIstribuidos '!C867="Avena","Otros almidones",'Volúmenes DIstribuidos '!C867)))</f>
        <v>Azúcar o dulce</v>
      </c>
      <c r="C1310" s="10" t="s">
        <v>29</v>
      </c>
      <c r="D1310" s="12">
        <f>'Volúmenes DIstribuidos '!D867</f>
        <v>30.55</v>
      </c>
      <c r="E1310" s="12">
        <f>SUMIF('Parametros Inventario'!$A:$A,B1310,'Parametros Inventario'!$B:$B)+SUMIFS(D$2:D1310,B$2:B1310,B1310,C$2:C1310,"ENTRADA")-SUMIFS(D$2:D1310,B$2:B1310,B1310,C$2:C1310,"SALIDA")</f>
        <v>6567.1390000000029</v>
      </c>
    </row>
    <row r="1311" spans="1:5" x14ac:dyDescent="0.3">
      <c r="A1311" s="9">
        <f>'Volúmenes DIstribuidos '!B867</f>
        <v>44551</v>
      </c>
      <c r="B1311" s="10" t="str">
        <f>IF(OR('Volúmenes DIstribuidos '!C868="Azúcar",'Volúmenes DIstribuidos '!C868="azúcar"),"Azúcar o dulce",IF('Volúmenes DIstribuidos '!C868="Aceite","Aceite o grasas",IF('Volúmenes DIstribuidos '!C868="Avena","Otros almidones",'Volúmenes DIstribuidos '!C868)))</f>
        <v>Vegetales y hojas</v>
      </c>
      <c r="C1311" s="10" t="s">
        <v>29</v>
      </c>
      <c r="D1311" s="12">
        <f>'Volúmenes DIstribuidos '!D868</f>
        <v>10.1</v>
      </c>
      <c r="E1311" s="12">
        <f>SUMIF('Parametros Inventario'!$A:$A,B1311,'Parametros Inventario'!$B:$B)+SUMIFS(D$2:D1311,B$2:B1311,B1311,C$2:C1311,"ENTRADA")-SUMIFS(D$2:D1311,B$2:B1311,B1311,C$2:C1311,"SALIDA")</f>
        <v>6273.8569999999982</v>
      </c>
    </row>
    <row r="1312" spans="1:5" x14ac:dyDescent="0.3">
      <c r="A1312" s="9">
        <f>'Volúmenes DIstribuidos '!B867</f>
        <v>44551</v>
      </c>
      <c r="B1312" s="10" t="str">
        <f>IF(OR('Volúmenes DIstribuidos '!C869="Azúcar",'Volúmenes DIstribuidos '!C869="azúcar"),"Azúcar o dulce",IF('Volúmenes DIstribuidos '!C869="Aceite","Aceite o grasas",IF('Volúmenes DIstribuidos '!C869="Avena","Otros almidones",'Volúmenes DIstribuidos '!C869)))</f>
        <v>Salsas</v>
      </c>
      <c r="C1312" s="10" t="s">
        <v>29</v>
      </c>
      <c r="D1312" s="12">
        <f>'Volúmenes DIstribuidos '!D869</f>
        <v>4.9219999999999997</v>
      </c>
      <c r="E1312" s="12">
        <f>SUMIF('Parametros Inventario'!$A:$A,B1312,'Parametros Inventario'!$B:$B)+SUMIFS(D$2:D1312,B$2:B1312,B1312,C$2:C1312,"ENTRADA")-SUMIFS(D$2:D1312,B$2:B1312,B1312,C$2:C1312,"SALIDA")</f>
        <v>6108.9149999999981</v>
      </c>
    </row>
    <row r="1313" spans="1:5" x14ac:dyDescent="0.3">
      <c r="A1313" s="9">
        <f>'Volúmenes DIstribuidos '!B867</f>
        <v>44551</v>
      </c>
      <c r="B1313" s="10" t="str">
        <f>IF(OR('Volúmenes DIstribuidos '!C870="Azúcar",'Volúmenes DIstribuidos '!C870="azúcar"),"Azúcar o dulce",IF('Volúmenes DIstribuidos '!C870="Aceite","Aceite o grasas",IF('Volúmenes DIstribuidos '!C870="Avena","Otros almidones",'Volúmenes DIstribuidos '!C870)))</f>
        <v>Aceite o grasas</v>
      </c>
      <c r="C1313" s="10" t="s">
        <v>29</v>
      </c>
      <c r="D1313" s="12">
        <f>'Volúmenes DIstribuidos '!D870</f>
        <v>13.82</v>
      </c>
      <c r="E1313" s="12">
        <f>SUMIF('Parametros Inventario'!$A:$A,B1313,'Parametros Inventario'!$B:$B)+SUMIFS(D$2:D1313,B$2:B1313,B1313,C$2:C1313,"ENTRADA")-SUMIFS(D$2:D1313,B$2:B1313,B1313,C$2:C1313,"SALIDA")</f>
        <v>5063.7010000000009</v>
      </c>
    </row>
    <row r="1314" spans="1:5" x14ac:dyDescent="0.3">
      <c r="A1314" s="9">
        <f>'Volúmenes DIstribuidos '!B867</f>
        <v>44551</v>
      </c>
      <c r="B1314" s="10" t="str">
        <f>IF(OR('Volúmenes DIstribuidos '!C871="Azúcar",'Volúmenes DIstribuidos '!C871="azúcar"),"Azúcar o dulce",IF('Volúmenes DIstribuidos '!C871="Aceite","Aceite o grasas",IF('Volúmenes DIstribuidos '!C871="Avena","Otros almidones",'Volúmenes DIstribuidos '!C871)))</f>
        <v>Panadería</v>
      </c>
      <c r="C1314" s="10" t="s">
        <v>29</v>
      </c>
      <c r="D1314" s="12">
        <f>'Volúmenes DIstribuidos '!D871</f>
        <v>20.47</v>
      </c>
      <c r="E1314" s="12">
        <f>SUMIF('Parametros Inventario'!$A:$A,B1314,'Parametros Inventario'!$B:$B)+SUMIFS(D$2:D1314,B$2:B1314,B1314,C$2:C1314,"ENTRADA")-SUMIFS(D$2:D1314,B$2:B1314,B1314,C$2:C1314,"SALIDA")</f>
        <v>3917.880000000001</v>
      </c>
    </row>
    <row r="1315" spans="1:5" x14ac:dyDescent="0.3">
      <c r="A1315" s="9">
        <f>'Volúmenes DIstribuidos '!B867</f>
        <v>44551</v>
      </c>
      <c r="B1315" s="10" t="str">
        <f>IF(OR('Volúmenes DIstribuidos '!C872="Azúcar",'Volúmenes DIstribuidos '!C872="azúcar"),"Azúcar o dulce",IF('Volúmenes DIstribuidos '!C872="Aceite","Aceite o grasas",IF('Volúmenes DIstribuidos '!C872="Avena","Otros almidones",'Volúmenes DIstribuidos '!C872)))</f>
        <v>Azúcar o dulce</v>
      </c>
      <c r="C1315" s="10" t="s">
        <v>29</v>
      </c>
      <c r="D1315" s="12">
        <f>'Volúmenes DIstribuidos '!D872</f>
        <v>55.951000000000001</v>
      </c>
      <c r="E1315" s="12">
        <f>SUMIF('Parametros Inventario'!$A:$A,B1315,'Parametros Inventario'!$B:$B)+SUMIFS(D$2:D1315,B$2:B1315,B1315,C$2:C1315,"ENTRADA")-SUMIFS(D$2:D1315,B$2:B1315,B1315,C$2:C1315,"SALIDA")</f>
        <v>6511.1880000000019</v>
      </c>
    </row>
    <row r="1316" spans="1:5" x14ac:dyDescent="0.3">
      <c r="A1316" s="9">
        <v>44554</v>
      </c>
      <c r="B1316" s="10" t="s">
        <v>14</v>
      </c>
      <c r="C1316" s="10" t="s">
        <v>28</v>
      </c>
      <c r="D1316" s="12">
        <v>102.56</v>
      </c>
      <c r="E1316" s="12">
        <f>SUMIF('Parametros Inventario'!$A:$A,B1316,'Parametros Inventario'!$B:$B)+SUMIFS(D$2:D1316,B$2:B1316,B1316,C$2:C1316,"ENTRADA")-SUMIFS(D$2:D1316,B$2:B1316,B1316,C$2:C1316,"SALIDA")</f>
        <v>5595.8200000000015</v>
      </c>
    </row>
    <row r="1317" spans="1:5" x14ac:dyDescent="0.3">
      <c r="A1317" s="9">
        <v>44554</v>
      </c>
      <c r="B1317" s="10" t="s">
        <v>12</v>
      </c>
      <c r="C1317" s="10" t="s">
        <v>28</v>
      </c>
      <c r="D1317" s="12">
        <v>164.05</v>
      </c>
      <c r="E1317" s="12">
        <f>SUMIF('Parametros Inventario'!$A:$A,B1317,'Parametros Inventario'!$B:$B)+SUMIFS(D$2:D1317,B$2:B1317,B1317,C$2:C1317,"ENTRADA")-SUMIFS(D$2:D1317,B$2:B1317,B1317,C$2:C1317,"SALIDA")</f>
        <v>6062.9440000000013</v>
      </c>
    </row>
    <row r="1318" spans="1:5" x14ac:dyDescent="0.3">
      <c r="A1318" s="9">
        <v>44554</v>
      </c>
      <c r="B1318" s="10" t="s">
        <v>16</v>
      </c>
      <c r="C1318" s="10" t="s">
        <v>28</v>
      </c>
      <c r="D1318" s="12">
        <v>142.41</v>
      </c>
      <c r="E1318" s="12">
        <f>SUMIF('Parametros Inventario'!$A:$A,B1318,'Parametros Inventario'!$B:$B)+SUMIFS(D$2:D1318,B$2:B1318,B1318,C$2:C1318,"ENTRADA")-SUMIFS(D$2:D1318,B$2:B1318,B1318,C$2:C1318,"SALIDA")</f>
        <v>6206.985999999999</v>
      </c>
    </row>
    <row r="1319" spans="1:5" x14ac:dyDescent="0.3">
      <c r="A1319" s="9">
        <v>44554</v>
      </c>
      <c r="B1319" s="10" t="s">
        <v>17</v>
      </c>
      <c r="C1319" s="10" t="s">
        <v>28</v>
      </c>
      <c r="D1319" s="12">
        <v>143.09</v>
      </c>
      <c r="E1319" s="12">
        <f>SUMIF('Parametros Inventario'!$A:$A,B1319,'Parametros Inventario'!$B:$B)+SUMIFS(D$2:D1319,B$2:B1319,B1319,C$2:C1319,"ENTRADA")-SUMIFS(D$2:D1319,B$2:B1319,B1319,C$2:C1319,"SALIDA")</f>
        <v>5447.5369999999984</v>
      </c>
    </row>
    <row r="1320" spans="1:5" x14ac:dyDescent="0.3">
      <c r="A1320" s="9">
        <v>44554</v>
      </c>
      <c r="B1320" s="10" t="s">
        <v>18</v>
      </c>
      <c r="C1320" s="10" t="s">
        <v>28</v>
      </c>
      <c r="D1320" s="12">
        <v>92.84</v>
      </c>
      <c r="E1320" s="12">
        <f>SUMIF('Parametros Inventario'!$A:$A,B1320,'Parametros Inventario'!$B:$B)+SUMIFS(D$2:D1320,B$2:B1320,B1320,C$2:C1320,"ENTRADA")-SUMIFS(D$2:D1320,B$2:B1320,B1320,C$2:C1320,"SALIDA")</f>
        <v>6201.7549999999983</v>
      </c>
    </row>
    <row r="1321" spans="1:5" x14ac:dyDescent="0.3">
      <c r="A1321" s="9">
        <v>44554</v>
      </c>
      <c r="B1321" s="10" t="s">
        <v>10</v>
      </c>
      <c r="C1321" s="10" t="s">
        <v>28</v>
      </c>
      <c r="D1321" s="12">
        <v>181.73</v>
      </c>
      <c r="E1321" s="12">
        <f>SUMIF('Parametros Inventario'!$A:$A,B1321,'Parametros Inventario'!$B:$B)+SUMIFS(D$2:D1321,B$2:B1321,B1321,C$2:C1321,"ENTRADA")-SUMIFS(D$2:D1321,B$2:B1321,B1321,C$2:C1321,"SALIDA")</f>
        <v>6455.5869999999977</v>
      </c>
    </row>
    <row r="1322" spans="1:5" x14ac:dyDescent="0.3">
      <c r="A1322" s="9">
        <v>44554</v>
      </c>
      <c r="B1322" s="10" t="s">
        <v>8</v>
      </c>
      <c r="C1322" s="10" t="s">
        <v>28</v>
      </c>
      <c r="D1322" s="12">
        <v>249.76</v>
      </c>
      <c r="E1322" s="12">
        <f>SUMIF('Parametros Inventario'!$A:$A,B1322,'Parametros Inventario'!$B:$B)+SUMIFS(D$2:D1322,B$2:B1322,B1322,C$2:C1322,"ENTRADA")-SUMIFS(D$2:D1322,B$2:B1322,B1322,C$2:C1322,"SALIDA")</f>
        <v>5313.4610000000011</v>
      </c>
    </row>
    <row r="1323" spans="1:5" x14ac:dyDescent="0.3">
      <c r="A1323" s="9">
        <v>44554</v>
      </c>
      <c r="B1323" s="10" t="s">
        <v>13</v>
      </c>
      <c r="C1323" s="10" t="s">
        <v>28</v>
      </c>
      <c r="D1323" s="12">
        <v>205.8</v>
      </c>
      <c r="E1323" s="12">
        <f>SUMIF('Parametros Inventario'!$A:$A,B1323,'Parametros Inventario'!$B:$B)+SUMIFS(D$2:D1323,B$2:B1323,B1323,C$2:C1323,"ENTRADA")-SUMIFS(D$2:D1323,B$2:B1323,B1323,C$2:C1323,"SALIDA")</f>
        <v>6716.9880000000012</v>
      </c>
    </row>
    <row r="1324" spans="1:5" x14ac:dyDescent="0.3">
      <c r="A1324" s="9">
        <f>'Volúmenes DIstribuidos '!B873</f>
        <v>44554</v>
      </c>
      <c r="B1324" s="10" t="str">
        <f>IF(OR('Volúmenes DIstribuidos '!C873="Azúcar",'Volúmenes DIstribuidos '!C873="azúcar"),"Azúcar o dulce",IF('Volúmenes DIstribuidos '!C873="Aceite","Aceite o grasas",IF('Volúmenes DIstribuidos '!C873="Avena","Otros almidones",'Volúmenes DIstribuidos '!C873)))</f>
        <v>Carnes blancas</v>
      </c>
      <c r="C1324" s="10" t="s">
        <v>29</v>
      </c>
      <c r="D1324" s="12">
        <f>'Volúmenes DIstribuidos '!D873</f>
        <v>32.28</v>
      </c>
      <c r="E1324" s="12">
        <f>SUMIF('Parametros Inventario'!$A:$A,B1324,'Parametros Inventario'!$B:$B)+SUMIFS(D$2:D1324,B$2:B1324,B1324,C$2:C1324,"ENTRADA")-SUMIFS(D$2:D1324,B$2:B1324,B1324,C$2:C1324,"SALIDA")</f>
        <v>6174.7059999999983</v>
      </c>
    </row>
    <row r="1325" spans="1:5" x14ac:dyDescent="0.3">
      <c r="A1325" s="9">
        <f>'Volúmenes DIstribuidos '!B873</f>
        <v>44554</v>
      </c>
      <c r="B1325" s="10" t="str">
        <f>IF(OR('Volúmenes DIstribuidos '!C874="Azúcar",'Volúmenes DIstribuidos '!C874="azúcar"),"Azúcar o dulce",IF('Volúmenes DIstribuidos '!C874="Aceite","Aceite o grasas",IF('Volúmenes DIstribuidos '!C874="Avena","Otros almidones",'Volúmenes DIstribuidos '!C874)))</f>
        <v>Vegetales y hojas</v>
      </c>
      <c r="C1325" s="10" t="s">
        <v>29</v>
      </c>
      <c r="D1325" s="12">
        <f>'Volúmenes DIstribuidos '!D874</f>
        <v>28.17</v>
      </c>
      <c r="E1325" s="12">
        <f>SUMIF('Parametros Inventario'!$A:$A,B1325,'Parametros Inventario'!$B:$B)+SUMIFS(D$2:D1325,B$2:B1325,B1325,C$2:C1325,"ENTRADA")-SUMIFS(D$2:D1325,B$2:B1325,B1325,C$2:C1325,"SALIDA")</f>
        <v>6427.4169999999976</v>
      </c>
    </row>
    <row r="1326" spans="1:5" x14ac:dyDescent="0.3">
      <c r="A1326" s="9">
        <f>'Volúmenes DIstribuidos '!B873</f>
        <v>44554</v>
      </c>
      <c r="B1326" s="10" t="str">
        <f>IF(OR('Volúmenes DIstribuidos '!C875="Azúcar",'Volúmenes DIstribuidos '!C875="azúcar"),"Azúcar o dulce",IF('Volúmenes DIstribuidos '!C875="Aceite","Aceite o grasas",IF('Volúmenes DIstribuidos '!C875="Avena","Otros almidones",'Volúmenes DIstribuidos '!C875)))</f>
        <v>Salsas</v>
      </c>
      <c r="C1326" s="10" t="s">
        <v>29</v>
      </c>
      <c r="D1326" s="12">
        <f>'Volúmenes DIstribuidos '!D875</f>
        <v>140</v>
      </c>
      <c r="E1326" s="12">
        <f>SUMIF('Parametros Inventario'!$A:$A,B1326,'Parametros Inventario'!$B:$B)+SUMIFS(D$2:D1326,B$2:B1326,B1326,C$2:C1326,"ENTRADA")-SUMIFS(D$2:D1326,B$2:B1326,B1326,C$2:C1326,"SALIDA")</f>
        <v>6061.7549999999983</v>
      </c>
    </row>
    <row r="1327" spans="1:5" x14ac:dyDescent="0.3">
      <c r="A1327" s="9">
        <f>'Volúmenes DIstribuidos '!B873</f>
        <v>44554</v>
      </c>
      <c r="B1327" s="10" t="str">
        <f>IF(OR('Volúmenes DIstribuidos '!C876="Azúcar",'Volúmenes DIstribuidos '!C876="azúcar"),"Azúcar o dulce",IF('Volúmenes DIstribuidos '!C876="Aceite","Aceite o grasas",IF('Volúmenes DIstribuidos '!C876="Avena","Otros almidones",'Volúmenes DIstribuidos '!C876)))</f>
        <v>Azúcar o dulce</v>
      </c>
      <c r="C1327" s="10" t="s">
        <v>29</v>
      </c>
      <c r="D1327" s="12">
        <f>'Volúmenes DIstribuidos '!D876</f>
        <v>43.92</v>
      </c>
      <c r="E1327" s="12">
        <f>SUMIF('Parametros Inventario'!$A:$A,B1327,'Parametros Inventario'!$B:$B)+SUMIFS(D$2:D1327,B$2:B1327,B1327,C$2:C1327,"ENTRADA")-SUMIFS(D$2:D1327,B$2:B1327,B1327,C$2:C1327,"SALIDA")</f>
        <v>6673.0680000000011</v>
      </c>
    </row>
    <row r="1328" spans="1:5" x14ac:dyDescent="0.3">
      <c r="A1328" s="9">
        <f>'Volúmenes DIstribuidos '!B873</f>
        <v>44554</v>
      </c>
      <c r="B1328" s="10" t="str">
        <f>IF(OR('Volúmenes DIstribuidos '!C877="Azúcar",'Volúmenes DIstribuidos '!C877="azúcar"),"Azúcar o dulce",IF('Volúmenes DIstribuidos '!C877="Aceite","Aceite o grasas",IF('Volúmenes DIstribuidos '!C877="Avena","Otros almidones",'Volúmenes DIstribuidos '!C877)))</f>
        <v>Carnes rojas</v>
      </c>
      <c r="C1328" s="10" t="s">
        <v>29</v>
      </c>
      <c r="D1328" s="12">
        <f>'Volúmenes DIstribuidos '!D877</f>
        <v>63.15</v>
      </c>
      <c r="E1328" s="12">
        <f>SUMIF('Parametros Inventario'!$A:$A,B1328,'Parametros Inventario'!$B:$B)+SUMIFS(D$2:D1328,B$2:B1328,B1328,C$2:C1328,"ENTRADA")-SUMIFS(D$2:D1328,B$2:B1328,B1328,C$2:C1328,"SALIDA")</f>
        <v>5999.7940000000008</v>
      </c>
    </row>
    <row r="1329" spans="1:5" x14ac:dyDescent="0.3">
      <c r="A1329" s="9">
        <f>'Volúmenes DIstribuidos '!B873</f>
        <v>44554</v>
      </c>
      <c r="B1329" s="10" t="str">
        <f>IF(OR('Volúmenes DIstribuidos '!C878="Azúcar",'Volúmenes DIstribuidos '!C878="azúcar"),"Azúcar o dulce",IF('Volúmenes DIstribuidos '!C878="Aceite","Aceite o grasas",IF('Volúmenes DIstribuidos '!C878="Avena","Otros almidones",'Volúmenes DIstribuidos '!C878)))</f>
        <v>Otros almidones</v>
      </c>
      <c r="C1329" s="10" t="s">
        <v>29</v>
      </c>
      <c r="D1329" s="12">
        <f>'Volúmenes DIstribuidos '!D878</f>
        <v>45.417999999999999</v>
      </c>
      <c r="E1329" s="12">
        <f>SUMIF('Parametros Inventario'!$A:$A,B1329,'Parametros Inventario'!$B:$B)+SUMIFS(D$2:D1329,B$2:B1329,B1329,C$2:C1329,"ENTRADA")-SUMIFS(D$2:D1329,B$2:B1329,B1329,C$2:C1329,"SALIDA")</f>
        <v>5591.5559999999987</v>
      </c>
    </row>
    <row r="1330" spans="1:5" x14ac:dyDescent="0.3">
      <c r="A1330" s="9">
        <f>'Volúmenes DIstribuidos '!B879</f>
        <v>44558</v>
      </c>
      <c r="B1330" s="10" t="str">
        <f>IF(OR('Volúmenes DIstribuidos '!C879="Azúcar",'Volúmenes DIstribuidos '!C879="azúcar"),"Azúcar o dulce",IF('Volúmenes DIstribuidos '!C879="Aceite","Aceite o grasas",IF('Volúmenes DIstribuidos '!C879="Avena","Otros almidones",'Volúmenes DIstribuidos '!C879)))</f>
        <v>Fideo</v>
      </c>
      <c r="C1330" s="10" t="s">
        <v>29</v>
      </c>
      <c r="D1330" s="12">
        <f>'Volúmenes DIstribuidos '!D879</f>
        <v>11.75</v>
      </c>
      <c r="E1330" s="12">
        <f>SUMIF('Parametros Inventario'!$A:$A,B1330,'Parametros Inventario'!$B:$B)+SUMIFS(D$2:D1330,B$2:B1330,B1330,C$2:C1330,"ENTRADA")-SUMIFS(D$2:D1330,B$2:B1330,B1330,C$2:C1330,"SALIDA")</f>
        <v>6367.7910000000011</v>
      </c>
    </row>
    <row r="1331" spans="1:5" x14ac:dyDescent="0.3">
      <c r="A1331" s="9">
        <f>'Volúmenes DIstribuidos '!B879</f>
        <v>44558</v>
      </c>
      <c r="B1331" s="10" t="str">
        <f>IF(OR('Volúmenes DIstribuidos '!C880="Azúcar",'Volúmenes DIstribuidos '!C880="azúcar"),"Azúcar o dulce",IF('Volúmenes DIstribuidos '!C880="Aceite","Aceite o grasas",IF('Volúmenes DIstribuidos '!C880="Avena","Otros almidones",'Volúmenes DIstribuidos '!C880)))</f>
        <v>Vegetales y hojas</v>
      </c>
      <c r="C1331" s="10" t="s">
        <v>29</v>
      </c>
      <c r="D1331" s="12">
        <f>'Volúmenes DIstribuidos '!D880</f>
        <v>27.08</v>
      </c>
      <c r="E1331" s="12">
        <f>SUMIF('Parametros Inventario'!$A:$A,B1331,'Parametros Inventario'!$B:$B)+SUMIFS(D$2:D1331,B$2:B1331,B1331,C$2:C1331,"ENTRADA")-SUMIFS(D$2:D1331,B$2:B1331,B1331,C$2:C1331,"SALIDA")</f>
        <v>6400.3369999999977</v>
      </c>
    </row>
    <row r="1332" spans="1:5" x14ac:dyDescent="0.3">
      <c r="A1332" s="9">
        <f>'Volúmenes DIstribuidos '!B879</f>
        <v>44558</v>
      </c>
      <c r="B1332" s="10" t="str">
        <f>IF(OR('Volúmenes DIstribuidos '!C881="Azúcar",'Volúmenes DIstribuidos '!C881="azúcar"),"Azúcar o dulce",IF('Volúmenes DIstribuidos '!C881="Aceite","Aceite o grasas",IF('Volúmenes DIstribuidos '!C881="Avena","Otros almidones",'Volúmenes DIstribuidos '!C881)))</f>
        <v>Carnes blancas</v>
      </c>
      <c r="C1332" s="10" t="s">
        <v>29</v>
      </c>
      <c r="D1332" s="12">
        <f>'Volúmenes DIstribuidos '!D881</f>
        <v>12.43</v>
      </c>
      <c r="E1332" s="12">
        <f>SUMIF('Parametros Inventario'!$A:$A,B1332,'Parametros Inventario'!$B:$B)+SUMIFS(D$2:D1332,B$2:B1332,B1332,C$2:C1332,"ENTRADA")-SUMIFS(D$2:D1332,B$2:B1332,B1332,C$2:C1332,"SALIDA")</f>
        <v>6162.2759999999989</v>
      </c>
    </row>
    <row r="1333" spans="1:5" x14ac:dyDescent="0.3">
      <c r="A1333" s="9">
        <f>'Volúmenes DIstribuidos '!B879</f>
        <v>44558</v>
      </c>
      <c r="B1333" s="10" t="str">
        <f>IF(OR('Volúmenes DIstribuidos '!C882="Azúcar",'Volúmenes DIstribuidos '!C882="azúcar"),"Azúcar o dulce",IF('Volúmenes DIstribuidos '!C882="Aceite","Aceite o grasas",IF('Volúmenes DIstribuidos '!C882="Avena","Otros almidones",'Volúmenes DIstribuidos '!C882)))</f>
        <v>Carnes rojas</v>
      </c>
      <c r="C1333" s="10" t="s">
        <v>29</v>
      </c>
      <c r="D1333" s="12">
        <f>'Volúmenes DIstribuidos '!D882</f>
        <v>7.58</v>
      </c>
      <c r="E1333" s="12">
        <f>SUMIF('Parametros Inventario'!$A:$A,B1333,'Parametros Inventario'!$B:$B)+SUMIFS(D$2:D1333,B$2:B1333,B1333,C$2:C1333,"ENTRADA")-SUMIFS(D$2:D1333,B$2:B1333,B1333,C$2:C1333,"SALIDA")</f>
        <v>5992.2140000000009</v>
      </c>
    </row>
    <row r="1334" spans="1:5" x14ac:dyDescent="0.3">
      <c r="A1334" s="9">
        <f>'Volúmenes DIstribuidos '!B879</f>
        <v>44558</v>
      </c>
      <c r="B1334" s="10" t="str">
        <f>IF(OR('Volúmenes DIstribuidos '!C883="Azúcar",'Volúmenes DIstribuidos '!C883="azúcar"),"Azúcar o dulce",IF('Volúmenes DIstribuidos '!C883="Aceite","Aceite o grasas",IF('Volúmenes DIstribuidos '!C883="Avena","Otros almidones",'Volúmenes DIstribuidos '!C883)))</f>
        <v>Salsas</v>
      </c>
      <c r="C1334" s="10" t="s">
        <v>29</v>
      </c>
      <c r="D1334" s="12">
        <f>'Volúmenes DIstribuidos '!D883</f>
        <v>36.448999999999998</v>
      </c>
      <c r="E1334" s="12">
        <f>SUMIF('Parametros Inventario'!$A:$A,B1334,'Parametros Inventario'!$B:$B)+SUMIFS(D$2:D1334,B$2:B1334,B1334,C$2:C1334,"ENTRADA")-SUMIFS(D$2:D1334,B$2:B1334,B1334,C$2:C1334,"SALIDA")</f>
        <v>6025.3059999999987</v>
      </c>
    </row>
    <row r="1335" spans="1:5" x14ac:dyDescent="0.3">
      <c r="A1335" s="9">
        <f>'Volúmenes DIstribuidos '!B879</f>
        <v>44558</v>
      </c>
      <c r="B1335" s="10" t="str">
        <f>IF(OR('Volúmenes DIstribuidos '!C884="Azúcar",'Volúmenes DIstribuidos '!C884="azúcar"),"Azúcar o dulce",IF('Volúmenes DIstribuidos '!C884="Aceite","Aceite o grasas",IF('Volúmenes DIstribuidos '!C884="Avena","Otros almidones",'Volúmenes DIstribuidos '!C884)))</f>
        <v>Menestras</v>
      </c>
      <c r="C1335" s="10" t="s">
        <v>29</v>
      </c>
      <c r="D1335" s="12">
        <f>'Volúmenes DIstribuidos '!D884</f>
        <v>11.26</v>
      </c>
      <c r="E1335" s="12">
        <f>SUMIF('Parametros Inventario'!$A:$A,B1335,'Parametros Inventario'!$B:$B)+SUMIFS(D$2:D1335,B$2:B1335,B1335,C$2:C1335,"ENTRADA")-SUMIFS(D$2:D1335,B$2:B1335,B1335,C$2:C1335,"SALIDA")</f>
        <v>5584.5600000000013</v>
      </c>
    </row>
    <row r="1336" spans="1:5" x14ac:dyDescent="0.3">
      <c r="A1336" s="9">
        <v>44561</v>
      </c>
      <c r="B1336" s="10" t="s">
        <v>15</v>
      </c>
      <c r="C1336" s="10" t="s">
        <v>28</v>
      </c>
      <c r="D1336" s="12">
        <v>158.43</v>
      </c>
      <c r="E1336" s="12">
        <f>SUMIF('Parametros Inventario'!$A:$A,B1336,'Parametros Inventario'!$B:$B)+SUMIFS(D$2:D1336,B$2:B1336,B1336,C$2:C1336,"ENTRADA")-SUMIFS(D$2:D1336,B$2:B1336,B1336,C$2:C1336,"SALIDA")</f>
        <v>5749.985999999999</v>
      </c>
    </row>
    <row r="1337" spans="1:5" x14ac:dyDescent="0.3">
      <c r="A1337" s="9">
        <v>44561</v>
      </c>
      <c r="B1337" s="10" t="s">
        <v>11</v>
      </c>
      <c r="C1337" s="10" t="s">
        <v>28</v>
      </c>
      <c r="D1337" s="12">
        <v>227.74</v>
      </c>
      <c r="E1337" s="12">
        <f>SUMIF('Parametros Inventario'!$A:$A,B1337,'Parametros Inventario'!$B:$B)+SUMIFS(D$2:D1337,B$2:B1337,B1337,C$2:C1337,"ENTRADA")-SUMIFS(D$2:D1337,B$2:B1337,B1337,C$2:C1337,"SALIDA")</f>
        <v>6595.530999999999</v>
      </c>
    </row>
    <row r="1338" spans="1:5" x14ac:dyDescent="0.3">
      <c r="A1338" s="9">
        <v>44561</v>
      </c>
      <c r="B1338" s="10" t="s">
        <v>9</v>
      </c>
      <c r="C1338" s="10" t="s">
        <v>28</v>
      </c>
      <c r="D1338" s="12">
        <v>79.62</v>
      </c>
      <c r="E1338" s="12">
        <f>SUMIF('Parametros Inventario'!$A:$A,B1338,'Parametros Inventario'!$B:$B)+SUMIFS(D$2:D1338,B$2:B1338,B1338,C$2:C1338,"ENTRADA")-SUMIFS(D$2:D1338,B$2:B1338,B1338,C$2:C1338,"SALIDA")</f>
        <v>3997.5000000000009</v>
      </c>
    </row>
    <row r="1339" spans="1:5" x14ac:dyDescent="0.3">
      <c r="A1339" s="9">
        <v>44561</v>
      </c>
      <c r="B1339" s="10" t="s">
        <v>14</v>
      </c>
      <c r="C1339" s="10" t="s">
        <v>28</v>
      </c>
      <c r="D1339" s="12">
        <v>270.68</v>
      </c>
      <c r="E1339" s="12">
        <f>SUMIF('Parametros Inventario'!$A:$A,B1339,'Parametros Inventario'!$B:$B)+SUMIFS(D$2:D1339,B$2:B1339,B1339,C$2:C1339,"ENTRADA")-SUMIFS(D$2:D1339,B$2:B1339,B1339,C$2:C1339,"SALIDA")</f>
        <v>5855.2400000000016</v>
      </c>
    </row>
    <row r="1340" spans="1:5" x14ac:dyDescent="0.3">
      <c r="A1340" s="9">
        <v>44561</v>
      </c>
      <c r="B1340" s="10" t="s">
        <v>12</v>
      </c>
      <c r="C1340" s="10" t="s">
        <v>28</v>
      </c>
      <c r="D1340" s="12">
        <v>82.7</v>
      </c>
      <c r="E1340" s="12">
        <f>SUMIF('Parametros Inventario'!$A:$A,B1340,'Parametros Inventario'!$B:$B)+SUMIFS(D$2:D1340,B$2:B1340,B1340,C$2:C1340,"ENTRADA")-SUMIFS(D$2:D1340,B$2:B1340,B1340,C$2:C1340,"SALIDA")</f>
        <v>6074.9139999999998</v>
      </c>
    </row>
    <row r="1341" spans="1:5" x14ac:dyDescent="0.3">
      <c r="A1341" s="9">
        <v>44561</v>
      </c>
      <c r="B1341" s="10" t="s">
        <v>16</v>
      </c>
      <c r="C1341" s="10" t="s">
        <v>28</v>
      </c>
      <c r="D1341" s="12">
        <v>97.41</v>
      </c>
      <c r="E1341" s="12">
        <f>SUMIF('Parametros Inventario'!$A:$A,B1341,'Parametros Inventario'!$B:$B)+SUMIFS(D$2:D1341,B$2:B1341,B1341,C$2:C1341,"ENTRADA")-SUMIFS(D$2:D1341,B$2:B1341,B1341,C$2:C1341,"SALIDA")</f>
        <v>6259.6859999999988</v>
      </c>
    </row>
    <row r="1342" spans="1:5" x14ac:dyDescent="0.3">
      <c r="A1342" s="9">
        <v>44561</v>
      </c>
      <c r="B1342" s="10" t="s">
        <v>17</v>
      </c>
      <c r="C1342" s="10" t="s">
        <v>28</v>
      </c>
      <c r="D1342" s="12">
        <v>183.14</v>
      </c>
      <c r="E1342" s="12">
        <f>SUMIF('Parametros Inventario'!$A:$A,B1342,'Parametros Inventario'!$B:$B)+SUMIFS(D$2:D1342,B$2:B1342,B1342,C$2:C1342,"ENTRADA")-SUMIFS(D$2:D1342,B$2:B1342,B1342,C$2:C1342,"SALIDA")</f>
        <v>5630.6769999999979</v>
      </c>
    </row>
    <row r="1343" spans="1:5" x14ac:dyDescent="0.3">
      <c r="A1343" s="9">
        <v>44561</v>
      </c>
      <c r="B1343" s="10" t="s">
        <v>18</v>
      </c>
      <c r="C1343" s="10" t="s">
        <v>28</v>
      </c>
      <c r="D1343" s="12">
        <v>223.59</v>
      </c>
      <c r="E1343" s="12">
        <f>SUMIF('Parametros Inventario'!$A:$A,B1343,'Parametros Inventario'!$B:$B)+SUMIFS(D$2:D1343,B$2:B1343,B1343,C$2:C1343,"ENTRADA")-SUMIFS(D$2:D1343,B$2:B1343,B1343,C$2:C1343,"SALIDA")</f>
        <v>6248.895999999997</v>
      </c>
    </row>
    <row r="1344" spans="1:5" x14ac:dyDescent="0.3">
      <c r="A1344" s="9">
        <v>44561</v>
      </c>
      <c r="B1344" s="10" t="s">
        <v>10</v>
      </c>
      <c r="C1344" s="10" t="s">
        <v>28</v>
      </c>
      <c r="D1344" s="12">
        <v>129.49</v>
      </c>
      <c r="E1344" s="12">
        <f>SUMIF('Parametros Inventario'!$A:$A,B1344,'Parametros Inventario'!$B:$B)+SUMIFS(D$2:D1344,B$2:B1344,B1344,C$2:C1344,"ENTRADA")-SUMIFS(D$2:D1344,B$2:B1344,B1344,C$2:C1344,"SALIDA")</f>
        <v>6529.8269999999975</v>
      </c>
    </row>
    <row r="1345" spans="1:5" x14ac:dyDescent="0.3">
      <c r="A1345" s="9">
        <v>44561</v>
      </c>
      <c r="B1345" s="10" t="s">
        <v>8</v>
      </c>
      <c r="C1345" s="10" t="s">
        <v>28</v>
      </c>
      <c r="D1345" s="12">
        <v>157.38999999999999</v>
      </c>
      <c r="E1345" s="12">
        <f>SUMIF('Parametros Inventario'!$A:$A,B1345,'Parametros Inventario'!$B:$B)+SUMIFS(D$2:D1345,B$2:B1345,B1345,C$2:C1345,"ENTRADA")-SUMIFS(D$2:D1345,B$2:B1345,B1345,C$2:C1345,"SALIDA")</f>
        <v>5470.8510000000006</v>
      </c>
    </row>
    <row r="1346" spans="1:5" x14ac:dyDescent="0.3">
      <c r="A1346" s="9">
        <f>'Volúmenes DIstribuidos '!B885</f>
        <v>44561</v>
      </c>
      <c r="B1346" s="10" t="str">
        <f>IF(OR('Volúmenes DIstribuidos '!C885="Azúcar",'Volúmenes DIstribuidos '!C885="azúcar"),"Azúcar o dulce",IF('Volúmenes DIstribuidos '!C885="Aceite","Aceite o grasas",IF('Volúmenes DIstribuidos '!C885="Avena","Otros almidones",'Volúmenes DIstribuidos '!C885)))</f>
        <v>Salsas</v>
      </c>
      <c r="C1346" s="10" t="s">
        <v>29</v>
      </c>
      <c r="D1346" s="12">
        <f>'Volúmenes DIstribuidos '!D885</f>
        <v>36.53</v>
      </c>
      <c r="E1346" s="12">
        <f>SUMIF('Parametros Inventario'!$A:$A,B1346,'Parametros Inventario'!$B:$B)+SUMIFS(D$2:D1346,B$2:B1346,B1346,C$2:C1346,"ENTRADA")-SUMIFS(D$2:D1346,B$2:B1346,B1346,C$2:C1346,"SALIDA")</f>
        <v>6212.3659999999973</v>
      </c>
    </row>
    <row r="1347" spans="1:5" x14ac:dyDescent="0.3">
      <c r="A1347" s="9">
        <f>'Volúmenes DIstribuidos '!B885</f>
        <v>44561</v>
      </c>
      <c r="B1347" s="10" t="str">
        <f>IF(OR('Volúmenes DIstribuidos '!C886="Azúcar",'Volúmenes DIstribuidos '!C886="azúcar"),"Azúcar o dulce",IF('Volúmenes DIstribuidos '!C886="Aceite","Aceite o grasas",IF('Volúmenes DIstribuidos '!C886="Avena","Otros almidones",'Volúmenes DIstribuidos '!C886)))</f>
        <v>Carnes blancas</v>
      </c>
      <c r="C1347" s="10" t="s">
        <v>29</v>
      </c>
      <c r="D1347" s="12">
        <f>'Volúmenes DIstribuidos '!D886</f>
        <v>23</v>
      </c>
      <c r="E1347" s="12">
        <f>SUMIF('Parametros Inventario'!$A:$A,B1347,'Parametros Inventario'!$B:$B)+SUMIFS(D$2:D1347,B$2:B1347,B1347,C$2:C1347,"ENTRADA")-SUMIFS(D$2:D1347,B$2:B1347,B1347,C$2:C1347,"SALIDA")</f>
        <v>6236.6859999999988</v>
      </c>
    </row>
    <row r="1348" spans="1:5" x14ac:dyDescent="0.3">
      <c r="A1348" s="9">
        <f>'Volúmenes DIstribuidos '!B885</f>
        <v>44561</v>
      </c>
      <c r="B1348" s="10" t="str">
        <f>IF(OR('Volúmenes DIstribuidos '!C887="Azúcar",'Volúmenes DIstribuidos '!C887="azúcar"),"Azúcar o dulce",IF('Volúmenes DIstribuidos '!C887="Aceite","Aceite o grasas",IF('Volúmenes DIstribuidos '!C887="Avena","Otros almidones",'Volúmenes DIstribuidos '!C887)))</f>
        <v>Aceite o grasas</v>
      </c>
      <c r="C1348" s="10" t="s">
        <v>29</v>
      </c>
      <c r="D1348" s="12">
        <f>'Volúmenes DIstribuidos '!D887</f>
        <v>26.087</v>
      </c>
      <c r="E1348" s="12">
        <f>SUMIF('Parametros Inventario'!$A:$A,B1348,'Parametros Inventario'!$B:$B)+SUMIFS(D$2:D1348,B$2:B1348,B1348,C$2:C1348,"ENTRADA")-SUMIFS(D$2:D1348,B$2:B1348,B1348,C$2:C1348,"SALIDA")</f>
        <v>5444.764000000001</v>
      </c>
    </row>
    <row r="1349" spans="1:5" x14ac:dyDescent="0.3">
      <c r="A1349" s="9">
        <f>'Volúmenes DIstribuidos '!B885</f>
        <v>44561</v>
      </c>
      <c r="B1349" s="10" t="str">
        <f>IF(OR('Volúmenes DIstribuidos '!C888="Azúcar",'Volúmenes DIstribuidos '!C888="azúcar"),"Azúcar o dulce",IF('Volúmenes DIstribuidos '!C888="Aceite","Aceite o grasas",IF('Volúmenes DIstribuidos '!C888="Avena","Otros almidones",'Volúmenes DIstribuidos '!C888)))</f>
        <v>Menestras</v>
      </c>
      <c r="C1349" s="10" t="s">
        <v>29</v>
      </c>
      <c r="D1349" s="12">
        <f>'Volúmenes DIstribuidos '!D888</f>
        <v>20.059999999999999</v>
      </c>
      <c r="E1349" s="12">
        <f>SUMIF('Parametros Inventario'!$A:$A,B1349,'Parametros Inventario'!$B:$B)+SUMIFS(D$2:D1349,B$2:B1349,B1349,C$2:C1349,"ENTRADA")-SUMIFS(D$2:D1349,B$2:B1349,B1349,C$2:C1349,"SALIDA")</f>
        <v>5835.1800000000012</v>
      </c>
    </row>
    <row r="1350" spans="1:5" x14ac:dyDescent="0.3">
      <c r="A1350" s="9">
        <f>'Volúmenes DIstribuidos '!B885</f>
        <v>44561</v>
      </c>
      <c r="B1350" s="10" t="str">
        <f>IF(OR('Volúmenes DIstribuidos '!C889="Azúcar",'Volúmenes DIstribuidos '!C889="azúcar"),"Azúcar o dulce",IF('Volúmenes DIstribuidos '!C889="Aceite","Aceite o grasas",IF('Volúmenes DIstribuidos '!C889="Avena","Otros almidones",'Volúmenes DIstribuidos '!C889)))</f>
        <v>Lácteos</v>
      </c>
      <c r="C1350" s="10" t="s">
        <v>29</v>
      </c>
      <c r="D1350" s="12">
        <f>'Volúmenes DIstribuidos '!D889</f>
        <v>38.19</v>
      </c>
      <c r="E1350" s="12">
        <f>SUMIF('Parametros Inventario'!$A:$A,B1350,'Parametros Inventario'!$B:$B)+SUMIFS(D$2:D1350,B$2:B1350,B1350,C$2:C1350,"ENTRADA")-SUMIFS(D$2:D1350,B$2:B1350,B1350,C$2:C1350,"SALIDA")</f>
        <v>5592.4869999999974</v>
      </c>
    </row>
    <row r="1351" spans="1:5" x14ac:dyDescent="0.3">
      <c r="A1351" s="9">
        <f>'Volúmenes DIstribuidos '!B885</f>
        <v>44561</v>
      </c>
      <c r="B1351" s="10" t="str">
        <f>IF(OR('Volúmenes DIstribuidos '!C890="Azúcar",'Volúmenes DIstribuidos '!C890="azúcar"),"Azúcar o dulce",IF('Volúmenes DIstribuidos '!C890="Aceite","Aceite o grasas",IF('Volúmenes DIstribuidos '!C890="Avena","Otros almidones",'Volúmenes DIstribuidos '!C890)))</f>
        <v>Carnes blancas</v>
      </c>
      <c r="C1351" s="10" t="s">
        <v>29</v>
      </c>
      <c r="D1351" s="12">
        <f>'Volúmenes DIstribuidos '!D890</f>
        <v>66.790000000000006</v>
      </c>
      <c r="E1351" s="12">
        <f>SUMIF('Parametros Inventario'!$A:$A,B1351,'Parametros Inventario'!$B:$B)+SUMIFS(D$2:D1351,B$2:B1351,B1351,C$2:C1351,"ENTRADA")-SUMIFS(D$2:D1351,B$2:B1351,B1351,C$2:C1351,"SALIDA")</f>
        <v>6169.8959999999988</v>
      </c>
    </row>
    <row r="1352" spans="1:5" x14ac:dyDescent="0.3">
      <c r="A1352" s="9">
        <v>44565</v>
      </c>
      <c r="B1352" s="10" t="s">
        <v>13</v>
      </c>
      <c r="C1352" s="10" t="s">
        <v>28</v>
      </c>
      <c r="D1352" s="12">
        <v>209.04</v>
      </c>
      <c r="E1352" s="12">
        <f>SUMIF('Parametros Inventario'!$A:$A,B1352,'Parametros Inventario'!$B:$B)+SUMIFS(D$2:D1352,B$2:B1352,B1352,C$2:C1352,"ENTRADA")-SUMIFS(D$2:D1352,B$2:B1352,B1352,C$2:C1352,"SALIDA")</f>
        <v>6882.108000000002</v>
      </c>
    </row>
    <row r="1353" spans="1:5" x14ac:dyDescent="0.3">
      <c r="A1353" s="9">
        <v>44565</v>
      </c>
      <c r="B1353" s="10" t="s">
        <v>15</v>
      </c>
      <c r="C1353" s="10" t="s">
        <v>28</v>
      </c>
      <c r="D1353" s="12">
        <v>280.25</v>
      </c>
      <c r="E1353" s="12">
        <f>SUMIF('Parametros Inventario'!$A:$A,B1353,'Parametros Inventario'!$B:$B)+SUMIFS(D$2:D1353,B$2:B1353,B1353,C$2:C1353,"ENTRADA")-SUMIFS(D$2:D1353,B$2:B1353,B1353,C$2:C1353,"SALIDA")</f>
        <v>6030.235999999999</v>
      </c>
    </row>
    <row r="1354" spans="1:5" x14ac:dyDescent="0.3">
      <c r="A1354" s="9">
        <v>44565</v>
      </c>
      <c r="B1354" s="10" t="s">
        <v>11</v>
      </c>
      <c r="C1354" s="10" t="s">
        <v>28</v>
      </c>
      <c r="D1354" s="12">
        <v>240.77</v>
      </c>
      <c r="E1354" s="12">
        <f>SUMIF('Parametros Inventario'!$A:$A,B1354,'Parametros Inventario'!$B:$B)+SUMIFS(D$2:D1354,B$2:B1354,B1354,C$2:C1354,"ENTRADA")-SUMIFS(D$2:D1354,B$2:B1354,B1354,C$2:C1354,"SALIDA")</f>
        <v>6836.3009999999995</v>
      </c>
    </row>
    <row r="1355" spans="1:5" x14ac:dyDescent="0.3">
      <c r="A1355" s="9">
        <v>44565</v>
      </c>
      <c r="B1355" s="10" t="s">
        <v>9</v>
      </c>
      <c r="C1355" s="10" t="s">
        <v>28</v>
      </c>
      <c r="D1355" s="12">
        <v>196.83</v>
      </c>
      <c r="E1355" s="12">
        <f>SUMIF('Parametros Inventario'!$A:$A,B1355,'Parametros Inventario'!$B:$B)+SUMIFS(D$2:D1355,B$2:B1355,B1355,C$2:C1355,"ENTRADA")-SUMIFS(D$2:D1355,B$2:B1355,B1355,C$2:C1355,"SALIDA")</f>
        <v>4194.3300000000008</v>
      </c>
    </row>
    <row r="1356" spans="1:5" x14ac:dyDescent="0.3">
      <c r="A1356" s="9">
        <v>44565</v>
      </c>
      <c r="B1356" s="10" t="s">
        <v>14</v>
      </c>
      <c r="C1356" s="10" t="s">
        <v>28</v>
      </c>
      <c r="D1356" s="12">
        <v>263.61</v>
      </c>
      <c r="E1356" s="12">
        <f>SUMIF('Parametros Inventario'!$A:$A,B1356,'Parametros Inventario'!$B:$B)+SUMIFS(D$2:D1356,B$2:B1356,B1356,C$2:C1356,"ENTRADA")-SUMIFS(D$2:D1356,B$2:B1356,B1356,C$2:C1356,"SALIDA")</f>
        <v>6098.79</v>
      </c>
    </row>
    <row r="1357" spans="1:5" x14ac:dyDescent="0.3">
      <c r="A1357" s="9">
        <v>44565</v>
      </c>
      <c r="B1357" s="10" t="s">
        <v>12</v>
      </c>
      <c r="C1357" s="10" t="s">
        <v>28</v>
      </c>
      <c r="D1357" s="12">
        <v>123.55</v>
      </c>
      <c r="E1357" s="12">
        <f>SUMIF('Parametros Inventario'!$A:$A,B1357,'Parametros Inventario'!$B:$B)+SUMIFS(D$2:D1357,B$2:B1357,B1357,C$2:C1357,"ENTRADA")-SUMIFS(D$2:D1357,B$2:B1357,B1357,C$2:C1357,"SALIDA")</f>
        <v>6198.4640000000009</v>
      </c>
    </row>
    <row r="1358" spans="1:5" x14ac:dyDescent="0.3">
      <c r="A1358" s="9">
        <v>44565</v>
      </c>
      <c r="B1358" s="10" t="s">
        <v>16</v>
      </c>
      <c r="C1358" s="10" t="s">
        <v>28</v>
      </c>
      <c r="D1358" s="12">
        <v>87.14</v>
      </c>
      <c r="E1358" s="12">
        <f>SUMIF('Parametros Inventario'!$A:$A,B1358,'Parametros Inventario'!$B:$B)+SUMIFS(D$2:D1358,B$2:B1358,B1358,C$2:C1358,"ENTRADA")-SUMIFS(D$2:D1358,B$2:B1358,B1358,C$2:C1358,"SALIDA")</f>
        <v>6257.0360000000001</v>
      </c>
    </row>
    <row r="1359" spans="1:5" x14ac:dyDescent="0.3">
      <c r="A1359" s="9">
        <v>44565</v>
      </c>
      <c r="B1359" s="10" t="s">
        <v>17</v>
      </c>
      <c r="C1359" s="10" t="s">
        <v>28</v>
      </c>
      <c r="D1359" s="12">
        <v>111.79</v>
      </c>
      <c r="E1359" s="12">
        <f>SUMIF('Parametros Inventario'!$A:$A,B1359,'Parametros Inventario'!$B:$B)+SUMIFS(D$2:D1359,B$2:B1359,B1359,C$2:C1359,"ENTRADA")-SUMIFS(D$2:D1359,B$2:B1359,B1359,C$2:C1359,"SALIDA")</f>
        <v>5704.2769999999982</v>
      </c>
    </row>
    <row r="1360" spans="1:5" x14ac:dyDescent="0.3">
      <c r="A1360" s="9">
        <v>44565</v>
      </c>
      <c r="B1360" s="10" t="s">
        <v>18</v>
      </c>
      <c r="C1360" s="10" t="s">
        <v>28</v>
      </c>
      <c r="D1360" s="12">
        <v>207.36</v>
      </c>
      <c r="E1360" s="12">
        <f>SUMIF('Parametros Inventario'!$A:$A,B1360,'Parametros Inventario'!$B:$B)+SUMIFS(D$2:D1360,B$2:B1360,B1360,C$2:C1360,"ENTRADA")-SUMIFS(D$2:D1360,B$2:B1360,B1360,C$2:C1360,"SALIDA")</f>
        <v>6419.7259999999978</v>
      </c>
    </row>
    <row r="1361" spans="1:5" x14ac:dyDescent="0.3">
      <c r="A1361" s="9">
        <v>44565</v>
      </c>
      <c r="B1361" s="10" t="s">
        <v>10</v>
      </c>
      <c r="C1361" s="10" t="s">
        <v>28</v>
      </c>
      <c r="D1361" s="12">
        <v>120.02</v>
      </c>
      <c r="E1361" s="12">
        <f>SUMIF('Parametros Inventario'!$A:$A,B1361,'Parametros Inventario'!$B:$B)+SUMIFS(D$2:D1361,B$2:B1361,B1361,C$2:C1361,"ENTRADA")-SUMIFS(D$2:D1361,B$2:B1361,B1361,C$2:C1361,"SALIDA")</f>
        <v>6649.8469999999979</v>
      </c>
    </row>
    <row r="1362" spans="1:5" x14ac:dyDescent="0.3">
      <c r="A1362" s="9">
        <f>'Volúmenes DIstribuidos '!B891</f>
        <v>44565</v>
      </c>
      <c r="B1362" s="10" t="str">
        <f>IF(OR('Volúmenes DIstribuidos '!C891="Azúcar",'Volúmenes DIstribuidos '!C891="azúcar"),"Azúcar o dulce",IF('Volúmenes DIstribuidos '!C891="Aceite","Aceite o grasas",IF('Volúmenes DIstribuidos '!C891="Avena","Otros almidones",'Volúmenes DIstribuidos '!C891)))</f>
        <v>Fideo</v>
      </c>
      <c r="C1362" s="10" t="s">
        <v>29</v>
      </c>
      <c r="D1362" s="12">
        <f>'Volúmenes DIstribuidos '!D891</f>
        <v>16.29</v>
      </c>
      <c r="E1362" s="12">
        <f>SUMIF('Parametros Inventario'!$A:$A,B1362,'Parametros Inventario'!$B:$B)+SUMIFS(D$2:D1362,B$2:B1362,B1362,C$2:C1362,"ENTRADA")-SUMIFS(D$2:D1362,B$2:B1362,B1362,C$2:C1362,"SALIDA")</f>
        <v>6820.0109999999995</v>
      </c>
    </row>
    <row r="1363" spans="1:5" x14ac:dyDescent="0.3">
      <c r="A1363" s="9">
        <f>'Volúmenes DIstribuidos '!B891</f>
        <v>44565</v>
      </c>
      <c r="B1363" s="10" t="str">
        <f>IF(OR('Volúmenes DIstribuidos '!C892="Azúcar",'Volúmenes DIstribuidos '!C892="azúcar"),"Azúcar o dulce",IF('Volúmenes DIstribuidos '!C892="Aceite","Aceite o grasas",IF('Volúmenes DIstribuidos '!C892="Avena","Otros almidones",'Volúmenes DIstribuidos '!C892)))</f>
        <v>Salsas</v>
      </c>
      <c r="C1363" s="10" t="s">
        <v>29</v>
      </c>
      <c r="D1363" s="12">
        <f>'Volúmenes DIstribuidos '!D892</f>
        <v>45.95</v>
      </c>
      <c r="E1363" s="12">
        <f>SUMIF('Parametros Inventario'!$A:$A,B1363,'Parametros Inventario'!$B:$B)+SUMIFS(D$2:D1363,B$2:B1363,B1363,C$2:C1363,"ENTRADA")-SUMIFS(D$2:D1363,B$2:B1363,B1363,C$2:C1363,"SALIDA")</f>
        <v>6373.775999999998</v>
      </c>
    </row>
    <row r="1364" spans="1:5" x14ac:dyDescent="0.3">
      <c r="A1364" s="9">
        <f>'Volúmenes DIstribuidos '!B891</f>
        <v>44565</v>
      </c>
      <c r="B1364" s="10" t="str">
        <f>IF(OR('Volúmenes DIstribuidos '!C893="Azúcar",'Volúmenes DIstribuidos '!C893="azúcar"),"Azúcar o dulce",IF('Volúmenes DIstribuidos '!C893="Aceite","Aceite o grasas",IF('Volúmenes DIstribuidos '!C893="Avena","Otros almidones",'Volúmenes DIstribuidos '!C893)))</f>
        <v>Azúcar o dulce</v>
      </c>
      <c r="C1364" s="10" t="s">
        <v>29</v>
      </c>
      <c r="D1364" s="12">
        <f>'Volúmenes DIstribuidos '!D893</f>
        <v>6.3540000000000001</v>
      </c>
      <c r="E1364" s="12">
        <f>SUMIF('Parametros Inventario'!$A:$A,B1364,'Parametros Inventario'!$B:$B)+SUMIFS(D$2:D1364,B$2:B1364,B1364,C$2:C1364,"ENTRADA")-SUMIFS(D$2:D1364,B$2:B1364,B1364,C$2:C1364,"SALIDA")</f>
        <v>6875.7540000000026</v>
      </c>
    </row>
    <row r="1365" spans="1:5" x14ac:dyDescent="0.3">
      <c r="A1365" s="9">
        <f>'Volúmenes DIstribuidos '!B891</f>
        <v>44565</v>
      </c>
      <c r="B1365" s="10" t="str">
        <f>IF(OR('Volúmenes DIstribuidos '!C894="Azúcar",'Volúmenes DIstribuidos '!C894="azúcar"),"Azúcar o dulce",IF('Volúmenes DIstribuidos '!C894="Aceite","Aceite o grasas",IF('Volúmenes DIstribuidos '!C894="Avena","Otros almidones",'Volúmenes DIstribuidos '!C894)))</f>
        <v>Lácteos</v>
      </c>
      <c r="C1365" s="10" t="s">
        <v>29</v>
      </c>
      <c r="D1365" s="12">
        <f>'Volúmenes DIstribuidos '!D894</f>
        <v>8.66</v>
      </c>
      <c r="E1365" s="12">
        <f>SUMIF('Parametros Inventario'!$A:$A,B1365,'Parametros Inventario'!$B:$B)+SUMIFS(D$2:D1365,B$2:B1365,B1365,C$2:C1365,"ENTRADA")-SUMIFS(D$2:D1365,B$2:B1365,B1365,C$2:C1365,"SALIDA")</f>
        <v>5695.6169999999984</v>
      </c>
    </row>
    <row r="1366" spans="1:5" x14ac:dyDescent="0.3">
      <c r="A1366" s="9">
        <f>'Volúmenes DIstribuidos '!B891</f>
        <v>44565</v>
      </c>
      <c r="B1366" s="10" t="str">
        <f>IF(OR('Volúmenes DIstribuidos '!C895="Azúcar",'Volúmenes DIstribuidos '!C895="azúcar"),"Azúcar o dulce",IF('Volúmenes DIstribuidos '!C895="Aceite","Aceite o grasas",IF('Volúmenes DIstribuidos '!C895="Avena","Otros almidones",'Volúmenes DIstribuidos '!C895)))</f>
        <v>Vegetales y hojas</v>
      </c>
      <c r="C1366" s="10" t="s">
        <v>29</v>
      </c>
      <c r="D1366" s="12">
        <f>'Volúmenes DIstribuidos '!D895</f>
        <v>13.8</v>
      </c>
      <c r="E1366" s="12">
        <f>SUMIF('Parametros Inventario'!$A:$A,B1366,'Parametros Inventario'!$B:$B)+SUMIFS(D$2:D1366,B$2:B1366,B1366,C$2:C1366,"ENTRADA")-SUMIFS(D$2:D1366,B$2:B1366,B1366,C$2:C1366,"SALIDA")</f>
        <v>6636.0469999999987</v>
      </c>
    </row>
    <row r="1367" spans="1:5" x14ac:dyDescent="0.3">
      <c r="A1367" s="9">
        <f>'Volúmenes DIstribuidos '!B891</f>
        <v>44565</v>
      </c>
      <c r="B1367" s="10" t="str">
        <f>IF(OR('Volúmenes DIstribuidos '!C896="Azúcar",'Volúmenes DIstribuidos '!C896="azúcar"),"Azúcar o dulce",IF('Volúmenes DIstribuidos '!C896="Aceite","Aceite o grasas",IF('Volúmenes DIstribuidos '!C896="Avena","Otros almidones",'Volúmenes DIstribuidos '!C896)))</f>
        <v>Menestras</v>
      </c>
      <c r="C1367" s="10" t="s">
        <v>29</v>
      </c>
      <c r="D1367" s="12">
        <f>'Volúmenes DIstribuidos '!D896</f>
        <v>19.7</v>
      </c>
      <c r="E1367" s="12">
        <f>SUMIF('Parametros Inventario'!$A:$A,B1367,'Parametros Inventario'!$B:$B)+SUMIFS(D$2:D1367,B$2:B1367,B1367,C$2:C1367,"ENTRADA")-SUMIFS(D$2:D1367,B$2:B1367,B1367,C$2:C1367,"SALIDA")</f>
        <v>6079.09</v>
      </c>
    </row>
    <row r="1368" spans="1:5" x14ac:dyDescent="0.3">
      <c r="A1368" s="9">
        <v>44568</v>
      </c>
      <c r="B1368" s="10" t="s">
        <v>8</v>
      </c>
      <c r="C1368" s="10" t="s">
        <v>28</v>
      </c>
      <c r="D1368" s="12">
        <v>81.61</v>
      </c>
      <c r="E1368" s="12">
        <f>SUMIF('Parametros Inventario'!$A:$A,B1368,'Parametros Inventario'!$B:$B)+SUMIFS(D$2:D1368,B$2:B1368,B1368,C$2:C1368,"ENTRADA")-SUMIFS(D$2:D1368,B$2:B1368,B1368,C$2:C1368,"SALIDA")</f>
        <v>5526.3740000000016</v>
      </c>
    </row>
    <row r="1369" spans="1:5" x14ac:dyDescent="0.3">
      <c r="A1369" s="9">
        <v>44568</v>
      </c>
      <c r="B1369" s="10" t="s">
        <v>13</v>
      </c>
      <c r="C1369" s="10" t="s">
        <v>28</v>
      </c>
      <c r="D1369" s="12">
        <v>177.07</v>
      </c>
      <c r="E1369" s="12">
        <f>SUMIF('Parametros Inventario'!$A:$A,B1369,'Parametros Inventario'!$B:$B)+SUMIFS(D$2:D1369,B$2:B1369,B1369,C$2:C1369,"ENTRADA")-SUMIFS(D$2:D1369,B$2:B1369,B1369,C$2:C1369,"SALIDA")</f>
        <v>7052.8240000000023</v>
      </c>
    </row>
    <row r="1370" spans="1:5" x14ac:dyDescent="0.3">
      <c r="A1370" s="9">
        <v>44568</v>
      </c>
      <c r="B1370" s="10" t="s">
        <v>15</v>
      </c>
      <c r="C1370" s="10" t="s">
        <v>28</v>
      </c>
      <c r="D1370" s="12">
        <v>196.02</v>
      </c>
      <c r="E1370" s="12">
        <f>SUMIF('Parametros Inventario'!$A:$A,B1370,'Parametros Inventario'!$B:$B)+SUMIFS(D$2:D1370,B$2:B1370,B1370,C$2:C1370,"ENTRADA")-SUMIFS(D$2:D1370,B$2:B1370,B1370,C$2:C1370,"SALIDA")</f>
        <v>6226.2559999999994</v>
      </c>
    </row>
    <row r="1371" spans="1:5" x14ac:dyDescent="0.3">
      <c r="A1371" s="9">
        <v>44568</v>
      </c>
      <c r="B1371" s="10" t="s">
        <v>11</v>
      </c>
      <c r="C1371" s="10" t="s">
        <v>28</v>
      </c>
      <c r="D1371" s="12">
        <v>172.25</v>
      </c>
      <c r="E1371" s="12">
        <f>SUMIF('Parametros Inventario'!$A:$A,B1371,'Parametros Inventario'!$B:$B)+SUMIFS(D$2:D1371,B$2:B1371,B1371,C$2:C1371,"ENTRADA")-SUMIFS(D$2:D1371,B$2:B1371,B1371,C$2:C1371,"SALIDA")</f>
        <v>6992.2609999999995</v>
      </c>
    </row>
    <row r="1372" spans="1:5" x14ac:dyDescent="0.3">
      <c r="A1372" s="9">
        <v>44568</v>
      </c>
      <c r="B1372" s="10" t="s">
        <v>9</v>
      </c>
      <c r="C1372" s="10" t="s">
        <v>28</v>
      </c>
      <c r="D1372" s="12">
        <v>231.82</v>
      </c>
      <c r="E1372" s="12">
        <f>SUMIF('Parametros Inventario'!$A:$A,B1372,'Parametros Inventario'!$B:$B)+SUMIFS(D$2:D1372,B$2:B1372,B1372,C$2:C1372,"ENTRADA")-SUMIFS(D$2:D1372,B$2:B1372,B1372,C$2:C1372,"SALIDA")</f>
        <v>4426.1500000000005</v>
      </c>
    </row>
    <row r="1373" spans="1:5" x14ac:dyDescent="0.3">
      <c r="A1373" s="9">
        <v>44568</v>
      </c>
      <c r="B1373" s="10" t="s">
        <v>14</v>
      </c>
      <c r="C1373" s="10" t="s">
        <v>28</v>
      </c>
      <c r="D1373" s="12">
        <v>246.17</v>
      </c>
      <c r="E1373" s="12">
        <f>SUMIF('Parametros Inventario'!$A:$A,B1373,'Parametros Inventario'!$B:$B)+SUMIFS(D$2:D1373,B$2:B1373,B1373,C$2:C1373,"ENTRADA")-SUMIFS(D$2:D1373,B$2:B1373,B1373,C$2:C1373,"SALIDA")</f>
        <v>6325.260000000002</v>
      </c>
    </row>
    <row r="1374" spans="1:5" x14ac:dyDescent="0.3">
      <c r="A1374" s="9">
        <v>44568</v>
      </c>
      <c r="B1374" s="10" t="s">
        <v>12</v>
      </c>
      <c r="C1374" s="10" t="s">
        <v>28</v>
      </c>
      <c r="D1374" s="12">
        <v>247.75</v>
      </c>
      <c r="E1374" s="12">
        <f>SUMIF('Parametros Inventario'!$A:$A,B1374,'Parametros Inventario'!$B:$B)+SUMIFS(D$2:D1374,B$2:B1374,B1374,C$2:C1374,"ENTRADA")-SUMIFS(D$2:D1374,B$2:B1374,B1374,C$2:C1374,"SALIDA")</f>
        <v>6446.2140000000009</v>
      </c>
    </row>
    <row r="1375" spans="1:5" x14ac:dyDescent="0.3">
      <c r="A1375" s="9">
        <v>44568</v>
      </c>
      <c r="B1375" s="10" t="s">
        <v>16</v>
      </c>
      <c r="C1375" s="10" t="s">
        <v>28</v>
      </c>
      <c r="D1375" s="12">
        <v>203.72</v>
      </c>
      <c r="E1375" s="12">
        <f>SUMIF('Parametros Inventario'!$A:$A,B1375,'Parametros Inventario'!$B:$B)+SUMIFS(D$2:D1375,B$2:B1375,B1375,C$2:C1375,"ENTRADA")-SUMIFS(D$2:D1375,B$2:B1375,B1375,C$2:C1375,"SALIDA")</f>
        <v>6460.7559999999994</v>
      </c>
    </row>
    <row r="1376" spans="1:5" x14ac:dyDescent="0.3">
      <c r="A1376" s="9">
        <f>'Volúmenes DIstribuidos '!B897</f>
        <v>44568</v>
      </c>
      <c r="B1376" s="10" t="str">
        <f>IF(OR('Volúmenes DIstribuidos '!C897="Azúcar",'Volúmenes DIstribuidos '!C897="azúcar"),"Azúcar o dulce",IF('Volúmenes DIstribuidos '!C897="Aceite","Aceite o grasas",IF('Volúmenes DIstribuidos '!C897="Avena","Otros almidones",'Volúmenes DIstribuidos '!C897)))</f>
        <v>Fideo</v>
      </c>
      <c r="C1376" s="10" t="s">
        <v>29</v>
      </c>
      <c r="D1376" s="12">
        <f>'Volúmenes DIstribuidos '!D897</f>
        <v>26.75</v>
      </c>
      <c r="E1376" s="12">
        <f>SUMIF('Parametros Inventario'!$A:$A,B1376,'Parametros Inventario'!$B:$B)+SUMIFS(D$2:D1376,B$2:B1376,B1376,C$2:C1376,"ENTRADA")-SUMIFS(D$2:D1376,B$2:B1376,B1376,C$2:C1376,"SALIDA")</f>
        <v>6965.5109999999995</v>
      </c>
    </row>
    <row r="1377" spans="1:5" x14ac:dyDescent="0.3">
      <c r="A1377" s="9">
        <f>'Volúmenes DIstribuidos '!B897</f>
        <v>44568</v>
      </c>
      <c r="B1377" s="10" t="str">
        <f>IF(OR('Volúmenes DIstribuidos '!C898="Azúcar",'Volúmenes DIstribuidos '!C898="azúcar"),"Azúcar o dulce",IF('Volúmenes DIstribuidos '!C898="Aceite","Aceite o grasas",IF('Volúmenes DIstribuidos '!C898="Avena","Otros almidones",'Volúmenes DIstribuidos '!C898)))</f>
        <v>Azúcar o dulce</v>
      </c>
      <c r="C1377" s="10" t="s">
        <v>29</v>
      </c>
      <c r="D1377" s="12">
        <f>'Volúmenes DIstribuidos '!D898</f>
        <v>4.1929999999999996</v>
      </c>
      <c r="E1377" s="12">
        <f>SUMIF('Parametros Inventario'!$A:$A,B1377,'Parametros Inventario'!$B:$B)+SUMIFS(D$2:D1377,B$2:B1377,B1377,C$2:C1377,"ENTRADA")-SUMIFS(D$2:D1377,B$2:B1377,B1377,C$2:C1377,"SALIDA")</f>
        <v>7048.6310000000021</v>
      </c>
    </row>
    <row r="1378" spans="1:5" x14ac:dyDescent="0.3">
      <c r="A1378" s="9">
        <f>'Volúmenes DIstribuidos '!B897</f>
        <v>44568</v>
      </c>
      <c r="B1378" s="10" t="str">
        <f>IF(OR('Volúmenes DIstribuidos '!C899="Azúcar",'Volúmenes DIstribuidos '!C899="azúcar"),"Azúcar o dulce",IF('Volúmenes DIstribuidos '!C899="Aceite","Aceite o grasas",IF('Volúmenes DIstribuidos '!C899="Avena","Otros almidones",'Volúmenes DIstribuidos '!C899)))</f>
        <v>Salsas</v>
      </c>
      <c r="C1378" s="10" t="s">
        <v>29</v>
      </c>
      <c r="D1378" s="12">
        <f>'Volúmenes DIstribuidos '!D899</f>
        <v>18.260000000000002</v>
      </c>
      <c r="E1378" s="12">
        <f>SUMIF('Parametros Inventario'!$A:$A,B1378,'Parametros Inventario'!$B:$B)+SUMIFS(D$2:D1378,B$2:B1378,B1378,C$2:C1378,"ENTRADA")-SUMIFS(D$2:D1378,B$2:B1378,B1378,C$2:C1378,"SALIDA")</f>
        <v>6355.5159999999978</v>
      </c>
    </row>
    <row r="1379" spans="1:5" x14ac:dyDescent="0.3">
      <c r="A1379" s="9">
        <f>'Volúmenes DIstribuidos '!B897</f>
        <v>44568</v>
      </c>
      <c r="B1379" s="10" t="str">
        <f>IF(OR('Volúmenes DIstribuidos '!C900="Azúcar",'Volúmenes DIstribuidos '!C900="azúcar"),"Azúcar o dulce",IF('Volúmenes DIstribuidos '!C900="Aceite","Aceite o grasas",IF('Volúmenes DIstribuidos '!C900="Avena","Otros almidones",'Volúmenes DIstribuidos '!C900)))</f>
        <v>Azúcar o dulce</v>
      </c>
      <c r="C1379" s="10" t="s">
        <v>29</v>
      </c>
      <c r="D1379" s="12">
        <f>'Volúmenes DIstribuidos '!D900</f>
        <v>16.95</v>
      </c>
      <c r="E1379" s="12">
        <f>SUMIF('Parametros Inventario'!$A:$A,B1379,'Parametros Inventario'!$B:$B)+SUMIFS(D$2:D1379,B$2:B1379,B1379,C$2:C1379,"ENTRADA")-SUMIFS(D$2:D1379,B$2:B1379,B1379,C$2:C1379,"SALIDA")</f>
        <v>7031.6810000000023</v>
      </c>
    </row>
    <row r="1380" spans="1:5" x14ac:dyDescent="0.3">
      <c r="A1380" s="9">
        <f>'Volúmenes DIstribuidos '!B897</f>
        <v>44568</v>
      </c>
      <c r="B1380" s="10" t="str">
        <f>IF(OR('Volúmenes DIstribuidos '!C901="Azúcar",'Volúmenes DIstribuidos '!C901="azúcar"),"Azúcar o dulce",IF('Volúmenes DIstribuidos '!C901="Aceite","Aceite o grasas",IF('Volúmenes DIstribuidos '!C901="Avena","Otros almidones",'Volúmenes DIstribuidos '!C901)))</f>
        <v>Otros almidones</v>
      </c>
      <c r="C1380" s="10" t="s">
        <v>29</v>
      </c>
      <c r="D1380" s="12">
        <f>'Volúmenes DIstribuidos '!D901</f>
        <v>13.2</v>
      </c>
      <c r="E1380" s="12">
        <f>SUMIF('Parametros Inventario'!$A:$A,B1380,'Parametros Inventario'!$B:$B)+SUMIFS(D$2:D1380,B$2:B1380,B1380,C$2:C1380,"ENTRADA")-SUMIFS(D$2:D1380,B$2:B1380,B1380,C$2:C1380,"SALIDA")</f>
        <v>6213.0560000000005</v>
      </c>
    </row>
    <row r="1381" spans="1:5" x14ac:dyDescent="0.3">
      <c r="A1381" s="9">
        <f>'Volúmenes DIstribuidos '!B897</f>
        <v>44568</v>
      </c>
      <c r="B1381" s="10" t="str">
        <f>IF(OR('Volúmenes DIstribuidos '!C902="Azúcar",'Volúmenes DIstribuidos '!C902="azúcar"),"Azúcar o dulce",IF('Volúmenes DIstribuidos '!C902="Aceite","Aceite o grasas",IF('Volúmenes DIstribuidos '!C902="Avena","Otros almidones",'Volúmenes DIstribuidos '!C902)))</f>
        <v>Carnes blancas</v>
      </c>
      <c r="C1381" s="10" t="s">
        <v>29</v>
      </c>
      <c r="D1381" s="12">
        <f>'Volúmenes DIstribuidos '!D902</f>
        <v>38.787999999999997</v>
      </c>
      <c r="E1381" s="12">
        <f>SUMIF('Parametros Inventario'!$A:$A,B1381,'Parametros Inventario'!$B:$B)+SUMIFS(D$2:D1381,B$2:B1381,B1381,C$2:C1381,"ENTRADA")-SUMIFS(D$2:D1381,B$2:B1381,B1381,C$2:C1381,"SALIDA")</f>
        <v>6421.9679999999989</v>
      </c>
    </row>
    <row r="1382" spans="1:5" x14ac:dyDescent="0.3">
      <c r="A1382" s="9">
        <f>'Volúmenes DIstribuidos '!B903</f>
        <v>44572</v>
      </c>
      <c r="B1382" s="10" t="str">
        <f>IF(OR('Volúmenes DIstribuidos '!C903="Azúcar",'Volúmenes DIstribuidos '!C903="azúcar"),"Azúcar o dulce",IF('Volúmenes DIstribuidos '!C903="Aceite","Aceite o grasas",IF('Volúmenes DIstribuidos '!C903="Avena","Otros almidones",'Volúmenes DIstribuidos '!C903)))</f>
        <v>Fideo</v>
      </c>
      <c r="C1382" s="10" t="s">
        <v>29</v>
      </c>
      <c r="D1382" s="12">
        <f>'Volúmenes DIstribuidos '!D903</f>
        <v>42.39</v>
      </c>
      <c r="E1382" s="12">
        <f>SUMIF('Parametros Inventario'!$A:$A,B1382,'Parametros Inventario'!$B:$B)+SUMIFS(D$2:D1382,B$2:B1382,B1382,C$2:C1382,"ENTRADA")-SUMIFS(D$2:D1382,B$2:B1382,B1382,C$2:C1382,"SALIDA")</f>
        <v>6923.1209999999992</v>
      </c>
    </row>
    <row r="1383" spans="1:5" x14ac:dyDescent="0.3">
      <c r="A1383" s="9">
        <f>'Volúmenes DIstribuidos '!B903</f>
        <v>44572</v>
      </c>
      <c r="B1383" s="10" t="str">
        <f>IF(OR('Volúmenes DIstribuidos '!C904="Azúcar",'Volúmenes DIstribuidos '!C904="azúcar"),"Azúcar o dulce",IF('Volúmenes DIstribuidos '!C904="Aceite","Aceite o grasas",IF('Volúmenes DIstribuidos '!C904="Avena","Otros almidones",'Volúmenes DIstribuidos '!C904)))</f>
        <v>Lácteos</v>
      </c>
      <c r="C1383" s="10" t="s">
        <v>29</v>
      </c>
      <c r="D1383" s="12">
        <f>'Volúmenes DIstribuidos '!D904</f>
        <v>31.04</v>
      </c>
      <c r="E1383" s="12">
        <f>SUMIF('Parametros Inventario'!$A:$A,B1383,'Parametros Inventario'!$B:$B)+SUMIFS(D$2:D1383,B$2:B1383,B1383,C$2:C1383,"ENTRADA")-SUMIFS(D$2:D1383,B$2:B1383,B1383,C$2:C1383,"SALIDA")</f>
        <v>5664.5769999999993</v>
      </c>
    </row>
    <row r="1384" spans="1:5" x14ac:dyDescent="0.3">
      <c r="A1384" s="9">
        <f>'Volúmenes DIstribuidos '!B903</f>
        <v>44572</v>
      </c>
      <c r="B1384" s="10" t="str">
        <f>IF(OR('Volúmenes DIstribuidos '!C905="Azúcar",'Volúmenes DIstribuidos '!C905="azúcar"),"Azúcar o dulce",IF('Volúmenes DIstribuidos '!C905="Aceite","Aceite o grasas",IF('Volúmenes DIstribuidos '!C905="Avena","Otros almidones",'Volúmenes DIstribuidos '!C905)))</f>
        <v>Salsas</v>
      </c>
      <c r="C1384" s="10" t="s">
        <v>29</v>
      </c>
      <c r="D1384" s="12">
        <f>'Volúmenes DIstribuidos '!D905</f>
        <v>20.420000000000002</v>
      </c>
      <c r="E1384" s="12">
        <f>SUMIF('Parametros Inventario'!$A:$A,B1384,'Parametros Inventario'!$B:$B)+SUMIFS(D$2:D1384,B$2:B1384,B1384,C$2:C1384,"ENTRADA")-SUMIFS(D$2:D1384,B$2:B1384,B1384,C$2:C1384,"SALIDA")</f>
        <v>6335.0959999999977</v>
      </c>
    </row>
    <row r="1385" spans="1:5" x14ac:dyDescent="0.3">
      <c r="A1385" s="9">
        <f>'Volúmenes DIstribuidos '!B903</f>
        <v>44572</v>
      </c>
      <c r="B1385" s="10" t="str">
        <f>IF(OR('Volúmenes DIstribuidos '!C906="Azúcar",'Volúmenes DIstribuidos '!C906="azúcar"),"Azúcar o dulce",IF('Volúmenes DIstribuidos '!C906="Aceite","Aceite o grasas",IF('Volúmenes DIstribuidos '!C906="Avena","Otros almidones",'Volúmenes DIstribuidos '!C906)))</f>
        <v>Vegetales y hojas</v>
      </c>
      <c r="C1385" s="10" t="s">
        <v>29</v>
      </c>
      <c r="D1385" s="12">
        <f>'Volúmenes DIstribuidos '!D906</f>
        <v>52.878</v>
      </c>
      <c r="E1385" s="12">
        <f>SUMIF('Parametros Inventario'!$A:$A,B1385,'Parametros Inventario'!$B:$B)+SUMIFS(D$2:D1385,B$2:B1385,B1385,C$2:C1385,"ENTRADA")-SUMIFS(D$2:D1385,B$2:B1385,B1385,C$2:C1385,"SALIDA")</f>
        <v>6583.1689999999981</v>
      </c>
    </row>
    <row r="1386" spans="1:5" x14ac:dyDescent="0.3">
      <c r="A1386" s="9">
        <f>'Volúmenes DIstribuidos '!B903</f>
        <v>44572</v>
      </c>
      <c r="B1386" s="10" t="str">
        <f>IF(OR('Volúmenes DIstribuidos '!C907="Azúcar",'Volúmenes DIstribuidos '!C907="azúcar"),"Azúcar o dulce",IF('Volúmenes DIstribuidos '!C907="Aceite","Aceite o grasas",IF('Volúmenes DIstribuidos '!C907="Avena","Otros almidones",'Volúmenes DIstribuidos '!C907)))</f>
        <v>Menestras</v>
      </c>
      <c r="C1386" s="10" t="s">
        <v>29</v>
      </c>
      <c r="D1386" s="12">
        <f>'Volúmenes DIstribuidos '!D907</f>
        <v>28.27</v>
      </c>
      <c r="E1386" s="12">
        <f>SUMIF('Parametros Inventario'!$A:$A,B1386,'Parametros Inventario'!$B:$B)+SUMIFS(D$2:D1386,B$2:B1386,B1386,C$2:C1386,"ENTRADA")-SUMIFS(D$2:D1386,B$2:B1386,B1386,C$2:C1386,"SALIDA")</f>
        <v>6296.9900000000016</v>
      </c>
    </row>
    <row r="1387" spans="1:5" x14ac:dyDescent="0.3">
      <c r="A1387" s="9">
        <f>'Volúmenes DIstribuidos '!B903</f>
        <v>44572</v>
      </c>
      <c r="B1387" s="10" t="str">
        <f>IF(OR('Volúmenes DIstribuidos '!C908="Azúcar",'Volúmenes DIstribuidos '!C908="azúcar"),"Azúcar o dulce",IF('Volúmenes DIstribuidos '!C908="Aceite","Aceite o grasas",IF('Volúmenes DIstribuidos '!C908="Avena","Otros almidones",'Volúmenes DIstribuidos '!C908)))</f>
        <v>Aceite o grasas</v>
      </c>
      <c r="C1387" s="10" t="s">
        <v>29</v>
      </c>
      <c r="D1387" s="12">
        <f>'Volúmenes DIstribuidos '!D908</f>
        <v>70.06</v>
      </c>
      <c r="E1387" s="12">
        <f>SUMIF('Parametros Inventario'!$A:$A,B1387,'Parametros Inventario'!$B:$B)+SUMIFS(D$2:D1387,B$2:B1387,B1387,C$2:C1387,"ENTRADA")-SUMIFS(D$2:D1387,B$2:B1387,B1387,C$2:C1387,"SALIDA")</f>
        <v>5456.3140000000012</v>
      </c>
    </row>
    <row r="1388" spans="1:5" x14ac:dyDescent="0.3">
      <c r="A1388" s="9">
        <v>44575</v>
      </c>
      <c r="B1388" s="10" t="s">
        <v>17</v>
      </c>
      <c r="C1388" s="10" t="s">
        <v>28</v>
      </c>
      <c r="D1388" s="12">
        <v>91.86</v>
      </c>
      <c r="E1388" s="12">
        <f>SUMIF('Parametros Inventario'!$A:$A,B1388,'Parametros Inventario'!$B:$B)+SUMIFS(D$2:D1388,B$2:B1388,B1388,C$2:C1388,"ENTRADA")-SUMIFS(D$2:D1388,B$2:B1388,B1388,C$2:C1388,"SALIDA")</f>
        <v>5756.4369999999999</v>
      </c>
    </row>
    <row r="1389" spans="1:5" x14ac:dyDescent="0.3">
      <c r="A1389" s="9">
        <v>44575</v>
      </c>
      <c r="B1389" s="10" t="s">
        <v>18</v>
      </c>
      <c r="C1389" s="10" t="s">
        <v>28</v>
      </c>
      <c r="D1389" s="12">
        <v>147.03</v>
      </c>
      <c r="E1389" s="12">
        <f>SUMIF('Parametros Inventario'!$A:$A,B1389,'Parametros Inventario'!$B:$B)+SUMIFS(D$2:D1389,B$2:B1389,B1389,C$2:C1389,"ENTRADA")-SUMIFS(D$2:D1389,B$2:B1389,B1389,C$2:C1389,"SALIDA")</f>
        <v>6482.1259999999966</v>
      </c>
    </row>
    <row r="1390" spans="1:5" x14ac:dyDescent="0.3">
      <c r="A1390" s="9">
        <v>44575</v>
      </c>
      <c r="B1390" s="10" t="s">
        <v>10</v>
      </c>
      <c r="C1390" s="10" t="s">
        <v>28</v>
      </c>
      <c r="D1390" s="12">
        <v>270.61</v>
      </c>
      <c r="E1390" s="12">
        <f>SUMIF('Parametros Inventario'!$A:$A,B1390,'Parametros Inventario'!$B:$B)+SUMIFS(D$2:D1390,B$2:B1390,B1390,C$2:C1390,"ENTRADA")-SUMIFS(D$2:D1390,B$2:B1390,B1390,C$2:C1390,"SALIDA")</f>
        <v>6853.7789999999968</v>
      </c>
    </row>
    <row r="1391" spans="1:5" x14ac:dyDescent="0.3">
      <c r="A1391" s="9">
        <v>44575</v>
      </c>
      <c r="B1391" s="10" t="s">
        <v>8</v>
      </c>
      <c r="C1391" s="10" t="s">
        <v>28</v>
      </c>
      <c r="D1391" s="12">
        <v>237.78</v>
      </c>
      <c r="E1391" s="12">
        <f>SUMIF('Parametros Inventario'!$A:$A,B1391,'Parametros Inventario'!$B:$B)+SUMIFS(D$2:D1391,B$2:B1391,B1391,C$2:C1391,"ENTRADA")-SUMIFS(D$2:D1391,B$2:B1391,B1391,C$2:C1391,"SALIDA")</f>
        <v>5694.0940000000001</v>
      </c>
    </row>
    <row r="1392" spans="1:5" x14ac:dyDescent="0.3">
      <c r="A1392" s="9">
        <v>44575</v>
      </c>
      <c r="B1392" s="10" t="s">
        <v>13</v>
      </c>
      <c r="C1392" s="10" t="s">
        <v>28</v>
      </c>
      <c r="D1392" s="12">
        <v>143.57</v>
      </c>
      <c r="E1392" s="12">
        <f>SUMIF('Parametros Inventario'!$A:$A,B1392,'Parametros Inventario'!$B:$B)+SUMIFS(D$2:D1392,B$2:B1392,B1392,C$2:C1392,"ENTRADA")-SUMIFS(D$2:D1392,B$2:B1392,B1392,C$2:C1392,"SALIDA")</f>
        <v>7175.251000000002</v>
      </c>
    </row>
    <row r="1393" spans="1:5" x14ac:dyDescent="0.3">
      <c r="A1393" s="9">
        <v>44575</v>
      </c>
      <c r="B1393" s="10" t="s">
        <v>15</v>
      </c>
      <c r="C1393" s="10" t="s">
        <v>28</v>
      </c>
      <c r="D1393" s="12">
        <v>179.72</v>
      </c>
      <c r="E1393" s="12">
        <f>SUMIF('Parametros Inventario'!$A:$A,B1393,'Parametros Inventario'!$B:$B)+SUMIFS(D$2:D1393,B$2:B1393,B1393,C$2:C1393,"ENTRADA")-SUMIFS(D$2:D1393,B$2:B1393,B1393,C$2:C1393,"SALIDA")</f>
        <v>6392.7759999999998</v>
      </c>
    </row>
    <row r="1394" spans="1:5" x14ac:dyDescent="0.3">
      <c r="A1394" s="9">
        <v>44575</v>
      </c>
      <c r="B1394" s="10" t="s">
        <v>11</v>
      </c>
      <c r="C1394" s="10" t="s">
        <v>28</v>
      </c>
      <c r="D1394" s="12">
        <v>94.75</v>
      </c>
      <c r="E1394" s="12">
        <f>SUMIF('Parametros Inventario'!$A:$A,B1394,'Parametros Inventario'!$B:$B)+SUMIFS(D$2:D1394,B$2:B1394,B1394,C$2:C1394,"ENTRADA")-SUMIFS(D$2:D1394,B$2:B1394,B1394,C$2:C1394,"SALIDA")</f>
        <v>7017.8709999999992</v>
      </c>
    </row>
    <row r="1395" spans="1:5" x14ac:dyDescent="0.3">
      <c r="A1395" s="9">
        <v>44575</v>
      </c>
      <c r="B1395" s="10" t="s">
        <v>9</v>
      </c>
      <c r="C1395" s="10" t="s">
        <v>28</v>
      </c>
      <c r="D1395" s="12">
        <v>228.12</v>
      </c>
      <c r="E1395" s="12">
        <f>SUMIF('Parametros Inventario'!$A:$A,B1395,'Parametros Inventario'!$B:$B)+SUMIFS(D$2:D1395,B$2:B1395,B1395,C$2:C1395,"ENTRADA")-SUMIFS(D$2:D1395,B$2:B1395,B1395,C$2:C1395,"SALIDA")</f>
        <v>4654.2700000000004</v>
      </c>
    </row>
    <row r="1396" spans="1:5" x14ac:dyDescent="0.3">
      <c r="A1396" s="9">
        <v>44575</v>
      </c>
      <c r="B1396" s="10" t="s">
        <v>14</v>
      </c>
      <c r="C1396" s="10" t="s">
        <v>28</v>
      </c>
      <c r="D1396" s="12">
        <v>181.37</v>
      </c>
      <c r="E1396" s="12">
        <f>SUMIF('Parametros Inventario'!$A:$A,B1396,'Parametros Inventario'!$B:$B)+SUMIFS(D$2:D1396,B$2:B1396,B1396,C$2:C1396,"ENTRADA")-SUMIFS(D$2:D1396,B$2:B1396,B1396,C$2:C1396,"SALIDA")</f>
        <v>6478.3600000000006</v>
      </c>
    </row>
    <row r="1397" spans="1:5" x14ac:dyDescent="0.3">
      <c r="A1397" s="9">
        <v>44575</v>
      </c>
      <c r="B1397" s="10" t="s">
        <v>12</v>
      </c>
      <c r="C1397" s="10" t="s">
        <v>28</v>
      </c>
      <c r="D1397" s="12">
        <v>170.82</v>
      </c>
      <c r="E1397" s="12">
        <f>SUMIF('Parametros Inventario'!$A:$A,B1397,'Parametros Inventario'!$B:$B)+SUMIFS(D$2:D1397,B$2:B1397,B1397,C$2:C1397,"ENTRADA")-SUMIFS(D$2:D1397,B$2:B1397,B1397,C$2:C1397,"SALIDA")</f>
        <v>6617.0340000000006</v>
      </c>
    </row>
    <row r="1398" spans="1:5" x14ac:dyDescent="0.3">
      <c r="A1398" s="9">
        <v>44575</v>
      </c>
      <c r="B1398" s="10" t="s">
        <v>16</v>
      </c>
      <c r="C1398" s="10" t="s">
        <v>28</v>
      </c>
      <c r="D1398" s="12">
        <v>288.94</v>
      </c>
      <c r="E1398" s="12">
        <f>SUMIF('Parametros Inventario'!$A:$A,B1398,'Parametros Inventario'!$B:$B)+SUMIFS(D$2:D1398,B$2:B1398,B1398,C$2:C1398,"ENTRADA")-SUMIFS(D$2:D1398,B$2:B1398,B1398,C$2:C1398,"SALIDA")</f>
        <v>6710.9079999999994</v>
      </c>
    </row>
    <row r="1399" spans="1:5" x14ac:dyDescent="0.3">
      <c r="A1399" s="9">
        <f>'Volúmenes DIstribuidos '!B909</f>
        <v>44575</v>
      </c>
      <c r="B1399" s="10" t="str">
        <f>IF(OR('Volúmenes DIstribuidos '!C909="Azúcar",'Volúmenes DIstribuidos '!C909="azúcar"),"Azúcar o dulce",IF('Volúmenes DIstribuidos '!C909="Aceite","Aceite o grasas",IF('Volúmenes DIstribuidos '!C909="Avena","Otros almidones",'Volúmenes DIstribuidos '!C909)))</f>
        <v>Panadería</v>
      </c>
      <c r="C1399" s="10" t="s">
        <v>29</v>
      </c>
      <c r="D1399" s="12">
        <f>'Volúmenes DIstribuidos '!D909</f>
        <v>78.793999999999997</v>
      </c>
      <c r="E1399" s="12">
        <f>SUMIF('Parametros Inventario'!$A:$A,B1399,'Parametros Inventario'!$B:$B)+SUMIFS(D$2:D1399,B$2:B1399,B1399,C$2:C1399,"ENTRADA")-SUMIFS(D$2:D1399,B$2:B1399,B1399,C$2:C1399,"SALIDA")</f>
        <v>4575.4760000000006</v>
      </c>
    </row>
    <row r="1400" spans="1:5" x14ac:dyDescent="0.3">
      <c r="A1400" s="9">
        <f>'Volúmenes DIstribuidos '!B909</f>
        <v>44575</v>
      </c>
      <c r="B1400" s="10" t="str">
        <f>IF(OR('Volúmenes DIstribuidos '!C910="Azúcar",'Volúmenes DIstribuidos '!C910="azúcar"),"Azúcar o dulce",IF('Volúmenes DIstribuidos '!C910="Aceite","Aceite o grasas",IF('Volúmenes DIstribuidos '!C910="Avena","Otros almidones",'Volúmenes DIstribuidos '!C910)))</f>
        <v>Azúcar o dulce</v>
      </c>
      <c r="C1400" s="10" t="s">
        <v>29</v>
      </c>
      <c r="D1400" s="12">
        <f>'Volúmenes DIstribuidos '!D910</f>
        <v>35.93</v>
      </c>
      <c r="E1400" s="12">
        <f>SUMIF('Parametros Inventario'!$A:$A,B1400,'Parametros Inventario'!$B:$B)+SUMIFS(D$2:D1400,B$2:B1400,B1400,C$2:C1400,"ENTRADA")-SUMIFS(D$2:D1400,B$2:B1400,B1400,C$2:C1400,"SALIDA")</f>
        <v>7139.3210000000017</v>
      </c>
    </row>
    <row r="1401" spans="1:5" x14ac:dyDescent="0.3">
      <c r="A1401" s="9">
        <f>'Volúmenes DIstribuidos '!B909</f>
        <v>44575</v>
      </c>
      <c r="B1401" s="10" t="str">
        <f>IF(OR('Volúmenes DIstribuidos '!C911="Azúcar",'Volúmenes DIstribuidos '!C911="azúcar"),"Azúcar o dulce",IF('Volúmenes DIstribuidos '!C911="Aceite","Aceite o grasas",IF('Volúmenes DIstribuidos '!C911="Avena","Otros almidones",'Volúmenes DIstribuidos '!C911)))</f>
        <v>Lácteos</v>
      </c>
      <c r="C1401" s="10" t="s">
        <v>29</v>
      </c>
      <c r="D1401" s="12">
        <f>'Volúmenes DIstribuidos '!D911</f>
        <v>31.06</v>
      </c>
      <c r="E1401" s="12">
        <f>SUMIF('Parametros Inventario'!$A:$A,B1401,'Parametros Inventario'!$B:$B)+SUMIFS(D$2:D1401,B$2:B1401,B1401,C$2:C1401,"ENTRADA")-SUMIFS(D$2:D1401,B$2:B1401,B1401,C$2:C1401,"SALIDA")</f>
        <v>5725.3769999999995</v>
      </c>
    </row>
    <row r="1402" spans="1:5" x14ac:dyDescent="0.3">
      <c r="A1402" s="9">
        <f>'Volúmenes DIstribuidos '!B909</f>
        <v>44575</v>
      </c>
      <c r="B1402" s="10" t="str">
        <f>IF(OR('Volúmenes DIstribuidos '!C912="Azúcar",'Volúmenes DIstribuidos '!C912="azúcar"),"Azúcar o dulce",IF('Volúmenes DIstribuidos '!C912="Aceite","Aceite o grasas",IF('Volúmenes DIstribuidos '!C912="Avena","Otros almidones",'Volúmenes DIstribuidos '!C912)))</f>
        <v>Panadería</v>
      </c>
      <c r="C1402" s="10" t="s">
        <v>29</v>
      </c>
      <c r="D1402" s="12">
        <f>'Volúmenes DIstribuidos '!D912</f>
        <v>41.78</v>
      </c>
      <c r="E1402" s="12">
        <f>SUMIF('Parametros Inventario'!$A:$A,B1402,'Parametros Inventario'!$B:$B)+SUMIFS(D$2:D1402,B$2:B1402,B1402,C$2:C1402,"ENTRADA")-SUMIFS(D$2:D1402,B$2:B1402,B1402,C$2:C1402,"SALIDA")</f>
        <v>4533.6959999999999</v>
      </c>
    </row>
    <row r="1403" spans="1:5" x14ac:dyDescent="0.3">
      <c r="A1403" s="9">
        <f>'Volúmenes DIstribuidos '!B909</f>
        <v>44575</v>
      </c>
      <c r="B1403" s="10" t="str">
        <f>IF(OR('Volúmenes DIstribuidos '!C913="Azúcar",'Volúmenes DIstribuidos '!C913="azúcar"),"Azúcar o dulce",IF('Volúmenes DIstribuidos '!C913="Aceite","Aceite o grasas",IF('Volúmenes DIstribuidos '!C913="Avena","Otros almidones",'Volúmenes DIstribuidos '!C913)))</f>
        <v>Otros almidones</v>
      </c>
      <c r="C1403" s="10" t="s">
        <v>29</v>
      </c>
      <c r="D1403" s="12">
        <f>'Volúmenes DIstribuidos '!D913</f>
        <v>18.151</v>
      </c>
      <c r="E1403" s="12">
        <f>SUMIF('Parametros Inventario'!$A:$A,B1403,'Parametros Inventario'!$B:$B)+SUMIFS(D$2:D1403,B$2:B1403,B1403,C$2:C1403,"ENTRADA")-SUMIFS(D$2:D1403,B$2:B1403,B1403,C$2:C1403,"SALIDA")</f>
        <v>6374.625</v>
      </c>
    </row>
    <row r="1404" spans="1:5" x14ac:dyDescent="0.3">
      <c r="A1404" s="9">
        <f>'Volúmenes DIstribuidos '!B909</f>
        <v>44575</v>
      </c>
      <c r="B1404" s="10" t="str">
        <f>IF(OR('Volúmenes DIstribuidos '!C914="Azúcar",'Volúmenes DIstribuidos '!C914="azúcar"),"Azúcar o dulce",IF('Volúmenes DIstribuidos '!C914="Aceite","Aceite o grasas",IF('Volúmenes DIstribuidos '!C914="Avena","Otros almidones",'Volúmenes DIstribuidos '!C914)))</f>
        <v>Menestras</v>
      </c>
      <c r="C1404" s="10" t="s">
        <v>29</v>
      </c>
      <c r="D1404" s="12">
        <f>'Volúmenes DIstribuidos '!D914</f>
        <v>16.53</v>
      </c>
      <c r="E1404" s="12">
        <f>SUMIF('Parametros Inventario'!$A:$A,B1404,'Parametros Inventario'!$B:$B)+SUMIFS(D$2:D1404,B$2:B1404,B1404,C$2:C1404,"ENTRADA")-SUMIFS(D$2:D1404,B$2:B1404,B1404,C$2:C1404,"SALIDA")</f>
        <v>6461.8300000000008</v>
      </c>
    </row>
    <row r="1405" spans="1:5" x14ac:dyDescent="0.3">
      <c r="A1405" s="9">
        <f>'Volúmenes DIstribuidos '!B915</f>
        <v>44579</v>
      </c>
      <c r="B1405" s="10" t="str">
        <f>IF(OR('Volúmenes DIstribuidos '!C915="Azúcar",'Volúmenes DIstribuidos '!C915="azúcar"),"Azúcar o dulce",IF('Volúmenes DIstribuidos '!C915="Aceite","Aceite o grasas",IF('Volúmenes DIstribuidos '!C915="Avena","Otros almidones",'Volúmenes DIstribuidos '!C915)))</f>
        <v>Carnes rojas</v>
      </c>
      <c r="C1405" s="10" t="s">
        <v>29</v>
      </c>
      <c r="D1405" s="12">
        <f>'Volúmenes DIstribuidos '!D915</f>
        <v>14.2</v>
      </c>
      <c r="E1405" s="12">
        <f>SUMIF('Parametros Inventario'!$A:$A,B1405,'Parametros Inventario'!$B:$B)+SUMIFS(D$2:D1405,B$2:B1405,B1405,C$2:C1405,"ENTRADA")-SUMIFS(D$2:D1405,B$2:B1405,B1405,C$2:C1405,"SALIDA")</f>
        <v>6602.8340000000007</v>
      </c>
    </row>
    <row r="1406" spans="1:5" x14ac:dyDescent="0.3">
      <c r="A1406" s="9">
        <f>'Volúmenes DIstribuidos '!B915</f>
        <v>44579</v>
      </c>
      <c r="B1406" s="10" t="str">
        <f>IF(OR('Volúmenes DIstribuidos '!C916="Azúcar",'Volúmenes DIstribuidos '!C916="azúcar"),"Azúcar o dulce",IF('Volúmenes DIstribuidos '!C916="Aceite","Aceite o grasas",IF('Volúmenes DIstribuidos '!C916="Avena","Otros almidones",'Volúmenes DIstribuidos '!C916)))</f>
        <v>Otros almidones</v>
      </c>
      <c r="C1406" s="10" t="s">
        <v>29</v>
      </c>
      <c r="D1406" s="12">
        <f>'Volúmenes DIstribuidos '!D916</f>
        <v>44.64</v>
      </c>
      <c r="E1406" s="12">
        <f>SUMIF('Parametros Inventario'!$A:$A,B1406,'Parametros Inventario'!$B:$B)+SUMIFS(D$2:D1406,B$2:B1406,B1406,C$2:C1406,"ENTRADA")-SUMIFS(D$2:D1406,B$2:B1406,B1406,C$2:C1406,"SALIDA")</f>
        <v>6329.9849999999997</v>
      </c>
    </row>
    <row r="1407" spans="1:5" x14ac:dyDescent="0.3">
      <c r="A1407" s="9">
        <f>'Volúmenes DIstribuidos '!B915</f>
        <v>44579</v>
      </c>
      <c r="B1407" s="10" t="str">
        <f>IF(OR('Volúmenes DIstribuidos '!C917="Azúcar",'Volúmenes DIstribuidos '!C917="azúcar"),"Azúcar o dulce",IF('Volúmenes DIstribuidos '!C917="Aceite","Aceite o grasas",IF('Volúmenes DIstribuidos '!C917="Avena","Otros almidones",'Volúmenes DIstribuidos '!C917)))</f>
        <v>Lácteos</v>
      </c>
      <c r="C1407" s="10" t="s">
        <v>29</v>
      </c>
      <c r="D1407" s="12">
        <f>'Volúmenes DIstribuidos '!D917</f>
        <v>127.06</v>
      </c>
      <c r="E1407" s="12">
        <f>SUMIF('Parametros Inventario'!$A:$A,B1407,'Parametros Inventario'!$B:$B)+SUMIFS(D$2:D1407,B$2:B1407,B1407,C$2:C1407,"ENTRADA")-SUMIFS(D$2:D1407,B$2:B1407,B1407,C$2:C1407,"SALIDA")</f>
        <v>5598.3169999999991</v>
      </c>
    </row>
    <row r="1408" spans="1:5" x14ac:dyDescent="0.3">
      <c r="A1408" s="9">
        <f>'Volúmenes DIstribuidos '!B915</f>
        <v>44579</v>
      </c>
      <c r="B1408" s="10" t="str">
        <f>IF(OR('Volúmenes DIstribuidos '!C918="Azúcar",'Volúmenes DIstribuidos '!C918="azúcar"),"Azúcar o dulce",IF('Volúmenes DIstribuidos '!C918="Aceite","Aceite o grasas",IF('Volúmenes DIstribuidos '!C918="Avena","Otros almidones",'Volúmenes DIstribuidos '!C918)))</f>
        <v>Fideo</v>
      </c>
      <c r="C1408" s="10" t="s">
        <v>29</v>
      </c>
      <c r="D1408" s="12">
        <f>'Volúmenes DIstribuidos '!D918</f>
        <v>17.420000000000002</v>
      </c>
      <c r="E1408" s="12">
        <f>SUMIF('Parametros Inventario'!$A:$A,B1408,'Parametros Inventario'!$B:$B)+SUMIFS(D$2:D1408,B$2:B1408,B1408,C$2:C1408,"ENTRADA")-SUMIFS(D$2:D1408,B$2:B1408,B1408,C$2:C1408,"SALIDA")</f>
        <v>7000.4509999999991</v>
      </c>
    </row>
    <row r="1409" spans="1:5" x14ac:dyDescent="0.3">
      <c r="A1409" s="9">
        <f>'Volúmenes DIstribuidos '!B915</f>
        <v>44579</v>
      </c>
      <c r="B1409" s="10" t="str">
        <f>IF(OR('Volúmenes DIstribuidos '!C919="Azúcar",'Volúmenes DIstribuidos '!C919="azúcar"),"Azúcar o dulce",IF('Volúmenes DIstribuidos '!C919="Aceite","Aceite o grasas",IF('Volúmenes DIstribuidos '!C919="Avena","Otros almidones",'Volúmenes DIstribuidos '!C919)))</f>
        <v>Vegetales y hojas</v>
      </c>
      <c r="C1409" s="10" t="s">
        <v>29</v>
      </c>
      <c r="D1409" s="12">
        <f>'Volúmenes DIstribuidos '!D919</f>
        <v>23.95</v>
      </c>
      <c r="E1409" s="12">
        <f>SUMIF('Parametros Inventario'!$A:$A,B1409,'Parametros Inventario'!$B:$B)+SUMIFS(D$2:D1409,B$2:B1409,B1409,C$2:C1409,"ENTRADA")-SUMIFS(D$2:D1409,B$2:B1409,B1409,C$2:C1409,"SALIDA")</f>
        <v>6829.828999999997</v>
      </c>
    </row>
    <row r="1410" spans="1:5" x14ac:dyDescent="0.3">
      <c r="A1410" s="9">
        <f>'Volúmenes DIstribuidos '!B915</f>
        <v>44579</v>
      </c>
      <c r="B1410" s="10" t="str">
        <f>IF(OR('Volúmenes DIstribuidos '!C920="Azúcar",'Volúmenes DIstribuidos '!C920="azúcar"),"Azúcar o dulce",IF('Volúmenes DIstribuidos '!C920="Aceite","Aceite o grasas",IF('Volúmenes DIstribuidos '!C920="Avena","Otros almidones",'Volúmenes DIstribuidos '!C920)))</f>
        <v>Salsas</v>
      </c>
      <c r="C1410" s="10" t="s">
        <v>29</v>
      </c>
      <c r="D1410" s="12">
        <f>'Volúmenes DIstribuidos '!D920</f>
        <v>26.95</v>
      </c>
      <c r="E1410" s="12">
        <f>SUMIF('Parametros Inventario'!$A:$A,B1410,'Parametros Inventario'!$B:$B)+SUMIFS(D$2:D1410,B$2:B1410,B1410,C$2:C1410,"ENTRADA")-SUMIFS(D$2:D1410,B$2:B1410,B1410,C$2:C1410,"SALIDA")</f>
        <v>6455.1759999999967</v>
      </c>
    </row>
    <row r="1411" spans="1:5" x14ac:dyDescent="0.3">
      <c r="A1411" s="9">
        <v>44582</v>
      </c>
      <c r="B1411" s="10" t="s">
        <v>17</v>
      </c>
      <c r="C1411" s="10" t="s">
        <v>28</v>
      </c>
      <c r="D1411" s="12">
        <v>168.44</v>
      </c>
      <c r="E1411" s="12">
        <f>SUMIF('Parametros Inventario'!$A:$A,B1411,'Parametros Inventario'!$B:$B)+SUMIFS(D$2:D1411,B$2:B1411,B1411,C$2:C1411,"ENTRADA")-SUMIFS(D$2:D1411,B$2:B1411,B1411,C$2:C1411,"SALIDA")</f>
        <v>5766.7569999999978</v>
      </c>
    </row>
    <row r="1412" spans="1:5" x14ac:dyDescent="0.3">
      <c r="A1412" s="9">
        <v>44582</v>
      </c>
      <c r="B1412" s="10" t="s">
        <v>18</v>
      </c>
      <c r="C1412" s="10" t="s">
        <v>28</v>
      </c>
      <c r="D1412" s="12">
        <v>195.3</v>
      </c>
      <c r="E1412" s="12">
        <f>SUMIF('Parametros Inventario'!$A:$A,B1412,'Parametros Inventario'!$B:$B)+SUMIFS(D$2:D1412,B$2:B1412,B1412,C$2:C1412,"ENTRADA")-SUMIFS(D$2:D1412,B$2:B1412,B1412,C$2:C1412,"SALIDA")</f>
        <v>6650.4759999999978</v>
      </c>
    </row>
    <row r="1413" spans="1:5" x14ac:dyDescent="0.3">
      <c r="A1413" s="9">
        <v>44582</v>
      </c>
      <c r="B1413" s="10" t="s">
        <v>10</v>
      </c>
      <c r="C1413" s="10" t="s">
        <v>28</v>
      </c>
      <c r="D1413" s="12">
        <v>209.53</v>
      </c>
      <c r="E1413" s="12">
        <f>SUMIF('Parametros Inventario'!$A:$A,B1413,'Parametros Inventario'!$B:$B)+SUMIFS(D$2:D1413,B$2:B1413,B1413,C$2:C1413,"ENTRADA")-SUMIFS(D$2:D1413,B$2:B1413,B1413,C$2:C1413,"SALIDA")</f>
        <v>7039.3589999999976</v>
      </c>
    </row>
    <row r="1414" spans="1:5" x14ac:dyDescent="0.3">
      <c r="A1414" s="9">
        <v>44582</v>
      </c>
      <c r="B1414" s="10" t="s">
        <v>8</v>
      </c>
      <c r="C1414" s="10" t="s">
        <v>28</v>
      </c>
      <c r="D1414" s="12">
        <v>247.66</v>
      </c>
      <c r="E1414" s="12">
        <f>SUMIF('Parametros Inventario'!$A:$A,B1414,'Parametros Inventario'!$B:$B)+SUMIFS(D$2:D1414,B$2:B1414,B1414,C$2:C1414,"ENTRADA")-SUMIFS(D$2:D1414,B$2:B1414,B1414,C$2:C1414,"SALIDA")</f>
        <v>5941.7539999999999</v>
      </c>
    </row>
    <row r="1415" spans="1:5" x14ac:dyDescent="0.3">
      <c r="A1415" s="9">
        <v>44582</v>
      </c>
      <c r="B1415" s="10" t="s">
        <v>13</v>
      </c>
      <c r="C1415" s="10" t="s">
        <v>28</v>
      </c>
      <c r="D1415" s="12">
        <v>212.43</v>
      </c>
      <c r="E1415" s="12">
        <f>SUMIF('Parametros Inventario'!$A:$A,B1415,'Parametros Inventario'!$B:$B)+SUMIFS(D$2:D1415,B$2:B1415,B1415,C$2:C1415,"ENTRADA")-SUMIFS(D$2:D1415,B$2:B1415,B1415,C$2:C1415,"SALIDA")</f>
        <v>7351.751000000002</v>
      </c>
    </row>
    <row r="1416" spans="1:5" x14ac:dyDescent="0.3">
      <c r="A1416" s="9">
        <v>44582</v>
      </c>
      <c r="B1416" s="10" t="s">
        <v>15</v>
      </c>
      <c r="C1416" s="10" t="s">
        <v>28</v>
      </c>
      <c r="D1416" s="12">
        <v>101.8</v>
      </c>
      <c r="E1416" s="12">
        <f>SUMIF('Parametros Inventario'!$A:$A,B1416,'Parametros Inventario'!$B:$B)+SUMIFS(D$2:D1416,B$2:B1416,B1416,C$2:C1416,"ENTRADA")-SUMIFS(D$2:D1416,B$2:B1416,B1416,C$2:C1416,"SALIDA")</f>
        <v>6431.7850000000008</v>
      </c>
    </row>
    <row r="1417" spans="1:5" x14ac:dyDescent="0.3">
      <c r="A1417" s="9">
        <v>44582</v>
      </c>
      <c r="B1417" s="10" t="s">
        <v>11</v>
      </c>
      <c r="C1417" s="10" t="s">
        <v>28</v>
      </c>
      <c r="D1417" s="12">
        <v>273.72000000000003</v>
      </c>
      <c r="E1417" s="12">
        <f>SUMIF('Parametros Inventario'!$A:$A,B1417,'Parametros Inventario'!$B:$B)+SUMIFS(D$2:D1417,B$2:B1417,B1417,C$2:C1417,"ENTRADA")-SUMIFS(D$2:D1417,B$2:B1417,B1417,C$2:C1417,"SALIDA")</f>
        <v>7274.1710000000003</v>
      </c>
    </row>
    <row r="1418" spans="1:5" x14ac:dyDescent="0.3">
      <c r="A1418" s="9">
        <v>44582</v>
      </c>
      <c r="B1418" s="10" t="s">
        <v>9</v>
      </c>
      <c r="C1418" s="10" t="s">
        <v>28</v>
      </c>
      <c r="D1418" s="12">
        <v>163.02000000000001</v>
      </c>
      <c r="E1418" s="12">
        <f>SUMIF('Parametros Inventario'!$A:$A,B1418,'Parametros Inventario'!$B:$B)+SUMIFS(D$2:D1418,B$2:B1418,B1418,C$2:C1418,"ENTRADA")-SUMIFS(D$2:D1418,B$2:B1418,B1418,C$2:C1418,"SALIDA")</f>
        <v>4696.7160000000003</v>
      </c>
    </row>
    <row r="1419" spans="1:5" x14ac:dyDescent="0.3">
      <c r="A1419" s="9">
        <v>44582</v>
      </c>
      <c r="B1419" s="10" t="s">
        <v>14</v>
      </c>
      <c r="C1419" s="10" t="s">
        <v>28</v>
      </c>
      <c r="D1419" s="12">
        <v>108.6</v>
      </c>
      <c r="E1419" s="12">
        <f>SUMIF('Parametros Inventario'!$A:$A,B1419,'Parametros Inventario'!$B:$B)+SUMIFS(D$2:D1419,B$2:B1419,B1419,C$2:C1419,"ENTRADA")-SUMIFS(D$2:D1419,B$2:B1419,B1419,C$2:C1419,"SALIDA")</f>
        <v>6570.4300000000012</v>
      </c>
    </row>
    <row r="1420" spans="1:5" x14ac:dyDescent="0.3">
      <c r="A1420" s="9">
        <v>44582</v>
      </c>
      <c r="B1420" s="10" t="s">
        <v>12</v>
      </c>
      <c r="C1420" s="10" t="s">
        <v>28</v>
      </c>
      <c r="D1420" s="12">
        <v>104.65</v>
      </c>
      <c r="E1420" s="12">
        <f>SUMIF('Parametros Inventario'!$A:$A,B1420,'Parametros Inventario'!$B:$B)+SUMIFS(D$2:D1420,B$2:B1420,B1420,C$2:C1420,"ENTRADA")-SUMIFS(D$2:D1420,B$2:B1420,B1420,C$2:C1420,"SALIDA")</f>
        <v>6707.4840000000004</v>
      </c>
    </row>
    <row r="1421" spans="1:5" x14ac:dyDescent="0.3">
      <c r="A1421" s="9">
        <v>44582</v>
      </c>
      <c r="B1421" s="10" t="s">
        <v>16</v>
      </c>
      <c r="C1421" s="10" t="s">
        <v>28</v>
      </c>
      <c r="D1421" s="12">
        <v>156.26</v>
      </c>
      <c r="E1421" s="12">
        <f>SUMIF('Parametros Inventario'!$A:$A,B1421,'Parametros Inventario'!$B:$B)+SUMIFS(D$2:D1421,B$2:B1421,B1421,C$2:C1421,"ENTRADA")-SUMIFS(D$2:D1421,B$2:B1421,B1421,C$2:C1421,"SALIDA")</f>
        <v>6867.1679999999997</v>
      </c>
    </row>
    <row r="1422" spans="1:5" x14ac:dyDescent="0.3">
      <c r="A1422" s="9">
        <f>'Volúmenes DIstribuidos '!B921</f>
        <v>44582</v>
      </c>
      <c r="B1422" s="10" t="str">
        <f>IF(OR('Volúmenes DIstribuidos '!C921="Azúcar",'Volúmenes DIstribuidos '!C921="azúcar"),"Azúcar o dulce",IF('Volúmenes DIstribuidos '!C921="Aceite","Aceite o grasas",IF('Volúmenes DIstribuidos '!C921="Avena","Otros almidones",'Volúmenes DIstribuidos '!C921)))</f>
        <v>Aceite o grasas</v>
      </c>
      <c r="C1422" s="10" t="s">
        <v>29</v>
      </c>
      <c r="D1422" s="12">
        <f>'Volúmenes DIstribuidos '!D921</f>
        <v>65.62</v>
      </c>
      <c r="E1422" s="12">
        <f>SUMIF('Parametros Inventario'!$A:$A,B1422,'Parametros Inventario'!$B:$B)+SUMIFS(D$2:D1422,B$2:B1422,B1422,C$2:C1422,"ENTRADA")-SUMIFS(D$2:D1422,B$2:B1422,B1422,C$2:C1422,"SALIDA")</f>
        <v>5876.134</v>
      </c>
    </row>
    <row r="1423" spans="1:5" x14ac:dyDescent="0.3">
      <c r="A1423" s="9">
        <f>'Volúmenes DIstribuidos '!B921</f>
        <v>44582</v>
      </c>
      <c r="B1423" s="10" t="str">
        <f>IF(OR('Volúmenes DIstribuidos '!C922="Azúcar",'Volúmenes DIstribuidos '!C922="azúcar"),"Azúcar o dulce",IF('Volúmenes DIstribuidos '!C922="Aceite","Aceite o grasas",IF('Volúmenes DIstribuidos '!C922="Avena","Otros almidones",'Volúmenes DIstribuidos '!C922)))</f>
        <v>Otros almidones</v>
      </c>
      <c r="C1423" s="10" t="s">
        <v>29</v>
      </c>
      <c r="D1423" s="12">
        <f>'Volúmenes DIstribuidos '!D922</f>
        <v>90.929000000000002</v>
      </c>
      <c r="E1423" s="12">
        <f>SUMIF('Parametros Inventario'!$A:$A,B1423,'Parametros Inventario'!$B:$B)+SUMIFS(D$2:D1423,B$2:B1423,B1423,C$2:C1423,"ENTRADA")-SUMIFS(D$2:D1423,B$2:B1423,B1423,C$2:C1423,"SALIDA")</f>
        <v>6340.8560000000007</v>
      </c>
    </row>
    <row r="1424" spans="1:5" x14ac:dyDescent="0.3">
      <c r="A1424" s="9">
        <f>'Volúmenes DIstribuidos '!B921</f>
        <v>44582</v>
      </c>
      <c r="B1424" s="10" t="str">
        <f>IF(OR('Volúmenes DIstribuidos '!C923="Azúcar",'Volúmenes DIstribuidos '!C923="azúcar"),"Azúcar o dulce",IF('Volúmenes DIstribuidos '!C923="Aceite","Aceite o grasas",IF('Volúmenes DIstribuidos '!C923="Avena","Otros almidones",'Volúmenes DIstribuidos '!C923)))</f>
        <v>Azúcar o dulce</v>
      </c>
      <c r="C1424" s="10" t="s">
        <v>29</v>
      </c>
      <c r="D1424" s="12">
        <f>'Volúmenes DIstribuidos '!D923</f>
        <v>35.4</v>
      </c>
      <c r="E1424" s="12">
        <f>SUMIF('Parametros Inventario'!$A:$A,B1424,'Parametros Inventario'!$B:$B)+SUMIFS(D$2:D1424,B$2:B1424,B1424,C$2:C1424,"ENTRADA")-SUMIFS(D$2:D1424,B$2:B1424,B1424,C$2:C1424,"SALIDA")</f>
        <v>7316.3510000000024</v>
      </c>
    </row>
    <row r="1425" spans="1:5" x14ac:dyDescent="0.3">
      <c r="A1425" s="9">
        <f>'Volúmenes DIstribuidos '!B921</f>
        <v>44582</v>
      </c>
      <c r="B1425" s="10" t="str">
        <f>IF(OR('Volúmenes DIstribuidos '!C924="Azúcar",'Volúmenes DIstribuidos '!C924="azúcar"),"Azúcar o dulce",IF('Volúmenes DIstribuidos '!C924="Aceite","Aceite o grasas",IF('Volúmenes DIstribuidos '!C924="Avena","Otros almidones",'Volúmenes DIstribuidos '!C924)))</f>
        <v>Aceite o grasas</v>
      </c>
      <c r="C1425" s="10" t="s">
        <v>29</v>
      </c>
      <c r="D1425" s="12">
        <f>'Volúmenes DIstribuidos '!D924</f>
        <v>59.06</v>
      </c>
      <c r="E1425" s="12">
        <f>SUMIF('Parametros Inventario'!$A:$A,B1425,'Parametros Inventario'!$B:$B)+SUMIFS(D$2:D1425,B$2:B1425,B1425,C$2:C1425,"ENTRADA")-SUMIFS(D$2:D1425,B$2:B1425,B1425,C$2:C1425,"SALIDA")</f>
        <v>5817.0740000000005</v>
      </c>
    </row>
    <row r="1426" spans="1:5" x14ac:dyDescent="0.3">
      <c r="A1426" s="9">
        <f>'Volúmenes DIstribuidos '!B921</f>
        <v>44582</v>
      </c>
      <c r="B1426" s="10" t="str">
        <f>IF(OR('Volúmenes DIstribuidos '!C925="Azúcar",'Volúmenes DIstribuidos '!C925="azúcar"),"Azúcar o dulce",IF('Volúmenes DIstribuidos '!C925="Aceite","Aceite o grasas",IF('Volúmenes DIstribuidos '!C925="Avena","Otros almidones",'Volúmenes DIstribuidos '!C925)))</f>
        <v>Menestras</v>
      </c>
      <c r="C1426" s="10" t="s">
        <v>29</v>
      </c>
      <c r="D1426" s="12">
        <f>'Volúmenes DIstribuidos '!D925</f>
        <v>68.930000000000007</v>
      </c>
      <c r="E1426" s="12">
        <f>SUMIF('Parametros Inventario'!$A:$A,B1426,'Parametros Inventario'!$B:$B)+SUMIFS(D$2:D1426,B$2:B1426,B1426,C$2:C1426,"ENTRADA")-SUMIFS(D$2:D1426,B$2:B1426,B1426,C$2:C1426,"SALIDA")</f>
        <v>6501.5000000000018</v>
      </c>
    </row>
    <row r="1427" spans="1:5" x14ac:dyDescent="0.3">
      <c r="A1427" s="9">
        <f>'Volúmenes DIstribuidos '!B921</f>
        <v>44582</v>
      </c>
      <c r="B1427" s="10" t="str">
        <f>IF(OR('Volúmenes DIstribuidos '!C926="Azúcar",'Volúmenes DIstribuidos '!C926="azúcar"),"Azúcar o dulce",IF('Volúmenes DIstribuidos '!C926="Aceite","Aceite o grasas",IF('Volúmenes DIstribuidos '!C926="Avena","Otros almidones",'Volúmenes DIstribuidos '!C926)))</f>
        <v>Panadería</v>
      </c>
      <c r="C1427" s="10" t="s">
        <v>29</v>
      </c>
      <c r="D1427" s="12">
        <f>'Volúmenes DIstribuidos '!D926</f>
        <v>35.06</v>
      </c>
      <c r="E1427" s="12">
        <f>SUMIF('Parametros Inventario'!$A:$A,B1427,'Parametros Inventario'!$B:$B)+SUMIFS(D$2:D1427,B$2:B1427,B1427,C$2:C1427,"ENTRADA")-SUMIFS(D$2:D1427,B$2:B1427,B1427,C$2:C1427,"SALIDA")</f>
        <v>4661.6560000000009</v>
      </c>
    </row>
    <row r="1428" spans="1:5" x14ac:dyDescent="0.3">
      <c r="A1428" s="9">
        <f>'Volúmenes DIstribuidos '!B927</f>
        <v>44586</v>
      </c>
      <c r="B1428" s="10" t="str">
        <f>IF(OR('Volúmenes DIstribuidos '!C927="Azúcar",'Volúmenes DIstribuidos '!C927="azúcar"),"Azúcar o dulce",IF('Volúmenes DIstribuidos '!C927="Aceite","Aceite o grasas",IF('Volúmenes DIstribuidos '!C927="Avena","Otros almidones",'Volúmenes DIstribuidos '!C927)))</f>
        <v>Carnes rojas</v>
      </c>
      <c r="C1428" s="10" t="s">
        <v>29</v>
      </c>
      <c r="D1428" s="12">
        <f>'Volúmenes DIstribuidos '!D927</f>
        <v>31.033000000000001</v>
      </c>
      <c r="E1428" s="12">
        <f>SUMIF('Parametros Inventario'!$A:$A,B1428,'Parametros Inventario'!$B:$B)+SUMIFS(D$2:D1428,B$2:B1428,B1428,C$2:C1428,"ENTRADA")-SUMIFS(D$2:D1428,B$2:B1428,B1428,C$2:C1428,"SALIDA")</f>
        <v>6676.4510000000009</v>
      </c>
    </row>
    <row r="1429" spans="1:5" x14ac:dyDescent="0.3">
      <c r="A1429" s="9">
        <f>'Volúmenes DIstribuidos '!B927</f>
        <v>44586</v>
      </c>
      <c r="B1429" s="10" t="str">
        <f>IF(OR('Volúmenes DIstribuidos '!C928="Azúcar",'Volúmenes DIstribuidos '!C928="azúcar"),"Azúcar o dulce",IF('Volúmenes DIstribuidos '!C928="Aceite","Aceite o grasas",IF('Volúmenes DIstribuidos '!C928="Avena","Otros almidones",'Volúmenes DIstribuidos '!C928)))</f>
        <v>Otros almidones</v>
      </c>
      <c r="C1429" s="10" t="s">
        <v>29</v>
      </c>
      <c r="D1429" s="12">
        <f>'Volúmenes DIstribuidos '!D928</f>
        <v>29.1</v>
      </c>
      <c r="E1429" s="12">
        <f>SUMIF('Parametros Inventario'!$A:$A,B1429,'Parametros Inventario'!$B:$B)+SUMIFS(D$2:D1429,B$2:B1429,B1429,C$2:C1429,"ENTRADA")-SUMIFS(D$2:D1429,B$2:B1429,B1429,C$2:C1429,"SALIDA")</f>
        <v>6311.7560000000012</v>
      </c>
    </row>
    <row r="1430" spans="1:5" x14ac:dyDescent="0.3">
      <c r="A1430" s="9">
        <f>'Volúmenes DIstribuidos '!B927</f>
        <v>44586</v>
      </c>
      <c r="B1430" s="10" t="str">
        <f>IF(OR('Volúmenes DIstribuidos '!C929="Azúcar",'Volúmenes DIstribuidos '!C929="azúcar"),"Azúcar o dulce",IF('Volúmenes DIstribuidos '!C929="Aceite","Aceite o grasas",IF('Volúmenes DIstribuidos '!C929="Avena","Otros almidones",'Volúmenes DIstribuidos '!C929)))</f>
        <v>Panadería</v>
      </c>
      <c r="C1430" s="10" t="s">
        <v>29</v>
      </c>
      <c r="D1430" s="12">
        <f>'Volúmenes DIstribuidos '!D929</f>
        <v>23.72</v>
      </c>
      <c r="E1430" s="12">
        <f>SUMIF('Parametros Inventario'!$A:$A,B1430,'Parametros Inventario'!$B:$B)+SUMIFS(D$2:D1430,B$2:B1430,B1430,C$2:C1430,"ENTRADA")-SUMIFS(D$2:D1430,B$2:B1430,B1430,C$2:C1430,"SALIDA")</f>
        <v>4637.9360000000015</v>
      </c>
    </row>
    <row r="1431" spans="1:5" x14ac:dyDescent="0.3">
      <c r="A1431" s="9">
        <f>'Volúmenes DIstribuidos '!B927</f>
        <v>44586</v>
      </c>
      <c r="B1431" s="10" t="str">
        <f>IF(OR('Volúmenes DIstribuidos '!C930="Azúcar",'Volúmenes DIstribuidos '!C930="azúcar"),"Azúcar o dulce",IF('Volúmenes DIstribuidos '!C930="Aceite","Aceite o grasas",IF('Volúmenes DIstribuidos '!C930="Avena","Otros almidones",'Volúmenes DIstribuidos '!C930)))</f>
        <v>Aceite o grasas</v>
      </c>
      <c r="C1431" s="10" t="s">
        <v>29</v>
      </c>
      <c r="D1431" s="12">
        <f>'Volúmenes DIstribuidos '!D930</f>
        <v>69.382000000000005</v>
      </c>
      <c r="E1431" s="12">
        <f>SUMIF('Parametros Inventario'!$A:$A,B1431,'Parametros Inventario'!$B:$B)+SUMIFS(D$2:D1431,B$2:B1431,B1431,C$2:C1431,"ENTRADA")-SUMIFS(D$2:D1431,B$2:B1431,B1431,C$2:C1431,"SALIDA")</f>
        <v>5747.692</v>
      </c>
    </row>
    <row r="1432" spans="1:5" x14ac:dyDescent="0.3">
      <c r="A1432" s="9">
        <f>'Volúmenes DIstribuidos '!B927</f>
        <v>44586</v>
      </c>
      <c r="B1432" s="10" t="str">
        <f>IF(OR('Volúmenes DIstribuidos '!C931="Azúcar",'Volúmenes DIstribuidos '!C931="azúcar"),"Azúcar o dulce",IF('Volúmenes DIstribuidos '!C931="Aceite","Aceite o grasas",IF('Volúmenes DIstribuidos '!C931="Avena","Otros almidones",'Volúmenes DIstribuidos '!C931)))</f>
        <v>Azúcar o dulce</v>
      </c>
      <c r="C1432" s="10" t="s">
        <v>29</v>
      </c>
      <c r="D1432" s="12">
        <f>'Volúmenes DIstribuidos '!D931</f>
        <v>20.010000000000002</v>
      </c>
      <c r="E1432" s="12">
        <f>SUMIF('Parametros Inventario'!$A:$A,B1432,'Parametros Inventario'!$B:$B)+SUMIFS(D$2:D1432,B$2:B1432,B1432,C$2:C1432,"ENTRADA")-SUMIFS(D$2:D1432,B$2:B1432,B1432,C$2:C1432,"SALIDA")</f>
        <v>7296.3410000000022</v>
      </c>
    </row>
    <row r="1433" spans="1:5" x14ac:dyDescent="0.3">
      <c r="A1433" s="9">
        <f>'Volúmenes DIstribuidos '!B927</f>
        <v>44586</v>
      </c>
      <c r="B1433" s="10" t="str">
        <f>IF(OR('Volúmenes DIstribuidos '!C932="Azúcar",'Volúmenes DIstribuidos '!C932="azúcar"),"Azúcar o dulce",IF('Volúmenes DIstribuidos '!C932="Aceite","Aceite o grasas",IF('Volúmenes DIstribuidos '!C932="Avena","Otros almidones",'Volúmenes DIstribuidos '!C932)))</f>
        <v>Salsas</v>
      </c>
      <c r="C1433" s="10" t="s">
        <v>29</v>
      </c>
      <c r="D1433" s="12">
        <f>'Volúmenes DIstribuidos '!D932</f>
        <v>57.79</v>
      </c>
      <c r="E1433" s="12">
        <f>SUMIF('Parametros Inventario'!$A:$A,B1433,'Parametros Inventario'!$B:$B)+SUMIFS(D$2:D1433,B$2:B1433,B1433,C$2:C1433,"ENTRADA")-SUMIFS(D$2:D1433,B$2:B1433,B1433,C$2:C1433,"SALIDA")</f>
        <v>6592.6859999999979</v>
      </c>
    </row>
    <row r="1434" spans="1:5" x14ac:dyDescent="0.3">
      <c r="A1434" s="9">
        <v>44589</v>
      </c>
      <c r="B1434" s="10" t="s">
        <v>17</v>
      </c>
      <c r="C1434" s="10" t="s">
        <v>28</v>
      </c>
      <c r="D1434" s="12">
        <v>144.27000000000001</v>
      </c>
      <c r="E1434" s="12">
        <f>SUMIF('Parametros Inventario'!$A:$A,B1434,'Parametros Inventario'!$B:$B)+SUMIFS(D$2:D1434,B$2:B1434,B1434,C$2:C1434,"ENTRADA")-SUMIFS(D$2:D1434,B$2:B1434,B1434,C$2:C1434,"SALIDA")</f>
        <v>5911.0269999999982</v>
      </c>
    </row>
    <row r="1435" spans="1:5" x14ac:dyDescent="0.3">
      <c r="A1435" s="9">
        <v>44589</v>
      </c>
      <c r="B1435" s="10" t="s">
        <v>18</v>
      </c>
      <c r="C1435" s="10" t="s">
        <v>28</v>
      </c>
      <c r="D1435" s="12">
        <v>89.3</v>
      </c>
      <c r="E1435" s="12">
        <f>SUMIF('Parametros Inventario'!$A:$A,B1435,'Parametros Inventario'!$B:$B)+SUMIFS(D$2:D1435,B$2:B1435,B1435,C$2:C1435,"ENTRADA")-SUMIFS(D$2:D1435,B$2:B1435,B1435,C$2:C1435,"SALIDA")</f>
        <v>6681.985999999999</v>
      </c>
    </row>
    <row r="1436" spans="1:5" x14ac:dyDescent="0.3">
      <c r="A1436" s="9">
        <v>44589</v>
      </c>
      <c r="B1436" s="10" t="s">
        <v>10</v>
      </c>
      <c r="C1436" s="10" t="s">
        <v>28</v>
      </c>
      <c r="D1436" s="12">
        <v>260.61</v>
      </c>
      <c r="E1436" s="12">
        <f>SUMIF('Parametros Inventario'!$A:$A,B1436,'Parametros Inventario'!$B:$B)+SUMIFS(D$2:D1436,B$2:B1436,B1436,C$2:C1436,"ENTRADA")-SUMIFS(D$2:D1436,B$2:B1436,B1436,C$2:C1436,"SALIDA")</f>
        <v>7299.9689999999982</v>
      </c>
    </row>
    <row r="1437" spans="1:5" x14ac:dyDescent="0.3">
      <c r="A1437" s="9">
        <v>44589</v>
      </c>
      <c r="B1437" s="10" t="s">
        <v>8</v>
      </c>
      <c r="C1437" s="10" t="s">
        <v>28</v>
      </c>
      <c r="D1437" s="12">
        <v>113.63</v>
      </c>
      <c r="E1437" s="12">
        <f>SUMIF('Parametros Inventario'!$A:$A,B1437,'Parametros Inventario'!$B:$B)+SUMIFS(D$2:D1437,B$2:B1437,B1437,C$2:C1437,"ENTRADA")-SUMIFS(D$2:D1437,B$2:B1437,B1437,C$2:C1437,"SALIDA")</f>
        <v>5861.322000000001</v>
      </c>
    </row>
    <row r="1438" spans="1:5" x14ac:dyDescent="0.3">
      <c r="A1438" s="9">
        <v>44589</v>
      </c>
      <c r="B1438" s="10" t="s">
        <v>13</v>
      </c>
      <c r="C1438" s="10" t="s">
        <v>28</v>
      </c>
      <c r="D1438" s="12">
        <v>71.19</v>
      </c>
      <c r="E1438" s="12">
        <f>SUMIF('Parametros Inventario'!$A:$A,B1438,'Parametros Inventario'!$B:$B)+SUMIFS(D$2:D1438,B$2:B1438,B1438,C$2:C1438,"ENTRADA")-SUMIFS(D$2:D1438,B$2:B1438,B1438,C$2:C1438,"SALIDA")</f>
        <v>7367.5310000000027</v>
      </c>
    </row>
    <row r="1439" spans="1:5" x14ac:dyDescent="0.3">
      <c r="A1439" s="9">
        <v>44589</v>
      </c>
      <c r="B1439" s="10" t="s">
        <v>15</v>
      </c>
      <c r="C1439" s="10" t="s">
        <v>28</v>
      </c>
      <c r="D1439" s="12">
        <v>237.91</v>
      </c>
      <c r="E1439" s="12">
        <f>SUMIF('Parametros Inventario'!$A:$A,B1439,'Parametros Inventario'!$B:$B)+SUMIFS(D$2:D1439,B$2:B1439,B1439,C$2:C1439,"ENTRADA")-SUMIFS(D$2:D1439,B$2:B1439,B1439,C$2:C1439,"SALIDA")</f>
        <v>6549.6660000000011</v>
      </c>
    </row>
    <row r="1440" spans="1:5" x14ac:dyDescent="0.3">
      <c r="A1440" s="9">
        <v>44589</v>
      </c>
      <c r="B1440" s="10" t="s">
        <v>11</v>
      </c>
      <c r="C1440" s="10" t="s">
        <v>28</v>
      </c>
      <c r="D1440" s="12">
        <v>123.76</v>
      </c>
      <c r="E1440" s="12">
        <f>SUMIF('Parametros Inventario'!$A:$A,B1440,'Parametros Inventario'!$B:$B)+SUMIFS(D$2:D1440,B$2:B1440,B1440,C$2:C1440,"ENTRADA")-SUMIFS(D$2:D1440,B$2:B1440,B1440,C$2:C1440,"SALIDA")</f>
        <v>7397.9310000000005</v>
      </c>
    </row>
    <row r="1441" spans="1:5" x14ac:dyDescent="0.3">
      <c r="A1441" s="9">
        <v>44589</v>
      </c>
      <c r="B1441" s="10" t="s">
        <v>9</v>
      </c>
      <c r="C1441" s="10" t="s">
        <v>28</v>
      </c>
      <c r="D1441" s="12">
        <v>179.71</v>
      </c>
      <c r="E1441" s="12">
        <f>SUMIF('Parametros Inventario'!$A:$A,B1441,'Parametros Inventario'!$B:$B)+SUMIFS(D$2:D1441,B$2:B1441,B1441,C$2:C1441,"ENTRADA")-SUMIFS(D$2:D1441,B$2:B1441,B1441,C$2:C1441,"SALIDA")</f>
        <v>4817.6460000000006</v>
      </c>
    </row>
    <row r="1442" spans="1:5" x14ac:dyDescent="0.3">
      <c r="A1442" s="9">
        <v>44589</v>
      </c>
      <c r="B1442" s="10" t="s">
        <v>14</v>
      </c>
      <c r="C1442" s="10" t="s">
        <v>28</v>
      </c>
      <c r="D1442" s="12">
        <v>107.54</v>
      </c>
      <c r="E1442" s="12">
        <f>SUMIF('Parametros Inventario'!$A:$A,B1442,'Parametros Inventario'!$B:$B)+SUMIFS(D$2:D1442,B$2:B1442,B1442,C$2:C1442,"ENTRADA")-SUMIFS(D$2:D1442,B$2:B1442,B1442,C$2:C1442,"SALIDA")</f>
        <v>6609.0400000000027</v>
      </c>
    </row>
    <row r="1443" spans="1:5" x14ac:dyDescent="0.3">
      <c r="A1443" s="9">
        <f>'Volúmenes DIstribuidos '!B933</f>
        <v>44589</v>
      </c>
      <c r="B1443" s="10" t="str">
        <f>IF(OR('Volúmenes DIstribuidos '!C933="Azúcar",'Volúmenes DIstribuidos '!C933="azúcar"),"Azúcar o dulce",IF('Volúmenes DIstribuidos '!C933="Aceite","Aceite o grasas",IF('Volúmenes DIstribuidos '!C933="Avena","Otros almidones",'Volúmenes DIstribuidos '!C933)))</f>
        <v>Carnes rojas</v>
      </c>
      <c r="C1443" s="10" t="s">
        <v>29</v>
      </c>
      <c r="D1443" s="12">
        <f>'Volúmenes DIstribuidos '!D933</f>
        <v>17.45</v>
      </c>
      <c r="E1443" s="12">
        <f>SUMIF('Parametros Inventario'!$A:$A,B1443,'Parametros Inventario'!$B:$B)+SUMIFS(D$2:D1443,B$2:B1443,B1443,C$2:C1443,"ENTRADA")-SUMIFS(D$2:D1443,B$2:B1443,B1443,C$2:C1443,"SALIDA")</f>
        <v>6659.0010000000002</v>
      </c>
    </row>
    <row r="1444" spans="1:5" x14ac:dyDescent="0.3">
      <c r="A1444" s="9">
        <f>'Volúmenes DIstribuidos '!B933</f>
        <v>44589</v>
      </c>
      <c r="B1444" s="10" t="str">
        <f>IF(OR('Volúmenes DIstribuidos '!C934="Azúcar",'Volúmenes DIstribuidos '!C934="azúcar"),"Azúcar o dulce",IF('Volúmenes DIstribuidos '!C934="Aceite","Aceite o grasas",IF('Volúmenes DIstribuidos '!C934="Avena","Otros almidones",'Volúmenes DIstribuidos '!C934)))</f>
        <v>Carnes blancas</v>
      </c>
      <c r="C1444" s="10" t="s">
        <v>29</v>
      </c>
      <c r="D1444" s="12">
        <f>'Volúmenes DIstribuidos '!D934</f>
        <v>6.0960000000000001</v>
      </c>
      <c r="E1444" s="12">
        <f>SUMIF('Parametros Inventario'!$A:$A,B1444,'Parametros Inventario'!$B:$B)+SUMIFS(D$2:D1444,B$2:B1444,B1444,C$2:C1444,"ENTRADA")-SUMIFS(D$2:D1444,B$2:B1444,B1444,C$2:C1444,"SALIDA")</f>
        <v>6861.0720000000001</v>
      </c>
    </row>
    <row r="1445" spans="1:5" x14ac:dyDescent="0.3">
      <c r="A1445" s="9">
        <f>'Volúmenes DIstribuidos '!B933</f>
        <v>44589</v>
      </c>
      <c r="B1445" s="10" t="str">
        <f>IF(OR('Volúmenes DIstribuidos '!C935="Azúcar",'Volúmenes DIstribuidos '!C935="azúcar"),"Azúcar o dulce",IF('Volúmenes DIstribuidos '!C935="Aceite","Aceite o grasas",IF('Volúmenes DIstribuidos '!C935="Avena","Otros almidones",'Volúmenes DIstribuidos '!C935)))</f>
        <v>Aceite o grasas</v>
      </c>
      <c r="C1445" s="10" t="s">
        <v>29</v>
      </c>
      <c r="D1445" s="12">
        <f>'Volúmenes DIstribuidos '!D935</f>
        <v>17.670000000000002</v>
      </c>
      <c r="E1445" s="12">
        <f>SUMIF('Parametros Inventario'!$A:$A,B1445,'Parametros Inventario'!$B:$B)+SUMIFS(D$2:D1445,B$2:B1445,B1445,C$2:C1445,"ENTRADA")-SUMIFS(D$2:D1445,B$2:B1445,B1445,C$2:C1445,"SALIDA")</f>
        <v>5843.652000000001</v>
      </c>
    </row>
    <row r="1446" spans="1:5" x14ac:dyDescent="0.3">
      <c r="A1446" s="9">
        <f>'Volúmenes DIstribuidos '!B933</f>
        <v>44589</v>
      </c>
      <c r="B1446" s="10" t="str">
        <f>IF(OR('Volúmenes DIstribuidos '!C936="Azúcar",'Volúmenes DIstribuidos '!C936="azúcar"),"Azúcar o dulce",IF('Volúmenes DIstribuidos '!C936="Aceite","Aceite o grasas",IF('Volúmenes DIstribuidos '!C936="Avena","Otros almidones",'Volúmenes DIstribuidos '!C936)))</f>
        <v>Azúcar o dulce</v>
      </c>
      <c r="C1446" s="10" t="s">
        <v>29</v>
      </c>
      <c r="D1446" s="12">
        <f>'Volúmenes DIstribuidos '!D936</f>
        <v>15.61</v>
      </c>
      <c r="E1446" s="12">
        <f>SUMIF('Parametros Inventario'!$A:$A,B1446,'Parametros Inventario'!$B:$B)+SUMIFS(D$2:D1446,B$2:B1446,B1446,C$2:C1446,"ENTRADA")-SUMIFS(D$2:D1446,B$2:B1446,B1446,C$2:C1446,"SALIDA")</f>
        <v>7351.9210000000021</v>
      </c>
    </row>
    <row r="1447" spans="1:5" x14ac:dyDescent="0.3">
      <c r="A1447" s="9">
        <f>'Volúmenes DIstribuidos '!B933</f>
        <v>44589</v>
      </c>
      <c r="B1447" s="10" t="str">
        <f>IF(OR('Volúmenes DIstribuidos '!C937="Azúcar",'Volúmenes DIstribuidos '!C937="azúcar"),"Azúcar o dulce",IF('Volúmenes DIstribuidos '!C937="Aceite","Aceite o grasas",IF('Volúmenes DIstribuidos '!C937="Avena","Otros almidones",'Volúmenes DIstribuidos '!C937)))</f>
        <v>Otros almidones</v>
      </c>
      <c r="C1447" s="10" t="s">
        <v>29</v>
      </c>
      <c r="D1447" s="12">
        <f>'Volúmenes DIstribuidos '!D937</f>
        <v>9.5299999999999994</v>
      </c>
      <c r="E1447" s="12">
        <f>SUMIF('Parametros Inventario'!$A:$A,B1447,'Parametros Inventario'!$B:$B)+SUMIFS(D$2:D1447,B$2:B1447,B1447,C$2:C1447,"ENTRADA")-SUMIFS(D$2:D1447,B$2:B1447,B1447,C$2:C1447,"SALIDA")</f>
        <v>6540.1360000000004</v>
      </c>
    </row>
    <row r="1448" spans="1:5" x14ac:dyDescent="0.3">
      <c r="A1448" s="9">
        <f>'Volúmenes DIstribuidos '!B933</f>
        <v>44589</v>
      </c>
      <c r="B1448" s="10" t="str">
        <f>IF(OR('Volúmenes DIstribuidos '!C938="Azúcar",'Volúmenes DIstribuidos '!C938="azúcar"),"Azúcar o dulce",IF('Volúmenes DIstribuidos '!C938="Aceite","Aceite o grasas",IF('Volúmenes DIstribuidos '!C938="Avena","Otros almidones",'Volúmenes DIstribuidos '!C938)))</f>
        <v>Lácteos</v>
      </c>
      <c r="C1448" s="10" t="s">
        <v>29</v>
      </c>
      <c r="D1448" s="12">
        <f>'Volúmenes DIstribuidos '!D938</f>
        <v>15.353999999999999</v>
      </c>
      <c r="E1448" s="12">
        <f>SUMIF('Parametros Inventario'!$A:$A,B1448,'Parametros Inventario'!$B:$B)+SUMIFS(D$2:D1448,B$2:B1448,B1448,C$2:C1448,"ENTRADA")-SUMIFS(D$2:D1448,B$2:B1448,B1448,C$2:C1448,"SALIDA")</f>
        <v>5895.6729999999989</v>
      </c>
    </row>
    <row r="1449" spans="1:5" x14ac:dyDescent="0.3">
      <c r="A1449" s="9">
        <f>'Volúmenes DIstribuidos '!B939</f>
        <v>44593</v>
      </c>
      <c r="B1449" s="10" t="str">
        <f>IF(OR('Volúmenes DIstribuidos '!C939="Azúcar",'Volúmenes DIstribuidos '!C939="azúcar"),"Azúcar o dulce",IF('Volúmenes DIstribuidos '!C939="Aceite","Aceite o grasas",IF('Volúmenes DIstribuidos '!C939="Avena","Otros almidones",'Volúmenes DIstribuidos '!C939)))</f>
        <v>Menestras</v>
      </c>
      <c r="C1449" s="10" t="s">
        <v>29</v>
      </c>
      <c r="D1449" s="12">
        <f>'Volúmenes DIstribuidos '!D939</f>
        <v>10.46</v>
      </c>
      <c r="E1449" s="12">
        <f>SUMIF('Parametros Inventario'!$A:$A,B1449,'Parametros Inventario'!$B:$B)+SUMIFS(D$2:D1449,B$2:B1449,B1449,C$2:C1449,"ENTRADA")-SUMIFS(D$2:D1449,B$2:B1449,B1449,C$2:C1449,"SALIDA")</f>
        <v>6598.5800000000017</v>
      </c>
    </row>
    <row r="1450" spans="1:5" x14ac:dyDescent="0.3">
      <c r="A1450" s="9">
        <f>'Volúmenes DIstribuidos '!B939</f>
        <v>44593</v>
      </c>
      <c r="B1450" s="10" t="str">
        <f>IF(OR('Volúmenes DIstribuidos '!C940="Azúcar",'Volúmenes DIstribuidos '!C940="azúcar"),"Azúcar o dulce",IF('Volúmenes DIstribuidos '!C940="Aceite","Aceite o grasas",IF('Volúmenes DIstribuidos '!C940="Avena","Otros almidones",'Volúmenes DIstribuidos '!C940)))</f>
        <v>Carnes blancas</v>
      </c>
      <c r="C1450" s="10" t="s">
        <v>29</v>
      </c>
      <c r="D1450" s="12">
        <f>'Volúmenes DIstribuidos '!D940</f>
        <v>14.1</v>
      </c>
      <c r="E1450" s="12">
        <f>SUMIF('Parametros Inventario'!$A:$A,B1450,'Parametros Inventario'!$B:$B)+SUMIFS(D$2:D1450,B$2:B1450,B1450,C$2:C1450,"ENTRADA")-SUMIFS(D$2:D1450,B$2:B1450,B1450,C$2:C1450,"SALIDA")</f>
        <v>6846.9719999999998</v>
      </c>
    </row>
    <row r="1451" spans="1:5" x14ac:dyDescent="0.3">
      <c r="A1451" s="9">
        <f>'Volúmenes DIstribuidos '!B939</f>
        <v>44593</v>
      </c>
      <c r="B1451" s="10" t="str">
        <f>IF(OR('Volúmenes DIstribuidos '!C941="Azúcar",'Volúmenes DIstribuidos '!C941="azúcar"),"Azúcar o dulce",IF('Volúmenes DIstribuidos '!C941="Aceite","Aceite o grasas",IF('Volúmenes DIstribuidos '!C941="Avena","Otros almidones",'Volúmenes DIstribuidos '!C941)))</f>
        <v>Panadería</v>
      </c>
      <c r="C1451" s="10" t="s">
        <v>29</v>
      </c>
      <c r="D1451" s="12">
        <f>'Volúmenes DIstribuidos '!D941</f>
        <v>12.39</v>
      </c>
      <c r="E1451" s="12">
        <f>SUMIF('Parametros Inventario'!$A:$A,B1451,'Parametros Inventario'!$B:$B)+SUMIFS(D$2:D1451,B$2:B1451,B1451,C$2:C1451,"ENTRADA")-SUMIFS(D$2:D1451,B$2:B1451,B1451,C$2:C1451,"SALIDA")</f>
        <v>4805.2560000000012</v>
      </c>
    </row>
    <row r="1452" spans="1:5" x14ac:dyDescent="0.3">
      <c r="A1452" s="9">
        <f>'Volúmenes DIstribuidos '!B939</f>
        <v>44593</v>
      </c>
      <c r="B1452" s="10" t="str">
        <f>IF(OR('Volúmenes DIstribuidos '!C942="Azúcar",'Volúmenes DIstribuidos '!C942="azúcar"),"Azúcar o dulce",IF('Volúmenes DIstribuidos '!C942="Aceite","Aceite o grasas",IF('Volúmenes DIstribuidos '!C942="Avena","Otros almidones",'Volúmenes DIstribuidos '!C942)))</f>
        <v>Vegetales y hojas</v>
      </c>
      <c r="C1452" s="10" t="s">
        <v>29</v>
      </c>
      <c r="D1452" s="12">
        <f>'Volúmenes DIstribuidos '!D942</f>
        <v>14.97</v>
      </c>
      <c r="E1452" s="12">
        <f>SUMIF('Parametros Inventario'!$A:$A,B1452,'Parametros Inventario'!$B:$B)+SUMIFS(D$2:D1452,B$2:B1452,B1452,C$2:C1452,"ENTRADA")-SUMIFS(D$2:D1452,B$2:B1452,B1452,C$2:C1452,"SALIDA")</f>
        <v>7284.998999999998</v>
      </c>
    </row>
    <row r="1453" spans="1:5" x14ac:dyDescent="0.3">
      <c r="A1453" s="9">
        <f>'Volúmenes DIstribuidos '!B939</f>
        <v>44593</v>
      </c>
      <c r="B1453" s="10" t="str">
        <f>IF(OR('Volúmenes DIstribuidos '!C943="Azúcar",'Volúmenes DIstribuidos '!C943="azúcar"),"Azúcar o dulce",IF('Volúmenes DIstribuidos '!C943="Aceite","Aceite o grasas",IF('Volúmenes DIstribuidos '!C943="Avena","Otros almidones",'Volúmenes DIstribuidos '!C943)))</f>
        <v>Otros almidones</v>
      </c>
      <c r="C1453" s="10" t="s">
        <v>29</v>
      </c>
      <c r="D1453" s="12">
        <f>'Volúmenes DIstribuidos '!D943</f>
        <v>9.3460000000000001</v>
      </c>
      <c r="E1453" s="12">
        <f>SUMIF('Parametros Inventario'!$A:$A,B1453,'Parametros Inventario'!$B:$B)+SUMIFS(D$2:D1453,B$2:B1453,B1453,C$2:C1453,"ENTRADA")-SUMIFS(D$2:D1453,B$2:B1453,B1453,C$2:C1453,"SALIDA")</f>
        <v>6530.7900000000009</v>
      </c>
    </row>
    <row r="1454" spans="1:5" x14ac:dyDescent="0.3">
      <c r="A1454" s="9">
        <f>'Volúmenes DIstribuidos '!B939</f>
        <v>44593</v>
      </c>
      <c r="B1454" s="10" t="str">
        <f>IF(OR('Volúmenes DIstribuidos '!C944="Azúcar",'Volúmenes DIstribuidos '!C944="azúcar"),"Azúcar o dulce",IF('Volúmenes DIstribuidos '!C944="Aceite","Aceite o grasas",IF('Volúmenes DIstribuidos '!C944="Avena","Otros almidones",'Volúmenes DIstribuidos '!C944)))</f>
        <v>Salsas</v>
      </c>
      <c r="C1454" s="10" t="s">
        <v>29</v>
      </c>
      <c r="D1454" s="12">
        <f>'Volúmenes DIstribuidos '!D944</f>
        <v>15.56</v>
      </c>
      <c r="E1454" s="12">
        <f>SUMIF('Parametros Inventario'!$A:$A,B1454,'Parametros Inventario'!$B:$B)+SUMIFS(D$2:D1454,B$2:B1454,B1454,C$2:C1454,"ENTRADA")-SUMIFS(D$2:D1454,B$2:B1454,B1454,C$2:C1454,"SALIDA")</f>
        <v>6666.4259999999995</v>
      </c>
    </row>
    <row r="1455" spans="1:5" x14ac:dyDescent="0.3">
      <c r="A1455" s="9">
        <v>44596</v>
      </c>
      <c r="B1455" s="10" t="s">
        <v>12</v>
      </c>
      <c r="C1455" s="10" t="s">
        <v>28</v>
      </c>
      <c r="D1455" s="12">
        <v>60.29</v>
      </c>
      <c r="E1455" s="12">
        <f>SUMIF('Parametros Inventario'!$A:$A,B1455,'Parametros Inventario'!$B:$B)+SUMIFS(D$2:D1455,B$2:B1455,B1455,C$2:C1455,"ENTRADA")-SUMIFS(D$2:D1455,B$2:B1455,B1455,C$2:C1455,"SALIDA")</f>
        <v>6719.2910000000011</v>
      </c>
    </row>
    <row r="1456" spans="1:5" x14ac:dyDescent="0.3">
      <c r="A1456" s="9">
        <v>44596</v>
      </c>
      <c r="B1456" s="10" t="s">
        <v>16</v>
      </c>
      <c r="C1456" s="10" t="s">
        <v>28</v>
      </c>
      <c r="D1456" s="12">
        <v>178.07</v>
      </c>
      <c r="E1456" s="12">
        <f>SUMIF('Parametros Inventario'!$A:$A,B1456,'Parametros Inventario'!$B:$B)+SUMIFS(D$2:D1456,B$2:B1456,B1456,C$2:C1456,"ENTRADA")-SUMIFS(D$2:D1456,B$2:B1456,B1456,C$2:C1456,"SALIDA")</f>
        <v>7025.0419999999995</v>
      </c>
    </row>
    <row r="1457" spans="1:5" x14ac:dyDescent="0.3">
      <c r="A1457" s="9">
        <v>44596</v>
      </c>
      <c r="B1457" s="10" t="s">
        <v>17</v>
      </c>
      <c r="C1457" s="10" t="s">
        <v>28</v>
      </c>
      <c r="D1457" s="12">
        <v>134.09</v>
      </c>
      <c r="E1457" s="12">
        <f>SUMIF('Parametros Inventario'!$A:$A,B1457,'Parametros Inventario'!$B:$B)+SUMIFS(D$2:D1457,B$2:B1457,B1457,C$2:C1457,"ENTRADA")-SUMIFS(D$2:D1457,B$2:B1457,B1457,C$2:C1457,"SALIDA")</f>
        <v>6029.762999999999</v>
      </c>
    </row>
    <row r="1458" spans="1:5" x14ac:dyDescent="0.3">
      <c r="A1458" s="9">
        <v>44596</v>
      </c>
      <c r="B1458" s="10" t="s">
        <v>18</v>
      </c>
      <c r="C1458" s="10" t="s">
        <v>28</v>
      </c>
      <c r="D1458" s="12">
        <v>162.79</v>
      </c>
      <c r="E1458" s="12">
        <f>SUMIF('Parametros Inventario'!$A:$A,B1458,'Parametros Inventario'!$B:$B)+SUMIFS(D$2:D1458,B$2:B1458,B1458,C$2:C1458,"ENTRADA")-SUMIFS(D$2:D1458,B$2:B1458,B1458,C$2:C1458,"SALIDA")</f>
        <v>6829.2159999999985</v>
      </c>
    </row>
    <row r="1459" spans="1:5" x14ac:dyDescent="0.3">
      <c r="A1459" s="9">
        <v>44596</v>
      </c>
      <c r="B1459" s="10" t="s">
        <v>10</v>
      </c>
      <c r="C1459" s="10" t="s">
        <v>28</v>
      </c>
      <c r="D1459" s="12">
        <v>158.13</v>
      </c>
      <c r="E1459" s="12">
        <f>SUMIF('Parametros Inventario'!$A:$A,B1459,'Parametros Inventario'!$B:$B)+SUMIFS(D$2:D1459,B$2:B1459,B1459,C$2:C1459,"ENTRADA")-SUMIFS(D$2:D1459,B$2:B1459,B1459,C$2:C1459,"SALIDA")</f>
        <v>7443.1289999999972</v>
      </c>
    </row>
    <row r="1460" spans="1:5" x14ac:dyDescent="0.3">
      <c r="A1460" s="9">
        <v>44596</v>
      </c>
      <c r="B1460" s="10" t="s">
        <v>8</v>
      </c>
      <c r="C1460" s="10" t="s">
        <v>28</v>
      </c>
      <c r="D1460" s="12">
        <v>141.88</v>
      </c>
      <c r="E1460" s="12">
        <f>SUMIF('Parametros Inventario'!$A:$A,B1460,'Parametros Inventario'!$B:$B)+SUMIFS(D$2:D1460,B$2:B1460,B1460,C$2:C1460,"ENTRADA")-SUMIFS(D$2:D1460,B$2:B1460,B1460,C$2:C1460,"SALIDA")</f>
        <v>5985.532000000002</v>
      </c>
    </row>
    <row r="1461" spans="1:5" x14ac:dyDescent="0.3">
      <c r="A1461" s="9">
        <v>44596</v>
      </c>
      <c r="B1461" s="10" t="s">
        <v>13</v>
      </c>
      <c r="C1461" s="10" t="s">
        <v>28</v>
      </c>
      <c r="D1461" s="12">
        <v>174.39</v>
      </c>
      <c r="E1461" s="12">
        <f>SUMIF('Parametros Inventario'!$A:$A,B1461,'Parametros Inventario'!$B:$B)+SUMIFS(D$2:D1461,B$2:B1461,B1461,C$2:C1461,"ENTRADA")-SUMIFS(D$2:D1461,B$2:B1461,B1461,C$2:C1461,"SALIDA")</f>
        <v>7526.3110000000015</v>
      </c>
    </row>
    <row r="1462" spans="1:5" x14ac:dyDescent="0.3">
      <c r="A1462" s="9">
        <v>44596</v>
      </c>
      <c r="B1462" s="10" t="s">
        <v>15</v>
      </c>
      <c r="C1462" s="10" t="s">
        <v>28</v>
      </c>
      <c r="D1462" s="12">
        <v>118.25</v>
      </c>
      <c r="E1462" s="12">
        <f>SUMIF('Parametros Inventario'!$A:$A,B1462,'Parametros Inventario'!$B:$B)+SUMIFS(D$2:D1462,B$2:B1462,B1462,C$2:C1462,"ENTRADA")-SUMIFS(D$2:D1462,B$2:B1462,B1462,C$2:C1462,"SALIDA")</f>
        <v>6649.0400000000009</v>
      </c>
    </row>
    <row r="1463" spans="1:5" x14ac:dyDescent="0.3">
      <c r="A1463" s="9">
        <v>44596</v>
      </c>
      <c r="B1463" s="10" t="s">
        <v>11</v>
      </c>
      <c r="C1463" s="10" t="s">
        <v>28</v>
      </c>
      <c r="D1463" s="12">
        <v>56.18</v>
      </c>
      <c r="E1463" s="12">
        <f>SUMIF('Parametros Inventario'!$A:$A,B1463,'Parametros Inventario'!$B:$B)+SUMIFS(D$2:D1463,B$2:B1463,B1463,C$2:C1463,"ENTRADA")-SUMIFS(D$2:D1463,B$2:B1463,B1463,C$2:C1463,"SALIDA")</f>
        <v>7454.1110000000008</v>
      </c>
    </row>
    <row r="1464" spans="1:5" x14ac:dyDescent="0.3">
      <c r="A1464" s="9">
        <v>44596</v>
      </c>
      <c r="B1464" s="10" t="s">
        <v>9</v>
      </c>
      <c r="C1464" s="10" t="s">
        <v>28</v>
      </c>
      <c r="D1464" s="12">
        <v>160.41999999999999</v>
      </c>
      <c r="E1464" s="12">
        <f>SUMIF('Parametros Inventario'!$A:$A,B1464,'Parametros Inventario'!$B:$B)+SUMIFS(D$2:D1464,B$2:B1464,B1464,C$2:C1464,"ENTRADA")-SUMIFS(D$2:D1464,B$2:B1464,B1464,C$2:C1464,"SALIDA")</f>
        <v>4965.6760000000013</v>
      </c>
    </row>
    <row r="1465" spans="1:5" x14ac:dyDescent="0.3">
      <c r="A1465" s="9">
        <f>'Volúmenes DIstribuidos '!B945</f>
        <v>44596</v>
      </c>
      <c r="B1465" s="10" t="str">
        <f>IF(OR('Volúmenes DIstribuidos '!C945="Azúcar",'Volúmenes DIstribuidos '!C945="azúcar"),"Azúcar o dulce",IF('Volúmenes DIstribuidos '!C945="Aceite","Aceite o grasas",IF('Volúmenes DIstribuidos '!C945="Avena","Otros almidones",'Volúmenes DIstribuidos '!C945)))</f>
        <v>Panadería</v>
      </c>
      <c r="C1465" s="10" t="s">
        <v>29</v>
      </c>
      <c r="D1465" s="12">
        <f>'Volúmenes DIstribuidos '!D945</f>
        <v>14.74</v>
      </c>
      <c r="E1465" s="12">
        <f>SUMIF('Parametros Inventario'!$A:$A,B1465,'Parametros Inventario'!$B:$B)+SUMIFS(D$2:D1465,B$2:B1465,B1465,C$2:C1465,"ENTRADA")-SUMIFS(D$2:D1465,B$2:B1465,B1465,C$2:C1465,"SALIDA")</f>
        <v>4950.9360000000015</v>
      </c>
    </row>
    <row r="1466" spans="1:5" x14ac:dyDescent="0.3">
      <c r="A1466" s="9">
        <f>'Volúmenes DIstribuidos '!B945</f>
        <v>44596</v>
      </c>
      <c r="B1466" s="10" t="str">
        <f>IF(OR('Volúmenes DIstribuidos '!C946="Azúcar",'Volúmenes DIstribuidos '!C946="azúcar"),"Azúcar o dulce",IF('Volúmenes DIstribuidos '!C946="Aceite","Aceite o grasas",IF('Volúmenes DIstribuidos '!C946="Avena","Otros almidones",'Volúmenes DIstribuidos '!C946)))</f>
        <v>Otros almidones</v>
      </c>
      <c r="C1466" s="10" t="s">
        <v>29</v>
      </c>
      <c r="D1466" s="12">
        <f>'Volúmenes DIstribuidos '!D946</f>
        <v>14.09</v>
      </c>
      <c r="E1466" s="12">
        <f>SUMIF('Parametros Inventario'!$A:$A,B1466,'Parametros Inventario'!$B:$B)+SUMIFS(D$2:D1466,B$2:B1466,B1466,C$2:C1466,"ENTRADA")-SUMIFS(D$2:D1466,B$2:B1466,B1466,C$2:C1466,"SALIDA")</f>
        <v>6634.9500000000007</v>
      </c>
    </row>
    <row r="1467" spans="1:5" x14ac:dyDescent="0.3">
      <c r="A1467" s="9">
        <f>'Volúmenes DIstribuidos '!B945</f>
        <v>44596</v>
      </c>
      <c r="B1467" s="10" t="str">
        <f>IF(OR('Volúmenes DIstribuidos '!C947="Azúcar",'Volúmenes DIstribuidos '!C947="azúcar"),"Azúcar o dulce",IF('Volúmenes DIstribuidos '!C947="Aceite","Aceite o grasas",IF('Volúmenes DIstribuidos '!C947="Avena","Otros almidones",'Volúmenes DIstribuidos '!C947)))</f>
        <v>Lácteos</v>
      </c>
      <c r="C1467" s="10" t="s">
        <v>29</v>
      </c>
      <c r="D1467" s="12">
        <f>'Volúmenes DIstribuidos '!D947</f>
        <v>31.446999999999999</v>
      </c>
      <c r="E1467" s="12">
        <f>SUMIF('Parametros Inventario'!$A:$A,B1467,'Parametros Inventario'!$B:$B)+SUMIFS(D$2:D1467,B$2:B1467,B1467,C$2:C1467,"ENTRADA")-SUMIFS(D$2:D1467,B$2:B1467,B1467,C$2:C1467,"SALIDA")</f>
        <v>5998.3159999999989</v>
      </c>
    </row>
    <row r="1468" spans="1:5" x14ac:dyDescent="0.3">
      <c r="A1468" s="9">
        <f>'Volúmenes DIstribuidos '!B945</f>
        <v>44596</v>
      </c>
      <c r="B1468" s="10" t="str">
        <f>IF(OR('Volúmenes DIstribuidos '!C948="Azúcar",'Volúmenes DIstribuidos '!C948="azúcar"),"Azúcar o dulce",IF('Volúmenes DIstribuidos '!C948="Aceite","Aceite o grasas",IF('Volúmenes DIstribuidos '!C948="Avena","Otros almidones",'Volúmenes DIstribuidos '!C948)))</f>
        <v>Otros almidones</v>
      </c>
      <c r="C1468" s="10" t="s">
        <v>29</v>
      </c>
      <c r="D1468" s="12">
        <f>'Volúmenes DIstribuidos '!D948</f>
        <v>14.92</v>
      </c>
      <c r="E1468" s="12">
        <f>SUMIF('Parametros Inventario'!$A:$A,B1468,'Parametros Inventario'!$B:$B)+SUMIFS(D$2:D1468,B$2:B1468,B1468,C$2:C1468,"ENTRADA")-SUMIFS(D$2:D1468,B$2:B1468,B1468,C$2:C1468,"SALIDA")</f>
        <v>6620.0300000000007</v>
      </c>
    </row>
    <row r="1469" spans="1:5" x14ac:dyDescent="0.3">
      <c r="A1469" s="9">
        <f>'Volúmenes DIstribuidos '!B945</f>
        <v>44596</v>
      </c>
      <c r="B1469" s="10" t="str">
        <f>IF(OR('Volúmenes DIstribuidos '!C949="Azúcar",'Volúmenes DIstribuidos '!C949="azúcar"),"Azúcar o dulce",IF('Volúmenes DIstribuidos '!C949="Aceite","Aceite o grasas",IF('Volúmenes DIstribuidos '!C949="Avena","Otros almidones",'Volúmenes DIstribuidos '!C949)))</f>
        <v>Aceite o grasas</v>
      </c>
      <c r="C1469" s="10" t="s">
        <v>29</v>
      </c>
      <c r="D1469" s="12">
        <f>'Volúmenes DIstribuidos '!D949</f>
        <v>39.76</v>
      </c>
      <c r="E1469" s="12">
        <f>SUMIF('Parametros Inventario'!$A:$A,B1469,'Parametros Inventario'!$B:$B)+SUMIFS(D$2:D1469,B$2:B1469,B1469,C$2:C1469,"ENTRADA")-SUMIFS(D$2:D1469,B$2:B1469,B1469,C$2:C1469,"SALIDA")</f>
        <v>5945.7720000000018</v>
      </c>
    </row>
    <row r="1470" spans="1:5" x14ac:dyDescent="0.3">
      <c r="A1470" s="9">
        <f>'Volúmenes DIstribuidos '!B945</f>
        <v>44596</v>
      </c>
      <c r="B1470" s="10" t="str">
        <f>IF(OR('Volúmenes DIstribuidos '!C950="Azúcar",'Volúmenes DIstribuidos '!C950="azúcar"),"Azúcar o dulce",IF('Volúmenes DIstribuidos '!C950="Aceite","Aceite o grasas",IF('Volúmenes DIstribuidos '!C950="Avena","Otros almidones",'Volúmenes DIstribuidos '!C950)))</f>
        <v>Vegetales y hojas</v>
      </c>
      <c r="C1470" s="10" t="s">
        <v>29</v>
      </c>
      <c r="D1470" s="12">
        <f>'Volúmenes DIstribuidos '!D950</f>
        <v>49.81</v>
      </c>
      <c r="E1470" s="12">
        <f>SUMIF('Parametros Inventario'!$A:$A,B1470,'Parametros Inventario'!$B:$B)+SUMIFS(D$2:D1470,B$2:B1470,B1470,C$2:C1470,"ENTRADA")-SUMIFS(D$2:D1470,B$2:B1470,B1470,C$2:C1470,"SALIDA")</f>
        <v>7393.3189999999977</v>
      </c>
    </row>
    <row r="1471" spans="1:5" x14ac:dyDescent="0.3">
      <c r="A1471" s="9">
        <f>'Volúmenes DIstribuidos '!B951</f>
        <v>44600</v>
      </c>
      <c r="B1471" s="10" t="str">
        <f>IF(OR('Volúmenes DIstribuidos '!C951="Azúcar",'Volúmenes DIstribuidos '!C951="azúcar"),"Azúcar o dulce",IF('Volúmenes DIstribuidos '!C951="Aceite","Aceite o grasas",IF('Volúmenes DIstribuidos '!C951="Avena","Otros almidones",'Volúmenes DIstribuidos '!C951)))</f>
        <v>Panadería</v>
      </c>
      <c r="C1471" s="10" t="s">
        <v>29</v>
      </c>
      <c r="D1471" s="12">
        <f>'Volúmenes DIstribuidos '!D951</f>
        <v>11.84</v>
      </c>
      <c r="E1471" s="12">
        <f>SUMIF('Parametros Inventario'!$A:$A,B1471,'Parametros Inventario'!$B:$B)+SUMIFS(D$2:D1471,B$2:B1471,B1471,C$2:C1471,"ENTRADA")-SUMIFS(D$2:D1471,B$2:B1471,B1471,C$2:C1471,"SALIDA")</f>
        <v>4939.0960000000014</v>
      </c>
    </row>
    <row r="1472" spans="1:5" x14ac:dyDescent="0.3">
      <c r="A1472" s="9">
        <f>'Volúmenes DIstribuidos '!B951</f>
        <v>44600</v>
      </c>
      <c r="B1472" s="10" t="str">
        <f>IF(OR('Volúmenes DIstribuidos '!C952="Azúcar",'Volúmenes DIstribuidos '!C952="azúcar"),"Azúcar o dulce",IF('Volúmenes DIstribuidos '!C952="Aceite","Aceite o grasas",IF('Volúmenes DIstribuidos '!C952="Avena","Otros almidones",'Volúmenes DIstribuidos '!C952)))</f>
        <v>Aceite o grasas</v>
      </c>
      <c r="C1472" s="10" t="s">
        <v>29</v>
      </c>
      <c r="D1472" s="12">
        <f>'Volúmenes DIstribuidos '!D952</f>
        <v>43.08</v>
      </c>
      <c r="E1472" s="12">
        <f>SUMIF('Parametros Inventario'!$A:$A,B1472,'Parametros Inventario'!$B:$B)+SUMIFS(D$2:D1472,B$2:B1472,B1472,C$2:C1472,"ENTRADA")-SUMIFS(D$2:D1472,B$2:B1472,B1472,C$2:C1472,"SALIDA")</f>
        <v>5902.6920000000018</v>
      </c>
    </row>
    <row r="1473" spans="1:5" x14ac:dyDescent="0.3">
      <c r="A1473" s="9">
        <f>'Volúmenes DIstribuidos '!B951</f>
        <v>44600</v>
      </c>
      <c r="B1473" s="10" t="str">
        <f>IF(OR('Volúmenes DIstribuidos '!C953="Azúcar",'Volúmenes DIstribuidos '!C953="azúcar"),"Azúcar o dulce",IF('Volúmenes DIstribuidos '!C953="Aceite","Aceite o grasas",IF('Volúmenes DIstribuidos '!C953="Avena","Otros almidones",'Volúmenes DIstribuidos '!C953)))</f>
        <v>Otros almidones</v>
      </c>
      <c r="C1473" s="10" t="s">
        <v>29</v>
      </c>
      <c r="D1473" s="12">
        <f>'Volúmenes DIstribuidos '!D953</f>
        <v>16.510000000000002</v>
      </c>
      <c r="E1473" s="12">
        <f>SUMIF('Parametros Inventario'!$A:$A,B1473,'Parametros Inventario'!$B:$B)+SUMIFS(D$2:D1473,B$2:B1473,B1473,C$2:C1473,"ENTRADA")-SUMIFS(D$2:D1473,B$2:B1473,B1473,C$2:C1473,"SALIDA")</f>
        <v>6603.52</v>
      </c>
    </row>
    <row r="1474" spans="1:5" x14ac:dyDescent="0.3">
      <c r="A1474" s="9">
        <f>'Volúmenes DIstribuidos '!B951</f>
        <v>44600</v>
      </c>
      <c r="B1474" s="10" t="str">
        <f>IF(OR('Volúmenes DIstribuidos '!C954="Azúcar",'Volúmenes DIstribuidos '!C954="azúcar"),"Azúcar o dulce",IF('Volúmenes DIstribuidos '!C954="Aceite","Aceite o grasas",IF('Volúmenes DIstribuidos '!C954="Avena","Otros almidones",'Volúmenes DIstribuidos '!C954)))</f>
        <v>Salsas</v>
      </c>
      <c r="C1474" s="10" t="s">
        <v>29</v>
      </c>
      <c r="D1474" s="12">
        <f>'Volúmenes DIstribuidos '!D954</f>
        <v>23.46</v>
      </c>
      <c r="E1474" s="12">
        <f>SUMIF('Parametros Inventario'!$A:$A,B1474,'Parametros Inventario'!$B:$B)+SUMIFS(D$2:D1474,B$2:B1474,B1474,C$2:C1474,"ENTRADA")-SUMIFS(D$2:D1474,B$2:B1474,B1474,C$2:C1474,"SALIDA")</f>
        <v>6805.7559999999976</v>
      </c>
    </row>
    <row r="1475" spans="1:5" x14ac:dyDescent="0.3">
      <c r="A1475" s="9">
        <f>'Volúmenes DIstribuidos '!B951</f>
        <v>44600</v>
      </c>
      <c r="B1475" s="10" t="str">
        <f>IF(OR('Volúmenes DIstribuidos '!C955="Azúcar",'Volúmenes DIstribuidos '!C955="azúcar"),"Azúcar o dulce",IF('Volúmenes DIstribuidos '!C955="Aceite","Aceite o grasas",IF('Volúmenes DIstribuidos '!C955="Avena","Otros almidones",'Volúmenes DIstribuidos '!C955)))</f>
        <v>Lácteos</v>
      </c>
      <c r="C1475" s="10" t="s">
        <v>29</v>
      </c>
      <c r="D1475" s="12">
        <f>'Volúmenes DIstribuidos '!D955</f>
        <v>12.43</v>
      </c>
      <c r="E1475" s="12">
        <f>SUMIF('Parametros Inventario'!$A:$A,B1475,'Parametros Inventario'!$B:$B)+SUMIFS(D$2:D1475,B$2:B1475,B1475,C$2:C1475,"ENTRADA")-SUMIFS(D$2:D1475,B$2:B1475,B1475,C$2:C1475,"SALIDA")</f>
        <v>5985.8859999999986</v>
      </c>
    </row>
    <row r="1476" spans="1:5" x14ac:dyDescent="0.3">
      <c r="A1476" s="9">
        <f>'Volúmenes DIstribuidos '!B951</f>
        <v>44600</v>
      </c>
      <c r="B1476" s="10" t="str">
        <f>IF(OR('Volúmenes DIstribuidos '!C956="Azúcar",'Volúmenes DIstribuidos '!C956="azúcar"),"Azúcar o dulce",IF('Volúmenes DIstribuidos '!C956="Aceite","Aceite o grasas",IF('Volúmenes DIstribuidos '!C956="Avena","Otros almidones",'Volúmenes DIstribuidos '!C956)))</f>
        <v>Carnes blancas</v>
      </c>
      <c r="C1476" s="10" t="s">
        <v>29</v>
      </c>
      <c r="D1476" s="12">
        <f>'Volúmenes DIstribuidos '!D956</f>
        <v>56.05</v>
      </c>
      <c r="E1476" s="12">
        <f>SUMIF('Parametros Inventario'!$A:$A,B1476,'Parametros Inventario'!$B:$B)+SUMIFS(D$2:D1476,B$2:B1476,B1476,C$2:C1476,"ENTRADA")-SUMIFS(D$2:D1476,B$2:B1476,B1476,C$2:C1476,"SALIDA")</f>
        <v>6968.9920000000002</v>
      </c>
    </row>
    <row r="1477" spans="1:5" x14ac:dyDescent="0.3">
      <c r="A1477" s="9">
        <f>'Volúmenes DIstribuidos '!B957</f>
        <v>44603</v>
      </c>
      <c r="B1477" s="10" t="str">
        <f>IF(OR('Volúmenes DIstribuidos '!C957="Azúcar",'Volúmenes DIstribuidos '!C957="azúcar"),"Azúcar o dulce",IF('Volúmenes DIstribuidos '!C957="Aceite","Aceite o grasas",IF('Volúmenes DIstribuidos '!C957="Avena","Otros almidones",'Volúmenes DIstribuidos '!C957)))</f>
        <v>Azúcar o dulce</v>
      </c>
      <c r="C1477" s="10" t="s">
        <v>29</v>
      </c>
      <c r="D1477" s="12">
        <f>'Volúmenes DIstribuidos '!D957</f>
        <v>15.849</v>
      </c>
      <c r="E1477" s="12">
        <f>SUMIF('Parametros Inventario'!$A:$A,B1477,'Parametros Inventario'!$B:$B)+SUMIFS(D$2:D1477,B$2:B1477,B1477,C$2:C1477,"ENTRADA")-SUMIFS(D$2:D1477,B$2:B1477,B1477,C$2:C1477,"SALIDA")</f>
        <v>7510.4620000000014</v>
      </c>
    </row>
    <row r="1478" spans="1:5" x14ac:dyDescent="0.3">
      <c r="A1478" s="9">
        <f>'Volúmenes DIstribuidos '!B957</f>
        <v>44603</v>
      </c>
      <c r="B1478" s="10" t="str">
        <f>IF(OR('Volúmenes DIstribuidos '!C958="Azúcar",'Volúmenes DIstribuidos '!C958="azúcar"),"Azúcar o dulce",IF('Volúmenes DIstribuidos '!C958="Aceite","Aceite o grasas",IF('Volúmenes DIstribuidos '!C958="Avena","Otros almidones",'Volúmenes DIstribuidos '!C958)))</f>
        <v>Menestras</v>
      </c>
      <c r="C1478" s="10" t="s">
        <v>29</v>
      </c>
      <c r="D1478" s="12">
        <f>'Volúmenes DIstribuidos '!D958</f>
        <v>4.6100000000000003</v>
      </c>
      <c r="E1478" s="12">
        <f>SUMIF('Parametros Inventario'!$A:$A,B1478,'Parametros Inventario'!$B:$B)+SUMIFS(D$2:D1478,B$2:B1478,B1478,C$2:C1478,"ENTRADA")-SUMIFS(D$2:D1478,B$2:B1478,B1478,C$2:C1478,"SALIDA")</f>
        <v>6593.9700000000021</v>
      </c>
    </row>
    <row r="1479" spans="1:5" x14ac:dyDescent="0.3">
      <c r="A1479" s="9">
        <f>'Volúmenes DIstribuidos '!B957</f>
        <v>44603</v>
      </c>
      <c r="B1479" s="10" t="str">
        <f>IF(OR('Volúmenes DIstribuidos '!C959="Azúcar",'Volúmenes DIstribuidos '!C959="azúcar"),"Azúcar o dulce",IF('Volúmenes DIstribuidos '!C959="Aceite","Aceite o grasas",IF('Volúmenes DIstribuidos '!C959="Avena","Otros almidones",'Volúmenes DIstribuidos '!C959)))</f>
        <v>Carnes rojas</v>
      </c>
      <c r="C1479" s="10" t="s">
        <v>29</v>
      </c>
      <c r="D1479" s="12">
        <f>'Volúmenes DIstribuidos '!D959</f>
        <v>18.61</v>
      </c>
      <c r="E1479" s="12">
        <f>SUMIF('Parametros Inventario'!$A:$A,B1479,'Parametros Inventario'!$B:$B)+SUMIFS(D$2:D1479,B$2:B1479,B1479,C$2:C1479,"ENTRADA")-SUMIFS(D$2:D1479,B$2:B1479,B1479,C$2:C1479,"SALIDA")</f>
        <v>6700.6810000000014</v>
      </c>
    </row>
    <row r="1480" spans="1:5" x14ac:dyDescent="0.3">
      <c r="A1480" s="9">
        <f>'Volúmenes DIstribuidos '!B957</f>
        <v>44603</v>
      </c>
      <c r="B1480" s="10" t="str">
        <f>IF(OR('Volúmenes DIstribuidos '!C960="Azúcar",'Volúmenes DIstribuidos '!C960="azúcar"),"Azúcar o dulce",IF('Volúmenes DIstribuidos '!C960="Aceite","Aceite o grasas",IF('Volúmenes DIstribuidos '!C960="Avena","Otros almidones",'Volúmenes DIstribuidos '!C960)))</f>
        <v>Azúcar o dulce</v>
      </c>
      <c r="C1480" s="10" t="s">
        <v>29</v>
      </c>
      <c r="D1480" s="12">
        <f>'Volúmenes DIstribuidos '!D960</f>
        <v>6.28</v>
      </c>
      <c r="E1480" s="12">
        <f>SUMIF('Parametros Inventario'!$A:$A,B1480,'Parametros Inventario'!$B:$B)+SUMIFS(D$2:D1480,B$2:B1480,B1480,C$2:C1480,"ENTRADA")-SUMIFS(D$2:D1480,B$2:B1480,B1480,C$2:C1480,"SALIDA")</f>
        <v>7504.1820000000016</v>
      </c>
    </row>
    <row r="1481" spans="1:5" x14ac:dyDescent="0.3">
      <c r="A1481" s="9">
        <f>'Volúmenes DIstribuidos '!B957</f>
        <v>44603</v>
      </c>
      <c r="B1481" s="10" t="str">
        <f>IF(OR('Volúmenes DIstribuidos '!C961="Azúcar",'Volúmenes DIstribuidos '!C961="azúcar"),"Azúcar o dulce",IF('Volúmenes DIstribuidos '!C961="Aceite","Aceite o grasas",IF('Volúmenes DIstribuidos '!C961="Avena","Otros almidones",'Volúmenes DIstribuidos '!C961)))</f>
        <v>Panadería</v>
      </c>
      <c r="C1481" s="10" t="s">
        <v>29</v>
      </c>
      <c r="D1481" s="12">
        <f>'Volúmenes DIstribuidos '!D961</f>
        <v>12.44</v>
      </c>
      <c r="E1481" s="12">
        <f>SUMIF('Parametros Inventario'!$A:$A,B1481,'Parametros Inventario'!$B:$B)+SUMIFS(D$2:D1481,B$2:B1481,B1481,C$2:C1481,"ENTRADA")-SUMIFS(D$2:D1481,B$2:B1481,B1481,C$2:C1481,"SALIDA")</f>
        <v>4926.6560000000009</v>
      </c>
    </row>
    <row r="1482" spans="1:5" x14ac:dyDescent="0.3">
      <c r="A1482" s="9">
        <f>'Volúmenes DIstribuidos '!B957</f>
        <v>44603</v>
      </c>
      <c r="B1482" s="10" t="str">
        <f>IF(OR('Volúmenes DIstribuidos '!C962="Azúcar",'Volúmenes DIstribuidos '!C962="azúcar"),"Azúcar o dulce",IF('Volúmenes DIstribuidos '!C962="Aceite","Aceite o grasas",IF('Volúmenes DIstribuidos '!C962="Avena","Otros almidones",'Volúmenes DIstribuidos '!C962)))</f>
        <v>Aceite o grasas</v>
      </c>
      <c r="C1482" s="10" t="s">
        <v>29</v>
      </c>
      <c r="D1482" s="12">
        <f>'Volúmenes DIstribuidos '!D962</f>
        <v>11.85</v>
      </c>
      <c r="E1482" s="12">
        <f>SUMIF('Parametros Inventario'!$A:$A,B1482,'Parametros Inventario'!$B:$B)+SUMIFS(D$2:D1482,B$2:B1482,B1482,C$2:C1482,"ENTRADA")-SUMIFS(D$2:D1482,B$2:B1482,B1482,C$2:C1482,"SALIDA")</f>
        <v>5890.8420000000024</v>
      </c>
    </row>
    <row r="1483" spans="1:5" x14ac:dyDescent="0.3">
      <c r="A1483" s="9">
        <f>'Volúmenes DIstribuidos '!B963</f>
        <v>44607</v>
      </c>
      <c r="B1483" s="10" t="str">
        <f>IF(OR('Volúmenes DIstribuidos '!C963="Azúcar",'Volúmenes DIstribuidos '!C963="azúcar"),"Azúcar o dulce",IF('Volúmenes DIstribuidos '!C963="Aceite","Aceite o grasas",IF('Volúmenes DIstribuidos '!C963="Avena","Otros almidones",'Volúmenes DIstribuidos '!C963)))</f>
        <v>Vegetales y hojas</v>
      </c>
      <c r="C1483" s="10" t="s">
        <v>29</v>
      </c>
      <c r="D1483" s="12">
        <f>'Volúmenes DIstribuidos '!D963</f>
        <v>27.222999999999999</v>
      </c>
      <c r="E1483" s="12">
        <f>SUMIF('Parametros Inventario'!$A:$A,B1483,'Parametros Inventario'!$B:$B)+SUMIFS(D$2:D1483,B$2:B1483,B1483,C$2:C1483,"ENTRADA")-SUMIFS(D$2:D1483,B$2:B1483,B1483,C$2:C1483,"SALIDA")</f>
        <v>7366.0959999999977</v>
      </c>
    </row>
    <row r="1484" spans="1:5" x14ac:dyDescent="0.3">
      <c r="A1484" s="9">
        <f>'Volúmenes DIstribuidos '!B963</f>
        <v>44607</v>
      </c>
      <c r="B1484" s="10" t="str">
        <f>IF(OR('Volúmenes DIstribuidos '!C964="Azúcar",'Volúmenes DIstribuidos '!C964="azúcar"),"Azúcar o dulce",IF('Volúmenes DIstribuidos '!C964="Aceite","Aceite o grasas",IF('Volúmenes DIstribuidos '!C964="Avena","Otros almidones",'Volúmenes DIstribuidos '!C964)))</f>
        <v>Otros almidones</v>
      </c>
      <c r="C1484" s="10" t="s">
        <v>29</v>
      </c>
      <c r="D1484" s="12">
        <f>'Volúmenes DIstribuidos '!D964</f>
        <v>29.15</v>
      </c>
      <c r="E1484" s="12">
        <f>SUMIF('Parametros Inventario'!$A:$A,B1484,'Parametros Inventario'!$B:$B)+SUMIFS(D$2:D1484,B$2:B1484,B1484,C$2:C1484,"ENTRADA")-SUMIFS(D$2:D1484,B$2:B1484,B1484,C$2:C1484,"SALIDA")</f>
        <v>6574.37</v>
      </c>
    </row>
    <row r="1485" spans="1:5" x14ac:dyDescent="0.3">
      <c r="A1485" s="9">
        <f>'Volúmenes DIstribuidos '!B963</f>
        <v>44607</v>
      </c>
      <c r="B1485" s="10" t="str">
        <f>IF(OR('Volúmenes DIstribuidos '!C965="Azúcar",'Volúmenes DIstribuidos '!C965="azúcar"),"Azúcar o dulce",IF('Volúmenes DIstribuidos '!C965="Aceite","Aceite o grasas",IF('Volúmenes DIstribuidos '!C965="Avena","Otros almidones",'Volúmenes DIstribuidos '!C965)))</f>
        <v>Azúcar o dulce</v>
      </c>
      <c r="C1485" s="10" t="s">
        <v>29</v>
      </c>
      <c r="D1485" s="12">
        <f>'Volúmenes DIstribuidos '!D965</f>
        <v>17.21</v>
      </c>
      <c r="E1485" s="12">
        <f>SUMIF('Parametros Inventario'!$A:$A,B1485,'Parametros Inventario'!$B:$B)+SUMIFS(D$2:D1485,B$2:B1485,B1485,C$2:C1485,"ENTRADA")-SUMIFS(D$2:D1485,B$2:B1485,B1485,C$2:C1485,"SALIDA")</f>
        <v>7486.9720000000016</v>
      </c>
    </row>
    <row r="1486" spans="1:5" x14ac:dyDescent="0.3">
      <c r="A1486" s="9">
        <f>'Volúmenes DIstribuidos '!B963</f>
        <v>44607</v>
      </c>
      <c r="B1486" s="10" t="str">
        <f>IF(OR('Volúmenes DIstribuidos '!C966="Azúcar",'Volúmenes DIstribuidos '!C966="azúcar"),"Azúcar o dulce",IF('Volúmenes DIstribuidos '!C966="Aceite","Aceite o grasas",IF('Volúmenes DIstribuidos '!C966="Avena","Otros almidones",'Volúmenes DIstribuidos '!C966)))</f>
        <v>Carnes rojas</v>
      </c>
      <c r="C1486" s="10" t="s">
        <v>29</v>
      </c>
      <c r="D1486" s="12">
        <f>'Volúmenes DIstribuidos '!D966</f>
        <v>11.1</v>
      </c>
      <c r="E1486" s="12">
        <f>SUMIF('Parametros Inventario'!$A:$A,B1486,'Parametros Inventario'!$B:$B)+SUMIFS(D$2:D1486,B$2:B1486,B1486,C$2:C1486,"ENTRADA")-SUMIFS(D$2:D1486,B$2:B1486,B1486,C$2:C1486,"SALIDA")</f>
        <v>6689.5810000000019</v>
      </c>
    </row>
    <row r="1487" spans="1:5" x14ac:dyDescent="0.3">
      <c r="A1487" s="9">
        <f>'Volúmenes DIstribuidos '!B963</f>
        <v>44607</v>
      </c>
      <c r="B1487" s="10" t="str">
        <f>IF(OR('Volúmenes DIstribuidos '!C967="Azúcar",'Volúmenes DIstribuidos '!C967="azúcar"),"Azúcar o dulce",IF('Volúmenes DIstribuidos '!C967="Aceite","Aceite o grasas",IF('Volúmenes DIstribuidos '!C967="Avena","Otros almidones",'Volúmenes DIstribuidos '!C967)))</f>
        <v>Lácteos</v>
      </c>
      <c r="C1487" s="10" t="s">
        <v>29</v>
      </c>
      <c r="D1487" s="12">
        <f>'Volúmenes DIstribuidos '!D967</f>
        <v>26.81</v>
      </c>
      <c r="E1487" s="12">
        <f>SUMIF('Parametros Inventario'!$A:$A,B1487,'Parametros Inventario'!$B:$B)+SUMIFS(D$2:D1487,B$2:B1487,B1487,C$2:C1487,"ENTRADA")-SUMIFS(D$2:D1487,B$2:B1487,B1487,C$2:C1487,"SALIDA")</f>
        <v>5959.0759999999991</v>
      </c>
    </row>
    <row r="1488" spans="1:5" x14ac:dyDescent="0.3">
      <c r="A1488" s="9">
        <f>'Volúmenes DIstribuidos '!B963</f>
        <v>44607</v>
      </c>
      <c r="B1488" s="10" t="str">
        <f>IF(OR('Volúmenes DIstribuidos '!C968="Azúcar",'Volúmenes DIstribuidos '!C968="azúcar"),"Azúcar o dulce",IF('Volúmenes DIstribuidos '!C968="Aceite","Aceite o grasas",IF('Volúmenes DIstribuidos '!C968="Avena","Otros almidones",'Volúmenes DIstribuidos '!C968)))</f>
        <v>Fideo</v>
      </c>
      <c r="C1488" s="10" t="s">
        <v>29</v>
      </c>
      <c r="D1488" s="12">
        <f>'Volúmenes DIstribuidos '!D968</f>
        <v>9.9499999999999993</v>
      </c>
      <c r="E1488" s="12">
        <f>SUMIF('Parametros Inventario'!$A:$A,B1488,'Parametros Inventario'!$B:$B)+SUMIFS(D$2:D1488,B$2:B1488,B1488,C$2:C1488,"ENTRADA")-SUMIFS(D$2:D1488,B$2:B1488,B1488,C$2:C1488,"SALIDA")</f>
        <v>7444.1610000000019</v>
      </c>
    </row>
    <row r="1489" spans="1:5" x14ac:dyDescent="0.3">
      <c r="A1489" s="9">
        <v>44610</v>
      </c>
      <c r="B1489" s="10" t="s">
        <v>14</v>
      </c>
      <c r="C1489" s="10" t="s">
        <v>28</v>
      </c>
      <c r="D1489" s="12">
        <v>116.41</v>
      </c>
      <c r="E1489" s="12">
        <f>SUMIF('Parametros Inventario'!$A:$A,B1489,'Parametros Inventario'!$B:$B)+SUMIFS(D$2:D1489,B$2:B1489,B1489,C$2:C1489,"ENTRADA")-SUMIFS(D$2:D1489,B$2:B1489,B1489,C$2:C1489,"SALIDA")</f>
        <v>6710.3800000000019</v>
      </c>
    </row>
    <row r="1490" spans="1:5" x14ac:dyDescent="0.3">
      <c r="A1490" s="9">
        <v>44610</v>
      </c>
      <c r="B1490" s="10" t="s">
        <v>12</v>
      </c>
      <c r="C1490" s="10" t="s">
        <v>28</v>
      </c>
      <c r="D1490" s="12">
        <v>68.97</v>
      </c>
      <c r="E1490" s="12">
        <f>SUMIF('Parametros Inventario'!$A:$A,B1490,'Parametros Inventario'!$B:$B)+SUMIFS(D$2:D1490,B$2:B1490,B1490,C$2:C1490,"ENTRADA")-SUMIFS(D$2:D1490,B$2:B1490,B1490,C$2:C1490,"SALIDA")</f>
        <v>6758.5510000000013</v>
      </c>
    </row>
    <row r="1491" spans="1:5" x14ac:dyDescent="0.3">
      <c r="A1491" s="9">
        <v>44610</v>
      </c>
      <c r="B1491" s="10" t="s">
        <v>16</v>
      </c>
      <c r="C1491" s="10" t="s">
        <v>28</v>
      </c>
      <c r="D1491" s="12">
        <v>275.37</v>
      </c>
      <c r="E1491" s="12">
        <f>SUMIF('Parametros Inventario'!$A:$A,B1491,'Parametros Inventario'!$B:$B)+SUMIFS(D$2:D1491,B$2:B1491,B1491,C$2:C1491,"ENTRADA")-SUMIFS(D$2:D1491,B$2:B1491,B1491,C$2:C1491,"SALIDA")</f>
        <v>7244.362000000001</v>
      </c>
    </row>
    <row r="1492" spans="1:5" x14ac:dyDescent="0.3">
      <c r="A1492" s="9">
        <v>44610</v>
      </c>
      <c r="B1492" s="10" t="s">
        <v>17</v>
      </c>
      <c r="C1492" s="10" t="s">
        <v>28</v>
      </c>
      <c r="D1492" s="12">
        <v>123.63</v>
      </c>
      <c r="E1492" s="12">
        <f>SUMIF('Parametros Inventario'!$A:$A,B1492,'Parametros Inventario'!$B:$B)+SUMIFS(D$2:D1492,B$2:B1492,B1492,C$2:C1492,"ENTRADA")-SUMIFS(D$2:D1492,B$2:B1492,B1492,C$2:C1492,"SALIDA")</f>
        <v>6082.7059999999983</v>
      </c>
    </row>
    <row r="1493" spans="1:5" x14ac:dyDescent="0.3">
      <c r="A1493" s="9">
        <v>44610</v>
      </c>
      <c r="B1493" s="10" t="s">
        <v>18</v>
      </c>
      <c r="C1493" s="10" t="s">
        <v>28</v>
      </c>
      <c r="D1493" s="12">
        <v>175.44</v>
      </c>
      <c r="E1493" s="12">
        <f>SUMIF('Parametros Inventario'!$A:$A,B1493,'Parametros Inventario'!$B:$B)+SUMIFS(D$2:D1493,B$2:B1493,B1493,C$2:C1493,"ENTRADA")-SUMIFS(D$2:D1493,B$2:B1493,B1493,C$2:C1493,"SALIDA")</f>
        <v>6981.1959999999981</v>
      </c>
    </row>
    <row r="1494" spans="1:5" x14ac:dyDescent="0.3">
      <c r="A1494" s="9">
        <v>44610</v>
      </c>
      <c r="B1494" s="10" t="s">
        <v>10</v>
      </c>
      <c r="C1494" s="10" t="s">
        <v>28</v>
      </c>
      <c r="D1494" s="12">
        <v>186.66</v>
      </c>
      <c r="E1494" s="12">
        <f>SUMIF('Parametros Inventario'!$A:$A,B1494,'Parametros Inventario'!$B:$B)+SUMIFS(D$2:D1494,B$2:B1494,B1494,C$2:C1494,"ENTRADA")-SUMIFS(D$2:D1494,B$2:B1494,B1494,C$2:C1494,"SALIDA")</f>
        <v>7552.7559999999976</v>
      </c>
    </row>
    <row r="1495" spans="1:5" x14ac:dyDescent="0.3">
      <c r="A1495" s="9">
        <v>44610</v>
      </c>
      <c r="B1495" s="10" t="s">
        <v>8</v>
      </c>
      <c r="C1495" s="10" t="s">
        <v>28</v>
      </c>
      <c r="D1495" s="12">
        <v>69.540000000000006</v>
      </c>
      <c r="E1495" s="12">
        <f>SUMIF('Parametros Inventario'!$A:$A,B1495,'Parametros Inventario'!$B:$B)+SUMIFS(D$2:D1495,B$2:B1495,B1495,C$2:C1495,"ENTRADA")-SUMIFS(D$2:D1495,B$2:B1495,B1495,C$2:C1495,"SALIDA")</f>
        <v>5960.3820000000014</v>
      </c>
    </row>
    <row r="1496" spans="1:5" x14ac:dyDescent="0.3">
      <c r="A1496" s="9">
        <v>44610</v>
      </c>
      <c r="B1496" s="10" t="s">
        <v>13</v>
      </c>
      <c r="C1496" s="10" t="s">
        <v>28</v>
      </c>
      <c r="D1496" s="12">
        <v>119.11</v>
      </c>
      <c r="E1496" s="12">
        <f>SUMIF('Parametros Inventario'!$A:$A,B1496,'Parametros Inventario'!$B:$B)+SUMIFS(D$2:D1496,B$2:B1496,B1496,C$2:C1496,"ENTRADA")-SUMIFS(D$2:D1496,B$2:B1496,B1496,C$2:C1496,"SALIDA")</f>
        <v>7606.0820000000022</v>
      </c>
    </row>
    <row r="1497" spans="1:5" x14ac:dyDescent="0.3">
      <c r="A1497" s="9">
        <v>44610</v>
      </c>
      <c r="B1497" s="10" t="s">
        <v>15</v>
      </c>
      <c r="C1497" s="10" t="s">
        <v>28</v>
      </c>
      <c r="D1497" s="12">
        <v>106.94</v>
      </c>
      <c r="E1497" s="12">
        <f>SUMIF('Parametros Inventario'!$A:$A,B1497,'Parametros Inventario'!$B:$B)+SUMIFS(D$2:D1497,B$2:B1497,B1497,C$2:C1497,"ENTRADA")-SUMIFS(D$2:D1497,B$2:B1497,B1497,C$2:C1497,"SALIDA")</f>
        <v>6681.3099999999986</v>
      </c>
    </row>
    <row r="1498" spans="1:5" x14ac:dyDescent="0.3">
      <c r="A1498" s="9">
        <v>44610</v>
      </c>
      <c r="B1498" s="10" t="s">
        <v>11</v>
      </c>
      <c r="C1498" s="10" t="s">
        <v>28</v>
      </c>
      <c r="D1498" s="12">
        <v>79.650000000000006</v>
      </c>
      <c r="E1498" s="12">
        <f>SUMIF('Parametros Inventario'!$A:$A,B1498,'Parametros Inventario'!$B:$B)+SUMIFS(D$2:D1498,B$2:B1498,B1498,C$2:C1498,"ENTRADA")-SUMIFS(D$2:D1498,B$2:B1498,B1498,C$2:C1498,"SALIDA")</f>
        <v>7523.8110000000015</v>
      </c>
    </row>
    <row r="1499" spans="1:5" x14ac:dyDescent="0.3">
      <c r="A1499" s="9">
        <f>'Volúmenes DIstribuidos '!B969</f>
        <v>44610</v>
      </c>
      <c r="B1499" s="10" t="str">
        <f>IF(OR('Volúmenes DIstribuidos '!C969="Azúcar",'Volúmenes DIstribuidos '!C969="azúcar"),"Azúcar o dulce",IF('Volúmenes DIstribuidos '!C969="Aceite","Aceite o grasas",IF('Volúmenes DIstribuidos '!C969="Avena","Otros almidones",'Volúmenes DIstribuidos '!C969)))</f>
        <v>Salsas</v>
      </c>
      <c r="C1499" s="10" t="s">
        <v>29</v>
      </c>
      <c r="D1499" s="12">
        <f>'Volúmenes DIstribuidos '!D969</f>
        <v>10.055</v>
      </c>
      <c r="E1499" s="12">
        <f>SUMIF('Parametros Inventario'!$A:$A,B1499,'Parametros Inventario'!$B:$B)+SUMIFS(D$2:D1499,B$2:B1499,B1499,C$2:C1499,"ENTRADA")-SUMIFS(D$2:D1499,B$2:B1499,B1499,C$2:C1499,"SALIDA")</f>
        <v>6971.1409999999987</v>
      </c>
    </row>
    <row r="1500" spans="1:5" x14ac:dyDescent="0.3">
      <c r="A1500" s="9">
        <f>'Volúmenes DIstribuidos '!B969</f>
        <v>44610</v>
      </c>
      <c r="B1500" s="10" t="str">
        <f>IF(OR('Volúmenes DIstribuidos '!C970="Azúcar",'Volúmenes DIstribuidos '!C970="azúcar"),"Azúcar o dulce",IF('Volúmenes DIstribuidos '!C970="Aceite","Aceite o grasas",IF('Volúmenes DIstribuidos '!C970="Avena","Otros almidones",'Volúmenes DIstribuidos '!C970)))</f>
        <v>Carnes blancas</v>
      </c>
      <c r="C1500" s="10" t="s">
        <v>29</v>
      </c>
      <c r="D1500" s="12">
        <f>'Volúmenes DIstribuidos '!D970</f>
        <v>5.3</v>
      </c>
      <c r="E1500" s="12">
        <f>SUMIF('Parametros Inventario'!$A:$A,B1500,'Parametros Inventario'!$B:$B)+SUMIFS(D$2:D1500,B$2:B1500,B1500,C$2:C1500,"ENTRADA")-SUMIFS(D$2:D1500,B$2:B1500,B1500,C$2:C1500,"SALIDA")</f>
        <v>7239.0619999999999</v>
      </c>
    </row>
    <row r="1501" spans="1:5" x14ac:dyDescent="0.3">
      <c r="A1501" s="9">
        <f>'Volúmenes DIstribuidos '!B969</f>
        <v>44610</v>
      </c>
      <c r="B1501" s="10" t="str">
        <f>IF(OR('Volúmenes DIstribuidos '!C971="Azúcar",'Volúmenes DIstribuidos '!C971="azúcar"),"Azúcar o dulce",IF('Volúmenes DIstribuidos '!C971="Aceite","Aceite o grasas",IF('Volúmenes DIstribuidos '!C971="Avena","Otros almidones",'Volúmenes DIstribuidos '!C971)))</f>
        <v>Lácteos</v>
      </c>
      <c r="C1501" s="10" t="s">
        <v>29</v>
      </c>
      <c r="D1501" s="12">
        <f>'Volúmenes DIstribuidos '!D971</f>
        <v>27.36</v>
      </c>
      <c r="E1501" s="12">
        <f>SUMIF('Parametros Inventario'!$A:$A,B1501,'Parametros Inventario'!$B:$B)+SUMIFS(D$2:D1501,B$2:B1501,B1501,C$2:C1501,"ENTRADA")-SUMIFS(D$2:D1501,B$2:B1501,B1501,C$2:C1501,"SALIDA")</f>
        <v>6055.3459999999977</v>
      </c>
    </row>
    <row r="1502" spans="1:5" x14ac:dyDescent="0.3">
      <c r="A1502" s="9">
        <f>'Volúmenes DIstribuidos '!B969</f>
        <v>44610</v>
      </c>
      <c r="B1502" s="10" t="str">
        <f>IF(OR('Volúmenes DIstribuidos '!C972="Azúcar",'Volúmenes DIstribuidos '!C972="azúcar"),"Azúcar o dulce",IF('Volúmenes DIstribuidos '!C972="Aceite","Aceite o grasas",IF('Volúmenes DIstribuidos '!C972="Avena","Otros almidones",'Volúmenes DIstribuidos '!C972)))</f>
        <v>Otros almidones</v>
      </c>
      <c r="C1502" s="10" t="s">
        <v>29</v>
      </c>
      <c r="D1502" s="12">
        <f>'Volúmenes DIstribuidos '!D972</f>
        <v>25.72</v>
      </c>
      <c r="E1502" s="12">
        <f>SUMIF('Parametros Inventario'!$A:$A,B1502,'Parametros Inventario'!$B:$B)+SUMIFS(D$2:D1502,B$2:B1502,B1502,C$2:C1502,"ENTRADA")-SUMIFS(D$2:D1502,B$2:B1502,B1502,C$2:C1502,"SALIDA")</f>
        <v>6655.5899999999983</v>
      </c>
    </row>
    <row r="1503" spans="1:5" x14ac:dyDescent="0.3">
      <c r="A1503" s="9">
        <f>'Volúmenes DIstribuidos '!B969</f>
        <v>44610</v>
      </c>
      <c r="B1503" s="10" t="str">
        <f>IF(OR('Volúmenes DIstribuidos '!C973="Azúcar",'Volúmenes DIstribuidos '!C973="azúcar"),"Azúcar o dulce",IF('Volúmenes DIstribuidos '!C973="Aceite","Aceite o grasas",IF('Volúmenes DIstribuidos '!C973="Avena","Otros almidones",'Volúmenes DIstribuidos '!C973)))</f>
        <v>Fideo</v>
      </c>
      <c r="C1503" s="10" t="s">
        <v>29</v>
      </c>
      <c r="D1503" s="12">
        <f>'Volúmenes DIstribuidos '!D973</f>
        <v>5.72</v>
      </c>
      <c r="E1503" s="12">
        <f>SUMIF('Parametros Inventario'!$A:$A,B1503,'Parametros Inventario'!$B:$B)+SUMIFS(D$2:D1503,B$2:B1503,B1503,C$2:C1503,"ENTRADA")-SUMIFS(D$2:D1503,B$2:B1503,B1503,C$2:C1503,"SALIDA")</f>
        <v>7518.0910000000013</v>
      </c>
    </row>
    <row r="1504" spans="1:5" x14ac:dyDescent="0.3">
      <c r="A1504" s="9">
        <f>'Volúmenes DIstribuidos '!B969</f>
        <v>44610</v>
      </c>
      <c r="B1504" s="10" t="str">
        <f>IF(OR('Volúmenes DIstribuidos '!C974="Azúcar",'Volúmenes DIstribuidos '!C974="azúcar"),"Azúcar o dulce",IF('Volúmenes DIstribuidos '!C974="Aceite","Aceite o grasas",IF('Volúmenes DIstribuidos '!C974="Avena","Otros almidones",'Volúmenes DIstribuidos '!C974)))</f>
        <v>Carnes rojas</v>
      </c>
      <c r="C1504" s="10" t="s">
        <v>29</v>
      </c>
      <c r="D1504" s="12">
        <f>'Volúmenes DIstribuidos '!D974</f>
        <v>9.84</v>
      </c>
      <c r="E1504" s="12">
        <f>SUMIF('Parametros Inventario'!$A:$A,B1504,'Parametros Inventario'!$B:$B)+SUMIFS(D$2:D1504,B$2:B1504,B1504,C$2:C1504,"ENTRADA")-SUMIFS(D$2:D1504,B$2:B1504,B1504,C$2:C1504,"SALIDA")</f>
        <v>6748.7110000000011</v>
      </c>
    </row>
    <row r="1505" spans="1:5" x14ac:dyDescent="0.3">
      <c r="A1505" s="9">
        <f>'Volúmenes DIstribuidos '!B975</f>
        <v>44614</v>
      </c>
      <c r="B1505" s="10" t="str">
        <f>IF(OR('Volúmenes DIstribuidos '!C975="Azúcar",'Volúmenes DIstribuidos '!C975="azúcar"),"Azúcar o dulce",IF('Volúmenes DIstribuidos '!C975="Aceite","Aceite o grasas",IF('Volúmenes DIstribuidos '!C975="Avena","Otros almidones",'Volúmenes DIstribuidos '!C975)))</f>
        <v>Salsas</v>
      </c>
      <c r="C1505" s="10" t="s">
        <v>29</v>
      </c>
      <c r="D1505" s="12">
        <f>'Volúmenes DIstribuidos '!D975</f>
        <v>98.275000000000006</v>
      </c>
      <c r="E1505" s="12">
        <f>SUMIF('Parametros Inventario'!$A:$A,B1505,'Parametros Inventario'!$B:$B)+SUMIFS(D$2:D1505,B$2:B1505,B1505,C$2:C1505,"ENTRADA")-SUMIFS(D$2:D1505,B$2:B1505,B1505,C$2:C1505,"SALIDA")</f>
        <v>6872.8659999999982</v>
      </c>
    </row>
    <row r="1506" spans="1:5" x14ac:dyDescent="0.3">
      <c r="A1506" s="9">
        <f>'Volúmenes DIstribuidos '!B975</f>
        <v>44614</v>
      </c>
      <c r="B1506" s="10" t="str">
        <f>IF(OR('Volúmenes DIstribuidos '!C976="Azúcar",'Volúmenes DIstribuidos '!C976="azúcar"),"Azúcar o dulce",IF('Volúmenes DIstribuidos '!C976="Aceite","Aceite o grasas",IF('Volúmenes DIstribuidos '!C976="Avena","Otros almidones",'Volúmenes DIstribuidos '!C976)))</f>
        <v>Azúcar o dulce</v>
      </c>
      <c r="C1506" s="10" t="s">
        <v>29</v>
      </c>
      <c r="D1506" s="12">
        <f>'Volúmenes DIstribuidos '!D976</f>
        <v>18.170000000000002</v>
      </c>
      <c r="E1506" s="12">
        <f>SUMIF('Parametros Inventario'!$A:$A,B1506,'Parametros Inventario'!$B:$B)+SUMIFS(D$2:D1506,B$2:B1506,B1506,C$2:C1506,"ENTRADA")-SUMIFS(D$2:D1506,B$2:B1506,B1506,C$2:C1506,"SALIDA")</f>
        <v>7587.9120000000021</v>
      </c>
    </row>
    <row r="1507" spans="1:5" x14ac:dyDescent="0.3">
      <c r="A1507" s="9">
        <f>'Volúmenes DIstribuidos '!B975</f>
        <v>44614</v>
      </c>
      <c r="B1507" s="10" t="str">
        <f>IF(OR('Volúmenes DIstribuidos '!C977="Azúcar",'Volúmenes DIstribuidos '!C977="azúcar"),"Azúcar o dulce",IF('Volúmenes DIstribuidos '!C977="Aceite","Aceite o grasas",IF('Volúmenes DIstribuidos '!C977="Avena","Otros almidones",'Volúmenes DIstribuidos '!C977)))</f>
        <v>Salsas</v>
      </c>
      <c r="C1507" s="10" t="s">
        <v>29</v>
      </c>
      <c r="D1507" s="12">
        <f>'Volúmenes DIstribuidos '!D977</f>
        <v>16.309999999999999</v>
      </c>
      <c r="E1507" s="12">
        <f>SUMIF('Parametros Inventario'!$A:$A,B1507,'Parametros Inventario'!$B:$B)+SUMIFS(D$2:D1507,B$2:B1507,B1507,C$2:C1507,"ENTRADA")-SUMIFS(D$2:D1507,B$2:B1507,B1507,C$2:C1507,"SALIDA")</f>
        <v>6856.5559999999987</v>
      </c>
    </row>
    <row r="1508" spans="1:5" x14ac:dyDescent="0.3">
      <c r="A1508" s="9">
        <f>'Volúmenes DIstribuidos '!B975</f>
        <v>44614</v>
      </c>
      <c r="B1508" s="10" t="str">
        <f>IF(OR('Volúmenes DIstribuidos '!C978="Azúcar",'Volúmenes DIstribuidos '!C978="azúcar"),"Azúcar o dulce",IF('Volúmenes DIstribuidos '!C978="Aceite","Aceite o grasas",IF('Volúmenes DIstribuidos '!C978="Avena","Otros almidones",'Volúmenes DIstribuidos '!C978)))</f>
        <v>Vegetales y hojas</v>
      </c>
      <c r="C1508" s="10" t="s">
        <v>29</v>
      </c>
      <c r="D1508" s="12">
        <f>'Volúmenes DIstribuidos '!D978</f>
        <v>30.83</v>
      </c>
      <c r="E1508" s="12">
        <f>SUMIF('Parametros Inventario'!$A:$A,B1508,'Parametros Inventario'!$B:$B)+SUMIFS(D$2:D1508,B$2:B1508,B1508,C$2:C1508,"ENTRADA")-SUMIFS(D$2:D1508,B$2:B1508,B1508,C$2:C1508,"SALIDA")</f>
        <v>7521.9259999999977</v>
      </c>
    </row>
    <row r="1509" spans="1:5" x14ac:dyDescent="0.3">
      <c r="A1509" s="9">
        <f>'Volúmenes DIstribuidos '!B975</f>
        <v>44614</v>
      </c>
      <c r="B1509" s="10" t="str">
        <f>IF(OR('Volúmenes DIstribuidos '!C979="Azúcar",'Volúmenes DIstribuidos '!C979="azúcar"),"Azúcar o dulce",IF('Volúmenes DIstribuidos '!C979="Aceite","Aceite o grasas",IF('Volúmenes DIstribuidos '!C979="Avena","Otros almidones",'Volúmenes DIstribuidos '!C979)))</f>
        <v>Lácteos</v>
      </c>
      <c r="C1509" s="10" t="s">
        <v>29</v>
      </c>
      <c r="D1509" s="12">
        <f>'Volúmenes DIstribuidos '!D979</f>
        <v>20.72</v>
      </c>
      <c r="E1509" s="12">
        <f>SUMIF('Parametros Inventario'!$A:$A,B1509,'Parametros Inventario'!$B:$B)+SUMIFS(D$2:D1509,B$2:B1509,B1509,C$2:C1509,"ENTRADA")-SUMIFS(D$2:D1509,B$2:B1509,B1509,C$2:C1509,"SALIDA")</f>
        <v>6034.6259999999984</v>
      </c>
    </row>
    <row r="1510" spans="1:5" x14ac:dyDescent="0.3">
      <c r="A1510" s="9">
        <f>'Volúmenes DIstribuidos '!B975</f>
        <v>44614</v>
      </c>
      <c r="B1510" s="10" t="str">
        <f>IF(OR('Volúmenes DIstribuidos '!C980="Azúcar",'Volúmenes DIstribuidos '!C980="azúcar"),"Azúcar o dulce",IF('Volúmenes DIstribuidos '!C980="Aceite","Aceite o grasas",IF('Volúmenes DIstribuidos '!C980="Avena","Otros almidones",'Volúmenes DIstribuidos '!C980)))</f>
        <v>Carnes rojas</v>
      </c>
      <c r="C1510" s="10" t="s">
        <v>29</v>
      </c>
      <c r="D1510" s="12">
        <f>'Volúmenes DIstribuidos '!D980</f>
        <v>33.247</v>
      </c>
      <c r="E1510" s="12">
        <f>SUMIF('Parametros Inventario'!$A:$A,B1510,'Parametros Inventario'!$B:$B)+SUMIFS(D$2:D1510,B$2:B1510,B1510,C$2:C1510,"ENTRADA")-SUMIFS(D$2:D1510,B$2:B1510,B1510,C$2:C1510,"SALIDA")</f>
        <v>6715.4640000000009</v>
      </c>
    </row>
    <row r="1511" spans="1:5" x14ac:dyDescent="0.3">
      <c r="A1511" s="9">
        <v>44617</v>
      </c>
      <c r="B1511" s="10" t="s">
        <v>9</v>
      </c>
      <c r="C1511" s="10" t="s">
        <v>28</v>
      </c>
      <c r="D1511" s="12">
        <v>140.06</v>
      </c>
      <c r="E1511" s="12">
        <f>SUMIF('Parametros Inventario'!$A:$A,B1511,'Parametros Inventario'!$B:$B)+SUMIFS(D$2:D1511,B$2:B1511,B1511,C$2:C1511,"ENTRADA")-SUMIFS(D$2:D1511,B$2:B1511,B1511,C$2:C1511,"SALIDA")</f>
        <v>5066.7160000000022</v>
      </c>
    </row>
    <row r="1512" spans="1:5" x14ac:dyDescent="0.3">
      <c r="A1512" s="9">
        <v>44617</v>
      </c>
      <c r="B1512" s="10" t="s">
        <v>14</v>
      </c>
      <c r="C1512" s="10" t="s">
        <v>28</v>
      </c>
      <c r="D1512" s="12">
        <v>186.51</v>
      </c>
      <c r="E1512" s="12">
        <f>SUMIF('Parametros Inventario'!$A:$A,B1512,'Parametros Inventario'!$B:$B)+SUMIFS(D$2:D1512,B$2:B1512,B1512,C$2:C1512,"ENTRADA")-SUMIFS(D$2:D1512,B$2:B1512,B1512,C$2:C1512,"SALIDA")</f>
        <v>6896.8900000000021</v>
      </c>
    </row>
    <row r="1513" spans="1:5" x14ac:dyDescent="0.3">
      <c r="A1513" s="9">
        <v>44617</v>
      </c>
      <c r="B1513" s="10" t="s">
        <v>12</v>
      </c>
      <c r="C1513" s="10" t="s">
        <v>28</v>
      </c>
      <c r="D1513" s="12">
        <v>133.44</v>
      </c>
      <c r="E1513" s="12">
        <f>SUMIF('Parametros Inventario'!$A:$A,B1513,'Parametros Inventario'!$B:$B)+SUMIFS(D$2:D1513,B$2:B1513,B1513,C$2:C1513,"ENTRADA")-SUMIFS(D$2:D1513,B$2:B1513,B1513,C$2:C1513,"SALIDA")</f>
        <v>6848.9040000000014</v>
      </c>
    </row>
    <row r="1514" spans="1:5" x14ac:dyDescent="0.3">
      <c r="A1514" s="9">
        <v>44617</v>
      </c>
      <c r="B1514" s="10" t="s">
        <v>16</v>
      </c>
      <c r="C1514" s="10" t="s">
        <v>28</v>
      </c>
      <c r="D1514" s="12">
        <v>218.78</v>
      </c>
      <c r="E1514" s="12">
        <f>SUMIF('Parametros Inventario'!$A:$A,B1514,'Parametros Inventario'!$B:$B)+SUMIFS(D$2:D1514,B$2:B1514,B1514,C$2:C1514,"ENTRADA")-SUMIFS(D$2:D1514,B$2:B1514,B1514,C$2:C1514,"SALIDA")</f>
        <v>7457.8420000000006</v>
      </c>
    </row>
    <row r="1515" spans="1:5" x14ac:dyDescent="0.3">
      <c r="A1515" s="9">
        <v>44617</v>
      </c>
      <c r="B1515" s="10" t="s">
        <v>17</v>
      </c>
      <c r="C1515" s="10" t="s">
        <v>28</v>
      </c>
      <c r="D1515" s="12">
        <v>112.51</v>
      </c>
      <c r="E1515" s="12">
        <f>SUMIF('Parametros Inventario'!$A:$A,B1515,'Parametros Inventario'!$B:$B)+SUMIFS(D$2:D1515,B$2:B1515,B1515,C$2:C1515,"ENTRADA")-SUMIFS(D$2:D1515,B$2:B1515,B1515,C$2:C1515,"SALIDA")</f>
        <v>6147.1359999999986</v>
      </c>
    </row>
    <row r="1516" spans="1:5" x14ac:dyDescent="0.3">
      <c r="A1516" s="9">
        <v>44617</v>
      </c>
      <c r="B1516" s="10" t="s">
        <v>18</v>
      </c>
      <c r="C1516" s="10" t="s">
        <v>28</v>
      </c>
      <c r="D1516" s="12">
        <v>236.3</v>
      </c>
      <c r="E1516" s="12">
        <f>SUMIF('Parametros Inventario'!$A:$A,B1516,'Parametros Inventario'!$B:$B)+SUMIFS(D$2:D1516,B$2:B1516,B1516,C$2:C1516,"ENTRADA")-SUMIFS(D$2:D1516,B$2:B1516,B1516,C$2:C1516,"SALIDA")</f>
        <v>7092.8559999999979</v>
      </c>
    </row>
    <row r="1517" spans="1:5" x14ac:dyDescent="0.3">
      <c r="A1517" s="9">
        <v>44617</v>
      </c>
      <c r="B1517" s="10" t="s">
        <v>10</v>
      </c>
      <c r="C1517" s="10" t="s">
        <v>28</v>
      </c>
      <c r="D1517" s="12">
        <v>242.12</v>
      </c>
      <c r="E1517" s="12">
        <f>SUMIF('Parametros Inventario'!$A:$A,B1517,'Parametros Inventario'!$B:$B)+SUMIFS(D$2:D1517,B$2:B1517,B1517,C$2:C1517,"ENTRADA")-SUMIFS(D$2:D1517,B$2:B1517,B1517,C$2:C1517,"SALIDA")</f>
        <v>7764.0459999999985</v>
      </c>
    </row>
    <row r="1518" spans="1:5" x14ac:dyDescent="0.3">
      <c r="A1518" s="9">
        <v>44617</v>
      </c>
      <c r="B1518" s="10" t="s">
        <v>8</v>
      </c>
      <c r="C1518" s="10" t="s">
        <v>28</v>
      </c>
      <c r="D1518" s="12">
        <v>261.36</v>
      </c>
      <c r="E1518" s="12">
        <f>SUMIF('Parametros Inventario'!$A:$A,B1518,'Parametros Inventario'!$B:$B)+SUMIFS(D$2:D1518,B$2:B1518,B1518,C$2:C1518,"ENTRADA")-SUMIFS(D$2:D1518,B$2:B1518,B1518,C$2:C1518,"SALIDA")</f>
        <v>6221.742000000002</v>
      </c>
    </row>
    <row r="1519" spans="1:5" x14ac:dyDescent="0.3">
      <c r="A1519" s="9">
        <v>44617</v>
      </c>
      <c r="B1519" s="10" t="s">
        <v>13</v>
      </c>
      <c r="C1519" s="10" t="s">
        <v>28</v>
      </c>
      <c r="D1519" s="12">
        <v>97.66</v>
      </c>
      <c r="E1519" s="12">
        <f>SUMIF('Parametros Inventario'!$A:$A,B1519,'Parametros Inventario'!$B:$B)+SUMIFS(D$2:D1519,B$2:B1519,B1519,C$2:C1519,"ENTRADA")-SUMIFS(D$2:D1519,B$2:B1519,B1519,C$2:C1519,"SALIDA")</f>
        <v>7685.5720000000019</v>
      </c>
    </row>
    <row r="1520" spans="1:5" x14ac:dyDescent="0.3">
      <c r="A1520" s="9">
        <v>44617</v>
      </c>
      <c r="B1520" s="10" t="s">
        <v>15</v>
      </c>
      <c r="C1520" s="10" t="s">
        <v>28</v>
      </c>
      <c r="D1520" s="12">
        <v>201.01</v>
      </c>
      <c r="E1520" s="12">
        <f>SUMIF('Parametros Inventario'!$A:$A,B1520,'Parametros Inventario'!$B:$B)+SUMIFS(D$2:D1520,B$2:B1520,B1520,C$2:C1520,"ENTRADA")-SUMIFS(D$2:D1520,B$2:B1520,B1520,C$2:C1520,"SALIDA")</f>
        <v>6856.5999999999985</v>
      </c>
    </row>
    <row r="1521" spans="1:5" x14ac:dyDescent="0.3">
      <c r="A1521" s="9">
        <f>'Volúmenes DIstribuidos '!B981</f>
        <v>44617</v>
      </c>
      <c r="B1521" s="10" t="str">
        <f>IF(OR('Volúmenes DIstribuidos '!C981="Azúcar",'Volúmenes DIstribuidos '!C981="azúcar"),"Azúcar o dulce",IF('Volúmenes DIstribuidos '!C981="Aceite","Aceite o grasas",IF('Volúmenes DIstribuidos '!C981="Avena","Otros almidones",'Volúmenes DIstribuidos '!C981)))</f>
        <v>Panadería</v>
      </c>
      <c r="C1521" s="10" t="s">
        <v>29</v>
      </c>
      <c r="D1521" s="12">
        <f>'Volúmenes DIstribuidos '!D981</f>
        <v>35.520000000000003</v>
      </c>
      <c r="E1521" s="12">
        <f>SUMIF('Parametros Inventario'!$A:$A,B1521,'Parametros Inventario'!$B:$B)+SUMIFS(D$2:D1521,B$2:B1521,B1521,C$2:C1521,"ENTRADA")-SUMIFS(D$2:D1521,B$2:B1521,B1521,C$2:C1521,"SALIDA")</f>
        <v>5031.1960000000026</v>
      </c>
    </row>
    <row r="1522" spans="1:5" x14ac:dyDescent="0.3">
      <c r="A1522" s="9">
        <f>'Volúmenes DIstribuidos '!B981</f>
        <v>44617</v>
      </c>
      <c r="B1522" s="10" t="str">
        <f>IF(OR('Volúmenes DIstribuidos '!C982="Azúcar",'Volúmenes DIstribuidos '!C982="azúcar"),"Azúcar o dulce",IF('Volúmenes DIstribuidos '!C982="Aceite","Aceite o grasas",IF('Volúmenes DIstribuidos '!C982="Avena","Otros almidones",'Volúmenes DIstribuidos '!C982)))</f>
        <v>Azúcar o dulce</v>
      </c>
      <c r="C1522" s="10" t="s">
        <v>29</v>
      </c>
      <c r="D1522" s="12">
        <f>'Volúmenes DIstribuidos '!D982</f>
        <v>20.02</v>
      </c>
      <c r="E1522" s="12">
        <f>SUMIF('Parametros Inventario'!$A:$A,B1522,'Parametros Inventario'!$B:$B)+SUMIFS(D$2:D1522,B$2:B1522,B1522,C$2:C1522,"ENTRADA")-SUMIFS(D$2:D1522,B$2:B1522,B1522,C$2:C1522,"SALIDA")</f>
        <v>7665.5520000000015</v>
      </c>
    </row>
    <row r="1523" spans="1:5" x14ac:dyDescent="0.3">
      <c r="A1523" s="9">
        <f>'Volúmenes DIstribuidos '!B981</f>
        <v>44617</v>
      </c>
      <c r="B1523" s="10" t="str">
        <f>IF(OR('Volúmenes DIstribuidos '!C983="Azúcar",'Volúmenes DIstribuidos '!C983="azúcar"),"Azúcar o dulce",IF('Volúmenes DIstribuidos '!C983="Aceite","Aceite o grasas",IF('Volúmenes DIstribuidos '!C983="Avena","Otros almidones",'Volúmenes DIstribuidos '!C983)))</f>
        <v>Lácteos</v>
      </c>
      <c r="C1523" s="10" t="s">
        <v>29</v>
      </c>
      <c r="D1523" s="12">
        <f>'Volúmenes DIstribuidos '!D983</f>
        <v>16.016999999999999</v>
      </c>
      <c r="E1523" s="12">
        <f>SUMIF('Parametros Inventario'!$A:$A,B1523,'Parametros Inventario'!$B:$B)+SUMIFS(D$2:D1523,B$2:B1523,B1523,C$2:C1523,"ENTRADA")-SUMIFS(D$2:D1523,B$2:B1523,B1523,C$2:C1523,"SALIDA")</f>
        <v>6131.1189999999988</v>
      </c>
    </row>
    <row r="1524" spans="1:5" x14ac:dyDescent="0.3">
      <c r="A1524" s="9">
        <f>'Volúmenes DIstribuidos '!B981</f>
        <v>44617</v>
      </c>
      <c r="B1524" s="10" t="str">
        <f>IF(OR('Volúmenes DIstribuidos '!C984="Azúcar",'Volúmenes DIstribuidos '!C984="azúcar"),"Azúcar o dulce",IF('Volúmenes DIstribuidos '!C984="Aceite","Aceite o grasas",IF('Volúmenes DIstribuidos '!C984="Avena","Otros almidones",'Volúmenes DIstribuidos '!C984)))</f>
        <v>Azúcar o dulce</v>
      </c>
      <c r="C1524" s="10" t="s">
        <v>29</v>
      </c>
      <c r="D1524" s="12">
        <f>'Volúmenes DIstribuidos '!D984</f>
        <v>27.86</v>
      </c>
      <c r="E1524" s="12">
        <f>SUMIF('Parametros Inventario'!$A:$A,B1524,'Parametros Inventario'!$B:$B)+SUMIFS(D$2:D1524,B$2:B1524,B1524,C$2:C1524,"ENTRADA")-SUMIFS(D$2:D1524,B$2:B1524,B1524,C$2:C1524,"SALIDA")</f>
        <v>7637.6920000000018</v>
      </c>
    </row>
    <row r="1525" spans="1:5" x14ac:dyDescent="0.3">
      <c r="A1525" s="9">
        <f>'Volúmenes DIstribuidos '!B981</f>
        <v>44617</v>
      </c>
      <c r="B1525" s="10" t="str">
        <f>IF(OR('Volúmenes DIstribuidos '!C985="Azúcar",'Volúmenes DIstribuidos '!C985="azúcar"),"Azúcar o dulce",IF('Volúmenes DIstribuidos '!C985="Aceite","Aceite o grasas",IF('Volúmenes DIstribuidos '!C985="Avena","Otros almidones",'Volúmenes DIstribuidos '!C985)))</f>
        <v>Fideo</v>
      </c>
      <c r="C1525" s="10" t="s">
        <v>29</v>
      </c>
      <c r="D1525" s="12">
        <f>'Volúmenes DIstribuidos '!D985</f>
        <v>20.94</v>
      </c>
      <c r="E1525" s="12">
        <f>SUMIF('Parametros Inventario'!$A:$A,B1525,'Parametros Inventario'!$B:$B)+SUMIFS(D$2:D1525,B$2:B1525,B1525,C$2:C1525,"ENTRADA")-SUMIFS(D$2:D1525,B$2:B1525,B1525,C$2:C1525,"SALIDA")</f>
        <v>7497.1510000000017</v>
      </c>
    </row>
    <row r="1526" spans="1:5" x14ac:dyDescent="0.3">
      <c r="A1526" s="9">
        <f>'Volúmenes DIstribuidos '!B981</f>
        <v>44617</v>
      </c>
      <c r="B1526" s="10" t="str">
        <f>IF(OR('Volúmenes DIstribuidos '!C986="Azúcar",'Volúmenes DIstribuidos '!C986="azúcar"),"Azúcar o dulce",IF('Volúmenes DIstribuidos '!C986="Aceite","Aceite o grasas",IF('Volúmenes DIstribuidos '!C986="Avena","Otros almidones",'Volúmenes DIstribuidos '!C986)))</f>
        <v>Otros almidones</v>
      </c>
      <c r="C1526" s="10" t="s">
        <v>29</v>
      </c>
      <c r="D1526" s="12">
        <f>'Volúmenes DIstribuidos '!D986</f>
        <v>16.117999999999999</v>
      </c>
      <c r="E1526" s="12">
        <f>SUMIF('Parametros Inventario'!$A:$A,B1526,'Parametros Inventario'!$B:$B)+SUMIFS(D$2:D1526,B$2:B1526,B1526,C$2:C1526,"ENTRADA")-SUMIFS(D$2:D1526,B$2:B1526,B1526,C$2:C1526,"SALIDA")</f>
        <v>6840.4819999999991</v>
      </c>
    </row>
    <row r="1527" spans="1:5" x14ac:dyDescent="0.3">
      <c r="A1527" s="9">
        <f>'Volúmenes DIstribuidos '!B987</f>
        <v>44621</v>
      </c>
      <c r="B1527" s="10" t="str">
        <f>IF(OR('Volúmenes DIstribuidos '!C987="Azúcar",'Volúmenes DIstribuidos '!C987="azúcar"),"Azúcar o dulce",IF('Volúmenes DIstribuidos '!C987="Aceite","Aceite o grasas",IF('Volúmenes DIstribuidos '!C987="Avena","Otros almidones",'Volúmenes DIstribuidos '!C987)))</f>
        <v>Azúcar o dulce</v>
      </c>
      <c r="C1527" s="10" t="s">
        <v>29</v>
      </c>
      <c r="D1527" s="12">
        <f>'Volúmenes DIstribuidos '!D987</f>
        <v>6.58</v>
      </c>
      <c r="E1527" s="12">
        <f>SUMIF('Parametros Inventario'!$A:$A,B1527,'Parametros Inventario'!$B:$B)+SUMIFS(D$2:D1527,B$2:B1527,B1527,C$2:C1527,"ENTRADA")-SUMIFS(D$2:D1527,B$2:B1527,B1527,C$2:C1527,"SALIDA")</f>
        <v>7631.1120000000019</v>
      </c>
    </row>
    <row r="1528" spans="1:5" x14ac:dyDescent="0.3">
      <c r="A1528" s="9">
        <f>'Volúmenes DIstribuidos '!B987</f>
        <v>44621</v>
      </c>
      <c r="B1528" s="10" t="str">
        <f>IF(OR('Volúmenes DIstribuidos '!C988="Azúcar",'Volúmenes DIstribuidos '!C988="azúcar"),"Azúcar o dulce",IF('Volúmenes DIstribuidos '!C988="Aceite","Aceite o grasas",IF('Volúmenes DIstribuidos '!C988="Avena","Otros almidones",'Volúmenes DIstribuidos '!C988)))</f>
        <v>Lácteos</v>
      </c>
      <c r="C1528" s="10" t="s">
        <v>29</v>
      </c>
      <c r="D1528" s="12">
        <f>'Volúmenes DIstribuidos '!D988</f>
        <v>4.13</v>
      </c>
      <c r="E1528" s="12">
        <f>SUMIF('Parametros Inventario'!$A:$A,B1528,'Parametros Inventario'!$B:$B)+SUMIFS(D$2:D1528,B$2:B1528,B1528,C$2:C1528,"ENTRADA")-SUMIFS(D$2:D1528,B$2:B1528,B1528,C$2:C1528,"SALIDA")</f>
        <v>6126.9889999999987</v>
      </c>
    </row>
    <row r="1529" spans="1:5" x14ac:dyDescent="0.3">
      <c r="A1529" s="9">
        <f>'Volúmenes DIstribuidos '!B987</f>
        <v>44621</v>
      </c>
      <c r="B1529" s="10" t="str">
        <f>IF(OR('Volúmenes DIstribuidos '!C989="Azúcar",'Volúmenes DIstribuidos '!C989="azúcar"),"Azúcar o dulce",IF('Volúmenes DIstribuidos '!C989="Aceite","Aceite o grasas",IF('Volúmenes DIstribuidos '!C989="Avena","Otros almidones",'Volúmenes DIstribuidos '!C989)))</f>
        <v>Salsas</v>
      </c>
      <c r="C1529" s="10" t="s">
        <v>29</v>
      </c>
      <c r="D1529" s="12">
        <f>'Volúmenes DIstribuidos '!D989</f>
        <v>13.503</v>
      </c>
      <c r="E1529" s="12">
        <f>SUMIF('Parametros Inventario'!$A:$A,B1529,'Parametros Inventario'!$B:$B)+SUMIFS(D$2:D1529,B$2:B1529,B1529,C$2:C1529,"ENTRADA")-SUMIFS(D$2:D1529,B$2:B1529,B1529,C$2:C1529,"SALIDA")</f>
        <v>7079.3529999999973</v>
      </c>
    </row>
    <row r="1530" spans="1:5" x14ac:dyDescent="0.3">
      <c r="A1530" s="9">
        <f>'Volúmenes DIstribuidos '!B987</f>
        <v>44621</v>
      </c>
      <c r="B1530" s="10" t="str">
        <f>IF(OR('Volúmenes DIstribuidos '!C990="Azúcar",'Volúmenes DIstribuidos '!C990="azúcar"),"Azúcar o dulce",IF('Volúmenes DIstribuidos '!C990="Aceite","Aceite o grasas",IF('Volúmenes DIstribuidos '!C990="Avena","Otros almidones",'Volúmenes DIstribuidos '!C990)))</f>
        <v>Azúcar o dulce</v>
      </c>
      <c r="C1530" s="10" t="s">
        <v>29</v>
      </c>
      <c r="D1530" s="12">
        <f>'Volúmenes DIstribuidos '!D990</f>
        <v>9.5299999999999994</v>
      </c>
      <c r="E1530" s="12">
        <f>SUMIF('Parametros Inventario'!$A:$A,B1530,'Parametros Inventario'!$B:$B)+SUMIFS(D$2:D1530,B$2:B1530,B1530,C$2:C1530,"ENTRADA")-SUMIFS(D$2:D1530,B$2:B1530,B1530,C$2:C1530,"SALIDA")</f>
        <v>7621.5820000000022</v>
      </c>
    </row>
    <row r="1531" spans="1:5" x14ac:dyDescent="0.3">
      <c r="A1531" s="9">
        <f>'Volúmenes DIstribuidos '!B987</f>
        <v>44621</v>
      </c>
      <c r="B1531" s="10" t="str">
        <f>IF(OR('Volúmenes DIstribuidos '!C991="Azúcar",'Volúmenes DIstribuidos '!C991="azúcar"),"Azúcar o dulce",IF('Volúmenes DIstribuidos '!C991="Aceite","Aceite o grasas",IF('Volúmenes DIstribuidos '!C991="Avena","Otros almidones",'Volúmenes DIstribuidos '!C991)))</f>
        <v>Menestras</v>
      </c>
      <c r="C1531" s="10" t="s">
        <v>29</v>
      </c>
      <c r="D1531" s="12">
        <f>'Volúmenes DIstribuidos '!D991</f>
        <v>5.93</v>
      </c>
      <c r="E1531" s="12">
        <f>SUMIF('Parametros Inventario'!$A:$A,B1531,'Parametros Inventario'!$B:$B)+SUMIFS(D$2:D1531,B$2:B1531,B1531,C$2:C1531,"ENTRADA")-SUMIFS(D$2:D1531,B$2:B1531,B1531,C$2:C1531,"SALIDA")</f>
        <v>6890.9600000000028</v>
      </c>
    </row>
    <row r="1532" spans="1:5" x14ac:dyDescent="0.3">
      <c r="A1532" s="9">
        <f>'Volúmenes DIstribuidos '!B987</f>
        <v>44621</v>
      </c>
      <c r="B1532" s="10" t="str">
        <f>IF(OR('Volúmenes DIstribuidos '!C992="Azúcar",'Volúmenes DIstribuidos '!C992="azúcar"),"Azúcar o dulce",IF('Volúmenes DIstribuidos '!C992="Aceite","Aceite o grasas",IF('Volúmenes DIstribuidos '!C992="Avena","Otros almidones",'Volúmenes DIstribuidos '!C992)))</f>
        <v>Carnes blancas</v>
      </c>
      <c r="C1532" s="10" t="s">
        <v>29</v>
      </c>
      <c r="D1532" s="12">
        <f>'Volúmenes DIstribuidos '!D992</f>
        <v>9.1</v>
      </c>
      <c r="E1532" s="12">
        <f>SUMIF('Parametros Inventario'!$A:$A,B1532,'Parametros Inventario'!$B:$B)+SUMIFS(D$2:D1532,B$2:B1532,B1532,C$2:C1532,"ENTRADA")-SUMIFS(D$2:D1532,B$2:B1532,B1532,C$2:C1532,"SALIDA")</f>
        <v>7448.7420000000011</v>
      </c>
    </row>
    <row r="1533" spans="1:5" x14ac:dyDescent="0.3">
      <c r="A1533" s="9">
        <v>44624</v>
      </c>
      <c r="B1533" s="10" t="s">
        <v>11</v>
      </c>
      <c r="C1533" s="10" t="s">
        <v>28</v>
      </c>
      <c r="D1533" s="12">
        <v>84.47</v>
      </c>
      <c r="E1533" s="12">
        <f>SUMIF('Parametros Inventario'!$A:$A,B1533,'Parametros Inventario'!$B:$B)+SUMIFS(D$2:D1533,B$2:B1533,B1533,C$2:C1533,"ENTRADA")-SUMIFS(D$2:D1533,B$2:B1533,B1533,C$2:C1533,"SALIDA")</f>
        <v>7581.621000000001</v>
      </c>
    </row>
    <row r="1534" spans="1:5" x14ac:dyDescent="0.3">
      <c r="A1534" s="9">
        <v>44624</v>
      </c>
      <c r="B1534" s="10" t="s">
        <v>9</v>
      </c>
      <c r="C1534" s="10" t="s">
        <v>28</v>
      </c>
      <c r="D1534" s="12">
        <v>263.75</v>
      </c>
      <c r="E1534" s="12">
        <f>SUMIF('Parametros Inventario'!$A:$A,B1534,'Parametros Inventario'!$B:$B)+SUMIFS(D$2:D1534,B$2:B1534,B1534,C$2:C1534,"ENTRADA")-SUMIFS(D$2:D1534,B$2:B1534,B1534,C$2:C1534,"SALIDA")</f>
        <v>5294.9460000000026</v>
      </c>
    </row>
    <row r="1535" spans="1:5" x14ac:dyDescent="0.3">
      <c r="A1535" s="9">
        <v>44624</v>
      </c>
      <c r="B1535" s="10" t="s">
        <v>14</v>
      </c>
      <c r="C1535" s="10" t="s">
        <v>28</v>
      </c>
      <c r="D1535" s="12">
        <v>229.05</v>
      </c>
      <c r="E1535" s="12">
        <f>SUMIF('Parametros Inventario'!$A:$A,B1535,'Parametros Inventario'!$B:$B)+SUMIFS(D$2:D1535,B$2:B1535,B1535,C$2:C1535,"ENTRADA")-SUMIFS(D$2:D1535,B$2:B1535,B1535,C$2:C1535,"SALIDA")</f>
        <v>7120.010000000002</v>
      </c>
    </row>
    <row r="1536" spans="1:5" x14ac:dyDescent="0.3">
      <c r="A1536" s="9">
        <v>44624</v>
      </c>
      <c r="B1536" s="10" t="s">
        <v>12</v>
      </c>
      <c r="C1536" s="10" t="s">
        <v>28</v>
      </c>
      <c r="D1536" s="12">
        <v>185.78</v>
      </c>
      <c r="E1536" s="12">
        <f>SUMIF('Parametros Inventario'!$A:$A,B1536,'Parametros Inventario'!$B:$B)+SUMIFS(D$2:D1536,B$2:B1536,B1536,C$2:C1536,"ENTRADA")-SUMIFS(D$2:D1536,B$2:B1536,B1536,C$2:C1536,"SALIDA")</f>
        <v>7034.684000000002</v>
      </c>
    </row>
    <row r="1537" spans="1:5" x14ac:dyDescent="0.3">
      <c r="A1537" s="9">
        <v>44624</v>
      </c>
      <c r="B1537" s="10" t="s">
        <v>16</v>
      </c>
      <c r="C1537" s="10" t="s">
        <v>28</v>
      </c>
      <c r="D1537" s="12">
        <v>115.28</v>
      </c>
      <c r="E1537" s="12">
        <f>SUMIF('Parametros Inventario'!$A:$A,B1537,'Parametros Inventario'!$B:$B)+SUMIFS(D$2:D1537,B$2:B1537,B1537,C$2:C1537,"ENTRADA")-SUMIFS(D$2:D1537,B$2:B1537,B1537,C$2:C1537,"SALIDA")</f>
        <v>7564.0220000000018</v>
      </c>
    </row>
    <row r="1538" spans="1:5" x14ac:dyDescent="0.3">
      <c r="A1538" s="9">
        <v>44624</v>
      </c>
      <c r="B1538" s="10" t="s">
        <v>17</v>
      </c>
      <c r="C1538" s="10" t="s">
        <v>28</v>
      </c>
      <c r="D1538" s="12">
        <v>242.52</v>
      </c>
      <c r="E1538" s="12">
        <f>SUMIF('Parametros Inventario'!$A:$A,B1538,'Parametros Inventario'!$B:$B)+SUMIFS(D$2:D1538,B$2:B1538,B1538,C$2:C1538,"ENTRADA")-SUMIFS(D$2:D1538,B$2:B1538,B1538,C$2:C1538,"SALIDA")</f>
        <v>6369.5089999999991</v>
      </c>
    </row>
    <row r="1539" spans="1:5" x14ac:dyDescent="0.3">
      <c r="A1539" s="9">
        <v>44624</v>
      </c>
      <c r="B1539" s="10" t="s">
        <v>18</v>
      </c>
      <c r="C1539" s="10" t="s">
        <v>28</v>
      </c>
      <c r="D1539" s="12">
        <v>120.46</v>
      </c>
      <c r="E1539" s="12">
        <f>SUMIF('Parametros Inventario'!$A:$A,B1539,'Parametros Inventario'!$B:$B)+SUMIFS(D$2:D1539,B$2:B1539,B1539,C$2:C1539,"ENTRADA")-SUMIFS(D$2:D1539,B$2:B1539,B1539,C$2:C1539,"SALIDA")</f>
        <v>7199.8129999999965</v>
      </c>
    </row>
    <row r="1540" spans="1:5" x14ac:dyDescent="0.3">
      <c r="A1540" s="9">
        <v>44624</v>
      </c>
      <c r="B1540" s="10" t="s">
        <v>10</v>
      </c>
      <c r="C1540" s="10" t="s">
        <v>28</v>
      </c>
      <c r="D1540" s="12">
        <v>136.66</v>
      </c>
      <c r="E1540" s="12">
        <f>SUMIF('Parametros Inventario'!$A:$A,B1540,'Parametros Inventario'!$B:$B)+SUMIFS(D$2:D1540,B$2:B1540,B1540,C$2:C1540,"ENTRADA")-SUMIFS(D$2:D1540,B$2:B1540,B1540,C$2:C1540,"SALIDA")</f>
        <v>7900.7059999999983</v>
      </c>
    </row>
    <row r="1541" spans="1:5" x14ac:dyDescent="0.3">
      <c r="A1541" s="9">
        <v>44624</v>
      </c>
      <c r="B1541" s="10" t="s">
        <v>8</v>
      </c>
      <c r="C1541" s="10" t="s">
        <v>28</v>
      </c>
      <c r="D1541" s="12">
        <v>299.20999999999998</v>
      </c>
      <c r="E1541" s="12">
        <f>SUMIF('Parametros Inventario'!$A:$A,B1541,'Parametros Inventario'!$B:$B)+SUMIFS(D$2:D1541,B$2:B1541,B1541,C$2:C1541,"ENTRADA")-SUMIFS(D$2:D1541,B$2:B1541,B1541,C$2:C1541,"SALIDA")</f>
        <v>6520.9520000000011</v>
      </c>
    </row>
    <row r="1542" spans="1:5" x14ac:dyDescent="0.3">
      <c r="A1542" s="9">
        <f>'Volúmenes DIstribuidos '!B993</f>
        <v>44624</v>
      </c>
      <c r="B1542" s="10" t="str">
        <f>IF(OR('Volúmenes DIstribuidos '!C993="Azúcar",'Volúmenes DIstribuidos '!C993="azúcar"),"Azúcar o dulce",IF('Volúmenes DIstribuidos '!C993="Aceite","Aceite o grasas",IF('Volúmenes DIstribuidos '!C993="Avena","Otros almidones",'Volúmenes DIstribuidos '!C993)))</f>
        <v>Vegetales y hojas</v>
      </c>
      <c r="C1542" s="10" t="s">
        <v>29</v>
      </c>
      <c r="D1542" s="12">
        <f>'Volúmenes DIstribuidos '!D993</f>
        <v>18.84</v>
      </c>
      <c r="E1542" s="12">
        <f>SUMIF('Parametros Inventario'!$A:$A,B1542,'Parametros Inventario'!$B:$B)+SUMIFS(D$2:D1542,B$2:B1542,B1542,C$2:C1542,"ENTRADA")-SUMIFS(D$2:D1542,B$2:B1542,B1542,C$2:C1542,"SALIDA")</f>
        <v>7881.8659999999982</v>
      </c>
    </row>
    <row r="1543" spans="1:5" x14ac:dyDescent="0.3">
      <c r="A1543" s="9">
        <f>'Volúmenes DIstribuidos '!B993</f>
        <v>44624</v>
      </c>
      <c r="B1543" s="10" t="str">
        <f>IF(OR('Volúmenes DIstribuidos '!C994="Azúcar",'Volúmenes DIstribuidos '!C994="azúcar"),"Azúcar o dulce",IF('Volúmenes DIstribuidos '!C994="Aceite","Aceite o grasas",IF('Volúmenes DIstribuidos '!C994="Avena","Otros almidones",'Volúmenes DIstribuidos '!C994)))</f>
        <v>Fideo</v>
      </c>
      <c r="C1543" s="10" t="s">
        <v>29</v>
      </c>
      <c r="D1543" s="12">
        <f>'Volúmenes DIstribuidos '!D994</f>
        <v>9.1270000000000007</v>
      </c>
      <c r="E1543" s="12">
        <f>SUMIF('Parametros Inventario'!$A:$A,B1543,'Parametros Inventario'!$B:$B)+SUMIFS(D$2:D1543,B$2:B1543,B1543,C$2:C1543,"ENTRADA")-SUMIFS(D$2:D1543,B$2:B1543,B1543,C$2:C1543,"SALIDA")</f>
        <v>7572.4940000000006</v>
      </c>
    </row>
    <row r="1544" spans="1:5" x14ac:dyDescent="0.3">
      <c r="A1544" s="9">
        <f>'Volúmenes DIstribuidos '!B993</f>
        <v>44624</v>
      </c>
      <c r="B1544" s="10" t="str">
        <f>IF(OR('Volúmenes DIstribuidos '!C995="Azúcar",'Volúmenes DIstribuidos '!C995="azúcar"),"Azúcar o dulce",IF('Volúmenes DIstribuidos '!C995="Aceite","Aceite o grasas",IF('Volúmenes DIstribuidos '!C995="Avena","Otros almidones",'Volúmenes DIstribuidos '!C995)))</f>
        <v>Menestras</v>
      </c>
      <c r="C1544" s="10" t="s">
        <v>29</v>
      </c>
      <c r="D1544" s="12">
        <f>'Volúmenes DIstribuidos '!D995</f>
        <v>4.5199999999999996</v>
      </c>
      <c r="E1544" s="12">
        <f>SUMIF('Parametros Inventario'!$A:$A,B1544,'Parametros Inventario'!$B:$B)+SUMIFS(D$2:D1544,B$2:B1544,B1544,C$2:C1544,"ENTRADA")-SUMIFS(D$2:D1544,B$2:B1544,B1544,C$2:C1544,"SALIDA")</f>
        <v>7115.4900000000016</v>
      </c>
    </row>
    <row r="1545" spans="1:5" x14ac:dyDescent="0.3">
      <c r="A1545" s="9">
        <f>'Volúmenes DIstribuidos '!B993</f>
        <v>44624</v>
      </c>
      <c r="B1545" s="10" t="str">
        <f>IF(OR('Volúmenes DIstribuidos '!C996="Azúcar",'Volúmenes DIstribuidos '!C996="azúcar"),"Azúcar o dulce",IF('Volúmenes DIstribuidos '!C996="Aceite","Aceite o grasas",IF('Volúmenes DIstribuidos '!C996="Avena","Otros almidones",'Volúmenes DIstribuidos '!C996)))</f>
        <v>Lácteos</v>
      </c>
      <c r="C1545" s="10" t="s">
        <v>29</v>
      </c>
      <c r="D1545" s="12">
        <f>'Volúmenes DIstribuidos '!D996</f>
        <v>5.94</v>
      </c>
      <c r="E1545" s="12">
        <f>SUMIF('Parametros Inventario'!$A:$A,B1545,'Parametros Inventario'!$B:$B)+SUMIFS(D$2:D1545,B$2:B1545,B1545,C$2:C1545,"ENTRADA")-SUMIFS(D$2:D1545,B$2:B1545,B1545,C$2:C1545,"SALIDA")</f>
        <v>6363.5689999999995</v>
      </c>
    </row>
    <row r="1546" spans="1:5" x14ac:dyDescent="0.3">
      <c r="A1546" s="9">
        <f>'Volúmenes DIstribuidos '!B993</f>
        <v>44624</v>
      </c>
      <c r="B1546" s="10" t="str">
        <f>IF(OR('Volúmenes DIstribuidos '!C997="Azúcar",'Volúmenes DIstribuidos '!C997="azúcar"),"Azúcar o dulce",IF('Volúmenes DIstribuidos '!C997="Aceite","Aceite o grasas",IF('Volúmenes DIstribuidos '!C997="Avena","Otros almidones",'Volúmenes DIstribuidos '!C997)))</f>
        <v>Vegetales y hojas</v>
      </c>
      <c r="C1546" s="10" t="s">
        <v>29</v>
      </c>
      <c r="D1546" s="12">
        <f>'Volúmenes DIstribuidos '!D997</f>
        <v>7.32</v>
      </c>
      <c r="E1546" s="12">
        <f>SUMIF('Parametros Inventario'!$A:$A,B1546,'Parametros Inventario'!$B:$B)+SUMIFS(D$2:D1546,B$2:B1546,B1546,C$2:C1546,"ENTRADA")-SUMIFS(D$2:D1546,B$2:B1546,B1546,C$2:C1546,"SALIDA")</f>
        <v>7874.5459999999985</v>
      </c>
    </row>
    <row r="1547" spans="1:5" x14ac:dyDescent="0.3">
      <c r="A1547" s="9">
        <f>'Volúmenes DIstribuidos '!B993</f>
        <v>44624</v>
      </c>
      <c r="B1547" s="10" t="str">
        <f>IF(OR('Volúmenes DIstribuidos '!C998="Azúcar",'Volúmenes DIstribuidos '!C998="azúcar"),"Azúcar o dulce",IF('Volúmenes DIstribuidos '!C998="Aceite","Aceite o grasas",IF('Volúmenes DIstribuidos '!C998="Avena","Otros almidones",'Volúmenes DIstribuidos '!C998)))</f>
        <v>Salsas</v>
      </c>
      <c r="C1547" s="10" t="s">
        <v>29</v>
      </c>
      <c r="D1547" s="12">
        <f>'Volúmenes DIstribuidos '!D998</f>
        <v>14.608000000000001</v>
      </c>
      <c r="E1547" s="12">
        <f>SUMIF('Parametros Inventario'!$A:$A,B1547,'Parametros Inventario'!$B:$B)+SUMIFS(D$2:D1547,B$2:B1547,B1547,C$2:C1547,"ENTRADA")-SUMIFS(D$2:D1547,B$2:B1547,B1547,C$2:C1547,"SALIDA")</f>
        <v>7185.2049999999963</v>
      </c>
    </row>
    <row r="1548" spans="1:5" x14ac:dyDescent="0.3">
      <c r="A1548" s="9">
        <v>44628</v>
      </c>
      <c r="B1548" s="10" t="s">
        <v>13</v>
      </c>
      <c r="C1548" s="10" t="s">
        <v>28</v>
      </c>
      <c r="D1548" s="12">
        <v>286.45</v>
      </c>
      <c r="E1548" s="12">
        <f>SUMIF('Parametros Inventario'!$A:$A,B1548,'Parametros Inventario'!$B:$B)+SUMIFS(D$2:D1548,B$2:B1548,B1548,C$2:C1548,"ENTRADA")-SUMIFS(D$2:D1548,B$2:B1548,B1548,C$2:C1548,"SALIDA")</f>
        <v>7908.0320000000029</v>
      </c>
    </row>
    <row r="1549" spans="1:5" x14ac:dyDescent="0.3">
      <c r="A1549" s="9">
        <v>44628</v>
      </c>
      <c r="B1549" s="10" t="s">
        <v>15</v>
      </c>
      <c r="C1549" s="10" t="s">
        <v>28</v>
      </c>
      <c r="D1549" s="12">
        <v>255.47</v>
      </c>
      <c r="E1549" s="12">
        <f>SUMIF('Parametros Inventario'!$A:$A,B1549,'Parametros Inventario'!$B:$B)+SUMIFS(D$2:D1549,B$2:B1549,B1549,C$2:C1549,"ENTRADA")-SUMIFS(D$2:D1549,B$2:B1549,B1549,C$2:C1549,"SALIDA")</f>
        <v>7095.9519999999984</v>
      </c>
    </row>
    <row r="1550" spans="1:5" x14ac:dyDescent="0.3">
      <c r="A1550" s="9">
        <v>44628</v>
      </c>
      <c r="B1550" s="10" t="s">
        <v>11</v>
      </c>
      <c r="C1550" s="10" t="s">
        <v>28</v>
      </c>
      <c r="D1550" s="12">
        <v>239.45</v>
      </c>
      <c r="E1550" s="12">
        <f>SUMIF('Parametros Inventario'!$A:$A,B1550,'Parametros Inventario'!$B:$B)+SUMIFS(D$2:D1550,B$2:B1550,B1550,C$2:C1550,"ENTRADA")-SUMIFS(D$2:D1550,B$2:B1550,B1550,C$2:C1550,"SALIDA")</f>
        <v>7811.9440000000013</v>
      </c>
    </row>
    <row r="1551" spans="1:5" x14ac:dyDescent="0.3">
      <c r="A1551" s="9">
        <v>44628</v>
      </c>
      <c r="B1551" s="10" t="s">
        <v>9</v>
      </c>
      <c r="C1551" s="10" t="s">
        <v>28</v>
      </c>
      <c r="D1551" s="12">
        <v>52.97</v>
      </c>
      <c r="E1551" s="12">
        <f>SUMIF('Parametros Inventario'!$A:$A,B1551,'Parametros Inventario'!$B:$B)+SUMIFS(D$2:D1551,B$2:B1551,B1551,C$2:C1551,"ENTRADA")-SUMIFS(D$2:D1551,B$2:B1551,B1551,C$2:C1551,"SALIDA")</f>
        <v>5347.916000000002</v>
      </c>
    </row>
    <row r="1552" spans="1:5" x14ac:dyDescent="0.3">
      <c r="A1552" s="9">
        <v>44628</v>
      </c>
      <c r="B1552" s="10" t="s">
        <v>14</v>
      </c>
      <c r="C1552" s="10" t="s">
        <v>28</v>
      </c>
      <c r="D1552" s="12">
        <v>213.52</v>
      </c>
      <c r="E1552" s="12">
        <f>SUMIF('Parametros Inventario'!$A:$A,B1552,'Parametros Inventario'!$B:$B)+SUMIFS(D$2:D1552,B$2:B1552,B1552,C$2:C1552,"ENTRADA")-SUMIFS(D$2:D1552,B$2:B1552,B1552,C$2:C1552,"SALIDA")</f>
        <v>7329.010000000002</v>
      </c>
    </row>
    <row r="1553" spans="1:5" x14ac:dyDescent="0.3">
      <c r="A1553" s="9">
        <v>44628</v>
      </c>
      <c r="B1553" s="10" t="s">
        <v>12</v>
      </c>
      <c r="C1553" s="10" t="s">
        <v>28</v>
      </c>
      <c r="D1553" s="12">
        <v>297.32</v>
      </c>
      <c r="E1553" s="12">
        <f>SUMIF('Parametros Inventario'!$A:$A,B1553,'Parametros Inventario'!$B:$B)+SUMIFS(D$2:D1553,B$2:B1553,B1553,C$2:C1553,"ENTRADA")-SUMIFS(D$2:D1553,B$2:B1553,B1553,C$2:C1553,"SALIDA")</f>
        <v>7332.0040000000017</v>
      </c>
    </row>
    <row r="1554" spans="1:5" x14ac:dyDescent="0.3">
      <c r="A1554" s="9">
        <v>44628</v>
      </c>
      <c r="B1554" s="10" t="s">
        <v>16</v>
      </c>
      <c r="C1554" s="10" t="s">
        <v>28</v>
      </c>
      <c r="D1554" s="12">
        <v>287.87</v>
      </c>
      <c r="E1554" s="12">
        <f>SUMIF('Parametros Inventario'!$A:$A,B1554,'Parametros Inventario'!$B:$B)+SUMIFS(D$2:D1554,B$2:B1554,B1554,C$2:C1554,"ENTRADA")-SUMIFS(D$2:D1554,B$2:B1554,B1554,C$2:C1554,"SALIDA")</f>
        <v>7851.8920000000026</v>
      </c>
    </row>
    <row r="1555" spans="1:5" x14ac:dyDescent="0.3">
      <c r="A1555" s="9">
        <v>44628</v>
      </c>
      <c r="B1555" s="10" t="s">
        <v>17</v>
      </c>
      <c r="C1555" s="10" t="s">
        <v>28</v>
      </c>
      <c r="D1555" s="12">
        <v>266.37</v>
      </c>
      <c r="E1555" s="12">
        <f>SUMIF('Parametros Inventario'!$A:$A,B1555,'Parametros Inventario'!$B:$B)+SUMIFS(D$2:D1555,B$2:B1555,B1555,C$2:C1555,"ENTRADA")-SUMIFS(D$2:D1555,B$2:B1555,B1555,C$2:C1555,"SALIDA")</f>
        <v>6629.9390000000003</v>
      </c>
    </row>
    <row r="1556" spans="1:5" x14ac:dyDescent="0.3">
      <c r="A1556" s="9">
        <v>44628</v>
      </c>
      <c r="B1556" s="10" t="s">
        <v>18</v>
      </c>
      <c r="C1556" s="10" t="s">
        <v>28</v>
      </c>
      <c r="D1556" s="12">
        <v>106.89</v>
      </c>
      <c r="E1556" s="12">
        <f>SUMIF('Parametros Inventario'!$A:$A,B1556,'Parametros Inventario'!$B:$B)+SUMIFS(D$2:D1556,B$2:B1556,B1556,C$2:C1556,"ENTRADA")-SUMIFS(D$2:D1556,B$2:B1556,B1556,C$2:C1556,"SALIDA")</f>
        <v>7292.0949999999957</v>
      </c>
    </row>
    <row r="1557" spans="1:5" x14ac:dyDescent="0.3">
      <c r="A1557" s="9">
        <v>44628</v>
      </c>
      <c r="B1557" s="10" t="s">
        <v>10</v>
      </c>
      <c r="C1557" s="10" t="s">
        <v>28</v>
      </c>
      <c r="D1557" s="12">
        <v>230.83</v>
      </c>
      <c r="E1557" s="12">
        <f>SUMIF('Parametros Inventario'!$A:$A,B1557,'Parametros Inventario'!$B:$B)+SUMIFS(D$2:D1557,B$2:B1557,B1557,C$2:C1557,"ENTRADA")-SUMIFS(D$2:D1557,B$2:B1557,B1557,C$2:C1557,"SALIDA")</f>
        <v>8105.3759999999984</v>
      </c>
    </row>
    <row r="1558" spans="1:5" x14ac:dyDescent="0.3">
      <c r="A1558" s="9">
        <f>'Volúmenes DIstribuidos '!B999</f>
        <v>44628</v>
      </c>
      <c r="B1558" s="10" t="str">
        <f>IF(OR('Volúmenes DIstribuidos '!C999="Azúcar",'Volúmenes DIstribuidos '!C999="azúcar"),"Azúcar o dulce",IF('Volúmenes DIstribuidos '!C999="Aceite","Aceite o grasas",IF('Volúmenes DIstribuidos '!C999="Avena","Otros almidones",'Volúmenes DIstribuidos '!C999)))</f>
        <v>Carnes blancas</v>
      </c>
      <c r="C1558" s="10" t="s">
        <v>29</v>
      </c>
      <c r="D1558" s="12">
        <f>'Volúmenes DIstribuidos '!D999</f>
        <v>8.14</v>
      </c>
      <c r="E1558" s="12">
        <f>SUMIF('Parametros Inventario'!$A:$A,B1558,'Parametros Inventario'!$B:$B)+SUMIFS(D$2:D1558,B$2:B1558,B1558,C$2:C1558,"ENTRADA")-SUMIFS(D$2:D1558,B$2:B1558,B1558,C$2:C1558,"SALIDA")</f>
        <v>7843.7520000000022</v>
      </c>
    </row>
    <row r="1559" spans="1:5" x14ac:dyDescent="0.3">
      <c r="A1559" s="9">
        <f>'Volúmenes DIstribuidos '!B999</f>
        <v>44628</v>
      </c>
      <c r="B1559" s="10" t="str">
        <f>IF(OR('Volúmenes DIstribuidos '!C1000="Azúcar",'Volúmenes DIstribuidos '!C1000="azúcar"),"Azúcar o dulce",IF('Volúmenes DIstribuidos '!C1000="Aceite","Aceite o grasas",IF('Volúmenes DIstribuidos '!C1000="Avena","Otros almidones",'Volúmenes DIstribuidos '!C1000)))</f>
        <v>Lácteos</v>
      </c>
      <c r="C1559" s="10" t="s">
        <v>29</v>
      </c>
      <c r="D1559" s="12">
        <f>'Volúmenes DIstribuidos '!D1000</f>
        <v>10.039999999999999</v>
      </c>
      <c r="E1559" s="12">
        <f>SUMIF('Parametros Inventario'!$A:$A,B1559,'Parametros Inventario'!$B:$B)+SUMIFS(D$2:D1559,B$2:B1559,B1559,C$2:C1559,"ENTRADA")-SUMIFS(D$2:D1559,B$2:B1559,B1559,C$2:C1559,"SALIDA")</f>
        <v>6619.8989999999994</v>
      </c>
    </row>
    <row r="1560" spans="1:5" x14ac:dyDescent="0.3">
      <c r="A1560" s="9">
        <f>'Volúmenes DIstribuidos '!B999</f>
        <v>44628</v>
      </c>
      <c r="B1560" s="10" t="str">
        <f>IF(OR('Volúmenes DIstribuidos '!C1001="Azúcar",'Volúmenes DIstribuidos '!C1001="azúcar"),"Azúcar o dulce",IF('Volúmenes DIstribuidos '!C1001="Aceite","Aceite o grasas",IF('Volúmenes DIstribuidos '!C1001="Avena","Otros almidones",'Volúmenes DIstribuidos '!C1001)))</f>
        <v>Aceite o grasas</v>
      </c>
      <c r="C1560" s="10" t="s">
        <v>29</v>
      </c>
      <c r="D1560" s="12">
        <f>'Volúmenes DIstribuidos '!D1001</f>
        <v>28.94</v>
      </c>
      <c r="E1560" s="12">
        <f>SUMIF('Parametros Inventario'!$A:$A,B1560,'Parametros Inventario'!$B:$B)+SUMIFS(D$2:D1560,B$2:B1560,B1560,C$2:C1560,"ENTRADA")-SUMIFS(D$2:D1560,B$2:B1560,B1560,C$2:C1560,"SALIDA")</f>
        <v>6492.0120000000006</v>
      </c>
    </row>
    <row r="1561" spans="1:5" x14ac:dyDescent="0.3">
      <c r="A1561" s="9">
        <f>'Volúmenes DIstribuidos '!B999</f>
        <v>44628</v>
      </c>
      <c r="B1561" s="10" t="str">
        <f>IF(OR('Volúmenes DIstribuidos '!C1002="Azúcar",'Volúmenes DIstribuidos '!C1002="azúcar"),"Azúcar o dulce",IF('Volúmenes DIstribuidos '!C1002="Aceite","Aceite o grasas",IF('Volúmenes DIstribuidos '!C1002="Avena","Otros almidones",'Volúmenes DIstribuidos '!C1002)))</f>
        <v>Fideo</v>
      </c>
      <c r="C1561" s="10" t="s">
        <v>29</v>
      </c>
      <c r="D1561" s="12">
        <f>'Volúmenes DIstribuidos '!D1002</f>
        <v>8.8699999999999992</v>
      </c>
      <c r="E1561" s="12">
        <f>SUMIF('Parametros Inventario'!$A:$A,B1561,'Parametros Inventario'!$B:$B)+SUMIFS(D$2:D1561,B$2:B1561,B1561,C$2:C1561,"ENTRADA")-SUMIFS(D$2:D1561,B$2:B1561,B1561,C$2:C1561,"SALIDA")</f>
        <v>7803.0740000000014</v>
      </c>
    </row>
    <row r="1562" spans="1:5" x14ac:dyDescent="0.3">
      <c r="A1562" s="9">
        <f>'Volúmenes DIstribuidos '!B999</f>
        <v>44628</v>
      </c>
      <c r="B1562" s="10" t="str">
        <f>IF(OR('Volúmenes DIstribuidos '!C1003="Azúcar",'Volúmenes DIstribuidos '!C1003="azúcar"),"Azúcar o dulce",IF('Volúmenes DIstribuidos '!C1003="Aceite","Aceite o grasas",IF('Volúmenes DIstribuidos '!C1003="Avena","Otros almidones",'Volúmenes DIstribuidos '!C1003)))</f>
        <v>Salsas</v>
      </c>
      <c r="C1562" s="10" t="s">
        <v>29</v>
      </c>
      <c r="D1562" s="12">
        <f>'Volúmenes DIstribuidos '!D1003</f>
        <v>17.863</v>
      </c>
      <c r="E1562" s="12">
        <f>SUMIF('Parametros Inventario'!$A:$A,B1562,'Parametros Inventario'!$B:$B)+SUMIFS(D$2:D1562,B$2:B1562,B1562,C$2:C1562,"ENTRADA")-SUMIFS(D$2:D1562,B$2:B1562,B1562,C$2:C1562,"SALIDA")</f>
        <v>7274.2319999999963</v>
      </c>
    </row>
    <row r="1563" spans="1:5" x14ac:dyDescent="0.3">
      <c r="A1563" s="9">
        <f>'Volúmenes DIstribuidos '!B999</f>
        <v>44628</v>
      </c>
      <c r="B1563" s="10" t="str">
        <f>IF(OR('Volúmenes DIstribuidos '!C1004="Azúcar",'Volúmenes DIstribuidos '!C1004="azúcar"),"Azúcar o dulce",IF('Volúmenes DIstribuidos '!C1004="Aceite","Aceite o grasas",IF('Volúmenes DIstribuidos '!C1004="Avena","Otros almidones",'Volúmenes DIstribuidos '!C1004)))</f>
        <v>Menestras</v>
      </c>
      <c r="C1563" s="10" t="s">
        <v>29</v>
      </c>
      <c r="D1563" s="12">
        <f>'Volúmenes DIstribuidos '!D1004</f>
        <v>9.76</v>
      </c>
      <c r="E1563" s="12">
        <f>SUMIF('Parametros Inventario'!$A:$A,B1563,'Parametros Inventario'!$B:$B)+SUMIFS(D$2:D1563,B$2:B1563,B1563,C$2:C1563,"ENTRADA")-SUMIFS(D$2:D1563,B$2:B1563,B1563,C$2:C1563,"SALIDA")</f>
        <v>7319.2500000000018</v>
      </c>
    </row>
    <row r="1564" spans="1:5" x14ac:dyDescent="0.3">
      <c r="A1564" s="9">
        <v>44631</v>
      </c>
      <c r="B1564" s="10" t="s">
        <v>8</v>
      </c>
      <c r="C1564" s="10" t="s">
        <v>28</v>
      </c>
      <c r="D1564" s="12">
        <v>102.47</v>
      </c>
      <c r="E1564" s="12">
        <f>SUMIF('Parametros Inventario'!$A:$A,B1564,'Parametros Inventario'!$B:$B)+SUMIFS(D$2:D1564,B$2:B1564,B1564,C$2:C1564,"ENTRADA")-SUMIFS(D$2:D1564,B$2:B1564,B1564,C$2:C1564,"SALIDA")</f>
        <v>6594.482</v>
      </c>
    </row>
    <row r="1565" spans="1:5" x14ac:dyDescent="0.3">
      <c r="A1565" s="9">
        <v>44631</v>
      </c>
      <c r="B1565" s="10" t="s">
        <v>13</v>
      </c>
      <c r="C1565" s="10" t="s">
        <v>28</v>
      </c>
      <c r="D1565" s="12">
        <v>108.43</v>
      </c>
      <c r="E1565" s="12">
        <f>SUMIF('Parametros Inventario'!$A:$A,B1565,'Parametros Inventario'!$B:$B)+SUMIFS(D$2:D1565,B$2:B1565,B1565,C$2:C1565,"ENTRADA")-SUMIFS(D$2:D1565,B$2:B1565,B1565,C$2:C1565,"SALIDA")</f>
        <v>8016.4620000000032</v>
      </c>
    </row>
    <row r="1566" spans="1:5" x14ac:dyDescent="0.3">
      <c r="A1566" s="9">
        <v>44631</v>
      </c>
      <c r="B1566" s="10" t="s">
        <v>15</v>
      </c>
      <c r="C1566" s="10" t="s">
        <v>28</v>
      </c>
      <c r="D1566" s="12">
        <v>196.75</v>
      </c>
      <c r="E1566" s="12">
        <f>SUMIF('Parametros Inventario'!$A:$A,B1566,'Parametros Inventario'!$B:$B)+SUMIFS(D$2:D1566,B$2:B1566,B1566,C$2:C1566,"ENTRADA")-SUMIFS(D$2:D1566,B$2:B1566,B1566,C$2:C1566,"SALIDA")</f>
        <v>7292.7019999999984</v>
      </c>
    </row>
    <row r="1567" spans="1:5" x14ac:dyDescent="0.3">
      <c r="A1567" s="9">
        <v>44631</v>
      </c>
      <c r="B1567" s="10" t="s">
        <v>11</v>
      </c>
      <c r="C1567" s="10" t="s">
        <v>28</v>
      </c>
      <c r="D1567" s="12">
        <v>188.15</v>
      </c>
      <c r="E1567" s="12">
        <f>SUMIF('Parametros Inventario'!$A:$A,B1567,'Parametros Inventario'!$B:$B)+SUMIFS(D$2:D1567,B$2:B1567,B1567,C$2:C1567,"ENTRADA")-SUMIFS(D$2:D1567,B$2:B1567,B1567,C$2:C1567,"SALIDA")</f>
        <v>7991.2240000000011</v>
      </c>
    </row>
    <row r="1568" spans="1:5" x14ac:dyDescent="0.3">
      <c r="A1568" s="9">
        <v>44631</v>
      </c>
      <c r="B1568" s="10" t="s">
        <v>9</v>
      </c>
      <c r="C1568" s="10" t="s">
        <v>28</v>
      </c>
      <c r="D1568" s="12">
        <v>167.18</v>
      </c>
      <c r="E1568" s="12">
        <f>SUMIF('Parametros Inventario'!$A:$A,B1568,'Parametros Inventario'!$B:$B)+SUMIFS(D$2:D1568,B$2:B1568,B1568,C$2:C1568,"ENTRADA")-SUMIFS(D$2:D1568,B$2:B1568,B1568,C$2:C1568,"SALIDA")</f>
        <v>5515.0960000000023</v>
      </c>
    </row>
    <row r="1569" spans="1:5" x14ac:dyDescent="0.3">
      <c r="A1569" s="9">
        <v>44631</v>
      </c>
      <c r="B1569" s="10" t="s">
        <v>14</v>
      </c>
      <c r="C1569" s="10" t="s">
        <v>28</v>
      </c>
      <c r="D1569" s="12">
        <v>253.6</v>
      </c>
      <c r="E1569" s="12">
        <f>SUMIF('Parametros Inventario'!$A:$A,B1569,'Parametros Inventario'!$B:$B)+SUMIFS(D$2:D1569,B$2:B1569,B1569,C$2:C1569,"ENTRADA")-SUMIFS(D$2:D1569,B$2:B1569,B1569,C$2:C1569,"SALIDA")</f>
        <v>7572.8500000000022</v>
      </c>
    </row>
    <row r="1570" spans="1:5" x14ac:dyDescent="0.3">
      <c r="A1570" s="9">
        <v>44631</v>
      </c>
      <c r="B1570" s="10" t="s">
        <v>12</v>
      </c>
      <c r="C1570" s="10" t="s">
        <v>28</v>
      </c>
      <c r="D1570" s="12">
        <v>135.16</v>
      </c>
      <c r="E1570" s="12">
        <f>SUMIF('Parametros Inventario'!$A:$A,B1570,'Parametros Inventario'!$B:$B)+SUMIFS(D$2:D1570,B$2:B1570,B1570,C$2:C1570,"ENTRADA")-SUMIFS(D$2:D1570,B$2:B1570,B1570,C$2:C1570,"SALIDA")</f>
        <v>7467.1640000000016</v>
      </c>
    </row>
    <row r="1571" spans="1:5" x14ac:dyDescent="0.3">
      <c r="A1571" s="9">
        <f>'Volúmenes DIstribuidos '!B1005</f>
        <v>44631</v>
      </c>
      <c r="B1571" s="10" t="str">
        <f>IF(OR('Volúmenes DIstribuidos '!C1005="Azúcar",'Volúmenes DIstribuidos '!C1005="azúcar"),"Azúcar o dulce",IF('Volúmenes DIstribuidos '!C1005="Aceite","Aceite o grasas",IF('Volúmenes DIstribuidos '!C1005="Avena","Otros almidones",'Volúmenes DIstribuidos '!C1005)))</f>
        <v>Salsas</v>
      </c>
      <c r="C1571" s="10" t="s">
        <v>29</v>
      </c>
      <c r="D1571" s="12">
        <f>'Volúmenes DIstribuidos '!D1005</f>
        <v>23.93</v>
      </c>
      <c r="E1571" s="12">
        <f>SUMIF('Parametros Inventario'!$A:$A,B1571,'Parametros Inventario'!$B:$B)+SUMIFS(D$2:D1571,B$2:B1571,B1571,C$2:C1571,"ENTRADA")-SUMIFS(D$2:D1571,B$2:B1571,B1571,C$2:C1571,"SALIDA")</f>
        <v>7250.301999999996</v>
      </c>
    </row>
    <row r="1572" spans="1:5" x14ac:dyDescent="0.3">
      <c r="A1572" s="9">
        <f>'Volúmenes DIstribuidos '!B1005</f>
        <v>44631</v>
      </c>
      <c r="B1572" s="10" t="str">
        <f>IF(OR('Volúmenes DIstribuidos '!C1006="Azúcar",'Volúmenes DIstribuidos '!C1006="azúcar"),"Azúcar o dulce",IF('Volúmenes DIstribuidos '!C1006="Aceite","Aceite o grasas",IF('Volúmenes DIstribuidos '!C1006="Avena","Otros almidones",'Volúmenes DIstribuidos '!C1006)))</f>
        <v>Azúcar o dulce</v>
      </c>
      <c r="C1572" s="10" t="s">
        <v>29</v>
      </c>
      <c r="D1572" s="12">
        <f>'Volúmenes DIstribuidos '!D1006</f>
        <v>5.48</v>
      </c>
      <c r="E1572" s="12">
        <f>SUMIF('Parametros Inventario'!$A:$A,B1572,'Parametros Inventario'!$B:$B)+SUMIFS(D$2:D1572,B$2:B1572,B1572,C$2:C1572,"ENTRADA")-SUMIFS(D$2:D1572,B$2:B1572,B1572,C$2:C1572,"SALIDA")</f>
        <v>8010.9820000000027</v>
      </c>
    </row>
    <row r="1573" spans="1:5" x14ac:dyDescent="0.3">
      <c r="A1573" s="9">
        <f>'Volúmenes DIstribuidos '!B1005</f>
        <v>44631</v>
      </c>
      <c r="B1573" s="10" t="str">
        <f>IF(OR('Volúmenes DIstribuidos '!C1007="Azúcar",'Volúmenes DIstribuidos '!C1007="azúcar"),"Azúcar o dulce",IF('Volúmenes DIstribuidos '!C1007="Aceite","Aceite o grasas",IF('Volúmenes DIstribuidos '!C1007="Avena","Otros almidones",'Volúmenes DIstribuidos '!C1007)))</f>
        <v>Lácteos</v>
      </c>
      <c r="C1573" s="10" t="s">
        <v>29</v>
      </c>
      <c r="D1573" s="12">
        <f>'Volúmenes DIstribuidos '!D1007</f>
        <v>32.32</v>
      </c>
      <c r="E1573" s="12">
        <f>SUMIF('Parametros Inventario'!$A:$A,B1573,'Parametros Inventario'!$B:$B)+SUMIFS(D$2:D1573,B$2:B1573,B1573,C$2:C1573,"ENTRADA")-SUMIFS(D$2:D1573,B$2:B1573,B1573,C$2:C1573,"SALIDA")</f>
        <v>6587.5789999999997</v>
      </c>
    </row>
    <row r="1574" spans="1:5" x14ac:dyDescent="0.3">
      <c r="A1574" s="9">
        <f>'Volúmenes DIstribuidos '!B1005</f>
        <v>44631</v>
      </c>
      <c r="B1574" s="10" t="str">
        <f>IF(OR('Volúmenes DIstribuidos '!C1008="Azúcar",'Volúmenes DIstribuidos '!C1008="azúcar"),"Azúcar o dulce",IF('Volúmenes DIstribuidos '!C1008="Aceite","Aceite o grasas",IF('Volúmenes DIstribuidos '!C1008="Avena","Otros almidones",'Volúmenes DIstribuidos '!C1008)))</f>
        <v>Panadería</v>
      </c>
      <c r="C1574" s="10" t="s">
        <v>29</v>
      </c>
      <c r="D1574" s="12">
        <f>'Volúmenes DIstribuidos '!D1008</f>
        <v>58.28</v>
      </c>
      <c r="E1574" s="12">
        <f>SUMIF('Parametros Inventario'!$A:$A,B1574,'Parametros Inventario'!$B:$B)+SUMIFS(D$2:D1574,B$2:B1574,B1574,C$2:C1574,"ENTRADA")-SUMIFS(D$2:D1574,B$2:B1574,B1574,C$2:C1574,"SALIDA")</f>
        <v>5456.8160000000025</v>
      </c>
    </row>
    <row r="1575" spans="1:5" x14ac:dyDescent="0.3">
      <c r="A1575" s="9">
        <f>'Volúmenes DIstribuidos '!B1005</f>
        <v>44631</v>
      </c>
      <c r="B1575" s="10" t="str">
        <f>IF(OR('Volúmenes DIstribuidos '!C1009="Azúcar",'Volúmenes DIstribuidos '!C1009="azúcar"),"Azúcar o dulce",IF('Volúmenes DIstribuidos '!C1009="Aceite","Aceite o grasas",IF('Volúmenes DIstribuidos '!C1009="Avena","Otros almidones",'Volúmenes DIstribuidos '!C1009)))</f>
        <v>Otros almidones</v>
      </c>
      <c r="C1575" s="10" t="s">
        <v>29</v>
      </c>
      <c r="D1575" s="12">
        <f>'Volúmenes DIstribuidos '!D1009</f>
        <v>27.91</v>
      </c>
      <c r="E1575" s="12">
        <f>SUMIF('Parametros Inventario'!$A:$A,B1575,'Parametros Inventario'!$B:$B)+SUMIFS(D$2:D1575,B$2:B1575,B1575,C$2:C1575,"ENTRADA")-SUMIFS(D$2:D1575,B$2:B1575,B1575,C$2:C1575,"SALIDA")</f>
        <v>7264.7919999999986</v>
      </c>
    </row>
    <row r="1576" spans="1:5" x14ac:dyDescent="0.3">
      <c r="A1576" s="9">
        <f>'Volúmenes DIstribuidos '!B1005</f>
        <v>44631</v>
      </c>
      <c r="B1576" s="10" t="str">
        <f>IF(OR('Volúmenes DIstribuidos '!C1010="Azúcar",'Volúmenes DIstribuidos '!C1010="azúcar"),"Azúcar o dulce",IF('Volúmenes DIstribuidos '!C1010="Aceite","Aceite o grasas",IF('Volúmenes DIstribuidos '!C1010="Avena","Otros almidones",'Volúmenes DIstribuidos '!C1010)))</f>
        <v>Salsas</v>
      </c>
      <c r="C1576" s="10" t="s">
        <v>29</v>
      </c>
      <c r="D1576" s="12">
        <f>'Volúmenes DIstribuidos '!D1010</f>
        <v>15.03</v>
      </c>
      <c r="E1576" s="12">
        <f>SUMIF('Parametros Inventario'!$A:$A,B1576,'Parametros Inventario'!$B:$B)+SUMIFS(D$2:D1576,B$2:B1576,B1576,C$2:C1576,"ENTRADA")-SUMIFS(D$2:D1576,B$2:B1576,B1576,C$2:C1576,"SALIDA")</f>
        <v>7235.2719999999963</v>
      </c>
    </row>
    <row r="1577" spans="1:5" x14ac:dyDescent="0.3">
      <c r="A1577" s="9">
        <f>'Volúmenes DIstribuidos '!B1011</f>
        <v>44635</v>
      </c>
      <c r="B1577" s="10" t="str">
        <f>IF(OR('Volúmenes DIstribuidos '!C1011="Azúcar",'Volúmenes DIstribuidos '!C1011="azúcar"),"Azúcar o dulce",IF('Volúmenes DIstribuidos '!C1011="Aceite","Aceite o grasas",IF('Volúmenes DIstribuidos '!C1011="Avena","Otros almidones",'Volúmenes DIstribuidos '!C1011)))</f>
        <v>Carnes blancas</v>
      </c>
      <c r="C1577" s="10" t="s">
        <v>29</v>
      </c>
      <c r="D1577" s="12">
        <f>'Volúmenes DIstribuidos '!D1011</f>
        <v>62.17</v>
      </c>
      <c r="E1577" s="12">
        <f>SUMIF('Parametros Inventario'!$A:$A,B1577,'Parametros Inventario'!$B:$B)+SUMIFS(D$2:D1577,B$2:B1577,B1577,C$2:C1577,"ENTRADA")-SUMIFS(D$2:D1577,B$2:B1577,B1577,C$2:C1577,"SALIDA")</f>
        <v>7781.5820000000022</v>
      </c>
    </row>
    <row r="1578" spans="1:5" x14ac:dyDescent="0.3">
      <c r="A1578" s="9">
        <f>'Volúmenes DIstribuidos '!B1011</f>
        <v>44635</v>
      </c>
      <c r="B1578" s="10" t="str">
        <f>IF(OR('Volúmenes DIstribuidos '!C1012="Azúcar",'Volúmenes DIstribuidos '!C1012="azúcar"),"Azúcar o dulce",IF('Volúmenes DIstribuidos '!C1012="Aceite","Aceite o grasas",IF('Volúmenes DIstribuidos '!C1012="Avena","Otros almidones",'Volúmenes DIstribuidos '!C1012)))</f>
        <v>Azúcar o dulce</v>
      </c>
      <c r="C1578" s="10" t="s">
        <v>29</v>
      </c>
      <c r="D1578" s="12">
        <f>'Volúmenes DIstribuidos '!D1012</f>
        <v>13.647</v>
      </c>
      <c r="E1578" s="12">
        <f>SUMIF('Parametros Inventario'!$A:$A,B1578,'Parametros Inventario'!$B:$B)+SUMIFS(D$2:D1578,B$2:B1578,B1578,C$2:C1578,"ENTRADA")-SUMIFS(D$2:D1578,B$2:B1578,B1578,C$2:C1578,"SALIDA")</f>
        <v>7997.3350000000028</v>
      </c>
    </row>
    <row r="1579" spans="1:5" x14ac:dyDescent="0.3">
      <c r="A1579" s="9">
        <f>'Volúmenes DIstribuidos '!B1011</f>
        <v>44635</v>
      </c>
      <c r="B1579" s="10" t="str">
        <f>IF(OR('Volúmenes DIstribuidos '!C1013="Azúcar",'Volúmenes DIstribuidos '!C1013="azúcar"),"Azúcar o dulce",IF('Volúmenes DIstribuidos '!C1013="Aceite","Aceite o grasas",IF('Volúmenes DIstribuidos '!C1013="Avena","Otros almidones",'Volúmenes DIstribuidos '!C1013)))</f>
        <v>Vegetales y hojas</v>
      </c>
      <c r="C1579" s="10" t="s">
        <v>29</v>
      </c>
      <c r="D1579" s="12">
        <f>'Volúmenes DIstribuidos '!D1013</f>
        <v>14.94</v>
      </c>
      <c r="E1579" s="12">
        <f>SUMIF('Parametros Inventario'!$A:$A,B1579,'Parametros Inventario'!$B:$B)+SUMIFS(D$2:D1579,B$2:B1579,B1579,C$2:C1579,"ENTRADA")-SUMIFS(D$2:D1579,B$2:B1579,B1579,C$2:C1579,"SALIDA")</f>
        <v>8090.4359999999979</v>
      </c>
    </row>
    <row r="1580" spans="1:5" x14ac:dyDescent="0.3">
      <c r="A1580" s="9">
        <f>'Volúmenes DIstribuidos '!B1011</f>
        <v>44635</v>
      </c>
      <c r="B1580" s="10" t="str">
        <f>IF(OR('Volúmenes DIstribuidos '!C1014="Azúcar",'Volúmenes DIstribuidos '!C1014="azúcar"),"Azúcar o dulce",IF('Volúmenes DIstribuidos '!C1014="Aceite","Aceite o grasas",IF('Volúmenes DIstribuidos '!C1014="Avena","Otros almidones",'Volúmenes DIstribuidos '!C1014)))</f>
        <v>Panadería</v>
      </c>
      <c r="C1580" s="10" t="s">
        <v>29</v>
      </c>
      <c r="D1580" s="12">
        <f>'Volúmenes DIstribuidos '!D1014</f>
        <v>6.51</v>
      </c>
      <c r="E1580" s="12">
        <f>SUMIF('Parametros Inventario'!$A:$A,B1580,'Parametros Inventario'!$B:$B)+SUMIFS(D$2:D1580,B$2:B1580,B1580,C$2:C1580,"ENTRADA")-SUMIFS(D$2:D1580,B$2:B1580,B1580,C$2:C1580,"SALIDA")</f>
        <v>5450.3060000000023</v>
      </c>
    </row>
    <row r="1581" spans="1:5" x14ac:dyDescent="0.3">
      <c r="A1581" s="9">
        <f>'Volúmenes DIstribuidos '!B1011</f>
        <v>44635</v>
      </c>
      <c r="B1581" s="10" t="str">
        <f>IF(OR('Volúmenes DIstribuidos '!C1015="Azúcar",'Volúmenes DIstribuidos '!C1015="azúcar"),"Azúcar o dulce",IF('Volúmenes DIstribuidos '!C1015="Aceite","Aceite o grasas",IF('Volúmenes DIstribuidos '!C1015="Avena","Otros almidones",'Volúmenes DIstribuidos '!C1015)))</f>
        <v>Salsas</v>
      </c>
      <c r="C1581" s="10" t="s">
        <v>29</v>
      </c>
      <c r="D1581" s="12">
        <f>'Volúmenes DIstribuidos '!D1015</f>
        <v>8.093</v>
      </c>
      <c r="E1581" s="12">
        <f>SUMIF('Parametros Inventario'!$A:$A,B1581,'Parametros Inventario'!$B:$B)+SUMIFS(D$2:D1581,B$2:B1581,B1581,C$2:C1581,"ENTRADA")-SUMIFS(D$2:D1581,B$2:B1581,B1581,C$2:C1581,"SALIDA")</f>
        <v>7227.1789999999964</v>
      </c>
    </row>
    <row r="1582" spans="1:5" x14ac:dyDescent="0.3">
      <c r="A1582" s="9">
        <f>'Volúmenes DIstribuidos '!B1011</f>
        <v>44635</v>
      </c>
      <c r="B1582" s="10" t="str">
        <f>IF(OR('Volúmenes DIstribuidos '!C1016="Azúcar",'Volúmenes DIstribuidos '!C1016="azúcar"),"Azúcar o dulce",IF('Volúmenes DIstribuidos '!C1016="Aceite","Aceite o grasas",IF('Volúmenes DIstribuidos '!C1016="Avena","Otros almidones",'Volúmenes DIstribuidos '!C1016)))</f>
        <v>Carnes rojas</v>
      </c>
      <c r="C1582" s="10" t="s">
        <v>29</v>
      </c>
      <c r="D1582" s="12">
        <f>'Volúmenes DIstribuidos '!D1016</f>
        <v>24.24</v>
      </c>
      <c r="E1582" s="12">
        <f>SUMIF('Parametros Inventario'!$A:$A,B1582,'Parametros Inventario'!$B:$B)+SUMIFS(D$2:D1582,B$2:B1582,B1582,C$2:C1582,"ENTRADA")-SUMIFS(D$2:D1582,B$2:B1582,B1582,C$2:C1582,"SALIDA")</f>
        <v>7442.9240000000018</v>
      </c>
    </row>
    <row r="1583" spans="1:5" x14ac:dyDescent="0.3">
      <c r="A1583" s="9">
        <f>'Volúmenes DIstribuidos '!B1017</f>
        <v>44638</v>
      </c>
      <c r="B1583" s="10" t="str">
        <f>IF(OR('Volúmenes DIstribuidos '!C1017="Azúcar",'Volúmenes DIstribuidos '!C1017="azúcar"),"Azúcar o dulce",IF('Volúmenes DIstribuidos '!C1017="Aceite","Aceite o grasas",IF('Volúmenes DIstribuidos '!C1017="Avena","Otros almidones",'Volúmenes DIstribuidos '!C1017)))</f>
        <v>Panadería</v>
      </c>
      <c r="C1583" s="10" t="s">
        <v>29</v>
      </c>
      <c r="D1583" s="12">
        <f>'Volúmenes DIstribuidos '!D1017</f>
        <v>3.67</v>
      </c>
      <c r="E1583" s="12">
        <f>SUMIF('Parametros Inventario'!$A:$A,B1583,'Parametros Inventario'!$B:$B)+SUMIFS(D$2:D1583,B$2:B1583,B1583,C$2:C1583,"ENTRADA")-SUMIFS(D$2:D1583,B$2:B1583,B1583,C$2:C1583,"SALIDA")</f>
        <v>5446.6360000000022</v>
      </c>
    </row>
    <row r="1584" spans="1:5" x14ac:dyDescent="0.3">
      <c r="A1584" s="9">
        <f>'Volúmenes DIstribuidos '!B1017</f>
        <v>44638</v>
      </c>
      <c r="B1584" s="10" t="str">
        <f>IF(OR('Volúmenes DIstribuidos '!C1018="Azúcar",'Volúmenes DIstribuidos '!C1018="azúcar"),"Azúcar o dulce",IF('Volúmenes DIstribuidos '!C1018="Aceite","Aceite o grasas",IF('Volúmenes DIstribuidos '!C1018="Avena","Otros almidones",'Volúmenes DIstribuidos '!C1018)))</f>
        <v>Aceite o grasas</v>
      </c>
      <c r="C1584" s="10" t="s">
        <v>29</v>
      </c>
      <c r="D1584" s="12">
        <f>'Volúmenes DIstribuidos '!D1018</f>
        <v>87.165000000000006</v>
      </c>
      <c r="E1584" s="12">
        <f>SUMIF('Parametros Inventario'!$A:$A,B1584,'Parametros Inventario'!$B:$B)+SUMIFS(D$2:D1584,B$2:B1584,B1584,C$2:C1584,"ENTRADA")-SUMIFS(D$2:D1584,B$2:B1584,B1584,C$2:C1584,"SALIDA")</f>
        <v>6507.317</v>
      </c>
    </row>
    <row r="1585" spans="1:5" x14ac:dyDescent="0.3">
      <c r="A1585" s="9">
        <f>'Volúmenes DIstribuidos '!B1017</f>
        <v>44638</v>
      </c>
      <c r="B1585" s="10" t="str">
        <f>IF(OR('Volúmenes DIstribuidos '!C1019="Azúcar",'Volúmenes DIstribuidos '!C1019="azúcar"),"Azúcar o dulce",IF('Volúmenes DIstribuidos '!C1019="Aceite","Aceite o grasas",IF('Volúmenes DIstribuidos '!C1019="Avena","Otros almidones",'Volúmenes DIstribuidos '!C1019)))</f>
        <v>Lácteos</v>
      </c>
      <c r="C1585" s="10" t="s">
        <v>29</v>
      </c>
      <c r="D1585" s="12">
        <f>'Volúmenes DIstribuidos '!D1019</f>
        <v>70</v>
      </c>
      <c r="E1585" s="12">
        <f>SUMIF('Parametros Inventario'!$A:$A,B1585,'Parametros Inventario'!$B:$B)+SUMIFS(D$2:D1585,B$2:B1585,B1585,C$2:C1585,"ENTRADA")-SUMIFS(D$2:D1585,B$2:B1585,B1585,C$2:C1585,"SALIDA")</f>
        <v>6517.5789999999997</v>
      </c>
    </row>
    <row r="1586" spans="1:5" x14ac:dyDescent="0.3">
      <c r="A1586" s="9">
        <f>'Volúmenes DIstribuidos '!B1017</f>
        <v>44638</v>
      </c>
      <c r="B1586" s="10" t="str">
        <f>IF(OR('Volúmenes DIstribuidos '!C1020="Azúcar",'Volúmenes DIstribuidos '!C1020="azúcar"),"Azúcar o dulce",IF('Volúmenes DIstribuidos '!C1020="Aceite","Aceite o grasas",IF('Volúmenes DIstribuidos '!C1020="Avena","Otros almidones",'Volúmenes DIstribuidos '!C1020)))</f>
        <v>Carnes blancas</v>
      </c>
      <c r="C1586" s="10" t="s">
        <v>29</v>
      </c>
      <c r="D1586" s="12">
        <f>'Volúmenes DIstribuidos '!D1020</f>
        <v>78.2</v>
      </c>
      <c r="E1586" s="12">
        <f>SUMIF('Parametros Inventario'!$A:$A,B1586,'Parametros Inventario'!$B:$B)+SUMIFS(D$2:D1586,B$2:B1586,B1586,C$2:C1586,"ENTRADA")-SUMIFS(D$2:D1586,B$2:B1586,B1586,C$2:C1586,"SALIDA")</f>
        <v>7703.3820000000032</v>
      </c>
    </row>
    <row r="1587" spans="1:5" x14ac:dyDescent="0.3">
      <c r="A1587" s="9">
        <f>'Volúmenes DIstribuidos '!B1017</f>
        <v>44638</v>
      </c>
      <c r="B1587" s="10" t="str">
        <f>IF(OR('Volúmenes DIstribuidos '!C1021="Azúcar",'Volúmenes DIstribuidos '!C1021="azúcar"),"Azúcar o dulce",IF('Volúmenes DIstribuidos '!C1021="Aceite","Aceite o grasas",IF('Volúmenes DIstribuidos '!C1021="Avena","Otros almidones",'Volúmenes DIstribuidos '!C1021)))</f>
        <v>Panadería</v>
      </c>
      <c r="C1587" s="10" t="s">
        <v>29</v>
      </c>
      <c r="D1587" s="12">
        <f>'Volúmenes DIstribuidos '!D1021</f>
        <v>69.47</v>
      </c>
      <c r="E1587" s="12">
        <f>SUMIF('Parametros Inventario'!$A:$A,B1587,'Parametros Inventario'!$B:$B)+SUMIFS(D$2:D1587,B$2:B1587,B1587,C$2:C1587,"ENTRADA")-SUMIFS(D$2:D1587,B$2:B1587,B1587,C$2:C1587,"SALIDA")</f>
        <v>5377.166000000002</v>
      </c>
    </row>
    <row r="1588" spans="1:5" x14ac:dyDescent="0.3">
      <c r="A1588" s="9">
        <f>'Volúmenes DIstribuidos '!B1017</f>
        <v>44638</v>
      </c>
      <c r="B1588" s="10" t="str">
        <f>IF(OR('Volúmenes DIstribuidos '!C1022="Azúcar",'Volúmenes DIstribuidos '!C1022="azúcar"),"Azúcar o dulce",IF('Volúmenes DIstribuidos '!C1022="Aceite","Aceite o grasas",IF('Volúmenes DIstribuidos '!C1022="Avena","Otros almidones",'Volúmenes DIstribuidos '!C1022)))</f>
        <v>Carnes rojas</v>
      </c>
      <c r="C1588" s="10" t="s">
        <v>29</v>
      </c>
      <c r="D1588" s="12">
        <f>'Volúmenes DIstribuidos '!D1022</f>
        <v>8.1639999999999997</v>
      </c>
      <c r="E1588" s="12">
        <f>SUMIF('Parametros Inventario'!$A:$A,B1588,'Parametros Inventario'!$B:$B)+SUMIFS(D$2:D1588,B$2:B1588,B1588,C$2:C1588,"ENTRADA")-SUMIFS(D$2:D1588,B$2:B1588,B1588,C$2:C1588,"SALIDA")</f>
        <v>7434.760000000002</v>
      </c>
    </row>
    <row r="1589" spans="1:5" x14ac:dyDescent="0.3">
      <c r="A1589" s="9">
        <f>'Volúmenes DIstribuidos '!B1023</f>
        <v>44642</v>
      </c>
      <c r="B1589" s="10" t="str">
        <f>IF(OR('Volúmenes DIstribuidos '!C1023="Azúcar",'Volúmenes DIstribuidos '!C1023="azúcar"),"Azúcar o dulce",IF('Volúmenes DIstribuidos '!C1023="Aceite","Aceite o grasas",IF('Volúmenes DIstribuidos '!C1023="Avena","Otros almidones",'Volúmenes DIstribuidos '!C1023)))</f>
        <v>Carnes rojas</v>
      </c>
      <c r="C1589" s="10" t="s">
        <v>29</v>
      </c>
      <c r="D1589" s="12">
        <f>'Volúmenes DIstribuidos '!D1023</f>
        <v>10.53</v>
      </c>
      <c r="E1589" s="12">
        <f>SUMIF('Parametros Inventario'!$A:$A,B1589,'Parametros Inventario'!$B:$B)+SUMIFS(D$2:D1589,B$2:B1589,B1589,C$2:C1589,"ENTRADA")-SUMIFS(D$2:D1589,B$2:B1589,B1589,C$2:C1589,"SALIDA")</f>
        <v>7424.2300000000014</v>
      </c>
    </row>
    <row r="1590" spans="1:5" x14ac:dyDescent="0.3">
      <c r="A1590" s="9">
        <f>'Volúmenes DIstribuidos '!B1023</f>
        <v>44642</v>
      </c>
      <c r="B1590" s="10" t="str">
        <f>IF(OR('Volúmenes DIstribuidos '!C1024="Azúcar",'Volúmenes DIstribuidos '!C1024="azúcar"),"Azúcar o dulce",IF('Volúmenes DIstribuidos '!C1024="Aceite","Aceite o grasas",IF('Volúmenes DIstribuidos '!C1024="Avena","Otros almidones",'Volúmenes DIstribuidos '!C1024)))</f>
        <v>Vegetales y hojas</v>
      </c>
      <c r="C1590" s="10" t="s">
        <v>29</v>
      </c>
      <c r="D1590" s="12">
        <f>'Volúmenes DIstribuidos '!D1024</f>
        <v>7.92</v>
      </c>
      <c r="E1590" s="12">
        <f>SUMIF('Parametros Inventario'!$A:$A,B1590,'Parametros Inventario'!$B:$B)+SUMIFS(D$2:D1590,B$2:B1590,B1590,C$2:C1590,"ENTRADA")-SUMIFS(D$2:D1590,B$2:B1590,B1590,C$2:C1590,"SALIDA")</f>
        <v>8082.5159999999978</v>
      </c>
    </row>
    <row r="1591" spans="1:5" x14ac:dyDescent="0.3">
      <c r="A1591" s="9">
        <f>'Volúmenes DIstribuidos '!B1023</f>
        <v>44642</v>
      </c>
      <c r="B1591" s="10" t="str">
        <f>IF(OR('Volúmenes DIstribuidos '!C1025="Azúcar",'Volúmenes DIstribuidos '!C1025="azúcar"),"Azúcar o dulce",IF('Volúmenes DIstribuidos '!C1025="Aceite","Aceite o grasas",IF('Volúmenes DIstribuidos '!C1025="Avena","Otros almidones",'Volúmenes DIstribuidos '!C1025)))</f>
        <v>Salsas</v>
      </c>
      <c r="C1591" s="10" t="s">
        <v>29</v>
      </c>
      <c r="D1591" s="12">
        <f>'Volúmenes DIstribuidos '!D1025</f>
        <v>10.119999999999999</v>
      </c>
      <c r="E1591" s="12">
        <f>SUMIF('Parametros Inventario'!$A:$A,B1591,'Parametros Inventario'!$B:$B)+SUMIFS(D$2:D1591,B$2:B1591,B1591,C$2:C1591,"ENTRADA")-SUMIFS(D$2:D1591,B$2:B1591,B1591,C$2:C1591,"SALIDA")</f>
        <v>7217.0589999999966</v>
      </c>
    </row>
    <row r="1592" spans="1:5" x14ac:dyDescent="0.3">
      <c r="A1592" s="9">
        <f>'Volúmenes DIstribuidos '!B1023</f>
        <v>44642</v>
      </c>
      <c r="B1592" s="10" t="str">
        <f>IF(OR('Volúmenes DIstribuidos '!C1026="Azúcar",'Volúmenes DIstribuidos '!C1026="azúcar"),"Azúcar o dulce",IF('Volúmenes DIstribuidos '!C1026="Aceite","Aceite o grasas",IF('Volúmenes DIstribuidos '!C1026="Avena","Otros almidones",'Volúmenes DIstribuidos '!C1026)))</f>
        <v>Aceite o grasas</v>
      </c>
      <c r="C1592" s="10" t="s">
        <v>29</v>
      </c>
      <c r="D1592" s="12">
        <f>'Volúmenes DIstribuidos '!D1026</f>
        <v>18.010000000000002</v>
      </c>
      <c r="E1592" s="12">
        <f>SUMIF('Parametros Inventario'!$A:$A,B1592,'Parametros Inventario'!$B:$B)+SUMIFS(D$2:D1592,B$2:B1592,B1592,C$2:C1592,"ENTRADA")-SUMIFS(D$2:D1592,B$2:B1592,B1592,C$2:C1592,"SALIDA")</f>
        <v>6489.3069999999998</v>
      </c>
    </row>
    <row r="1593" spans="1:5" x14ac:dyDescent="0.3">
      <c r="A1593" s="9">
        <f>'Volúmenes DIstribuidos '!B1023</f>
        <v>44642</v>
      </c>
      <c r="B1593" s="10" t="str">
        <f>IF(OR('Volúmenes DIstribuidos '!C1027="Azúcar",'Volúmenes DIstribuidos '!C1027="azúcar"),"Azúcar o dulce",IF('Volúmenes DIstribuidos '!C1027="Aceite","Aceite o grasas",IF('Volúmenes DIstribuidos '!C1027="Avena","Otros almidones",'Volúmenes DIstribuidos '!C1027)))</f>
        <v>Azúcar o dulce</v>
      </c>
      <c r="C1593" s="10" t="s">
        <v>29</v>
      </c>
      <c r="D1593" s="12">
        <f>'Volúmenes DIstribuidos '!D1027</f>
        <v>49.655999999999999</v>
      </c>
      <c r="E1593" s="12">
        <f>SUMIF('Parametros Inventario'!$A:$A,B1593,'Parametros Inventario'!$B:$B)+SUMIFS(D$2:D1593,B$2:B1593,B1593,C$2:C1593,"ENTRADA")-SUMIFS(D$2:D1593,B$2:B1593,B1593,C$2:C1593,"SALIDA")</f>
        <v>7947.6790000000028</v>
      </c>
    </row>
    <row r="1594" spans="1:5" x14ac:dyDescent="0.3">
      <c r="A1594" s="9">
        <f>'Volúmenes DIstribuidos '!B1023</f>
        <v>44642</v>
      </c>
      <c r="B1594" s="10" t="str">
        <f>IF(OR('Volúmenes DIstribuidos '!C1028="Azúcar",'Volúmenes DIstribuidos '!C1028="azúcar"),"Azúcar o dulce",IF('Volúmenes DIstribuidos '!C1028="Aceite","Aceite o grasas",IF('Volúmenes DIstribuidos '!C1028="Avena","Otros almidones",'Volúmenes DIstribuidos '!C1028)))</f>
        <v>Panadería</v>
      </c>
      <c r="C1594" s="10" t="s">
        <v>29</v>
      </c>
      <c r="D1594" s="12">
        <f>'Volúmenes DIstribuidos '!D1028</f>
        <v>95.33</v>
      </c>
      <c r="E1594" s="12">
        <f>SUMIF('Parametros Inventario'!$A:$A,B1594,'Parametros Inventario'!$B:$B)+SUMIFS(D$2:D1594,B$2:B1594,B1594,C$2:C1594,"ENTRADA")-SUMIFS(D$2:D1594,B$2:B1594,B1594,C$2:C1594,"SALIDA")</f>
        <v>5281.8360000000021</v>
      </c>
    </row>
    <row r="1595" spans="1:5" x14ac:dyDescent="0.3">
      <c r="A1595" s="9">
        <f>'Volúmenes DIstribuidos '!B1029</f>
        <v>44645</v>
      </c>
      <c r="B1595" s="10" t="str">
        <f>IF(OR('Volúmenes DIstribuidos '!C1029="Azúcar",'Volúmenes DIstribuidos '!C1029="azúcar"),"Azúcar o dulce",IF('Volúmenes DIstribuidos '!C1029="Aceite","Aceite o grasas",IF('Volúmenes DIstribuidos '!C1029="Avena","Otros almidones",'Volúmenes DIstribuidos '!C1029)))</f>
        <v>Azúcar o dulce</v>
      </c>
      <c r="C1595" s="10" t="s">
        <v>29</v>
      </c>
      <c r="D1595" s="12">
        <f>'Volúmenes DIstribuidos '!D1029</f>
        <v>55.04</v>
      </c>
      <c r="E1595" s="12">
        <f>SUMIF('Parametros Inventario'!$A:$A,B1595,'Parametros Inventario'!$B:$B)+SUMIFS(D$2:D1595,B$2:B1595,B1595,C$2:C1595,"ENTRADA")-SUMIFS(D$2:D1595,B$2:B1595,B1595,C$2:C1595,"SALIDA")</f>
        <v>7892.6390000000029</v>
      </c>
    </row>
    <row r="1596" spans="1:5" x14ac:dyDescent="0.3">
      <c r="A1596" s="9">
        <f>'Volúmenes DIstribuidos '!B1029</f>
        <v>44645</v>
      </c>
      <c r="B1596" s="10" t="str">
        <f>IF(OR('Volúmenes DIstribuidos '!C1030="Azúcar",'Volúmenes DIstribuidos '!C1030="azúcar"),"Azúcar o dulce",IF('Volúmenes DIstribuidos '!C1030="Aceite","Aceite o grasas",IF('Volúmenes DIstribuidos '!C1030="Avena","Otros almidones",'Volúmenes DIstribuidos '!C1030)))</f>
        <v>Menestras</v>
      </c>
      <c r="C1596" s="10" t="s">
        <v>29</v>
      </c>
      <c r="D1596" s="12">
        <f>'Volúmenes DIstribuidos '!D1030</f>
        <v>155.19999999999999</v>
      </c>
      <c r="E1596" s="12">
        <f>SUMIF('Parametros Inventario'!$A:$A,B1596,'Parametros Inventario'!$B:$B)+SUMIFS(D$2:D1596,B$2:B1596,B1596,C$2:C1596,"ENTRADA")-SUMIFS(D$2:D1596,B$2:B1596,B1596,C$2:C1596,"SALIDA")</f>
        <v>7417.6500000000024</v>
      </c>
    </row>
    <row r="1597" spans="1:5" x14ac:dyDescent="0.3">
      <c r="A1597" s="9">
        <f>'Volúmenes DIstribuidos '!B1029</f>
        <v>44645</v>
      </c>
      <c r="B1597" s="10" t="str">
        <f>IF(OR('Volúmenes DIstribuidos '!C1031="Azúcar",'Volúmenes DIstribuidos '!C1031="azúcar"),"Azúcar o dulce",IF('Volúmenes DIstribuidos '!C1031="Aceite","Aceite o grasas",IF('Volúmenes DIstribuidos '!C1031="Avena","Otros almidones",'Volúmenes DIstribuidos '!C1031)))</f>
        <v>Fideo</v>
      </c>
      <c r="C1597" s="10" t="s">
        <v>29</v>
      </c>
      <c r="D1597" s="12">
        <f>'Volúmenes DIstribuidos '!D1031</f>
        <v>21.81</v>
      </c>
      <c r="E1597" s="12">
        <f>SUMIF('Parametros Inventario'!$A:$A,B1597,'Parametros Inventario'!$B:$B)+SUMIFS(D$2:D1597,B$2:B1597,B1597,C$2:C1597,"ENTRADA")-SUMIFS(D$2:D1597,B$2:B1597,B1597,C$2:C1597,"SALIDA")</f>
        <v>7969.4140000000007</v>
      </c>
    </row>
    <row r="1598" spans="1:5" x14ac:dyDescent="0.3">
      <c r="A1598" s="9">
        <f>'Volúmenes DIstribuidos '!B1029</f>
        <v>44645</v>
      </c>
      <c r="B1598" s="10" t="str">
        <f>IF(OR('Volúmenes DIstribuidos '!C1032="Azúcar",'Volúmenes DIstribuidos '!C1032="azúcar"),"Azúcar o dulce",IF('Volúmenes DIstribuidos '!C1032="Aceite","Aceite o grasas",IF('Volúmenes DIstribuidos '!C1032="Avena","Otros almidones",'Volúmenes DIstribuidos '!C1032)))</f>
        <v>Aceite o grasas</v>
      </c>
      <c r="C1598" s="10" t="s">
        <v>29</v>
      </c>
      <c r="D1598" s="12">
        <f>'Volúmenes DIstribuidos '!D1032</f>
        <v>15.89</v>
      </c>
      <c r="E1598" s="12">
        <f>SUMIF('Parametros Inventario'!$A:$A,B1598,'Parametros Inventario'!$B:$B)+SUMIFS(D$2:D1598,B$2:B1598,B1598,C$2:C1598,"ENTRADA")-SUMIFS(D$2:D1598,B$2:B1598,B1598,C$2:C1598,"SALIDA")</f>
        <v>6473.4169999999995</v>
      </c>
    </row>
    <row r="1599" spans="1:5" x14ac:dyDescent="0.3">
      <c r="A1599" s="9">
        <f>'Volúmenes DIstribuidos '!B1029</f>
        <v>44645</v>
      </c>
      <c r="B1599" s="10" t="str">
        <f>IF(OR('Volúmenes DIstribuidos '!C1033="Azúcar",'Volúmenes DIstribuidos '!C1033="azúcar"),"Azúcar o dulce",IF('Volúmenes DIstribuidos '!C1033="Aceite","Aceite o grasas",IF('Volúmenes DIstribuidos '!C1033="Avena","Otros almidones",'Volúmenes DIstribuidos '!C1033)))</f>
        <v>Salsas</v>
      </c>
      <c r="C1599" s="10" t="s">
        <v>29</v>
      </c>
      <c r="D1599" s="12">
        <f>'Volúmenes DIstribuidos '!D1033</f>
        <v>60.465000000000003</v>
      </c>
      <c r="E1599" s="12">
        <f>SUMIF('Parametros Inventario'!$A:$A,B1599,'Parametros Inventario'!$B:$B)+SUMIFS(D$2:D1599,B$2:B1599,B1599,C$2:C1599,"ENTRADA")-SUMIFS(D$2:D1599,B$2:B1599,B1599,C$2:C1599,"SALIDA")</f>
        <v>7156.5939999999964</v>
      </c>
    </row>
    <row r="1600" spans="1:5" x14ac:dyDescent="0.3">
      <c r="A1600" s="9">
        <f>'Volúmenes DIstribuidos '!B1029</f>
        <v>44645</v>
      </c>
      <c r="B1600" s="10" t="str">
        <f>IF(OR('Volúmenes DIstribuidos '!C1034="Azúcar",'Volúmenes DIstribuidos '!C1034="azúcar"),"Azúcar o dulce",IF('Volúmenes DIstribuidos '!C1034="Aceite","Aceite o grasas",IF('Volúmenes DIstribuidos '!C1034="Avena","Otros almidones",'Volúmenes DIstribuidos '!C1034)))</f>
        <v>Panadería</v>
      </c>
      <c r="C1600" s="10" t="s">
        <v>29</v>
      </c>
      <c r="D1600" s="12">
        <f>'Volúmenes DIstribuidos '!D1034</f>
        <v>21.26</v>
      </c>
      <c r="E1600" s="12">
        <f>SUMIF('Parametros Inventario'!$A:$A,B1600,'Parametros Inventario'!$B:$B)+SUMIFS(D$2:D1600,B$2:B1600,B1600,C$2:C1600,"ENTRADA")-SUMIFS(D$2:D1600,B$2:B1600,B1600,C$2:C1600,"SALIDA")</f>
        <v>5260.5760000000018</v>
      </c>
    </row>
    <row r="1601" spans="1:5" x14ac:dyDescent="0.3">
      <c r="A1601" s="9">
        <f>'Volúmenes DIstribuidos '!B1035</f>
        <v>44649</v>
      </c>
      <c r="B1601" s="10" t="str">
        <f>IF(OR('Volúmenes DIstribuidos '!C1035="Azúcar",'Volúmenes DIstribuidos '!C1035="azúcar"),"Azúcar o dulce",IF('Volúmenes DIstribuidos '!C1035="Aceite","Aceite o grasas",IF('Volúmenes DIstribuidos '!C1035="Avena","Otros almidones",'Volúmenes DIstribuidos '!C1035)))</f>
        <v>Salsas</v>
      </c>
      <c r="C1601" s="10" t="s">
        <v>29</v>
      </c>
      <c r="D1601" s="12">
        <f>'Volúmenes DIstribuidos '!D1035</f>
        <v>50</v>
      </c>
      <c r="E1601" s="12">
        <f>SUMIF('Parametros Inventario'!$A:$A,B1601,'Parametros Inventario'!$B:$B)+SUMIFS(D$2:D1601,B$2:B1601,B1601,C$2:C1601,"ENTRADA")-SUMIFS(D$2:D1601,B$2:B1601,B1601,C$2:C1601,"SALIDA")</f>
        <v>7106.5939999999964</v>
      </c>
    </row>
    <row r="1602" spans="1:5" x14ac:dyDescent="0.3">
      <c r="A1602" s="9">
        <f>'Volúmenes DIstribuidos '!B1035</f>
        <v>44649</v>
      </c>
      <c r="B1602" s="10" t="str">
        <f>IF(OR('Volúmenes DIstribuidos '!C1036="Azúcar",'Volúmenes DIstribuidos '!C1036="azúcar"),"Azúcar o dulce",IF('Volúmenes DIstribuidos '!C1036="Aceite","Aceite o grasas",IF('Volúmenes DIstribuidos '!C1036="Avena","Otros almidones",'Volúmenes DIstribuidos '!C1036)))</f>
        <v>Vegetales y hojas</v>
      </c>
      <c r="C1602" s="10" t="s">
        <v>29</v>
      </c>
      <c r="D1602" s="12">
        <f>'Volúmenes DIstribuidos '!D1036</f>
        <v>70</v>
      </c>
      <c r="E1602" s="12">
        <f>SUMIF('Parametros Inventario'!$A:$A,B1602,'Parametros Inventario'!$B:$B)+SUMIFS(D$2:D1602,B$2:B1602,B1602,C$2:C1602,"ENTRADA")-SUMIFS(D$2:D1602,B$2:B1602,B1602,C$2:C1602,"SALIDA")</f>
        <v>8012.5159999999978</v>
      </c>
    </row>
    <row r="1603" spans="1:5" x14ac:dyDescent="0.3">
      <c r="A1603" s="9">
        <f>'Volúmenes DIstribuidos '!B1035</f>
        <v>44649</v>
      </c>
      <c r="B1603" s="10" t="str">
        <f>IF(OR('Volúmenes DIstribuidos '!C1037="Azúcar",'Volúmenes DIstribuidos '!C1037="azúcar"),"Azúcar o dulce",IF('Volúmenes DIstribuidos '!C1037="Aceite","Aceite o grasas",IF('Volúmenes DIstribuidos '!C1037="Avena","Otros almidones",'Volúmenes DIstribuidos '!C1037)))</f>
        <v>Carnes blancas</v>
      </c>
      <c r="C1603" s="10" t="s">
        <v>29</v>
      </c>
      <c r="D1603" s="12">
        <f>'Volúmenes DIstribuidos '!D1037</f>
        <v>9.8960000000000008</v>
      </c>
      <c r="E1603" s="12">
        <f>SUMIF('Parametros Inventario'!$A:$A,B1603,'Parametros Inventario'!$B:$B)+SUMIFS(D$2:D1603,B$2:B1603,B1603,C$2:C1603,"ENTRADA")-SUMIFS(D$2:D1603,B$2:B1603,B1603,C$2:C1603,"SALIDA")</f>
        <v>7693.4860000000026</v>
      </c>
    </row>
    <row r="1604" spans="1:5" x14ac:dyDescent="0.3">
      <c r="A1604" s="9">
        <f>'Volúmenes DIstribuidos '!B1035</f>
        <v>44649</v>
      </c>
      <c r="B1604" s="10" t="str">
        <f>IF(OR('Volúmenes DIstribuidos '!C1038="Azúcar",'Volúmenes DIstribuidos '!C1038="azúcar"),"Azúcar o dulce",IF('Volúmenes DIstribuidos '!C1038="Aceite","Aceite o grasas",IF('Volúmenes DIstribuidos '!C1038="Avena","Otros almidones",'Volúmenes DIstribuidos '!C1038)))</f>
        <v>Aceite o grasas</v>
      </c>
      <c r="C1604" s="10" t="s">
        <v>29</v>
      </c>
      <c r="D1604" s="12">
        <f>'Volúmenes DIstribuidos '!D1038</f>
        <v>31.86</v>
      </c>
      <c r="E1604" s="12">
        <f>SUMIF('Parametros Inventario'!$A:$A,B1604,'Parametros Inventario'!$B:$B)+SUMIFS(D$2:D1604,B$2:B1604,B1604,C$2:C1604,"ENTRADA")-SUMIFS(D$2:D1604,B$2:B1604,B1604,C$2:C1604,"SALIDA")</f>
        <v>6441.5569999999998</v>
      </c>
    </row>
    <row r="1605" spans="1:5" x14ac:dyDescent="0.3">
      <c r="A1605" s="9">
        <f>'Volúmenes DIstribuidos '!B1035</f>
        <v>44649</v>
      </c>
      <c r="B1605" s="10" t="str">
        <f>IF(OR('Volúmenes DIstribuidos '!C1039="Azúcar",'Volúmenes DIstribuidos '!C1039="azúcar"),"Azúcar o dulce",IF('Volúmenes DIstribuidos '!C1039="Aceite","Aceite o grasas",IF('Volúmenes DIstribuidos '!C1039="Avena","Otros almidones",'Volúmenes DIstribuidos '!C1039)))</f>
        <v>Fideo</v>
      </c>
      <c r="C1605" s="10" t="s">
        <v>29</v>
      </c>
      <c r="D1605" s="12">
        <f>'Volúmenes DIstribuidos '!D1039</f>
        <v>6.48</v>
      </c>
      <c r="E1605" s="12">
        <f>SUMIF('Parametros Inventario'!$A:$A,B1605,'Parametros Inventario'!$B:$B)+SUMIFS(D$2:D1605,B$2:B1605,B1605,C$2:C1605,"ENTRADA")-SUMIFS(D$2:D1605,B$2:B1605,B1605,C$2:C1605,"SALIDA")</f>
        <v>7962.9340000000011</v>
      </c>
    </row>
    <row r="1606" spans="1:5" x14ac:dyDescent="0.3">
      <c r="A1606" s="9">
        <f>'Volúmenes DIstribuidos '!B1035</f>
        <v>44649</v>
      </c>
      <c r="B1606" s="10" t="str">
        <f>IF(OR('Volúmenes DIstribuidos '!C1040="Azúcar",'Volúmenes DIstribuidos '!C1040="azúcar"),"Azúcar o dulce",IF('Volúmenes DIstribuidos '!C1040="Aceite","Aceite o grasas",IF('Volúmenes DIstribuidos '!C1040="Avena","Otros almidones",'Volúmenes DIstribuidos '!C1040)))</f>
        <v>Carnes rojas</v>
      </c>
      <c r="C1606" s="10" t="s">
        <v>29</v>
      </c>
      <c r="D1606" s="12">
        <f>'Volúmenes DIstribuidos '!D1040</f>
        <v>11.39</v>
      </c>
      <c r="E1606" s="12">
        <f>SUMIF('Parametros Inventario'!$A:$A,B1606,'Parametros Inventario'!$B:$B)+SUMIFS(D$2:D1606,B$2:B1606,B1606,C$2:C1606,"ENTRADA")-SUMIFS(D$2:D1606,B$2:B1606,B1606,C$2:C1606,"SALIDA")</f>
        <v>7412.840000000002</v>
      </c>
    </row>
    <row r="1607" spans="1:5" x14ac:dyDescent="0.3">
      <c r="A1607" s="9">
        <f>'Volúmenes DIstribuidos '!B1041</f>
        <v>44652</v>
      </c>
      <c r="B1607" s="10" t="str">
        <f>IF(OR('Volúmenes DIstribuidos '!C1041="Azúcar",'Volúmenes DIstribuidos '!C1041="azúcar"),"Azúcar o dulce",IF('Volúmenes DIstribuidos '!C1041="Aceite","Aceite o grasas",IF('Volúmenes DIstribuidos '!C1041="Avena","Otros almidones",'Volúmenes DIstribuidos '!C1041)))</f>
        <v>Vegetales y hojas</v>
      </c>
      <c r="C1607" s="10" t="s">
        <v>29</v>
      </c>
      <c r="D1607" s="12">
        <f>'Volúmenes DIstribuidos '!D1041</f>
        <v>27.31</v>
      </c>
      <c r="E1607" s="12">
        <f>SUMIF('Parametros Inventario'!$A:$A,B1607,'Parametros Inventario'!$B:$B)+SUMIFS(D$2:D1607,B$2:B1607,B1607,C$2:C1607,"ENTRADA")-SUMIFS(D$2:D1607,B$2:B1607,B1607,C$2:C1607,"SALIDA")</f>
        <v>7985.2059999999983</v>
      </c>
    </row>
    <row r="1608" spans="1:5" x14ac:dyDescent="0.3">
      <c r="A1608" s="9">
        <f>'Volúmenes DIstribuidos '!B1041</f>
        <v>44652</v>
      </c>
      <c r="B1608" s="10" t="str">
        <f>IF(OR('Volúmenes DIstribuidos '!C1042="Azúcar",'Volúmenes DIstribuidos '!C1042="azúcar"),"Azúcar o dulce",IF('Volúmenes DIstribuidos '!C1042="Aceite","Aceite o grasas",IF('Volúmenes DIstribuidos '!C1042="Avena","Otros almidones",'Volúmenes DIstribuidos '!C1042)))</f>
        <v>Otros almidones</v>
      </c>
      <c r="C1608" s="10" t="s">
        <v>29</v>
      </c>
      <c r="D1608" s="12">
        <f>'Volúmenes DIstribuidos '!D1042</f>
        <v>9.68</v>
      </c>
      <c r="E1608" s="12">
        <f>SUMIF('Parametros Inventario'!$A:$A,B1608,'Parametros Inventario'!$B:$B)+SUMIFS(D$2:D1608,B$2:B1608,B1608,C$2:C1608,"ENTRADA")-SUMIFS(D$2:D1608,B$2:B1608,B1608,C$2:C1608,"SALIDA")</f>
        <v>7255.1119999999992</v>
      </c>
    </row>
    <row r="1609" spans="1:5" x14ac:dyDescent="0.3">
      <c r="A1609" s="9">
        <f>'Volúmenes DIstribuidos '!B1041</f>
        <v>44652</v>
      </c>
      <c r="B1609" s="10" t="str">
        <f>IF(OR('Volúmenes DIstribuidos '!C1043="Azúcar",'Volúmenes DIstribuidos '!C1043="azúcar"),"Azúcar o dulce",IF('Volúmenes DIstribuidos '!C1043="Aceite","Aceite o grasas",IF('Volúmenes DIstribuidos '!C1043="Avena","Otros almidones",'Volúmenes DIstribuidos '!C1043)))</f>
        <v>Salsas</v>
      </c>
      <c r="C1609" s="10" t="s">
        <v>29</v>
      </c>
      <c r="D1609" s="12">
        <f>'Volúmenes DIstribuidos '!D1043</f>
        <v>6.0579999999999998</v>
      </c>
      <c r="E1609" s="12">
        <f>SUMIF('Parametros Inventario'!$A:$A,B1609,'Parametros Inventario'!$B:$B)+SUMIFS(D$2:D1609,B$2:B1609,B1609,C$2:C1609,"ENTRADA")-SUMIFS(D$2:D1609,B$2:B1609,B1609,C$2:C1609,"SALIDA")</f>
        <v>7100.5359999999964</v>
      </c>
    </row>
    <row r="1610" spans="1:5" x14ac:dyDescent="0.3">
      <c r="A1610" s="9">
        <f>'Volúmenes DIstribuidos '!B1041</f>
        <v>44652</v>
      </c>
      <c r="B1610" s="10" t="str">
        <f>IF(OR('Volúmenes DIstribuidos '!C1044="Azúcar",'Volúmenes DIstribuidos '!C1044="azúcar"),"Azúcar o dulce",IF('Volúmenes DIstribuidos '!C1044="Aceite","Aceite o grasas",IF('Volúmenes DIstribuidos '!C1044="Avena","Otros almidones",'Volúmenes DIstribuidos '!C1044)))</f>
        <v>Salsas</v>
      </c>
      <c r="C1610" s="10" t="s">
        <v>29</v>
      </c>
      <c r="D1610" s="12">
        <f>'Volúmenes DIstribuidos '!D1044</f>
        <v>44.68</v>
      </c>
      <c r="E1610" s="12">
        <f>SUMIF('Parametros Inventario'!$A:$A,B1610,'Parametros Inventario'!$B:$B)+SUMIFS(D$2:D1610,B$2:B1610,B1610,C$2:C1610,"ENTRADA")-SUMIFS(D$2:D1610,B$2:B1610,B1610,C$2:C1610,"SALIDA")</f>
        <v>7055.8559999999961</v>
      </c>
    </row>
    <row r="1611" spans="1:5" x14ac:dyDescent="0.3">
      <c r="A1611" s="9">
        <f>'Volúmenes DIstribuidos '!B1041</f>
        <v>44652</v>
      </c>
      <c r="B1611" s="10" t="str">
        <f>IF(OR('Volúmenes DIstribuidos '!C1045="Azúcar",'Volúmenes DIstribuidos '!C1045="azúcar"),"Azúcar o dulce",IF('Volúmenes DIstribuidos '!C1045="Aceite","Aceite o grasas",IF('Volúmenes DIstribuidos '!C1045="Avena","Otros almidones",'Volúmenes DIstribuidos '!C1045)))</f>
        <v>Azúcar o dulce</v>
      </c>
      <c r="C1611" s="10" t="s">
        <v>29</v>
      </c>
      <c r="D1611" s="12">
        <f>'Volúmenes DIstribuidos '!D1045</f>
        <v>24.04</v>
      </c>
      <c r="E1611" s="12">
        <f>SUMIF('Parametros Inventario'!$A:$A,B1611,'Parametros Inventario'!$B:$B)+SUMIFS(D$2:D1611,B$2:B1611,B1611,C$2:C1611,"ENTRADA")-SUMIFS(D$2:D1611,B$2:B1611,B1611,C$2:C1611,"SALIDA")</f>
        <v>7868.5990000000029</v>
      </c>
    </row>
    <row r="1612" spans="1:5" x14ac:dyDescent="0.3">
      <c r="A1612" s="9">
        <f>'Volúmenes DIstribuidos '!B1041</f>
        <v>44652</v>
      </c>
      <c r="B1612" s="10" t="str">
        <f>IF(OR('Volúmenes DIstribuidos '!C1046="Azúcar",'Volúmenes DIstribuidos '!C1046="azúcar"),"Azúcar o dulce",IF('Volúmenes DIstribuidos '!C1046="Aceite","Aceite o grasas",IF('Volúmenes DIstribuidos '!C1046="Avena","Otros almidones",'Volúmenes DIstribuidos '!C1046)))</f>
        <v>Aceite o grasas</v>
      </c>
      <c r="C1612" s="10" t="s">
        <v>29</v>
      </c>
      <c r="D1612" s="12">
        <f>'Volúmenes DIstribuidos '!D1046</f>
        <v>6.359</v>
      </c>
      <c r="E1612" s="12">
        <f>SUMIF('Parametros Inventario'!$A:$A,B1612,'Parametros Inventario'!$B:$B)+SUMIFS(D$2:D1612,B$2:B1612,B1612,C$2:C1612,"ENTRADA")-SUMIFS(D$2:D1612,B$2:B1612,B1612,C$2:C1612,"SALIDA")</f>
        <v>6435.1980000000003</v>
      </c>
    </row>
    <row r="1613" spans="1:5" x14ac:dyDescent="0.3">
      <c r="A1613" s="9">
        <f>'Volúmenes DIstribuidos '!B1047</f>
        <v>44656</v>
      </c>
      <c r="B1613" s="10" t="str">
        <f>IF(OR('Volúmenes DIstribuidos '!C1047="Azúcar",'Volúmenes DIstribuidos '!C1047="azúcar"),"Azúcar o dulce",IF('Volúmenes DIstribuidos '!C1047="Aceite","Aceite o grasas",IF('Volúmenes DIstribuidos '!C1047="Avena","Otros almidones",'Volúmenes DIstribuidos '!C1047)))</f>
        <v>Panadería</v>
      </c>
      <c r="C1613" s="10" t="s">
        <v>29</v>
      </c>
      <c r="D1613" s="12">
        <f>'Volúmenes DIstribuidos '!D1047</f>
        <v>19.329999999999998</v>
      </c>
      <c r="E1613" s="12">
        <f>SUMIF('Parametros Inventario'!$A:$A,B1613,'Parametros Inventario'!$B:$B)+SUMIFS(D$2:D1613,B$2:B1613,B1613,C$2:C1613,"ENTRADA")-SUMIFS(D$2:D1613,B$2:B1613,B1613,C$2:C1613,"SALIDA")</f>
        <v>5241.2460000000019</v>
      </c>
    </row>
    <row r="1614" spans="1:5" x14ac:dyDescent="0.3">
      <c r="A1614" s="9">
        <f>'Volúmenes DIstribuidos '!B1047</f>
        <v>44656</v>
      </c>
      <c r="B1614" s="10" t="str">
        <f>IF(OR('Volúmenes DIstribuidos '!C1048="Azúcar",'Volúmenes DIstribuidos '!C1048="azúcar"),"Azúcar o dulce",IF('Volúmenes DIstribuidos '!C1048="Aceite","Aceite o grasas",IF('Volúmenes DIstribuidos '!C1048="Avena","Otros almidones",'Volúmenes DIstribuidos '!C1048)))</f>
        <v>Azúcar o dulce</v>
      </c>
      <c r="C1614" s="10" t="s">
        <v>29</v>
      </c>
      <c r="D1614" s="12">
        <f>'Volúmenes DIstribuidos '!D1048</f>
        <v>14.27</v>
      </c>
      <c r="E1614" s="12">
        <f>SUMIF('Parametros Inventario'!$A:$A,B1614,'Parametros Inventario'!$B:$B)+SUMIFS(D$2:D1614,B$2:B1614,B1614,C$2:C1614,"ENTRADA")-SUMIFS(D$2:D1614,B$2:B1614,B1614,C$2:C1614,"SALIDA")</f>
        <v>7854.3290000000034</v>
      </c>
    </row>
    <row r="1615" spans="1:5" x14ac:dyDescent="0.3">
      <c r="A1615" s="9">
        <f>'Volúmenes DIstribuidos '!B1047</f>
        <v>44656</v>
      </c>
      <c r="B1615" s="10" t="str">
        <f>IF(OR('Volúmenes DIstribuidos '!C1049="Azúcar",'Volúmenes DIstribuidos '!C1049="azúcar"),"Azúcar o dulce",IF('Volúmenes DIstribuidos '!C1049="Aceite","Aceite o grasas",IF('Volúmenes DIstribuidos '!C1049="Avena","Otros almidones",'Volúmenes DIstribuidos '!C1049)))</f>
        <v>Menestras</v>
      </c>
      <c r="C1615" s="10" t="s">
        <v>29</v>
      </c>
      <c r="D1615" s="12">
        <f>'Volúmenes DIstribuidos '!D1049</f>
        <v>7.5</v>
      </c>
      <c r="E1615" s="12">
        <f>SUMIF('Parametros Inventario'!$A:$A,B1615,'Parametros Inventario'!$B:$B)+SUMIFS(D$2:D1615,B$2:B1615,B1615,C$2:C1615,"ENTRADA")-SUMIFS(D$2:D1615,B$2:B1615,B1615,C$2:C1615,"SALIDA")</f>
        <v>7410.1500000000024</v>
      </c>
    </row>
    <row r="1616" spans="1:5" x14ac:dyDescent="0.3">
      <c r="A1616" s="9">
        <f>'Volúmenes DIstribuidos '!B1047</f>
        <v>44656</v>
      </c>
      <c r="B1616" s="10" t="str">
        <f>IF(OR('Volúmenes DIstribuidos '!C1050="Azúcar",'Volúmenes DIstribuidos '!C1050="azúcar"),"Azúcar o dulce",IF('Volúmenes DIstribuidos '!C1050="Aceite","Aceite o grasas",IF('Volúmenes DIstribuidos '!C1050="Avena","Otros almidones",'Volúmenes DIstribuidos '!C1050)))</f>
        <v>Salsas</v>
      </c>
      <c r="C1616" s="10" t="s">
        <v>29</v>
      </c>
      <c r="D1616" s="12">
        <f>'Volúmenes DIstribuidos '!D1050</f>
        <v>11.628</v>
      </c>
      <c r="E1616" s="12">
        <f>SUMIF('Parametros Inventario'!$A:$A,B1616,'Parametros Inventario'!$B:$B)+SUMIFS(D$2:D1616,B$2:B1616,B1616,C$2:C1616,"ENTRADA")-SUMIFS(D$2:D1616,B$2:B1616,B1616,C$2:C1616,"SALIDA")</f>
        <v>7044.2279999999964</v>
      </c>
    </row>
    <row r="1617" spans="1:5" x14ac:dyDescent="0.3">
      <c r="A1617" s="9">
        <f>'Volúmenes DIstribuidos '!B1047</f>
        <v>44656</v>
      </c>
      <c r="B1617" s="10" t="str">
        <f>IF(OR('Volúmenes DIstribuidos '!C1051="Azúcar",'Volúmenes DIstribuidos '!C1051="azúcar"),"Azúcar o dulce",IF('Volúmenes DIstribuidos '!C1051="Aceite","Aceite o grasas",IF('Volúmenes DIstribuidos '!C1051="Avena","Otros almidones",'Volúmenes DIstribuidos '!C1051)))</f>
        <v>Vegetales y hojas</v>
      </c>
      <c r="C1617" s="10" t="s">
        <v>29</v>
      </c>
      <c r="D1617" s="12">
        <f>'Volúmenes DIstribuidos '!D1051</f>
        <v>23.24</v>
      </c>
      <c r="E1617" s="12">
        <f>SUMIF('Parametros Inventario'!$A:$A,B1617,'Parametros Inventario'!$B:$B)+SUMIFS(D$2:D1617,B$2:B1617,B1617,C$2:C1617,"ENTRADA")-SUMIFS(D$2:D1617,B$2:B1617,B1617,C$2:C1617,"SALIDA")</f>
        <v>7961.9659999999985</v>
      </c>
    </row>
    <row r="1618" spans="1:5" x14ac:dyDescent="0.3">
      <c r="A1618" s="9">
        <f>'Volúmenes DIstribuidos '!B1047</f>
        <v>44656</v>
      </c>
      <c r="B1618" s="10" t="str">
        <f>IF(OR('Volúmenes DIstribuidos '!C1052="Azúcar",'Volúmenes DIstribuidos '!C1052="azúcar"),"Azúcar o dulce",IF('Volúmenes DIstribuidos '!C1052="Aceite","Aceite o grasas",IF('Volúmenes DIstribuidos '!C1052="Avena","Otros almidones",'Volúmenes DIstribuidos '!C1052)))</f>
        <v>Azúcar o dulce</v>
      </c>
      <c r="C1618" s="10" t="s">
        <v>29</v>
      </c>
      <c r="D1618" s="12">
        <f>'Volúmenes DIstribuidos '!D1052</f>
        <v>5.25</v>
      </c>
      <c r="E1618" s="12">
        <f>SUMIF('Parametros Inventario'!$A:$A,B1618,'Parametros Inventario'!$B:$B)+SUMIFS(D$2:D1618,B$2:B1618,B1618,C$2:C1618,"ENTRADA")-SUMIFS(D$2:D1618,B$2:B1618,B1618,C$2:C1618,"SALIDA")</f>
        <v>7849.0790000000034</v>
      </c>
    </row>
    <row r="1619" spans="1:5" x14ac:dyDescent="0.3">
      <c r="A1619" s="9">
        <v>44659</v>
      </c>
      <c r="B1619" s="10" t="s">
        <v>16</v>
      </c>
      <c r="C1619" s="10" t="s">
        <v>28</v>
      </c>
      <c r="D1619" s="12">
        <v>71.47</v>
      </c>
      <c r="E1619" s="12">
        <f>SUMIF('Parametros Inventario'!$A:$A,B1619,'Parametros Inventario'!$B:$B)+SUMIFS(D$2:D1619,B$2:B1619,B1619,C$2:C1619,"ENTRADA")-SUMIFS(D$2:D1619,B$2:B1619,B1619,C$2:C1619,"SALIDA")</f>
        <v>7764.9560000000019</v>
      </c>
    </row>
    <row r="1620" spans="1:5" x14ac:dyDescent="0.3">
      <c r="A1620" s="9">
        <v>44659</v>
      </c>
      <c r="B1620" s="10" t="s">
        <v>17</v>
      </c>
      <c r="C1620" s="10" t="s">
        <v>28</v>
      </c>
      <c r="D1620" s="12">
        <v>261.45</v>
      </c>
      <c r="E1620" s="12">
        <f>SUMIF('Parametros Inventario'!$A:$A,B1620,'Parametros Inventario'!$B:$B)+SUMIFS(D$2:D1620,B$2:B1620,B1620,C$2:C1620,"ENTRADA")-SUMIFS(D$2:D1620,B$2:B1620,B1620,C$2:C1620,"SALIDA")</f>
        <v>6779.0290000000005</v>
      </c>
    </row>
    <row r="1621" spans="1:5" x14ac:dyDescent="0.3">
      <c r="A1621" s="9">
        <v>44659</v>
      </c>
      <c r="B1621" s="10" t="s">
        <v>18</v>
      </c>
      <c r="C1621" s="10" t="s">
        <v>28</v>
      </c>
      <c r="D1621" s="12">
        <v>157.19999999999999</v>
      </c>
      <c r="E1621" s="12">
        <f>SUMIF('Parametros Inventario'!$A:$A,B1621,'Parametros Inventario'!$B:$B)+SUMIFS(D$2:D1621,B$2:B1621,B1621,C$2:C1621,"ENTRADA")-SUMIFS(D$2:D1621,B$2:B1621,B1621,C$2:C1621,"SALIDA")</f>
        <v>7201.4279999999972</v>
      </c>
    </row>
    <row r="1622" spans="1:5" x14ac:dyDescent="0.3">
      <c r="A1622" s="9">
        <v>44659</v>
      </c>
      <c r="B1622" s="10" t="s">
        <v>10</v>
      </c>
      <c r="C1622" s="10" t="s">
        <v>28</v>
      </c>
      <c r="D1622" s="12">
        <v>285.48</v>
      </c>
      <c r="E1622" s="12">
        <f>SUMIF('Parametros Inventario'!$A:$A,B1622,'Parametros Inventario'!$B:$B)+SUMIFS(D$2:D1622,B$2:B1622,B1622,C$2:C1622,"ENTRADA")-SUMIFS(D$2:D1622,B$2:B1622,B1622,C$2:C1622,"SALIDA")</f>
        <v>8247.4459999999981</v>
      </c>
    </row>
    <row r="1623" spans="1:5" x14ac:dyDescent="0.3">
      <c r="A1623" s="9">
        <v>44659</v>
      </c>
      <c r="B1623" s="10" t="s">
        <v>8</v>
      </c>
      <c r="C1623" s="10" t="s">
        <v>28</v>
      </c>
      <c r="D1623" s="12">
        <v>154.41999999999999</v>
      </c>
      <c r="E1623" s="12">
        <f>SUMIF('Parametros Inventario'!$A:$A,B1623,'Parametros Inventario'!$B:$B)+SUMIFS(D$2:D1623,B$2:B1623,B1623,C$2:C1623,"ENTRADA")-SUMIFS(D$2:D1623,B$2:B1623,B1623,C$2:C1623,"SALIDA")</f>
        <v>6589.6180000000004</v>
      </c>
    </row>
    <row r="1624" spans="1:5" x14ac:dyDescent="0.3">
      <c r="A1624" s="9">
        <v>44659</v>
      </c>
      <c r="B1624" s="10" t="s">
        <v>13</v>
      </c>
      <c r="C1624" s="10" t="s">
        <v>28</v>
      </c>
      <c r="D1624" s="12">
        <v>159.66999999999999</v>
      </c>
      <c r="E1624" s="12">
        <f>SUMIF('Parametros Inventario'!$A:$A,B1624,'Parametros Inventario'!$B:$B)+SUMIFS(D$2:D1624,B$2:B1624,B1624,C$2:C1624,"ENTRADA")-SUMIFS(D$2:D1624,B$2:B1624,B1624,C$2:C1624,"SALIDA")</f>
        <v>8008.7490000000034</v>
      </c>
    </row>
    <row r="1625" spans="1:5" x14ac:dyDescent="0.3">
      <c r="A1625" s="9">
        <v>44659</v>
      </c>
      <c r="B1625" s="10" t="s">
        <v>15</v>
      </c>
      <c r="C1625" s="10" t="s">
        <v>28</v>
      </c>
      <c r="D1625" s="12">
        <v>263.24</v>
      </c>
      <c r="E1625" s="12">
        <f>SUMIF('Parametros Inventario'!$A:$A,B1625,'Parametros Inventario'!$B:$B)+SUMIFS(D$2:D1625,B$2:B1625,B1625,C$2:C1625,"ENTRADA")-SUMIFS(D$2:D1625,B$2:B1625,B1625,C$2:C1625,"SALIDA")</f>
        <v>7518.351999999999</v>
      </c>
    </row>
    <row r="1626" spans="1:5" x14ac:dyDescent="0.3">
      <c r="A1626" s="9">
        <v>44659</v>
      </c>
      <c r="B1626" s="10" t="s">
        <v>11</v>
      </c>
      <c r="C1626" s="10" t="s">
        <v>28</v>
      </c>
      <c r="D1626" s="12">
        <v>57.53</v>
      </c>
      <c r="E1626" s="12">
        <f>SUMIF('Parametros Inventario'!$A:$A,B1626,'Parametros Inventario'!$B:$B)+SUMIFS(D$2:D1626,B$2:B1626,B1626,C$2:C1626,"ENTRADA")-SUMIFS(D$2:D1626,B$2:B1626,B1626,C$2:C1626,"SALIDA")</f>
        <v>8020.4640000000018</v>
      </c>
    </row>
    <row r="1627" spans="1:5" x14ac:dyDescent="0.3">
      <c r="A1627" s="9">
        <v>44659</v>
      </c>
      <c r="B1627" s="10" t="s">
        <v>9</v>
      </c>
      <c r="C1627" s="10" t="s">
        <v>28</v>
      </c>
      <c r="D1627" s="12">
        <v>84.74</v>
      </c>
      <c r="E1627" s="12">
        <f>SUMIF('Parametros Inventario'!$A:$A,B1627,'Parametros Inventario'!$B:$B)+SUMIFS(D$2:D1627,B$2:B1627,B1627,C$2:C1627,"ENTRADA")-SUMIFS(D$2:D1627,B$2:B1627,B1627,C$2:C1627,"SALIDA")</f>
        <v>5325.9860000000017</v>
      </c>
    </row>
    <row r="1628" spans="1:5" x14ac:dyDescent="0.3">
      <c r="A1628" s="9">
        <f>'Volúmenes DIstribuidos '!B1053</f>
        <v>44659</v>
      </c>
      <c r="B1628" s="10" t="str">
        <f>IF(OR('Volúmenes DIstribuidos '!C1053="Azúcar",'Volúmenes DIstribuidos '!C1053="azúcar"),"Azúcar o dulce",IF('Volúmenes DIstribuidos '!C1053="Aceite","Aceite o grasas",IF('Volúmenes DIstribuidos '!C1053="Avena","Otros almidones",'Volúmenes DIstribuidos '!C1053)))</f>
        <v>Aceite o grasas</v>
      </c>
      <c r="C1628" s="10" t="s">
        <v>29</v>
      </c>
      <c r="D1628" s="12">
        <f>'Volúmenes DIstribuidos '!D1053</f>
        <v>17.2</v>
      </c>
      <c r="E1628" s="12">
        <f>SUMIF('Parametros Inventario'!$A:$A,B1628,'Parametros Inventario'!$B:$B)+SUMIFS(D$2:D1628,B$2:B1628,B1628,C$2:C1628,"ENTRADA")-SUMIFS(D$2:D1628,B$2:B1628,B1628,C$2:C1628,"SALIDA")</f>
        <v>6572.4179999999997</v>
      </c>
    </row>
    <row r="1629" spans="1:5" x14ac:dyDescent="0.3">
      <c r="A1629" s="9">
        <f>'Volúmenes DIstribuidos '!B1053</f>
        <v>44659</v>
      </c>
      <c r="B1629" s="10" t="str">
        <f>IF(OR('Volúmenes DIstribuidos '!C1054="Azúcar",'Volúmenes DIstribuidos '!C1054="azúcar"),"Azúcar o dulce",IF('Volúmenes DIstribuidos '!C1054="Aceite","Aceite o grasas",IF('Volúmenes DIstribuidos '!C1054="Avena","Otros almidones",'Volúmenes DIstribuidos '!C1054)))</f>
        <v>Carnes blancas</v>
      </c>
      <c r="C1629" s="10" t="s">
        <v>29</v>
      </c>
      <c r="D1629" s="12">
        <f>'Volúmenes DIstribuidos '!D1054</f>
        <v>2.63</v>
      </c>
      <c r="E1629" s="12">
        <f>SUMIF('Parametros Inventario'!$A:$A,B1629,'Parametros Inventario'!$B:$B)+SUMIFS(D$2:D1629,B$2:B1629,B1629,C$2:C1629,"ENTRADA")-SUMIFS(D$2:D1629,B$2:B1629,B1629,C$2:C1629,"SALIDA")</f>
        <v>7762.3260000000018</v>
      </c>
    </row>
    <row r="1630" spans="1:5" x14ac:dyDescent="0.3">
      <c r="A1630" s="9">
        <f>'Volúmenes DIstribuidos '!B1053</f>
        <v>44659</v>
      </c>
      <c r="B1630" s="10" t="str">
        <f>IF(OR('Volúmenes DIstribuidos '!C1055="Azúcar",'Volúmenes DIstribuidos '!C1055="azúcar"),"Azúcar o dulce",IF('Volúmenes DIstribuidos '!C1055="Aceite","Aceite o grasas",IF('Volúmenes DIstribuidos '!C1055="Avena","Otros almidones",'Volúmenes DIstribuidos '!C1055)))</f>
        <v>Salsas</v>
      </c>
      <c r="C1630" s="10" t="s">
        <v>29</v>
      </c>
      <c r="D1630" s="12">
        <f>'Volúmenes DIstribuidos '!D1055</f>
        <v>12.94</v>
      </c>
      <c r="E1630" s="12">
        <f>SUMIF('Parametros Inventario'!$A:$A,B1630,'Parametros Inventario'!$B:$B)+SUMIFS(D$2:D1630,B$2:B1630,B1630,C$2:C1630,"ENTRADA")-SUMIFS(D$2:D1630,B$2:B1630,B1630,C$2:C1630,"SALIDA")</f>
        <v>7188.4879999999976</v>
      </c>
    </row>
    <row r="1631" spans="1:5" x14ac:dyDescent="0.3">
      <c r="A1631" s="9">
        <f>'Volúmenes DIstribuidos '!B1053</f>
        <v>44659</v>
      </c>
      <c r="B1631" s="10" t="str">
        <f>IF(OR('Volúmenes DIstribuidos '!C1056="Azúcar",'Volúmenes DIstribuidos '!C1056="azúcar"),"Azúcar o dulce",IF('Volúmenes DIstribuidos '!C1056="Aceite","Aceite o grasas",IF('Volúmenes DIstribuidos '!C1056="Avena","Otros almidones",'Volúmenes DIstribuidos '!C1056)))</f>
        <v>Lácteos</v>
      </c>
      <c r="C1631" s="10" t="s">
        <v>29</v>
      </c>
      <c r="D1631" s="12">
        <f>'Volúmenes DIstribuidos '!D1056</f>
        <v>20.417000000000002</v>
      </c>
      <c r="E1631" s="12">
        <f>SUMIF('Parametros Inventario'!$A:$A,B1631,'Parametros Inventario'!$B:$B)+SUMIFS(D$2:D1631,B$2:B1631,B1631,C$2:C1631,"ENTRADA")-SUMIFS(D$2:D1631,B$2:B1631,B1631,C$2:C1631,"SALIDA")</f>
        <v>6758.612000000001</v>
      </c>
    </row>
    <row r="1632" spans="1:5" x14ac:dyDescent="0.3">
      <c r="A1632" s="9">
        <f>'Volúmenes DIstribuidos '!B1053</f>
        <v>44659</v>
      </c>
      <c r="B1632" s="10" t="str">
        <f>IF(OR('Volúmenes DIstribuidos '!C1057="Azúcar",'Volúmenes DIstribuidos '!C1057="azúcar"),"Azúcar o dulce",IF('Volúmenes DIstribuidos '!C1057="Aceite","Aceite o grasas",IF('Volúmenes DIstribuidos '!C1057="Avena","Otros almidones",'Volúmenes DIstribuidos '!C1057)))</f>
        <v>Aceite o grasas</v>
      </c>
      <c r="C1632" s="10" t="s">
        <v>29</v>
      </c>
      <c r="D1632" s="12">
        <f>'Volúmenes DIstribuidos '!D1057</f>
        <v>36.96</v>
      </c>
      <c r="E1632" s="12">
        <f>SUMIF('Parametros Inventario'!$A:$A,B1632,'Parametros Inventario'!$B:$B)+SUMIFS(D$2:D1632,B$2:B1632,B1632,C$2:C1632,"ENTRADA")-SUMIFS(D$2:D1632,B$2:B1632,B1632,C$2:C1632,"SALIDA")</f>
        <v>6535.4580000000005</v>
      </c>
    </row>
    <row r="1633" spans="1:5" x14ac:dyDescent="0.3">
      <c r="A1633" s="9">
        <f>'Volúmenes DIstribuidos '!B1053</f>
        <v>44659</v>
      </c>
      <c r="B1633" s="10" t="str">
        <f>IF(OR('Volúmenes DIstribuidos '!C1058="Azúcar",'Volúmenes DIstribuidos '!C1058="azúcar"),"Azúcar o dulce",IF('Volúmenes DIstribuidos '!C1058="Aceite","Aceite o grasas",IF('Volúmenes DIstribuidos '!C1058="Avena","Otros almidones",'Volúmenes DIstribuidos '!C1058)))</f>
        <v>Otros almidones</v>
      </c>
      <c r="C1633" s="10" t="s">
        <v>29</v>
      </c>
      <c r="D1633" s="12">
        <f>'Volúmenes DIstribuidos '!D1058</f>
        <v>26.09</v>
      </c>
      <c r="E1633" s="12">
        <f>SUMIF('Parametros Inventario'!$A:$A,B1633,'Parametros Inventario'!$B:$B)+SUMIFS(D$2:D1633,B$2:B1633,B1633,C$2:C1633,"ENTRADA")-SUMIFS(D$2:D1633,B$2:B1633,B1633,C$2:C1633,"SALIDA")</f>
        <v>7492.2619999999988</v>
      </c>
    </row>
    <row r="1634" spans="1:5" x14ac:dyDescent="0.3">
      <c r="A1634" s="9">
        <f>'Volúmenes DIstribuidos '!B1059</f>
        <v>44663</v>
      </c>
      <c r="B1634" s="10" t="str">
        <f>IF(OR('Volúmenes DIstribuidos '!C1059="Azúcar",'Volúmenes DIstribuidos '!C1059="azúcar"),"Azúcar o dulce",IF('Volúmenes DIstribuidos '!C1059="Aceite","Aceite o grasas",IF('Volúmenes DIstribuidos '!C1059="Avena","Otros almidones",'Volúmenes DIstribuidos '!C1059)))</f>
        <v>Vegetales y hojas</v>
      </c>
      <c r="C1634" s="10" t="s">
        <v>29</v>
      </c>
      <c r="D1634" s="12">
        <f>'Volúmenes DIstribuidos '!D1059</f>
        <v>60.29</v>
      </c>
      <c r="E1634" s="12">
        <f>SUMIF('Parametros Inventario'!$A:$A,B1634,'Parametros Inventario'!$B:$B)+SUMIFS(D$2:D1634,B$2:B1634,B1634,C$2:C1634,"ENTRADA")-SUMIFS(D$2:D1634,B$2:B1634,B1634,C$2:C1634,"SALIDA")</f>
        <v>8187.1559999999972</v>
      </c>
    </row>
    <row r="1635" spans="1:5" x14ac:dyDescent="0.3">
      <c r="A1635" s="9">
        <f>'Volúmenes DIstribuidos '!B1059</f>
        <v>44663</v>
      </c>
      <c r="B1635" s="10" t="str">
        <f>IF(OR('Volúmenes DIstribuidos '!C1060="Azúcar",'Volúmenes DIstribuidos '!C1060="azúcar"),"Azúcar o dulce",IF('Volúmenes DIstribuidos '!C1060="Aceite","Aceite o grasas",IF('Volúmenes DIstribuidos '!C1060="Avena","Otros almidones",'Volúmenes DIstribuidos '!C1060)))</f>
        <v>Fideo</v>
      </c>
      <c r="C1635" s="10" t="s">
        <v>29</v>
      </c>
      <c r="D1635" s="12">
        <f>'Volúmenes DIstribuidos '!D1060</f>
        <v>7.609</v>
      </c>
      <c r="E1635" s="12">
        <f>SUMIF('Parametros Inventario'!$A:$A,B1635,'Parametros Inventario'!$B:$B)+SUMIFS(D$2:D1635,B$2:B1635,B1635,C$2:C1635,"ENTRADA")-SUMIFS(D$2:D1635,B$2:B1635,B1635,C$2:C1635,"SALIDA")</f>
        <v>8012.8550000000014</v>
      </c>
    </row>
    <row r="1636" spans="1:5" x14ac:dyDescent="0.3">
      <c r="A1636" s="9">
        <f>'Volúmenes DIstribuidos '!B1059</f>
        <v>44663</v>
      </c>
      <c r="B1636" s="10" t="str">
        <f>IF(OR('Volúmenes DIstribuidos '!C1061="Azúcar",'Volúmenes DIstribuidos '!C1061="azúcar"),"Azúcar o dulce",IF('Volúmenes DIstribuidos '!C1061="Aceite","Aceite o grasas",IF('Volúmenes DIstribuidos '!C1061="Avena","Otros almidones",'Volúmenes DIstribuidos '!C1061)))</f>
        <v>Carnes rojas</v>
      </c>
      <c r="C1636" s="10" t="s">
        <v>29</v>
      </c>
      <c r="D1636" s="12">
        <f>'Volúmenes DIstribuidos '!D1061</f>
        <v>12.36</v>
      </c>
      <c r="E1636" s="12">
        <f>SUMIF('Parametros Inventario'!$A:$A,B1636,'Parametros Inventario'!$B:$B)+SUMIFS(D$2:D1636,B$2:B1636,B1636,C$2:C1636,"ENTRADA")-SUMIFS(D$2:D1636,B$2:B1636,B1636,C$2:C1636,"SALIDA")</f>
        <v>7400.4800000000014</v>
      </c>
    </row>
    <row r="1637" spans="1:5" x14ac:dyDescent="0.3">
      <c r="A1637" s="9">
        <f>'Volúmenes DIstribuidos '!B1059</f>
        <v>44663</v>
      </c>
      <c r="B1637" s="10" t="str">
        <f>IF(OR('Volúmenes DIstribuidos '!C1062="Azúcar",'Volúmenes DIstribuidos '!C1062="azúcar"),"Azúcar o dulce",IF('Volúmenes DIstribuidos '!C1062="Aceite","Aceite o grasas",IF('Volúmenes DIstribuidos '!C1062="Avena","Otros almidones",'Volúmenes DIstribuidos '!C1062)))</f>
        <v>Otros almidones</v>
      </c>
      <c r="C1637" s="10" t="s">
        <v>29</v>
      </c>
      <c r="D1637" s="12">
        <f>'Volúmenes DIstribuidos '!D1062</f>
        <v>13.41</v>
      </c>
      <c r="E1637" s="12">
        <f>SUMIF('Parametros Inventario'!$A:$A,B1637,'Parametros Inventario'!$B:$B)+SUMIFS(D$2:D1637,B$2:B1637,B1637,C$2:C1637,"ENTRADA")-SUMIFS(D$2:D1637,B$2:B1637,B1637,C$2:C1637,"SALIDA")</f>
        <v>7478.851999999999</v>
      </c>
    </row>
    <row r="1638" spans="1:5" x14ac:dyDescent="0.3">
      <c r="A1638" s="9">
        <f>'Volúmenes DIstribuidos '!B1059</f>
        <v>44663</v>
      </c>
      <c r="B1638" s="10" t="str">
        <f>IF(OR('Volúmenes DIstribuidos '!C1063="Azúcar",'Volúmenes DIstribuidos '!C1063="azúcar"),"Azúcar o dulce",IF('Volúmenes DIstribuidos '!C1063="Aceite","Aceite o grasas",IF('Volúmenes DIstribuidos '!C1063="Avena","Otros almidones",'Volúmenes DIstribuidos '!C1063)))</f>
        <v>Carnes blancas</v>
      </c>
      <c r="C1638" s="10" t="s">
        <v>29</v>
      </c>
      <c r="D1638" s="12">
        <f>'Volúmenes DIstribuidos '!D1063</f>
        <v>7.3</v>
      </c>
      <c r="E1638" s="12">
        <f>SUMIF('Parametros Inventario'!$A:$A,B1638,'Parametros Inventario'!$B:$B)+SUMIFS(D$2:D1638,B$2:B1638,B1638,C$2:C1638,"ENTRADA")-SUMIFS(D$2:D1638,B$2:B1638,B1638,C$2:C1638,"SALIDA")</f>
        <v>7755.0260000000017</v>
      </c>
    </row>
    <row r="1639" spans="1:5" x14ac:dyDescent="0.3">
      <c r="A1639" s="9">
        <f>'Volúmenes DIstribuidos '!B1059</f>
        <v>44663</v>
      </c>
      <c r="B1639" s="10" t="str">
        <f>IF(OR('Volúmenes DIstribuidos '!C1064="Azúcar",'Volúmenes DIstribuidos '!C1064="azúcar"),"Azúcar o dulce",IF('Volúmenes DIstribuidos '!C1064="Aceite","Aceite o grasas",IF('Volúmenes DIstribuidos '!C1064="Avena","Otros almidones",'Volúmenes DIstribuidos '!C1064)))</f>
        <v>Lácteos</v>
      </c>
      <c r="C1639" s="10" t="s">
        <v>29</v>
      </c>
      <c r="D1639" s="12">
        <f>'Volúmenes DIstribuidos '!D1064</f>
        <v>21.56</v>
      </c>
      <c r="E1639" s="12">
        <f>SUMIF('Parametros Inventario'!$A:$A,B1639,'Parametros Inventario'!$B:$B)+SUMIFS(D$2:D1639,B$2:B1639,B1639,C$2:C1639,"ENTRADA")-SUMIFS(D$2:D1639,B$2:B1639,B1639,C$2:C1639,"SALIDA")</f>
        <v>6737.0520000000006</v>
      </c>
    </row>
    <row r="1640" spans="1:5" x14ac:dyDescent="0.3">
      <c r="A1640" s="9">
        <v>44666</v>
      </c>
      <c r="B1640" s="10" t="s">
        <v>14</v>
      </c>
      <c r="C1640" s="10" t="s">
        <v>28</v>
      </c>
      <c r="D1640" s="12">
        <v>268.44</v>
      </c>
      <c r="E1640" s="12">
        <f>SUMIF('Parametros Inventario'!$A:$A,B1640,'Parametros Inventario'!$B:$B)+SUMIFS(D$2:D1640,B$2:B1640,B1640,C$2:C1640,"ENTRADA")-SUMIFS(D$2:D1640,B$2:B1640,B1640,C$2:C1640,"SALIDA")</f>
        <v>7678.5900000000029</v>
      </c>
    </row>
    <row r="1641" spans="1:5" x14ac:dyDescent="0.3">
      <c r="A1641" s="9">
        <v>44666</v>
      </c>
      <c r="B1641" s="10" t="s">
        <v>12</v>
      </c>
      <c r="C1641" s="10" t="s">
        <v>28</v>
      </c>
      <c r="D1641" s="12">
        <v>126.39</v>
      </c>
      <c r="E1641" s="12">
        <f>SUMIF('Parametros Inventario'!$A:$A,B1641,'Parametros Inventario'!$B:$B)+SUMIFS(D$2:D1641,B$2:B1641,B1641,C$2:C1641,"ENTRADA")-SUMIFS(D$2:D1641,B$2:B1641,B1641,C$2:C1641,"SALIDA")</f>
        <v>7526.8700000000008</v>
      </c>
    </row>
    <row r="1642" spans="1:5" x14ac:dyDescent="0.3">
      <c r="A1642" s="9">
        <v>44666</v>
      </c>
      <c r="B1642" s="10" t="s">
        <v>16</v>
      </c>
      <c r="C1642" s="10" t="s">
        <v>28</v>
      </c>
      <c r="D1642" s="12">
        <v>234.45</v>
      </c>
      <c r="E1642" s="12">
        <f>SUMIF('Parametros Inventario'!$A:$A,B1642,'Parametros Inventario'!$B:$B)+SUMIFS(D$2:D1642,B$2:B1642,B1642,C$2:C1642,"ENTRADA")-SUMIFS(D$2:D1642,B$2:B1642,B1642,C$2:C1642,"SALIDA")</f>
        <v>7989.4760000000024</v>
      </c>
    </row>
    <row r="1643" spans="1:5" x14ac:dyDescent="0.3">
      <c r="A1643" s="9">
        <v>44666</v>
      </c>
      <c r="B1643" s="10" t="s">
        <v>17</v>
      </c>
      <c r="C1643" s="10" t="s">
        <v>28</v>
      </c>
      <c r="D1643" s="12">
        <v>174.95</v>
      </c>
      <c r="E1643" s="12">
        <f>SUMIF('Parametros Inventario'!$A:$A,B1643,'Parametros Inventario'!$B:$B)+SUMIFS(D$2:D1643,B$2:B1643,B1643,C$2:C1643,"ENTRADA")-SUMIFS(D$2:D1643,B$2:B1643,B1643,C$2:C1643,"SALIDA")</f>
        <v>6912.0020000000013</v>
      </c>
    </row>
    <row r="1644" spans="1:5" x14ac:dyDescent="0.3">
      <c r="A1644" s="9">
        <v>44666</v>
      </c>
      <c r="B1644" s="10" t="s">
        <v>18</v>
      </c>
      <c r="C1644" s="10" t="s">
        <v>28</v>
      </c>
      <c r="D1644" s="12">
        <v>214.71</v>
      </c>
      <c r="E1644" s="12">
        <f>SUMIF('Parametros Inventario'!$A:$A,B1644,'Parametros Inventario'!$B:$B)+SUMIFS(D$2:D1644,B$2:B1644,B1644,C$2:C1644,"ENTRADA")-SUMIFS(D$2:D1644,B$2:B1644,B1644,C$2:C1644,"SALIDA")</f>
        <v>7403.1979999999967</v>
      </c>
    </row>
    <row r="1645" spans="1:5" x14ac:dyDescent="0.3">
      <c r="A1645" s="9">
        <v>44666</v>
      </c>
      <c r="B1645" s="10" t="s">
        <v>10</v>
      </c>
      <c r="C1645" s="10" t="s">
        <v>28</v>
      </c>
      <c r="D1645" s="12">
        <v>138.66999999999999</v>
      </c>
      <c r="E1645" s="12">
        <f>SUMIF('Parametros Inventario'!$A:$A,B1645,'Parametros Inventario'!$B:$B)+SUMIFS(D$2:D1645,B$2:B1645,B1645,C$2:C1645,"ENTRADA")-SUMIFS(D$2:D1645,B$2:B1645,B1645,C$2:C1645,"SALIDA")</f>
        <v>8325.8259999999973</v>
      </c>
    </row>
    <row r="1646" spans="1:5" x14ac:dyDescent="0.3">
      <c r="A1646" s="9">
        <v>44666</v>
      </c>
      <c r="B1646" s="10" t="s">
        <v>8</v>
      </c>
      <c r="C1646" s="10" t="s">
        <v>28</v>
      </c>
      <c r="D1646" s="12">
        <v>106.37</v>
      </c>
      <c r="E1646" s="12">
        <f>SUMIF('Parametros Inventario'!$A:$A,B1646,'Parametros Inventario'!$B:$B)+SUMIFS(D$2:D1646,B$2:B1646,B1646,C$2:C1646,"ENTRADA")-SUMIFS(D$2:D1646,B$2:B1646,B1646,C$2:C1646,"SALIDA")</f>
        <v>6641.8280000000013</v>
      </c>
    </row>
    <row r="1647" spans="1:5" x14ac:dyDescent="0.3">
      <c r="A1647" s="9">
        <v>44666</v>
      </c>
      <c r="B1647" s="10" t="s">
        <v>13</v>
      </c>
      <c r="C1647" s="10" t="s">
        <v>28</v>
      </c>
      <c r="D1647" s="12">
        <v>156.43</v>
      </c>
      <c r="E1647" s="12">
        <f>SUMIF('Parametros Inventario'!$A:$A,B1647,'Parametros Inventario'!$B:$B)+SUMIFS(D$2:D1647,B$2:B1647,B1647,C$2:C1647,"ENTRADA")-SUMIFS(D$2:D1647,B$2:B1647,B1647,C$2:C1647,"SALIDA")</f>
        <v>8165.1790000000037</v>
      </c>
    </row>
    <row r="1648" spans="1:5" x14ac:dyDescent="0.3">
      <c r="A1648" s="9">
        <v>44666</v>
      </c>
      <c r="B1648" s="10" t="s">
        <v>15</v>
      </c>
      <c r="C1648" s="10" t="s">
        <v>28</v>
      </c>
      <c r="D1648" s="12">
        <v>238.16</v>
      </c>
      <c r="E1648" s="12">
        <f>SUMIF('Parametros Inventario'!$A:$A,B1648,'Parametros Inventario'!$B:$B)+SUMIFS(D$2:D1648,B$2:B1648,B1648,C$2:C1648,"ENTRADA")-SUMIFS(D$2:D1648,B$2:B1648,B1648,C$2:C1648,"SALIDA")</f>
        <v>7717.0119999999988</v>
      </c>
    </row>
    <row r="1649" spans="1:5" x14ac:dyDescent="0.3">
      <c r="A1649" s="9">
        <v>44666</v>
      </c>
      <c r="B1649" s="10" t="s">
        <v>11</v>
      </c>
      <c r="C1649" s="10" t="s">
        <v>28</v>
      </c>
      <c r="D1649" s="12">
        <v>240.71</v>
      </c>
      <c r="E1649" s="12">
        <f>SUMIF('Parametros Inventario'!$A:$A,B1649,'Parametros Inventario'!$B:$B)+SUMIFS(D$2:D1649,B$2:B1649,B1649,C$2:C1649,"ENTRADA")-SUMIFS(D$2:D1649,B$2:B1649,B1649,C$2:C1649,"SALIDA")</f>
        <v>8253.5650000000005</v>
      </c>
    </row>
    <row r="1650" spans="1:5" x14ac:dyDescent="0.3">
      <c r="A1650" s="9">
        <v>44666</v>
      </c>
      <c r="B1650" s="10" t="s">
        <v>9</v>
      </c>
      <c r="C1650" s="10" t="s">
        <v>28</v>
      </c>
      <c r="D1650" s="12">
        <v>222.63</v>
      </c>
      <c r="E1650" s="12">
        <f>SUMIF('Parametros Inventario'!$A:$A,B1650,'Parametros Inventario'!$B:$B)+SUMIFS(D$2:D1650,B$2:B1650,B1650,C$2:C1650,"ENTRADA")-SUMIFS(D$2:D1650,B$2:B1650,B1650,C$2:C1650,"SALIDA")</f>
        <v>5548.6160000000009</v>
      </c>
    </row>
    <row r="1651" spans="1:5" x14ac:dyDescent="0.3">
      <c r="A1651" s="9">
        <f>'Volúmenes DIstribuidos '!B1065</f>
        <v>44666</v>
      </c>
      <c r="B1651" s="10" t="str">
        <f>IF(OR('Volúmenes DIstribuidos '!C1065="Azúcar",'Volúmenes DIstribuidos '!C1065="azúcar"),"Azúcar o dulce",IF('Volúmenes DIstribuidos '!C1065="Aceite","Aceite o grasas",IF('Volúmenes DIstribuidos '!C1065="Avena","Otros almidones",'Volúmenes DIstribuidos '!C1065)))</f>
        <v>Panadería</v>
      </c>
      <c r="C1651" s="10" t="s">
        <v>29</v>
      </c>
      <c r="D1651" s="12">
        <f>'Volúmenes DIstribuidos '!D1065</f>
        <v>6.21</v>
      </c>
      <c r="E1651" s="12">
        <f>SUMIF('Parametros Inventario'!$A:$A,B1651,'Parametros Inventario'!$B:$B)+SUMIFS(D$2:D1651,B$2:B1651,B1651,C$2:C1651,"ENTRADA")-SUMIFS(D$2:D1651,B$2:B1651,B1651,C$2:C1651,"SALIDA")</f>
        <v>5542.4060000000009</v>
      </c>
    </row>
    <row r="1652" spans="1:5" x14ac:dyDescent="0.3">
      <c r="A1652" s="9">
        <f>'Volúmenes DIstribuidos '!B1065</f>
        <v>44666</v>
      </c>
      <c r="B1652" s="10" t="str">
        <f>IF(OR('Volúmenes DIstribuidos '!C1066="Azúcar",'Volúmenes DIstribuidos '!C1066="azúcar"),"Azúcar o dulce",IF('Volúmenes DIstribuidos '!C1066="Aceite","Aceite o grasas",IF('Volúmenes DIstribuidos '!C1066="Avena","Otros almidones",'Volúmenes DIstribuidos '!C1066)))</f>
        <v>Menestras</v>
      </c>
      <c r="C1652" s="10" t="s">
        <v>29</v>
      </c>
      <c r="D1652" s="12">
        <f>'Volúmenes DIstribuidos '!D1066</f>
        <v>10.096</v>
      </c>
      <c r="E1652" s="12">
        <f>SUMIF('Parametros Inventario'!$A:$A,B1652,'Parametros Inventario'!$B:$B)+SUMIFS(D$2:D1652,B$2:B1652,B1652,C$2:C1652,"ENTRADA")-SUMIFS(D$2:D1652,B$2:B1652,B1652,C$2:C1652,"SALIDA")</f>
        <v>7668.4940000000024</v>
      </c>
    </row>
    <row r="1653" spans="1:5" x14ac:dyDescent="0.3">
      <c r="A1653" s="9">
        <f>'Volúmenes DIstribuidos '!B1065</f>
        <v>44666</v>
      </c>
      <c r="B1653" s="10" t="str">
        <f>IF(OR('Volúmenes DIstribuidos '!C1067="Azúcar",'Volúmenes DIstribuidos '!C1067="azúcar"),"Azúcar o dulce",IF('Volúmenes DIstribuidos '!C1067="Aceite","Aceite o grasas",IF('Volúmenes DIstribuidos '!C1067="Avena","Otros almidones",'Volúmenes DIstribuidos '!C1067)))</f>
        <v>Aceite o grasas</v>
      </c>
      <c r="C1653" s="10" t="s">
        <v>29</v>
      </c>
      <c r="D1653" s="12">
        <f>'Volúmenes DIstribuidos '!D1067</f>
        <v>9.09</v>
      </c>
      <c r="E1653" s="12">
        <f>SUMIF('Parametros Inventario'!$A:$A,B1653,'Parametros Inventario'!$B:$B)+SUMIFS(D$2:D1653,B$2:B1653,B1653,C$2:C1653,"ENTRADA")-SUMIFS(D$2:D1653,B$2:B1653,B1653,C$2:C1653,"SALIDA")</f>
        <v>6632.7380000000012</v>
      </c>
    </row>
    <row r="1654" spans="1:5" x14ac:dyDescent="0.3">
      <c r="A1654" s="9">
        <f>'Volúmenes DIstribuidos '!B1065</f>
        <v>44666</v>
      </c>
      <c r="B1654" s="10" t="str">
        <f>IF(OR('Volúmenes DIstribuidos '!C1068="Azúcar",'Volúmenes DIstribuidos '!C1068="azúcar"),"Azúcar o dulce",IF('Volúmenes DIstribuidos '!C1068="Aceite","Aceite o grasas",IF('Volúmenes DIstribuidos '!C1068="Avena","Otros almidones",'Volúmenes DIstribuidos '!C1068)))</f>
        <v>Carnes blancas</v>
      </c>
      <c r="C1654" s="10" t="s">
        <v>29</v>
      </c>
      <c r="D1654" s="12">
        <f>'Volúmenes DIstribuidos '!D1068</f>
        <v>7.26</v>
      </c>
      <c r="E1654" s="12">
        <f>SUMIF('Parametros Inventario'!$A:$A,B1654,'Parametros Inventario'!$B:$B)+SUMIFS(D$2:D1654,B$2:B1654,B1654,C$2:C1654,"ENTRADA")-SUMIFS(D$2:D1654,B$2:B1654,B1654,C$2:C1654,"SALIDA")</f>
        <v>7982.2160000000022</v>
      </c>
    </row>
    <row r="1655" spans="1:5" x14ac:dyDescent="0.3">
      <c r="A1655" s="9">
        <f>'Volúmenes DIstribuidos '!B1065</f>
        <v>44666</v>
      </c>
      <c r="B1655" s="10" t="str">
        <f>IF(OR('Volúmenes DIstribuidos '!C1069="Azúcar",'Volúmenes DIstribuidos '!C1069="azúcar"),"Azúcar o dulce",IF('Volúmenes DIstribuidos '!C1069="Aceite","Aceite o grasas",IF('Volúmenes DIstribuidos '!C1069="Avena","Otros almidones",'Volúmenes DIstribuidos '!C1069)))</f>
        <v>Vegetales y hojas</v>
      </c>
      <c r="C1655" s="10" t="s">
        <v>29</v>
      </c>
      <c r="D1655" s="12">
        <f>'Volúmenes DIstribuidos '!D1069</f>
        <v>4.1509999999999998</v>
      </c>
      <c r="E1655" s="12">
        <f>SUMIF('Parametros Inventario'!$A:$A,B1655,'Parametros Inventario'!$B:$B)+SUMIFS(D$2:D1655,B$2:B1655,B1655,C$2:C1655,"ENTRADA")-SUMIFS(D$2:D1655,B$2:B1655,B1655,C$2:C1655,"SALIDA")</f>
        <v>8321.6749999999975</v>
      </c>
    </row>
    <row r="1656" spans="1:5" x14ac:dyDescent="0.3">
      <c r="A1656" s="9">
        <f>'Volúmenes DIstribuidos '!B1065</f>
        <v>44666</v>
      </c>
      <c r="B1656" s="10" t="str">
        <f>IF(OR('Volúmenes DIstribuidos '!C1070="Azúcar",'Volúmenes DIstribuidos '!C1070="azúcar"),"Azúcar o dulce",IF('Volúmenes DIstribuidos '!C1070="Aceite","Aceite o grasas",IF('Volúmenes DIstribuidos '!C1070="Avena","Otros almidones",'Volúmenes DIstribuidos '!C1070)))</f>
        <v>Aceite o grasas</v>
      </c>
      <c r="C1656" s="10" t="s">
        <v>29</v>
      </c>
      <c r="D1656" s="12">
        <f>'Volúmenes DIstribuidos '!D1070</f>
        <v>32.64</v>
      </c>
      <c r="E1656" s="12">
        <f>SUMIF('Parametros Inventario'!$A:$A,B1656,'Parametros Inventario'!$B:$B)+SUMIFS(D$2:D1656,B$2:B1656,B1656,C$2:C1656,"ENTRADA")-SUMIFS(D$2:D1656,B$2:B1656,B1656,C$2:C1656,"SALIDA")</f>
        <v>6600.0980000000009</v>
      </c>
    </row>
    <row r="1657" spans="1:5" x14ac:dyDescent="0.3">
      <c r="A1657" s="9">
        <f>'Volúmenes DIstribuidos '!B1071</f>
        <v>44670</v>
      </c>
      <c r="B1657" s="10" t="str">
        <f>IF(OR('Volúmenes DIstribuidos '!C1071="Azúcar",'Volúmenes DIstribuidos '!C1071="azúcar"),"Azúcar o dulce",IF('Volúmenes DIstribuidos '!C1071="Aceite","Aceite o grasas",IF('Volúmenes DIstribuidos '!C1071="Avena","Otros almidones",'Volúmenes DIstribuidos '!C1071)))</f>
        <v>Otros almidones</v>
      </c>
      <c r="C1657" s="10" t="s">
        <v>29</v>
      </c>
      <c r="D1657" s="12">
        <f>'Volúmenes DIstribuidos '!D1071</f>
        <v>12.23</v>
      </c>
      <c r="E1657" s="12">
        <f>SUMIF('Parametros Inventario'!$A:$A,B1657,'Parametros Inventario'!$B:$B)+SUMIFS(D$2:D1657,B$2:B1657,B1657,C$2:C1657,"ENTRADA")-SUMIFS(D$2:D1657,B$2:B1657,B1657,C$2:C1657,"SALIDA")</f>
        <v>7704.7819999999983</v>
      </c>
    </row>
    <row r="1658" spans="1:5" x14ac:dyDescent="0.3">
      <c r="A1658" s="9">
        <f>'Volúmenes DIstribuidos '!B1071</f>
        <v>44670</v>
      </c>
      <c r="B1658" s="10" t="str">
        <f>IF(OR('Volúmenes DIstribuidos '!C1072="Azúcar",'Volúmenes DIstribuidos '!C1072="azúcar"),"Azúcar o dulce",IF('Volúmenes DIstribuidos '!C1072="Aceite","Aceite o grasas",IF('Volúmenes DIstribuidos '!C1072="Avena","Otros almidones",'Volúmenes DIstribuidos '!C1072)))</f>
        <v>Lácteos</v>
      </c>
      <c r="C1658" s="10" t="s">
        <v>29</v>
      </c>
      <c r="D1658" s="12">
        <f>'Volúmenes DIstribuidos '!D1072</f>
        <v>27.51</v>
      </c>
      <c r="E1658" s="12">
        <f>SUMIF('Parametros Inventario'!$A:$A,B1658,'Parametros Inventario'!$B:$B)+SUMIFS(D$2:D1658,B$2:B1658,B1658,C$2:C1658,"ENTRADA")-SUMIFS(D$2:D1658,B$2:B1658,B1658,C$2:C1658,"SALIDA")</f>
        <v>6884.4920000000011</v>
      </c>
    </row>
    <row r="1659" spans="1:5" x14ac:dyDescent="0.3">
      <c r="A1659" s="9">
        <f>'Volúmenes DIstribuidos '!B1071</f>
        <v>44670</v>
      </c>
      <c r="B1659" s="10" t="str">
        <f>IF(OR('Volúmenes DIstribuidos '!C1073="Azúcar",'Volúmenes DIstribuidos '!C1073="azúcar"),"Azúcar o dulce",IF('Volúmenes DIstribuidos '!C1073="Aceite","Aceite o grasas",IF('Volúmenes DIstribuidos '!C1073="Avena","Otros almidones",'Volúmenes DIstribuidos '!C1073)))</f>
        <v>Carnes blancas</v>
      </c>
      <c r="C1659" s="10" t="s">
        <v>29</v>
      </c>
      <c r="D1659" s="12">
        <f>'Volúmenes DIstribuidos '!D1073</f>
        <v>35.554000000000002</v>
      </c>
      <c r="E1659" s="12">
        <f>SUMIF('Parametros Inventario'!$A:$A,B1659,'Parametros Inventario'!$B:$B)+SUMIFS(D$2:D1659,B$2:B1659,B1659,C$2:C1659,"ENTRADA")-SUMIFS(D$2:D1659,B$2:B1659,B1659,C$2:C1659,"SALIDA")</f>
        <v>7946.6620000000021</v>
      </c>
    </row>
    <row r="1660" spans="1:5" x14ac:dyDescent="0.3">
      <c r="A1660" s="9">
        <f>'Volúmenes DIstribuidos '!B1071</f>
        <v>44670</v>
      </c>
      <c r="B1660" s="10" t="str">
        <f>IF(OR('Volúmenes DIstribuidos '!C1074="Azúcar",'Volúmenes DIstribuidos '!C1074="azúcar"),"Azúcar o dulce",IF('Volúmenes DIstribuidos '!C1074="Aceite","Aceite o grasas",IF('Volúmenes DIstribuidos '!C1074="Avena","Otros almidones",'Volúmenes DIstribuidos '!C1074)))</f>
        <v>Otros almidones</v>
      </c>
      <c r="C1660" s="10" t="s">
        <v>29</v>
      </c>
      <c r="D1660" s="12">
        <f>'Volúmenes DIstribuidos '!D1074</f>
        <v>25.93</v>
      </c>
      <c r="E1660" s="12">
        <f>SUMIF('Parametros Inventario'!$A:$A,B1660,'Parametros Inventario'!$B:$B)+SUMIFS(D$2:D1660,B$2:B1660,B1660,C$2:C1660,"ENTRADA")-SUMIFS(D$2:D1660,B$2:B1660,B1660,C$2:C1660,"SALIDA")</f>
        <v>7678.851999999999</v>
      </c>
    </row>
    <row r="1661" spans="1:5" x14ac:dyDescent="0.3">
      <c r="A1661" s="9">
        <f>'Volúmenes DIstribuidos '!B1071</f>
        <v>44670</v>
      </c>
      <c r="B1661" s="10" t="str">
        <f>IF(OR('Volúmenes DIstribuidos '!C1075="Azúcar",'Volúmenes DIstribuidos '!C1075="azúcar"),"Azúcar o dulce",IF('Volúmenes DIstribuidos '!C1075="Aceite","Aceite o grasas",IF('Volúmenes DIstribuidos '!C1075="Avena","Otros almidones",'Volúmenes DIstribuidos '!C1075)))</f>
        <v>Menestras</v>
      </c>
      <c r="C1661" s="10" t="s">
        <v>29</v>
      </c>
      <c r="D1661" s="12">
        <f>'Volúmenes DIstribuidos '!D1075</f>
        <v>13.19</v>
      </c>
      <c r="E1661" s="12">
        <f>SUMIF('Parametros Inventario'!$A:$A,B1661,'Parametros Inventario'!$B:$B)+SUMIFS(D$2:D1661,B$2:B1661,B1661,C$2:C1661,"ENTRADA")-SUMIFS(D$2:D1661,B$2:B1661,B1661,C$2:C1661,"SALIDA")</f>
        <v>7655.3040000000028</v>
      </c>
    </row>
    <row r="1662" spans="1:5" x14ac:dyDescent="0.3">
      <c r="A1662" s="9">
        <f>'Volúmenes DIstribuidos '!B1071</f>
        <v>44670</v>
      </c>
      <c r="B1662" s="10" t="str">
        <f>IF(OR('Volúmenes DIstribuidos '!C1076="Azúcar",'Volúmenes DIstribuidos '!C1076="azúcar"),"Azúcar o dulce",IF('Volúmenes DIstribuidos '!C1076="Aceite","Aceite o grasas",IF('Volúmenes DIstribuidos '!C1076="Avena","Otros almidones",'Volúmenes DIstribuidos '!C1076)))</f>
        <v>Aceite o grasas</v>
      </c>
      <c r="C1662" s="10" t="s">
        <v>29</v>
      </c>
      <c r="D1662" s="12">
        <f>'Volúmenes DIstribuidos '!D1076</f>
        <v>7.2549999999999999</v>
      </c>
      <c r="E1662" s="12">
        <f>SUMIF('Parametros Inventario'!$A:$A,B1662,'Parametros Inventario'!$B:$B)+SUMIFS(D$2:D1662,B$2:B1662,B1662,C$2:C1662,"ENTRADA")-SUMIFS(D$2:D1662,B$2:B1662,B1662,C$2:C1662,"SALIDA")</f>
        <v>6592.8430000000008</v>
      </c>
    </row>
    <row r="1663" spans="1:5" x14ac:dyDescent="0.3">
      <c r="A1663" s="9">
        <v>44673</v>
      </c>
      <c r="B1663" s="10" t="s">
        <v>14</v>
      </c>
      <c r="C1663" s="10" t="s">
        <v>28</v>
      </c>
      <c r="D1663" s="12">
        <v>124.91</v>
      </c>
      <c r="E1663" s="12">
        <f>SUMIF('Parametros Inventario'!$A:$A,B1663,'Parametros Inventario'!$B:$B)+SUMIFS(D$2:D1663,B$2:B1663,B1663,C$2:C1663,"ENTRADA")-SUMIFS(D$2:D1663,B$2:B1663,B1663,C$2:C1663,"SALIDA")</f>
        <v>7780.2140000000027</v>
      </c>
    </row>
    <row r="1664" spans="1:5" x14ac:dyDescent="0.3">
      <c r="A1664" s="9">
        <v>44673</v>
      </c>
      <c r="B1664" s="10" t="s">
        <v>12</v>
      </c>
      <c r="C1664" s="10" t="s">
        <v>28</v>
      </c>
      <c r="D1664" s="12">
        <v>196.74</v>
      </c>
      <c r="E1664" s="12">
        <f>SUMIF('Parametros Inventario'!$A:$A,B1664,'Parametros Inventario'!$B:$B)+SUMIFS(D$2:D1664,B$2:B1664,B1664,C$2:C1664,"ENTRADA")-SUMIFS(D$2:D1664,B$2:B1664,B1664,C$2:C1664,"SALIDA")</f>
        <v>7723.6100000000006</v>
      </c>
    </row>
    <row r="1665" spans="1:5" x14ac:dyDescent="0.3">
      <c r="A1665" s="9">
        <v>44673</v>
      </c>
      <c r="B1665" s="10" t="s">
        <v>16</v>
      </c>
      <c r="C1665" s="10" t="s">
        <v>28</v>
      </c>
      <c r="D1665" s="12">
        <v>191.89</v>
      </c>
      <c r="E1665" s="12">
        <f>SUMIF('Parametros Inventario'!$A:$A,B1665,'Parametros Inventario'!$B:$B)+SUMIFS(D$2:D1665,B$2:B1665,B1665,C$2:C1665,"ENTRADA")-SUMIFS(D$2:D1665,B$2:B1665,B1665,C$2:C1665,"SALIDA")</f>
        <v>8138.5520000000015</v>
      </c>
    </row>
    <row r="1666" spans="1:5" x14ac:dyDescent="0.3">
      <c r="A1666" s="9">
        <v>44673</v>
      </c>
      <c r="B1666" s="10" t="s">
        <v>17</v>
      </c>
      <c r="C1666" s="10" t="s">
        <v>28</v>
      </c>
      <c r="D1666" s="12">
        <v>58.05</v>
      </c>
      <c r="E1666" s="12">
        <f>SUMIF('Parametros Inventario'!$A:$A,B1666,'Parametros Inventario'!$B:$B)+SUMIFS(D$2:D1666,B$2:B1666,B1666,C$2:C1666,"ENTRADA")-SUMIFS(D$2:D1666,B$2:B1666,B1666,C$2:C1666,"SALIDA")</f>
        <v>6942.5420000000004</v>
      </c>
    </row>
    <row r="1667" spans="1:5" x14ac:dyDescent="0.3">
      <c r="A1667" s="9">
        <v>44673</v>
      </c>
      <c r="B1667" s="10" t="s">
        <v>18</v>
      </c>
      <c r="C1667" s="10" t="s">
        <v>28</v>
      </c>
      <c r="D1667" s="12">
        <v>84.78</v>
      </c>
      <c r="E1667" s="12">
        <f>SUMIF('Parametros Inventario'!$A:$A,B1667,'Parametros Inventario'!$B:$B)+SUMIFS(D$2:D1667,B$2:B1667,B1667,C$2:C1667,"ENTRADA")-SUMIFS(D$2:D1667,B$2:B1667,B1667,C$2:C1667,"SALIDA")</f>
        <v>7487.9779999999973</v>
      </c>
    </row>
    <row r="1668" spans="1:5" x14ac:dyDescent="0.3">
      <c r="A1668" s="9">
        <v>44673</v>
      </c>
      <c r="B1668" s="10" t="s">
        <v>10</v>
      </c>
      <c r="C1668" s="10" t="s">
        <v>28</v>
      </c>
      <c r="D1668" s="12">
        <v>294.31</v>
      </c>
      <c r="E1668" s="12">
        <f>SUMIF('Parametros Inventario'!$A:$A,B1668,'Parametros Inventario'!$B:$B)+SUMIFS(D$2:D1668,B$2:B1668,B1668,C$2:C1668,"ENTRADA")-SUMIFS(D$2:D1668,B$2:B1668,B1668,C$2:C1668,"SALIDA")</f>
        <v>8615.9849999999969</v>
      </c>
    </row>
    <row r="1669" spans="1:5" x14ac:dyDescent="0.3">
      <c r="A1669" s="9">
        <v>44673</v>
      </c>
      <c r="B1669" s="10" t="s">
        <v>8</v>
      </c>
      <c r="C1669" s="10" t="s">
        <v>28</v>
      </c>
      <c r="D1669" s="12">
        <v>298.56</v>
      </c>
      <c r="E1669" s="12">
        <f>SUMIF('Parametros Inventario'!$A:$A,B1669,'Parametros Inventario'!$B:$B)+SUMIFS(D$2:D1669,B$2:B1669,B1669,C$2:C1669,"ENTRADA")-SUMIFS(D$2:D1669,B$2:B1669,B1669,C$2:C1669,"SALIDA")</f>
        <v>6891.4030000000002</v>
      </c>
    </row>
    <row r="1670" spans="1:5" x14ac:dyDescent="0.3">
      <c r="A1670" s="9">
        <f>'Volúmenes DIstribuidos '!B1077</f>
        <v>44673</v>
      </c>
      <c r="B1670" s="10" t="str">
        <f>IF(OR('Volúmenes DIstribuidos '!C1077="Azúcar",'Volúmenes DIstribuidos '!C1077="azúcar"),"Azúcar o dulce",IF('Volúmenes DIstribuidos '!C1077="Aceite","Aceite o grasas",IF('Volúmenes DIstribuidos '!C1077="Avena","Otros almidones",'Volúmenes DIstribuidos '!C1077)))</f>
        <v>Vegetales y hojas</v>
      </c>
      <c r="C1670" s="10" t="s">
        <v>29</v>
      </c>
      <c r="D1670" s="12">
        <f>'Volúmenes DIstribuidos '!D1077</f>
        <v>25.49</v>
      </c>
      <c r="E1670" s="12">
        <f>SUMIF('Parametros Inventario'!$A:$A,B1670,'Parametros Inventario'!$B:$B)+SUMIFS(D$2:D1670,B$2:B1670,B1670,C$2:C1670,"ENTRADA")-SUMIFS(D$2:D1670,B$2:B1670,B1670,C$2:C1670,"SALIDA")</f>
        <v>8590.4949999999972</v>
      </c>
    </row>
    <row r="1671" spans="1:5" x14ac:dyDescent="0.3">
      <c r="A1671" s="9">
        <f>'Volúmenes DIstribuidos '!B1077</f>
        <v>44673</v>
      </c>
      <c r="B1671" s="10" t="str">
        <f>IF(OR('Volúmenes DIstribuidos '!C1078="Azúcar",'Volúmenes DIstribuidos '!C1078="azúcar"),"Azúcar o dulce",IF('Volúmenes DIstribuidos '!C1078="Aceite","Aceite o grasas",IF('Volúmenes DIstribuidos '!C1078="Avena","Otros almidones",'Volúmenes DIstribuidos '!C1078)))</f>
        <v>Otros almidones</v>
      </c>
      <c r="C1671" s="10" t="s">
        <v>29</v>
      </c>
      <c r="D1671" s="12">
        <f>'Volúmenes DIstribuidos '!D1078</f>
        <v>13.45</v>
      </c>
      <c r="E1671" s="12">
        <f>SUMIF('Parametros Inventario'!$A:$A,B1671,'Parametros Inventario'!$B:$B)+SUMIFS(D$2:D1671,B$2:B1671,B1671,C$2:C1671,"ENTRADA")-SUMIFS(D$2:D1671,B$2:B1671,B1671,C$2:C1671,"SALIDA")</f>
        <v>7665.4019999999982</v>
      </c>
    </row>
    <row r="1672" spans="1:5" x14ac:dyDescent="0.3">
      <c r="A1672" s="9">
        <f>'Volúmenes DIstribuidos '!B1077</f>
        <v>44673</v>
      </c>
      <c r="B1672" s="10" t="str">
        <f>IF(OR('Volúmenes DIstribuidos '!C1079="Azúcar",'Volúmenes DIstribuidos '!C1079="azúcar"),"Azúcar o dulce",IF('Volúmenes DIstribuidos '!C1079="Aceite","Aceite o grasas",IF('Volúmenes DIstribuidos '!C1079="Avena","Otros almidones",'Volúmenes DIstribuidos '!C1079)))</f>
        <v>Menestras</v>
      </c>
      <c r="C1672" s="10" t="s">
        <v>29</v>
      </c>
      <c r="D1672" s="12">
        <f>'Volúmenes DIstribuidos '!D1079</f>
        <v>49.244999999999997</v>
      </c>
      <c r="E1672" s="12">
        <f>SUMIF('Parametros Inventario'!$A:$A,B1672,'Parametros Inventario'!$B:$B)+SUMIFS(D$2:D1672,B$2:B1672,B1672,C$2:C1672,"ENTRADA")-SUMIFS(D$2:D1672,B$2:B1672,B1672,C$2:C1672,"SALIDA")</f>
        <v>7730.9690000000028</v>
      </c>
    </row>
    <row r="1673" spans="1:5" x14ac:dyDescent="0.3">
      <c r="A1673" s="9">
        <f>'Volúmenes DIstribuidos '!B1077</f>
        <v>44673</v>
      </c>
      <c r="B1673" s="10" t="str">
        <f>IF(OR('Volúmenes DIstribuidos '!C1080="Azúcar",'Volúmenes DIstribuidos '!C1080="azúcar"),"Azúcar o dulce",IF('Volúmenes DIstribuidos '!C1080="Aceite","Aceite o grasas",IF('Volúmenes DIstribuidos '!C1080="Avena","Otros almidones",'Volúmenes DIstribuidos '!C1080)))</f>
        <v>Azúcar o dulce</v>
      </c>
      <c r="C1673" s="10" t="s">
        <v>29</v>
      </c>
      <c r="D1673" s="12">
        <f>'Volúmenes DIstribuidos '!D1080</f>
        <v>81.31</v>
      </c>
      <c r="E1673" s="12">
        <f>SUMIF('Parametros Inventario'!$A:$A,B1673,'Parametros Inventario'!$B:$B)+SUMIFS(D$2:D1673,B$2:B1673,B1673,C$2:C1673,"ENTRADA")-SUMIFS(D$2:D1673,B$2:B1673,B1673,C$2:C1673,"SALIDA")</f>
        <v>8083.8690000000033</v>
      </c>
    </row>
    <row r="1674" spans="1:5" x14ac:dyDescent="0.3">
      <c r="A1674" s="9">
        <f>'Volúmenes DIstribuidos '!B1077</f>
        <v>44673</v>
      </c>
      <c r="B1674" s="10" t="str">
        <f>IF(OR('Volúmenes DIstribuidos '!C1081="Azúcar",'Volúmenes DIstribuidos '!C1081="azúcar"),"Azúcar o dulce",IF('Volúmenes DIstribuidos '!C1081="Aceite","Aceite o grasas",IF('Volúmenes DIstribuidos '!C1081="Avena","Otros almidones",'Volúmenes DIstribuidos '!C1081)))</f>
        <v>Otros almidones</v>
      </c>
      <c r="C1674" s="10" t="s">
        <v>29</v>
      </c>
      <c r="D1674" s="12">
        <f>'Volúmenes DIstribuidos '!D1081</f>
        <v>58.87</v>
      </c>
      <c r="E1674" s="12">
        <f>SUMIF('Parametros Inventario'!$A:$A,B1674,'Parametros Inventario'!$B:$B)+SUMIFS(D$2:D1674,B$2:B1674,B1674,C$2:C1674,"ENTRADA")-SUMIFS(D$2:D1674,B$2:B1674,B1674,C$2:C1674,"SALIDA")</f>
        <v>7606.5319999999992</v>
      </c>
    </row>
    <row r="1675" spans="1:5" x14ac:dyDescent="0.3">
      <c r="A1675" s="9">
        <f>'Volúmenes DIstribuidos '!B1077</f>
        <v>44673</v>
      </c>
      <c r="B1675" s="10" t="str">
        <f>IF(OR('Volúmenes DIstribuidos '!C1082="Azúcar",'Volúmenes DIstribuidos '!C1082="azúcar"),"Azúcar o dulce",IF('Volúmenes DIstribuidos '!C1082="Aceite","Aceite o grasas",IF('Volúmenes DIstribuidos '!C1082="Avena","Otros almidones",'Volúmenes DIstribuidos '!C1082)))</f>
        <v>Menestras</v>
      </c>
      <c r="C1675" s="10" t="s">
        <v>29</v>
      </c>
      <c r="D1675" s="12">
        <f>'Volúmenes DIstribuidos '!D1082</f>
        <v>80.16</v>
      </c>
      <c r="E1675" s="12">
        <f>SUMIF('Parametros Inventario'!$A:$A,B1675,'Parametros Inventario'!$B:$B)+SUMIFS(D$2:D1675,B$2:B1675,B1675,C$2:C1675,"ENTRADA")-SUMIFS(D$2:D1675,B$2:B1675,B1675,C$2:C1675,"SALIDA")</f>
        <v>7650.8090000000029</v>
      </c>
    </row>
    <row r="1676" spans="1:5" x14ac:dyDescent="0.3">
      <c r="A1676" s="9">
        <f>'Volúmenes DIstribuidos '!B1083</f>
        <v>44677</v>
      </c>
      <c r="B1676" s="10" t="str">
        <f>IF(OR('Volúmenes DIstribuidos '!C1083="Azúcar",'Volúmenes DIstribuidos '!C1083="azúcar"),"Azúcar o dulce",IF('Volúmenes DIstribuidos '!C1083="Aceite","Aceite o grasas",IF('Volúmenes DIstribuidos '!C1083="Avena","Otros almidones",'Volúmenes DIstribuidos '!C1083)))</f>
        <v>Panadería</v>
      </c>
      <c r="C1676" s="10" t="s">
        <v>29</v>
      </c>
      <c r="D1676" s="12">
        <f>'Volúmenes DIstribuidos '!D1083</f>
        <v>24.79</v>
      </c>
      <c r="E1676" s="12">
        <f>SUMIF('Parametros Inventario'!$A:$A,B1676,'Parametros Inventario'!$B:$B)+SUMIFS(D$2:D1676,B$2:B1676,B1676,C$2:C1676,"ENTRADA")-SUMIFS(D$2:D1676,B$2:B1676,B1676,C$2:C1676,"SALIDA")</f>
        <v>5517.6160000000009</v>
      </c>
    </row>
    <row r="1677" spans="1:5" x14ac:dyDescent="0.3">
      <c r="A1677" s="9">
        <f>'Volúmenes DIstribuidos '!B1083</f>
        <v>44677</v>
      </c>
      <c r="B1677" s="10" t="str">
        <f>IF(OR('Volúmenes DIstribuidos '!C1084="Azúcar",'Volúmenes DIstribuidos '!C1084="azúcar"),"Azúcar o dulce",IF('Volúmenes DIstribuidos '!C1084="Aceite","Aceite o grasas",IF('Volúmenes DIstribuidos '!C1084="Avena","Otros almidones",'Volúmenes DIstribuidos '!C1084)))</f>
        <v>Lácteos</v>
      </c>
      <c r="C1677" s="10" t="s">
        <v>29</v>
      </c>
      <c r="D1677" s="12">
        <f>'Volúmenes DIstribuidos '!D1084</f>
        <v>18.638000000000002</v>
      </c>
      <c r="E1677" s="12">
        <f>SUMIF('Parametros Inventario'!$A:$A,B1677,'Parametros Inventario'!$B:$B)+SUMIFS(D$2:D1677,B$2:B1677,B1677,C$2:C1677,"ENTRADA")-SUMIFS(D$2:D1677,B$2:B1677,B1677,C$2:C1677,"SALIDA")</f>
        <v>6923.9040000000005</v>
      </c>
    </row>
    <row r="1678" spans="1:5" x14ac:dyDescent="0.3">
      <c r="A1678" s="9">
        <f>'Volúmenes DIstribuidos '!B1083</f>
        <v>44677</v>
      </c>
      <c r="B1678" s="10" t="str">
        <f>IF(OR('Volúmenes DIstribuidos '!C1085="Azúcar",'Volúmenes DIstribuidos '!C1085="azúcar"),"Azúcar o dulce",IF('Volúmenes DIstribuidos '!C1085="Aceite","Aceite o grasas",IF('Volúmenes DIstribuidos '!C1085="Avena","Otros almidones",'Volúmenes DIstribuidos '!C1085)))</f>
        <v>Vegetales y hojas</v>
      </c>
      <c r="C1678" s="10" t="s">
        <v>29</v>
      </c>
      <c r="D1678" s="12">
        <f>'Volúmenes DIstribuidos '!D1085</f>
        <v>13.49</v>
      </c>
      <c r="E1678" s="12">
        <f>SUMIF('Parametros Inventario'!$A:$A,B1678,'Parametros Inventario'!$B:$B)+SUMIFS(D$2:D1678,B$2:B1678,B1678,C$2:C1678,"ENTRADA")-SUMIFS(D$2:D1678,B$2:B1678,B1678,C$2:C1678,"SALIDA")</f>
        <v>8577.0049999999974</v>
      </c>
    </row>
    <row r="1679" spans="1:5" x14ac:dyDescent="0.3">
      <c r="A1679" s="9">
        <f>'Volúmenes DIstribuidos '!B1083</f>
        <v>44677</v>
      </c>
      <c r="B1679" s="10" t="str">
        <f>IF(OR('Volúmenes DIstribuidos '!C1086="Azúcar",'Volúmenes DIstribuidos '!C1086="azúcar"),"Azúcar o dulce",IF('Volúmenes DIstribuidos '!C1086="Aceite","Aceite o grasas",IF('Volúmenes DIstribuidos '!C1086="Avena","Otros almidones",'Volúmenes DIstribuidos '!C1086)))</f>
        <v>Salsas</v>
      </c>
      <c r="C1679" s="10" t="s">
        <v>29</v>
      </c>
      <c r="D1679" s="12">
        <f>'Volúmenes DIstribuidos '!D1086</f>
        <v>65.91</v>
      </c>
      <c r="E1679" s="12">
        <f>SUMIF('Parametros Inventario'!$A:$A,B1679,'Parametros Inventario'!$B:$B)+SUMIFS(D$2:D1679,B$2:B1679,B1679,C$2:C1679,"ENTRADA")-SUMIFS(D$2:D1679,B$2:B1679,B1679,C$2:C1679,"SALIDA")</f>
        <v>7422.0679999999975</v>
      </c>
    </row>
    <row r="1680" spans="1:5" x14ac:dyDescent="0.3">
      <c r="A1680" s="9">
        <f>'Volúmenes DIstribuidos '!B1083</f>
        <v>44677</v>
      </c>
      <c r="B1680" s="10" t="str">
        <f>IF(OR('Volúmenes DIstribuidos '!C1087="Azúcar",'Volúmenes DIstribuidos '!C1087="azúcar"),"Azúcar o dulce",IF('Volúmenes DIstribuidos '!C1087="Aceite","Aceite o grasas",IF('Volúmenes DIstribuidos '!C1087="Avena","Otros almidones",'Volúmenes DIstribuidos '!C1087)))</f>
        <v>Carnes rojas</v>
      </c>
      <c r="C1680" s="10" t="s">
        <v>29</v>
      </c>
      <c r="D1680" s="12">
        <f>'Volúmenes DIstribuidos '!D1087</f>
        <v>52.35</v>
      </c>
      <c r="E1680" s="12">
        <f>SUMIF('Parametros Inventario'!$A:$A,B1680,'Parametros Inventario'!$B:$B)+SUMIFS(D$2:D1680,B$2:B1680,B1680,C$2:C1680,"ENTRADA")-SUMIFS(D$2:D1680,B$2:B1680,B1680,C$2:C1680,"SALIDA")</f>
        <v>7671.26</v>
      </c>
    </row>
    <row r="1681" spans="1:5" x14ac:dyDescent="0.3">
      <c r="A1681" s="9">
        <f>'Volúmenes DIstribuidos '!B1083</f>
        <v>44677</v>
      </c>
      <c r="B1681" s="10" t="str">
        <f>IF(OR('Volúmenes DIstribuidos '!C1088="Azúcar",'Volúmenes DIstribuidos '!C1088="azúcar"),"Azúcar o dulce",IF('Volúmenes DIstribuidos '!C1088="Aceite","Aceite o grasas",IF('Volúmenes DIstribuidos '!C1088="Avena","Otros almidones",'Volúmenes DIstribuidos '!C1088)))</f>
        <v>Carnes blancas</v>
      </c>
      <c r="C1681" s="10" t="s">
        <v>29</v>
      </c>
      <c r="D1681" s="12">
        <f>'Volúmenes DIstribuidos '!D1088</f>
        <v>36.130000000000003</v>
      </c>
      <c r="E1681" s="12">
        <f>SUMIF('Parametros Inventario'!$A:$A,B1681,'Parametros Inventario'!$B:$B)+SUMIFS(D$2:D1681,B$2:B1681,B1681,C$2:C1681,"ENTRADA")-SUMIFS(D$2:D1681,B$2:B1681,B1681,C$2:C1681,"SALIDA")</f>
        <v>8102.4220000000014</v>
      </c>
    </row>
    <row r="1682" spans="1:5" x14ac:dyDescent="0.3">
      <c r="A1682" s="9">
        <f>'Volúmenes DIstribuidos '!B1089</f>
        <v>44680</v>
      </c>
      <c r="B1682" s="10" t="str">
        <f>IF(OR('Volúmenes DIstribuidos '!C1089="Azúcar",'Volúmenes DIstribuidos '!C1089="azúcar"),"Azúcar o dulce",IF('Volúmenes DIstribuidos '!C1089="Aceite","Aceite o grasas",IF('Volúmenes DIstribuidos '!C1089="Avena","Otros almidones",'Volúmenes DIstribuidos '!C1089)))</f>
        <v>Lácteos</v>
      </c>
      <c r="C1682" s="10" t="s">
        <v>29</v>
      </c>
      <c r="D1682" s="12">
        <f>'Volúmenes DIstribuidos '!D1089</f>
        <v>46.52</v>
      </c>
      <c r="E1682" s="12">
        <f>SUMIF('Parametros Inventario'!$A:$A,B1682,'Parametros Inventario'!$B:$B)+SUMIFS(D$2:D1682,B$2:B1682,B1682,C$2:C1682,"ENTRADA")-SUMIFS(D$2:D1682,B$2:B1682,B1682,C$2:C1682,"SALIDA")</f>
        <v>6877.384</v>
      </c>
    </row>
    <row r="1683" spans="1:5" x14ac:dyDescent="0.3">
      <c r="A1683" s="9">
        <f>'Volúmenes DIstribuidos '!B1089</f>
        <v>44680</v>
      </c>
      <c r="B1683" s="10" t="str">
        <f>IF(OR('Volúmenes DIstribuidos '!C1090="Azúcar",'Volúmenes DIstribuidos '!C1090="azúcar"),"Azúcar o dulce",IF('Volúmenes DIstribuidos '!C1090="Aceite","Aceite o grasas",IF('Volúmenes DIstribuidos '!C1090="Avena","Otros almidones",'Volúmenes DIstribuidos '!C1090)))</f>
        <v>Aceite o grasas</v>
      </c>
      <c r="C1683" s="10" t="s">
        <v>29</v>
      </c>
      <c r="D1683" s="12">
        <f>'Volúmenes DIstribuidos '!D1090</f>
        <v>32.35</v>
      </c>
      <c r="E1683" s="12">
        <f>SUMIF('Parametros Inventario'!$A:$A,B1683,'Parametros Inventario'!$B:$B)+SUMIFS(D$2:D1683,B$2:B1683,B1683,C$2:C1683,"ENTRADA")-SUMIFS(D$2:D1683,B$2:B1683,B1683,C$2:C1683,"SALIDA")</f>
        <v>6859.0529999999999</v>
      </c>
    </row>
    <row r="1684" spans="1:5" x14ac:dyDescent="0.3">
      <c r="A1684" s="9">
        <f>'Volúmenes DIstribuidos '!B1089</f>
        <v>44680</v>
      </c>
      <c r="B1684" s="10" t="str">
        <f>IF(OR('Volúmenes DIstribuidos '!C1091="Azúcar",'Volúmenes DIstribuidos '!C1091="azúcar"),"Azúcar o dulce",IF('Volúmenes DIstribuidos '!C1091="Aceite","Aceite o grasas",IF('Volúmenes DIstribuidos '!C1091="Avena","Otros almidones",'Volúmenes DIstribuidos '!C1091)))</f>
        <v>Azúcar o dulce</v>
      </c>
      <c r="C1684" s="10" t="s">
        <v>29</v>
      </c>
      <c r="D1684" s="12">
        <f>'Volúmenes DIstribuidos '!D1091</f>
        <v>126.77</v>
      </c>
      <c r="E1684" s="12">
        <f>SUMIF('Parametros Inventario'!$A:$A,B1684,'Parametros Inventario'!$B:$B)+SUMIFS(D$2:D1684,B$2:B1684,B1684,C$2:C1684,"ENTRADA")-SUMIFS(D$2:D1684,B$2:B1684,B1684,C$2:C1684,"SALIDA")</f>
        <v>7957.0990000000038</v>
      </c>
    </row>
    <row r="1685" spans="1:5" x14ac:dyDescent="0.3">
      <c r="A1685" s="9">
        <f>'Volúmenes DIstribuidos '!B1089</f>
        <v>44680</v>
      </c>
      <c r="B1685" s="10" t="str">
        <f>IF(OR('Volúmenes DIstribuidos '!C1092="Azúcar",'Volúmenes DIstribuidos '!C1092="azúcar"),"Azúcar o dulce",IF('Volúmenes DIstribuidos '!C1092="Aceite","Aceite o grasas",IF('Volúmenes DIstribuidos '!C1092="Avena","Otros almidones",'Volúmenes DIstribuidos '!C1092)))</f>
        <v>Fideo</v>
      </c>
      <c r="C1685" s="10" t="s">
        <v>29</v>
      </c>
      <c r="D1685" s="12">
        <f>'Volúmenes DIstribuidos '!D1092</f>
        <v>21.86</v>
      </c>
      <c r="E1685" s="12">
        <f>SUMIF('Parametros Inventario'!$A:$A,B1685,'Parametros Inventario'!$B:$B)+SUMIFS(D$2:D1685,B$2:B1685,B1685,C$2:C1685,"ENTRADA")-SUMIFS(D$2:D1685,B$2:B1685,B1685,C$2:C1685,"SALIDA")</f>
        <v>8231.7050000000017</v>
      </c>
    </row>
    <row r="1686" spans="1:5" x14ac:dyDescent="0.3">
      <c r="A1686" s="9">
        <f>'Volúmenes DIstribuidos '!B1089</f>
        <v>44680</v>
      </c>
      <c r="B1686" s="10" t="str">
        <f>IF(OR('Volúmenes DIstribuidos '!C1093="Azúcar",'Volúmenes DIstribuidos '!C1093="azúcar"),"Azúcar o dulce",IF('Volúmenes DIstribuidos '!C1093="Aceite","Aceite o grasas",IF('Volúmenes DIstribuidos '!C1093="Avena","Otros almidones",'Volúmenes DIstribuidos '!C1093)))</f>
        <v>Carnes blancas</v>
      </c>
      <c r="C1686" s="10" t="s">
        <v>29</v>
      </c>
      <c r="D1686" s="12">
        <f>'Volúmenes DIstribuidos '!D1093</f>
        <v>28.54</v>
      </c>
      <c r="E1686" s="12">
        <f>SUMIF('Parametros Inventario'!$A:$A,B1686,'Parametros Inventario'!$B:$B)+SUMIFS(D$2:D1686,B$2:B1686,B1686,C$2:C1686,"ENTRADA")-SUMIFS(D$2:D1686,B$2:B1686,B1686,C$2:C1686,"SALIDA")</f>
        <v>8073.8820000000014</v>
      </c>
    </row>
    <row r="1687" spans="1:5" x14ac:dyDescent="0.3">
      <c r="A1687" s="9">
        <f>'Volúmenes DIstribuidos '!B1089</f>
        <v>44680</v>
      </c>
      <c r="B1687" s="10" t="str">
        <f>IF(OR('Volúmenes DIstribuidos '!C1094="Azúcar",'Volúmenes DIstribuidos '!C1094="azúcar"),"Azúcar o dulce",IF('Volúmenes DIstribuidos '!C1094="Aceite","Aceite o grasas",IF('Volúmenes DIstribuidos '!C1094="Avena","Otros almidones",'Volúmenes DIstribuidos '!C1094)))</f>
        <v>Lácteos</v>
      </c>
      <c r="C1687" s="10" t="s">
        <v>29</v>
      </c>
      <c r="D1687" s="12">
        <f>'Volúmenes DIstribuidos '!D1094</f>
        <v>13.154999999999999</v>
      </c>
      <c r="E1687" s="12">
        <f>SUMIF('Parametros Inventario'!$A:$A,B1687,'Parametros Inventario'!$B:$B)+SUMIFS(D$2:D1687,B$2:B1687,B1687,C$2:C1687,"ENTRADA")-SUMIFS(D$2:D1687,B$2:B1687,B1687,C$2:C1687,"SALIDA")</f>
        <v>6864.2290000000003</v>
      </c>
    </row>
    <row r="1688" spans="1:5" x14ac:dyDescent="0.3">
      <c r="A1688" s="9">
        <f>'Volúmenes DIstribuidos '!B1095</f>
        <v>44684</v>
      </c>
      <c r="B1688" s="10" t="str">
        <f>IF(OR('Volúmenes DIstribuidos '!C1095="Azúcar",'Volúmenes DIstribuidos '!C1095="azúcar"),"Azúcar o dulce",IF('Volúmenes DIstribuidos '!C1095="Aceite","Aceite o grasas",IF('Volúmenes DIstribuidos '!C1095="Avena","Otros almidones",'Volúmenes DIstribuidos '!C1095)))</f>
        <v>Lácteos</v>
      </c>
      <c r="C1688" s="10" t="s">
        <v>29</v>
      </c>
      <c r="D1688" s="12">
        <f>'Volúmenes DIstribuidos '!D1095</f>
        <v>13.02</v>
      </c>
      <c r="E1688" s="12">
        <f>SUMIF('Parametros Inventario'!$A:$A,B1688,'Parametros Inventario'!$B:$B)+SUMIFS(D$2:D1688,B$2:B1688,B1688,C$2:C1688,"ENTRADA")-SUMIFS(D$2:D1688,B$2:B1688,B1688,C$2:C1688,"SALIDA")</f>
        <v>6851.2090000000007</v>
      </c>
    </row>
    <row r="1689" spans="1:5" x14ac:dyDescent="0.3">
      <c r="A1689" s="9">
        <f>'Volúmenes DIstribuidos '!B1095</f>
        <v>44684</v>
      </c>
      <c r="B1689" s="10" t="str">
        <f>IF(OR('Volúmenes DIstribuidos '!C1096="Azúcar",'Volúmenes DIstribuidos '!C1096="azúcar"),"Azúcar o dulce",IF('Volúmenes DIstribuidos '!C1096="Aceite","Aceite o grasas",IF('Volúmenes DIstribuidos '!C1096="Avena","Otros almidones",'Volúmenes DIstribuidos '!C1096)))</f>
        <v>Vegetales y hojas</v>
      </c>
      <c r="C1689" s="10" t="s">
        <v>29</v>
      </c>
      <c r="D1689" s="12">
        <f>'Volúmenes DIstribuidos '!D1096</f>
        <v>18.09</v>
      </c>
      <c r="E1689" s="12">
        <f>SUMIF('Parametros Inventario'!$A:$A,B1689,'Parametros Inventario'!$B:$B)+SUMIFS(D$2:D1689,B$2:B1689,B1689,C$2:C1689,"ENTRADA")-SUMIFS(D$2:D1689,B$2:B1689,B1689,C$2:C1689,"SALIDA")</f>
        <v>8558.9149999999972</v>
      </c>
    </row>
    <row r="1690" spans="1:5" x14ac:dyDescent="0.3">
      <c r="A1690" s="9">
        <f>'Volúmenes DIstribuidos '!B1095</f>
        <v>44684</v>
      </c>
      <c r="B1690" s="10" t="str">
        <f>IF(OR('Volúmenes DIstribuidos '!C1097="Azúcar",'Volúmenes DIstribuidos '!C1097="azúcar"),"Azúcar o dulce",IF('Volúmenes DIstribuidos '!C1097="Aceite","Aceite o grasas",IF('Volúmenes DIstribuidos '!C1097="Avena","Otros almidones",'Volúmenes DIstribuidos '!C1097)))</f>
        <v>Carnes blancas</v>
      </c>
      <c r="C1690" s="10" t="s">
        <v>29</v>
      </c>
      <c r="D1690" s="12">
        <f>'Volúmenes DIstribuidos '!D1097</f>
        <v>4.7</v>
      </c>
      <c r="E1690" s="12">
        <f>SUMIF('Parametros Inventario'!$A:$A,B1690,'Parametros Inventario'!$B:$B)+SUMIFS(D$2:D1690,B$2:B1690,B1690,C$2:C1690,"ENTRADA")-SUMIFS(D$2:D1690,B$2:B1690,B1690,C$2:C1690,"SALIDA")</f>
        <v>8069.1820000000016</v>
      </c>
    </row>
    <row r="1691" spans="1:5" x14ac:dyDescent="0.3">
      <c r="A1691" s="9">
        <f>'Volúmenes DIstribuidos '!B1095</f>
        <v>44684</v>
      </c>
      <c r="B1691" s="10" t="str">
        <f>IF(OR('Volúmenes DIstribuidos '!C1098="Azúcar",'Volúmenes DIstribuidos '!C1098="azúcar"),"Azúcar o dulce",IF('Volúmenes DIstribuidos '!C1098="Aceite","Aceite o grasas",IF('Volúmenes DIstribuidos '!C1098="Avena","Otros almidones",'Volúmenes DIstribuidos '!C1098)))</f>
        <v>Aceite o grasas</v>
      </c>
      <c r="C1691" s="10" t="s">
        <v>29</v>
      </c>
      <c r="D1691" s="12">
        <f>'Volúmenes DIstribuidos '!D1098</f>
        <v>27.82</v>
      </c>
      <c r="E1691" s="12">
        <f>SUMIF('Parametros Inventario'!$A:$A,B1691,'Parametros Inventario'!$B:$B)+SUMIFS(D$2:D1691,B$2:B1691,B1691,C$2:C1691,"ENTRADA")-SUMIFS(D$2:D1691,B$2:B1691,B1691,C$2:C1691,"SALIDA")</f>
        <v>6831.2330000000002</v>
      </c>
    </row>
    <row r="1692" spans="1:5" x14ac:dyDescent="0.3">
      <c r="A1692" s="9">
        <f>'Volúmenes DIstribuidos '!B1095</f>
        <v>44684</v>
      </c>
      <c r="B1692" s="10" t="str">
        <f>IF(OR('Volúmenes DIstribuidos '!C1099="Azúcar",'Volúmenes DIstribuidos '!C1099="azúcar"),"Azúcar o dulce",IF('Volúmenes DIstribuidos '!C1099="Aceite","Aceite o grasas",IF('Volúmenes DIstribuidos '!C1099="Avena","Otros almidones",'Volúmenes DIstribuidos '!C1099)))</f>
        <v>Otros almidones</v>
      </c>
      <c r="C1692" s="10" t="s">
        <v>29</v>
      </c>
      <c r="D1692" s="12">
        <f>'Volúmenes DIstribuidos '!D1099</f>
        <v>19.262</v>
      </c>
      <c r="E1692" s="12">
        <f>SUMIF('Parametros Inventario'!$A:$A,B1692,'Parametros Inventario'!$B:$B)+SUMIFS(D$2:D1692,B$2:B1692,B1692,C$2:C1692,"ENTRADA")-SUMIFS(D$2:D1692,B$2:B1692,B1692,C$2:C1692,"SALIDA")</f>
        <v>7587.2699999999986</v>
      </c>
    </row>
    <row r="1693" spans="1:5" x14ac:dyDescent="0.3">
      <c r="A1693" s="9">
        <f>'Volúmenes DIstribuidos '!B1095</f>
        <v>44684</v>
      </c>
      <c r="B1693" s="10" t="str">
        <f>IF(OR('Volúmenes DIstribuidos '!C1100="Azúcar",'Volúmenes DIstribuidos '!C1100="azúcar"),"Azúcar o dulce",IF('Volúmenes DIstribuidos '!C1100="Aceite","Aceite o grasas",IF('Volúmenes DIstribuidos '!C1100="Avena","Otros almidones",'Volúmenes DIstribuidos '!C1100)))</f>
        <v>Panadería</v>
      </c>
      <c r="C1693" s="10" t="s">
        <v>29</v>
      </c>
      <c r="D1693" s="12">
        <f>'Volúmenes DIstribuidos '!D1100</f>
        <v>9.1300000000000008</v>
      </c>
      <c r="E1693" s="12">
        <f>SUMIF('Parametros Inventario'!$A:$A,B1693,'Parametros Inventario'!$B:$B)+SUMIFS(D$2:D1693,B$2:B1693,B1693,C$2:C1693,"ENTRADA")-SUMIFS(D$2:D1693,B$2:B1693,B1693,C$2:C1693,"SALIDA")</f>
        <v>5508.4860000000008</v>
      </c>
    </row>
    <row r="1694" spans="1:5" x14ac:dyDescent="0.3">
      <c r="A1694" s="9">
        <v>44687</v>
      </c>
      <c r="B1694" s="10" t="s">
        <v>13</v>
      </c>
      <c r="C1694" s="10" t="s">
        <v>28</v>
      </c>
      <c r="D1694" s="12">
        <v>192.05</v>
      </c>
      <c r="E1694" s="12">
        <f>SUMIF('Parametros Inventario'!$A:$A,B1694,'Parametros Inventario'!$B:$B)+SUMIFS(D$2:D1694,B$2:B1694,B1694,C$2:C1694,"ENTRADA")-SUMIFS(D$2:D1694,B$2:B1694,B1694,C$2:C1694,"SALIDA")</f>
        <v>8149.1490000000031</v>
      </c>
    </row>
    <row r="1695" spans="1:5" x14ac:dyDescent="0.3">
      <c r="A1695" s="9">
        <v>44687</v>
      </c>
      <c r="B1695" s="10" t="s">
        <v>15</v>
      </c>
      <c r="C1695" s="10" t="s">
        <v>28</v>
      </c>
      <c r="D1695" s="12">
        <v>249.79</v>
      </c>
      <c r="E1695" s="12">
        <f>SUMIF('Parametros Inventario'!$A:$A,B1695,'Parametros Inventario'!$B:$B)+SUMIFS(D$2:D1695,B$2:B1695,B1695,C$2:C1695,"ENTRADA")-SUMIFS(D$2:D1695,B$2:B1695,B1695,C$2:C1695,"SALIDA")</f>
        <v>7837.0599999999995</v>
      </c>
    </row>
    <row r="1696" spans="1:5" x14ac:dyDescent="0.3">
      <c r="A1696" s="9">
        <v>44687</v>
      </c>
      <c r="B1696" s="10" t="s">
        <v>11</v>
      </c>
      <c r="C1696" s="10" t="s">
        <v>28</v>
      </c>
      <c r="D1696" s="12">
        <v>278.44</v>
      </c>
      <c r="E1696" s="12">
        <f>SUMIF('Parametros Inventario'!$A:$A,B1696,'Parametros Inventario'!$B:$B)+SUMIFS(D$2:D1696,B$2:B1696,B1696,C$2:C1696,"ENTRADA")-SUMIFS(D$2:D1696,B$2:B1696,B1696,C$2:C1696,"SALIDA")</f>
        <v>8510.1450000000004</v>
      </c>
    </row>
    <row r="1697" spans="1:5" x14ac:dyDescent="0.3">
      <c r="A1697" s="9">
        <v>44687</v>
      </c>
      <c r="B1697" s="10" t="s">
        <v>9</v>
      </c>
      <c r="C1697" s="10" t="s">
        <v>28</v>
      </c>
      <c r="D1697" s="12">
        <v>193.47</v>
      </c>
      <c r="E1697" s="12">
        <f>SUMIF('Parametros Inventario'!$A:$A,B1697,'Parametros Inventario'!$B:$B)+SUMIFS(D$2:D1697,B$2:B1697,B1697,C$2:C1697,"ENTRADA")-SUMIFS(D$2:D1697,B$2:B1697,B1697,C$2:C1697,"SALIDA")</f>
        <v>5701.9560000000001</v>
      </c>
    </row>
    <row r="1698" spans="1:5" x14ac:dyDescent="0.3">
      <c r="A1698" s="9">
        <v>44687</v>
      </c>
      <c r="B1698" s="10" t="s">
        <v>14</v>
      </c>
      <c r="C1698" s="10" t="s">
        <v>28</v>
      </c>
      <c r="D1698" s="12">
        <v>147.72</v>
      </c>
      <c r="E1698" s="12">
        <f>SUMIF('Parametros Inventario'!$A:$A,B1698,'Parametros Inventario'!$B:$B)+SUMIFS(D$2:D1698,B$2:B1698,B1698,C$2:C1698,"ENTRADA")-SUMIFS(D$2:D1698,B$2:B1698,B1698,C$2:C1698,"SALIDA")</f>
        <v>7798.5290000000023</v>
      </c>
    </row>
    <row r="1699" spans="1:5" x14ac:dyDescent="0.3">
      <c r="A1699" s="9">
        <v>44687</v>
      </c>
      <c r="B1699" s="10" t="s">
        <v>12</v>
      </c>
      <c r="C1699" s="10" t="s">
        <v>28</v>
      </c>
      <c r="D1699" s="12">
        <v>145.33000000000001</v>
      </c>
      <c r="E1699" s="12">
        <f>SUMIF('Parametros Inventario'!$A:$A,B1699,'Parametros Inventario'!$B:$B)+SUMIFS(D$2:D1699,B$2:B1699,B1699,C$2:C1699,"ENTRADA")-SUMIFS(D$2:D1699,B$2:B1699,B1699,C$2:C1699,"SALIDA")</f>
        <v>7816.59</v>
      </c>
    </row>
    <row r="1700" spans="1:5" x14ac:dyDescent="0.3">
      <c r="A1700" s="9">
        <v>44687</v>
      </c>
      <c r="B1700" s="10" t="s">
        <v>16</v>
      </c>
      <c r="C1700" s="10" t="s">
        <v>28</v>
      </c>
      <c r="D1700" s="12">
        <v>287.17</v>
      </c>
      <c r="E1700" s="12">
        <f>SUMIF('Parametros Inventario'!$A:$A,B1700,'Parametros Inventario'!$B:$B)+SUMIFS(D$2:D1700,B$2:B1700,B1700,C$2:C1700,"ENTRADA")-SUMIFS(D$2:D1700,B$2:B1700,B1700,C$2:C1700,"SALIDA")</f>
        <v>8356.3520000000026</v>
      </c>
    </row>
    <row r="1701" spans="1:5" x14ac:dyDescent="0.3">
      <c r="A1701" s="9">
        <v>44687</v>
      </c>
      <c r="B1701" s="10" t="s">
        <v>17</v>
      </c>
      <c r="C1701" s="10" t="s">
        <v>28</v>
      </c>
      <c r="D1701" s="12">
        <v>65.930000000000007</v>
      </c>
      <c r="E1701" s="12">
        <f>SUMIF('Parametros Inventario'!$A:$A,B1701,'Parametros Inventario'!$B:$B)+SUMIFS(D$2:D1701,B$2:B1701,B1701,C$2:C1701,"ENTRADA")-SUMIFS(D$2:D1701,B$2:B1701,B1701,C$2:C1701,"SALIDA")</f>
        <v>6917.139000000001</v>
      </c>
    </row>
    <row r="1702" spans="1:5" x14ac:dyDescent="0.3">
      <c r="A1702" s="9">
        <v>44687</v>
      </c>
      <c r="B1702" s="10" t="s">
        <v>18</v>
      </c>
      <c r="C1702" s="10" t="s">
        <v>28</v>
      </c>
      <c r="D1702" s="12">
        <v>146.61000000000001</v>
      </c>
      <c r="E1702" s="12">
        <f>SUMIF('Parametros Inventario'!$A:$A,B1702,'Parametros Inventario'!$B:$B)+SUMIFS(D$2:D1702,B$2:B1702,B1702,C$2:C1702,"ENTRADA")-SUMIFS(D$2:D1702,B$2:B1702,B1702,C$2:C1702,"SALIDA")</f>
        <v>7568.6779999999981</v>
      </c>
    </row>
    <row r="1703" spans="1:5" x14ac:dyDescent="0.3">
      <c r="A1703" s="9">
        <v>44687</v>
      </c>
      <c r="B1703" s="10" t="s">
        <v>10</v>
      </c>
      <c r="C1703" s="10" t="s">
        <v>28</v>
      </c>
      <c r="D1703" s="12">
        <v>168.69</v>
      </c>
      <c r="E1703" s="12">
        <f>SUMIF('Parametros Inventario'!$A:$A,B1703,'Parametros Inventario'!$B:$B)+SUMIFS(D$2:D1703,B$2:B1703,B1703,C$2:C1703,"ENTRADA")-SUMIFS(D$2:D1703,B$2:B1703,B1703,C$2:C1703,"SALIDA")</f>
        <v>8727.6049999999977</v>
      </c>
    </row>
    <row r="1704" spans="1:5" x14ac:dyDescent="0.3">
      <c r="A1704" s="9">
        <v>44687</v>
      </c>
      <c r="B1704" s="10" t="s">
        <v>8</v>
      </c>
      <c r="C1704" s="10" t="s">
        <v>28</v>
      </c>
      <c r="D1704" s="12">
        <v>132.21</v>
      </c>
      <c r="E1704" s="12">
        <f>SUMIF('Parametros Inventario'!$A:$A,B1704,'Parametros Inventario'!$B:$B)+SUMIFS(D$2:D1704,B$2:B1704,B1704,C$2:C1704,"ENTRADA")-SUMIFS(D$2:D1704,B$2:B1704,B1704,C$2:C1704,"SALIDA")</f>
        <v>6963.4429999999993</v>
      </c>
    </row>
    <row r="1705" spans="1:5" x14ac:dyDescent="0.3">
      <c r="A1705" s="9">
        <v>44687</v>
      </c>
      <c r="B1705" s="10" t="s">
        <v>13</v>
      </c>
      <c r="C1705" s="10" t="s">
        <v>28</v>
      </c>
      <c r="D1705" s="12">
        <v>290.48</v>
      </c>
      <c r="E1705" s="12">
        <f>SUMIF('Parametros Inventario'!$A:$A,B1705,'Parametros Inventario'!$B:$B)+SUMIFS(D$2:D1705,B$2:B1705,B1705,C$2:C1705,"ENTRADA")-SUMIFS(D$2:D1705,B$2:B1705,B1705,C$2:C1705,"SALIDA")</f>
        <v>8439.6290000000026</v>
      </c>
    </row>
    <row r="1706" spans="1:5" x14ac:dyDescent="0.3">
      <c r="A1706" s="9">
        <v>44687</v>
      </c>
      <c r="B1706" s="10" t="s">
        <v>15</v>
      </c>
      <c r="C1706" s="10" t="s">
        <v>28</v>
      </c>
      <c r="D1706" s="12">
        <v>209.75</v>
      </c>
      <c r="E1706" s="12">
        <f>SUMIF('Parametros Inventario'!$A:$A,B1706,'Parametros Inventario'!$B:$B)+SUMIFS(D$2:D1706,B$2:B1706,B1706,C$2:C1706,"ENTRADA")-SUMIFS(D$2:D1706,B$2:B1706,B1706,C$2:C1706,"SALIDA")</f>
        <v>8046.8099999999995</v>
      </c>
    </row>
    <row r="1707" spans="1:5" x14ac:dyDescent="0.3">
      <c r="A1707" s="9">
        <v>44687</v>
      </c>
      <c r="B1707" s="10" t="s">
        <v>11</v>
      </c>
      <c r="C1707" s="10" t="s">
        <v>28</v>
      </c>
      <c r="D1707" s="12">
        <v>126.16</v>
      </c>
      <c r="E1707" s="12">
        <f>SUMIF('Parametros Inventario'!$A:$A,B1707,'Parametros Inventario'!$B:$B)+SUMIFS(D$2:D1707,B$2:B1707,B1707,C$2:C1707,"ENTRADA")-SUMIFS(D$2:D1707,B$2:B1707,B1707,C$2:C1707,"SALIDA")</f>
        <v>8636.3050000000003</v>
      </c>
    </row>
    <row r="1708" spans="1:5" x14ac:dyDescent="0.3">
      <c r="A1708" s="9">
        <v>44687</v>
      </c>
      <c r="B1708" s="10" t="s">
        <v>9</v>
      </c>
      <c r="C1708" s="10" t="s">
        <v>28</v>
      </c>
      <c r="D1708" s="12">
        <v>92.86</v>
      </c>
      <c r="E1708" s="12">
        <f>SUMIF('Parametros Inventario'!$A:$A,B1708,'Parametros Inventario'!$B:$B)+SUMIFS(D$2:D1708,B$2:B1708,B1708,C$2:C1708,"ENTRADA")-SUMIFS(D$2:D1708,B$2:B1708,B1708,C$2:C1708,"SALIDA")</f>
        <v>5794.8160000000007</v>
      </c>
    </row>
    <row r="1709" spans="1:5" x14ac:dyDescent="0.3">
      <c r="A1709" s="9">
        <v>44687</v>
      </c>
      <c r="B1709" s="10" t="s">
        <v>14</v>
      </c>
      <c r="C1709" s="10" t="s">
        <v>28</v>
      </c>
      <c r="D1709" s="12">
        <v>218.72</v>
      </c>
      <c r="E1709" s="12">
        <f>SUMIF('Parametros Inventario'!$A:$A,B1709,'Parametros Inventario'!$B:$B)+SUMIFS(D$2:D1709,B$2:B1709,B1709,C$2:C1709,"ENTRADA")-SUMIFS(D$2:D1709,B$2:B1709,B1709,C$2:C1709,"SALIDA")</f>
        <v>8017.2490000000016</v>
      </c>
    </row>
    <row r="1710" spans="1:5" x14ac:dyDescent="0.3">
      <c r="A1710" s="9">
        <v>44687</v>
      </c>
      <c r="B1710" s="10" t="s">
        <v>12</v>
      </c>
      <c r="C1710" s="10" t="s">
        <v>28</v>
      </c>
      <c r="D1710" s="12">
        <v>94.41</v>
      </c>
      <c r="E1710" s="12">
        <f>SUMIF('Parametros Inventario'!$A:$A,B1710,'Parametros Inventario'!$B:$B)+SUMIFS(D$2:D1710,B$2:B1710,B1710,C$2:C1710,"ENTRADA")-SUMIFS(D$2:D1710,B$2:B1710,B1710,C$2:C1710,"SALIDA")</f>
        <v>7911</v>
      </c>
    </row>
    <row r="1711" spans="1:5" x14ac:dyDescent="0.3">
      <c r="A1711" s="9">
        <v>44687</v>
      </c>
      <c r="B1711" s="10" t="s">
        <v>16</v>
      </c>
      <c r="C1711" s="10" t="s">
        <v>28</v>
      </c>
      <c r="D1711" s="12">
        <v>256.62</v>
      </c>
      <c r="E1711" s="12">
        <f>SUMIF('Parametros Inventario'!$A:$A,B1711,'Parametros Inventario'!$B:$B)+SUMIFS(D$2:D1711,B$2:B1711,B1711,C$2:C1711,"ENTRADA")-SUMIFS(D$2:D1711,B$2:B1711,B1711,C$2:C1711,"SALIDA")</f>
        <v>8612.9720000000016</v>
      </c>
    </row>
    <row r="1712" spans="1:5" x14ac:dyDescent="0.3">
      <c r="A1712" s="9">
        <v>44687</v>
      </c>
      <c r="B1712" s="10" t="s">
        <v>17</v>
      </c>
      <c r="C1712" s="10" t="s">
        <v>28</v>
      </c>
      <c r="D1712" s="12">
        <v>200.84</v>
      </c>
      <c r="E1712" s="12">
        <f>SUMIF('Parametros Inventario'!$A:$A,B1712,'Parametros Inventario'!$B:$B)+SUMIFS(D$2:D1712,B$2:B1712,B1712,C$2:C1712,"ENTRADA")-SUMIFS(D$2:D1712,B$2:B1712,B1712,C$2:C1712,"SALIDA")</f>
        <v>7117.9790000000012</v>
      </c>
    </row>
    <row r="1713" spans="1:5" x14ac:dyDescent="0.3">
      <c r="A1713" s="9">
        <v>44687</v>
      </c>
      <c r="B1713" s="10" t="s">
        <v>18</v>
      </c>
      <c r="C1713" s="10" t="s">
        <v>28</v>
      </c>
      <c r="D1713" s="12">
        <v>56.71</v>
      </c>
      <c r="E1713" s="12">
        <f>SUMIF('Parametros Inventario'!$A:$A,B1713,'Parametros Inventario'!$B:$B)+SUMIFS(D$2:D1713,B$2:B1713,B1713,C$2:C1713,"ENTRADA")-SUMIFS(D$2:D1713,B$2:B1713,B1713,C$2:C1713,"SALIDA")</f>
        <v>7625.3879999999972</v>
      </c>
    </row>
    <row r="1714" spans="1:5" x14ac:dyDescent="0.3">
      <c r="A1714" s="9">
        <f>'Volúmenes DIstribuidos '!B1101</f>
        <v>44687</v>
      </c>
      <c r="B1714" s="10" t="str">
        <f>IF(OR('Volúmenes DIstribuidos '!C1101="Azúcar",'Volúmenes DIstribuidos '!C1101="azúcar"),"Azúcar o dulce",IF('Volúmenes DIstribuidos '!C1101="Aceite","Aceite o grasas",IF('Volúmenes DIstribuidos '!C1101="Avena","Otros almidones",'Volúmenes DIstribuidos '!C1101)))</f>
        <v>Carnes rojas</v>
      </c>
      <c r="C1714" s="10" t="s">
        <v>29</v>
      </c>
      <c r="D1714" s="12">
        <f>'Volúmenes DIstribuidos '!D1101</f>
        <v>41.36</v>
      </c>
      <c r="E1714" s="12">
        <f>SUMIF('Parametros Inventario'!$A:$A,B1714,'Parametros Inventario'!$B:$B)+SUMIFS(D$2:D1714,B$2:B1714,B1714,C$2:C1714,"ENTRADA")-SUMIFS(D$2:D1714,B$2:B1714,B1714,C$2:C1714,"SALIDA")</f>
        <v>7869.64</v>
      </c>
    </row>
    <row r="1715" spans="1:5" x14ac:dyDescent="0.3">
      <c r="A1715" s="9">
        <f>'Volúmenes DIstribuidos '!B1101</f>
        <v>44687</v>
      </c>
      <c r="B1715" s="10" t="str">
        <f>IF(OR('Volúmenes DIstribuidos '!C1102="Azúcar",'Volúmenes DIstribuidos '!C1102="azúcar"),"Azúcar o dulce",IF('Volúmenes DIstribuidos '!C1102="Aceite","Aceite o grasas",IF('Volúmenes DIstribuidos '!C1102="Avena","Otros almidones",'Volúmenes DIstribuidos '!C1102)))</f>
        <v>Fideo</v>
      </c>
      <c r="C1715" s="10" t="s">
        <v>29</v>
      </c>
      <c r="D1715" s="12">
        <f>'Volúmenes DIstribuidos '!D1102</f>
        <v>39.585999999999999</v>
      </c>
      <c r="E1715" s="12">
        <f>SUMIF('Parametros Inventario'!$A:$A,B1715,'Parametros Inventario'!$B:$B)+SUMIFS(D$2:D1715,B$2:B1715,B1715,C$2:C1715,"ENTRADA")-SUMIFS(D$2:D1715,B$2:B1715,B1715,C$2:C1715,"SALIDA")</f>
        <v>8596.719000000001</v>
      </c>
    </row>
    <row r="1716" spans="1:5" x14ac:dyDescent="0.3">
      <c r="A1716" s="9">
        <f>'Volúmenes DIstribuidos '!B1101</f>
        <v>44687</v>
      </c>
      <c r="B1716" s="10" t="str">
        <f>IF(OR('Volúmenes DIstribuidos '!C1103="Azúcar",'Volúmenes DIstribuidos '!C1103="azúcar"),"Azúcar o dulce",IF('Volúmenes DIstribuidos '!C1103="Aceite","Aceite o grasas",IF('Volúmenes DIstribuidos '!C1103="Avena","Otros almidones",'Volúmenes DIstribuidos '!C1103)))</f>
        <v>Fideo</v>
      </c>
      <c r="C1716" s="10" t="s">
        <v>29</v>
      </c>
      <c r="D1716" s="12">
        <f>'Volúmenes DIstribuidos '!D1103</f>
        <v>16.73</v>
      </c>
      <c r="E1716" s="12">
        <f>SUMIF('Parametros Inventario'!$A:$A,B1716,'Parametros Inventario'!$B:$B)+SUMIFS(D$2:D1716,B$2:B1716,B1716,C$2:C1716,"ENTRADA")-SUMIFS(D$2:D1716,B$2:B1716,B1716,C$2:C1716,"SALIDA")</f>
        <v>8579.9890000000014</v>
      </c>
    </row>
    <row r="1717" spans="1:5" x14ac:dyDescent="0.3">
      <c r="A1717" s="9">
        <f>'Volúmenes DIstribuidos '!B1101</f>
        <v>44687</v>
      </c>
      <c r="B1717" s="10" t="str">
        <f>IF(OR('Volúmenes DIstribuidos '!C1104="Azúcar",'Volúmenes DIstribuidos '!C1104="azúcar"),"Azúcar o dulce",IF('Volúmenes DIstribuidos '!C1104="Aceite","Aceite o grasas",IF('Volúmenes DIstribuidos '!C1104="Avena","Otros almidones",'Volúmenes DIstribuidos '!C1104)))</f>
        <v>Carnes blancas</v>
      </c>
      <c r="C1717" s="10" t="s">
        <v>29</v>
      </c>
      <c r="D1717" s="12">
        <f>'Volúmenes DIstribuidos '!D1104</f>
        <v>16.39</v>
      </c>
      <c r="E1717" s="12">
        <f>SUMIF('Parametros Inventario'!$A:$A,B1717,'Parametros Inventario'!$B:$B)+SUMIFS(D$2:D1717,B$2:B1717,B1717,C$2:C1717,"ENTRADA")-SUMIFS(D$2:D1717,B$2:B1717,B1717,C$2:C1717,"SALIDA")</f>
        <v>8596.5820000000022</v>
      </c>
    </row>
    <row r="1718" spans="1:5" x14ac:dyDescent="0.3">
      <c r="A1718" s="9">
        <f>'Volúmenes DIstribuidos '!B1101</f>
        <v>44687</v>
      </c>
      <c r="B1718" s="10" t="str">
        <f>IF(OR('Volúmenes DIstribuidos '!C1105="Azúcar",'Volúmenes DIstribuidos '!C1105="azúcar"),"Azúcar o dulce",IF('Volúmenes DIstribuidos '!C1105="Aceite","Aceite o grasas",IF('Volúmenes DIstribuidos '!C1105="Avena","Otros almidones",'Volúmenes DIstribuidos '!C1105)))</f>
        <v>Otros almidones</v>
      </c>
      <c r="C1718" s="10" t="s">
        <v>29</v>
      </c>
      <c r="D1718" s="12">
        <f>'Volúmenes DIstribuidos '!D1105</f>
        <v>10.11</v>
      </c>
      <c r="E1718" s="12">
        <f>SUMIF('Parametros Inventario'!$A:$A,B1718,'Parametros Inventario'!$B:$B)+SUMIFS(D$2:D1718,B$2:B1718,B1718,C$2:C1718,"ENTRADA")-SUMIFS(D$2:D1718,B$2:B1718,B1718,C$2:C1718,"SALIDA")</f>
        <v>8036.6999999999989</v>
      </c>
    </row>
    <row r="1719" spans="1:5" x14ac:dyDescent="0.3">
      <c r="A1719" s="9">
        <f>'Volúmenes DIstribuidos '!B1101</f>
        <v>44687</v>
      </c>
      <c r="B1719" s="10" t="str">
        <f>IF(OR('Volúmenes DIstribuidos '!C1106="Azúcar",'Volúmenes DIstribuidos '!C1106="azúcar"),"Azúcar o dulce",IF('Volúmenes DIstribuidos '!C1106="Aceite","Aceite o grasas",IF('Volúmenes DIstribuidos '!C1106="Avena","Otros almidones",'Volúmenes DIstribuidos '!C1106)))</f>
        <v>Vegetales y hojas</v>
      </c>
      <c r="C1719" s="10" t="s">
        <v>29</v>
      </c>
      <c r="D1719" s="12">
        <f>'Volúmenes DIstribuidos '!D1106</f>
        <v>12.56</v>
      </c>
      <c r="E1719" s="12">
        <f>SUMIF('Parametros Inventario'!$A:$A,B1719,'Parametros Inventario'!$B:$B)+SUMIFS(D$2:D1719,B$2:B1719,B1719,C$2:C1719,"ENTRADA")-SUMIFS(D$2:D1719,B$2:B1719,B1719,C$2:C1719,"SALIDA")</f>
        <v>8715.0449999999983</v>
      </c>
    </row>
    <row r="1720" spans="1:5" x14ac:dyDescent="0.3">
      <c r="A1720" s="9">
        <f>'Volúmenes DIstribuidos '!B1107</f>
        <v>44691</v>
      </c>
      <c r="B1720" s="10" t="str">
        <f>IF(OR('Volúmenes DIstribuidos '!C1107="Azúcar",'Volúmenes DIstribuidos '!C1107="azúcar"),"Azúcar o dulce",IF('Volúmenes DIstribuidos '!C1107="Aceite","Aceite o grasas",IF('Volúmenes DIstribuidos '!C1107="Avena","Otros almidones",'Volúmenes DIstribuidos '!C1107)))</f>
        <v>Azúcar o dulce</v>
      </c>
      <c r="C1720" s="10" t="s">
        <v>29</v>
      </c>
      <c r="D1720" s="12">
        <f>'Volúmenes DIstribuidos '!D1107</f>
        <v>69.736999999999995</v>
      </c>
      <c r="E1720" s="12">
        <f>SUMIF('Parametros Inventario'!$A:$A,B1720,'Parametros Inventario'!$B:$B)+SUMIFS(D$2:D1720,B$2:B1720,B1720,C$2:C1720,"ENTRADA")-SUMIFS(D$2:D1720,B$2:B1720,B1720,C$2:C1720,"SALIDA")</f>
        <v>8369.8920000000016</v>
      </c>
    </row>
    <row r="1721" spans="1:5" x14ac:dyDescent="0.3">
      <c r="A1721" s="9">
        <f>'Volúmenes DIstribuidos '!B1107</f>
        <v>44691</v>
      </c>
      <c r="B1721" s="10" t="str">
        <f>IF(OR('Volúmenes DIstribuidos '!C1108="Azúcar",'Volúmenes DIstribuidos '!C1108="azúcar"),"Azúcar o dulce",IF('Volúmenes DIstribuidos '!C1108="Aceite","Aceite o grasas",IF('Volúmenes DIstribuidos '!C1108="Avena","Otros almidones",'Volúmenes DIstribuidos '!C1108)))</f>
        <v>Otros almidones</v>
      </c>
      <c r="C1721" s="10" t="s">
        <v>29</v>
      </c>
      <c r="D1721" s="12">
        <f>'Volúmenes DIstribuidos '!D1108</f>
        <v>21.06</v>
      </c>
      <c r="E1721" s="12">
        <f>SUMIF('Parametros Inventario'!$A:$A,B1721,'Parametros Inventario'!$B:$B)+SUMIFS(D$2:D1721,B$2:B1721,B1721,C$2:C1721,"ENTRADA")-SUMIFS(D$2:D1721,B$2:B1721,B1721,C$2:C1721,"SALIDA")</f>
        <v>8015.6399999999994</v>
      </c>
    </row>
    <row r="1722" spans="1:5" x14ac:dyDescent="0.3">
      <c r="A1722" s="9">
        <f>'Volúmenes DIstribuidos '!B1107</f>
        <v>44691</v>
      </c>
      <c r="B1722" s="10" t="str">
        <f>IF(OR('Volúmenes DIstribuidos '!C1109="Azúcar",'Volúmenes DIstribuidos '!C1109="azúcar"),"Azúcar o dulce",IF('Volúmenes DIstribuidos '!C1109="Aceite","Aceite o grasas",IF('Volúmenes DIstribuidos '!C1109="Avena","Otros almidones",'Volúmenes DIstribuidos '!C1109)))</f>
        <v>Vegetales y hojas</v>
      </c>
      <c r="C1722" s="10" t="s">
        <v>29</v>
      </c>
      <c r="D1722" s="12">
        <f>'Volúmenes DIstribuidos '!D1109</f>
        <v>49.86</v>
      </c>
      <c r="E1722" s="12">
        <f>SUMIF('Parametros Inventario'!$A:$A,B1722,'Parametros Inventario'!$B:$B)+SUMIFS(D$2:D1722,B$2:B1722,B1722,C$2:C1722,"ENTRADA")-SUMIFS(D$2:D1722,B$2:B1722,B1722,C$2:C1722,"SALIDA")</f>
        <v>8665.1849999999977</v>
      </c>
    </row>
    <row r="1723" spans="1:5" x14ac:dyDescent="0.3">
      <c r="A1723" s="9">
        <f>'Volúmenes DIstribuidos '!B1107</f>
        <v>44691</v>
      </c>
      <c r="B1723" s="10" t="str">
        <f>IF(OR('Volúmenes DIstribuidos '!C1110="Azúcar",'Volúmenes DIstribuidos '!C1110="azúcar"),"Azúcar o dulce",IF('Volúmenes DIstribuidos '!C1110="Aceite","Aceite o grasas",IF('Volúmenes DIstribuidos '!C1110="Avena","Otros almidones",'Volúmenes DIstribuidos '!C1110)))</f>
        <v>Aceite o grasas</v>
      </c>
      <c r="C1723" s="10" t="s">
        <v>29</v>
      </c>
      <c r="D1723" s="12">
        <f>'Volúmenes DIstribuidos '!D1110</f>
        <v>60</v>
      </c>
      <c r="E1723" s="12">
        <f>SUMIF('Parametros Inventario'!$A:$A,B1723,'Parametros Inventario'!$B:$B)+SUMIFS(D$2:D1723,B$2:B1723,B1723,C$2:C1723,"ENTRADA")-SUMIFS(D$2:D1723,B$2:B1723,B1723,C$2:C1723,"SALIDA")</f>
        <v>6903.4429999999993</v>
      </c>
    </row>
    <row r="1724" spans="1:5" x14ac:dyDescent="0.3">
      <c r="A1724" s="9">
        <f>'Volúmenes DIstribuidos '!B1107</f>
        <v>44691</v>
      </c>
      <c r="B1724" s="10" t="str">
        <f>IF(OR('Volúmenes DIstribuidos '!C1111="Azúcar",'Volúmenes DIstribuidos '!C1111="azúcar"),"Azúcar o dulce",IF('Volúmenes DIstribuidos '!C1111="Aceite","Aceite o grasas",IF('Volúmenes DIstribuidos '!C1111="Avena","Otros almidones",'Volúmenes DIstribuidos '!C1111)))</f>
        <v>Lácteos</v>
      </c>
      <c r="C1724" s="10" t="s">
        <v>29</v>
      </c>
      <c r="D1724" s="12">
        <f>'Volúmenes DIstribuidos '!D1111</f>
        <v>140</v>
      </c>
      <c r="E1724" s="12">
        <f>SUMIF('Parametros Inventario'!$A:$A,B1724,'Parametros Inventario'!$B:$B)+SUMIFS(D$2:D1724,B$2:B1724,B1724,C$2:C1724,"ENTRADA")-SUMIFS(D$2:D1724,B$2:B1724,B1724,C$2:C1724,"SALIDA")</f>
        <v>6977.9790000000012</v>
      </c>
    </row>
    <row r="1725" spans="1:5" x14ac:dyDescent="0.3">
      <c r="A1725" s="9">
        <f>'Volúmenes DIstribuidos '!B1107</f>
        <v>44691</v>
      </c>
      <c r="B1725" s="10" t="str">
        <f>IF(OR('Volúmenes DIstribuidos '!C1112="Azúcar",'Volúmenes DIstribuidos '!C1112="azúcar"),"Azúcar o dulce",IF('Volúmenes DIstribuidos '!C1112="Aceite","Aceite o grasas",IF('Volúmenes DIstribuidos '!C1112="Avena","Otros almidones",'Volúmenes DIstribuidos '!C1112)))</f>
        <v>Azúcar o dulce</v>
      </c>
      <c r="C1725" s="10" t="s">
        <v>29</v>
      </c>
      <c r="D1725" s="12">
        <f>'Volúmenes DIstribuidos '!D1112</f>
        <v>40</v>
      </c>
      <c r="E1725" s="12">
        <f>SUMIF('Parametros Inventario'!$A:$A,B1725,'Parametros Inventario'!$B:$B)+SUMIFS(D$2:D1725,B$2:B1725,B1725,C$2:C1725,"ENTRADA")-SUMIFS(D$2:D1725,B$2:B1725,B1725,C$2:C1725,"SALIDA")</f>
        <v>8329.8920000000016</v>
      </c>
    </row>
    <row r="1726" spans="1:5" x14ac:dyDescent="0.3">
      <c r="A1726" s="9">
        <v>44694</v>
      </c>
      <c r="B1726" s="10" t="s">
        <v>10</v>
      </c>
      <c r="C1726" s="10" t="s">
        <v>28</v>
      </c>
      <c r="D1726" s="12">
        <v>99.75</v>
      </c>
      <c r="E1726" s="12">
        <f>SUMIF('Parametros Inventario'!$A:$A,B1726,'Parametros Inventario'!$B:$B)+SUMIFS(D$2:D1726,B$2:B1726,B1726,C$2:C1726,"ENTRADA")-SUMIFS(D$2:D1726,B$2:B1726,B1726,C$2:C1726,"SALIDA")</f>
        <v>8764.9349999999977</v>
      </c>
    </row>
    <row r="1727" spans="1:5" x14ac:dyDescent="0.3">
      <c r="A1727" s="9">
        <v>44694</v>
      </c>
      <c r="B1727" s="10" t="s">
        <v>8</v>
      </c>
      <c r="C1727" s="10" t="s">
        <v>28</v>
      </c>
      <c r="D1727" s="12">
        <v>277.83999999999997</v>
      </c>
      <c r="E1727" s="12">
        <f>SUMIF('Parametros Inventario'!$A:$A,B1727,'Parametros Inventario'!$B:$B)+SUMIFS(D$2:D1727,B$2:B1727,B1727,C$2:C1727,"ENTRADA")-SUMIFS(D$2:D1727,B$2:B1727,B1727,C$2:C1727,"SALIDA")</f>
        <v>7181.2829999999994</v>
      </c>
    </row>
    <row r="1728" spans="1:5" x14ac:dyDescent="0.3">
      <c r="A1728" s="9">
        <v>44694</v>
      </c>
      <c r="B1728" s="10" t="s">
        <v>13</v>
      </c>
      <c r="C1728" s="10" t="s">
        <v>28</v>
      </c>
      <c r="D1728" s="12">
        <v>146.47</v>
      </c>
      <c r="E1728" s="12">
        <f>SUMIF('Parametros Inventario'!$A:$A,B1728,'Parametros Inventario'!$B:$B)+SUMIFS(D$2:D1728,B$2:B1728,B1728,C$2:C1728,"ENTRADA")-SUMIFS(D$2:D1728,B$2:B1728,B1728,C$2:C1728,"SALIDA")</f>
        <v>8476.362000000001</v>
      </c>
    </row>
    <row r="1729" spans="1:5" x14ac:dyDescent="0.3">
      <c r="A1729" s="9">
        <v>44694</v>
      </c>
      <c r="B1729" s="10" t="s">
        <v>15</v>
      </c>
      <c r="C1729" s="10" t="s">
        <v>28</v>
      </c>
      <c r="D1729" s="12">
        <v>101.47</v>
      </c>
      <c r="E1729" s="12">
        <f>SUMIF('Parametros Inventario'!$A:$A,B1729,'Parametros Inventario'!$B:$B)+SUMIFS(D$2:D1729,B$2:B1729,B1729,C$2:C1729,"ENTRADA")-SUMIFS(D$2:D1729,B$2:B1729,B1729,C$2:C1729,"SALIDA")</f>
        <v>8117.1099999999988</v>
      </c>
    </row>
    <row r="1730" spans="1:5" x14ac:dyDescent="0.3">
      <c r="A1730" s="9">
        <v>44694</v>
      </c>
      <c r="B1730" s="10" t="s">
        <v>11</v>
      </c>
      <c r="C1730" s="10" t="s">
        <v>28</v>
      </c>
      <c r="D1730" s="12">
        <v>122.78</v>
      </c>
      <c r="E1730" s="12">
        <f>SUMIF('Parametros Inventario'!$A:$A,B1730,'Parametros Inventario'!$B:$B)+SUMIFS(D$2:D1730,B$2:B1730,B1730,C$2:C1730,"ENTRADA")-SUMIFS(D$2:D1730,B$2:B1730,B1730,C$2:C1730,"SALIDA")</f>
        <v>8702.7690000000021</v>
      </c>
    </row>
    <row r="1731" spans="1:5" x14ac:dyDescent="0.3">
      <c r="A1731" s="9">
        <v>44694</v>
      </c>
      <c r="B1731" s="10" t="s">
        <v>9</v>
      </c>
      <c r="C1731" s="10" t="s">
        <v>28</v>
      </c>
      <c r="D1731" s="12">
        <v>181.1</v>
      </c>
      <c r="E1731" s="12">
        <f>SUMIF('Parametros Inventario'!$A:$A,B1731,'Parametros Inventario'!$B:$B)+SUMIFS(D$2:D1731,B$2:B1731,B1731,C$2:C1731,"ENTRADA")-SUMIFS(D$2:D1731,B$2:B1731,B1731,C$2:C1731,"SALIDA")</f>
        <v>5975.9160000000011</v>
      </c>
    </row>
    <row r="1732" spans="1:5" x14ac:dyDescent="0.3">
      <c r="A1732" s="9">
        <v>44694</v>
      </c>
      <c r="B1732" s="10" t="s">
        <v>14</v>
      </c>
      <c r="C1732" s="10" t="s">
        <v>28</v>
      </c>
      <c r="D1732" s="12">
        <v>163.66999999999999</v>
      </c>
      <c r="E1732" s="12">
        <f>SUMIF('Parametros Inventario'!$A:$A,B1732,'Parametros Inventario'!$B:$B)+SUMIFS(D$2:D1732,B$2:B1732,B1732,C$2:C1732,"ENTRADA")-SUMIFS(D$2:D1732,B$2:B1732,B1732,C$2:C1732,"SALIDA")</f>
        <v>8180.9190000000017</v>
      </c>
    </row>
    <row r="1733" spans="1:5" x14ac:dyDescent="0.3">
      <c r="A1733" s="9">
        <v>44694</v>
      </c>
      <c r="B1733" s="10" t="s">
        <v>12</v>
      </c>
      <c r="C1733" s="10" t="s">
        <v>28</v>
      </c>
      <c r="D1733" s="12">
        <v>142.16</v>
      </c>
      <c r="E1733" s="12">
        <f>SUMIF('Parametros Inventario'!$A:$A,B1733,'Parametros Inventario'!$B:$B)+SUMIFS(D$2:D1733,B$2:B1733,B1733,C$2:C1733,"ENTRADA")-SUMIFS(D$2:D1733,B$2:B1733,B1733,C$2:C1733,"SALIDA")</f>
        <v>8011.8</v>
      </c>
    </row>
    <row r="1734" spans="1:5" x14ac:dyDescent="0.3">
      <c r="A1734" s="9">
        <v>44694</v>
      </c>
      <c r="B1734" s="10" t="s">
        <v>16</v>
      </c>
      <c r="C1734" s="10" t="s">
        <v>28</v>
      </c>
      <c r="D1734" s="12">
        <v>52.76</v>
      </c>
      <c r="E1734" s="12">
        <f>SUMIF('Parametros Inventario'!$A:$A,B1734,'Parametros Inventario'!$B:$B)+SUMIFS(D$2:D1734,B$2:B1734,B1734,C$2:C1734,"ENTRADA")-SUMIFS(D$2:D1734,B$2:B1734,B1734,C$2:C1734,"SALIDA")</f>
        <v>8649.3420000000024</v>
      </c>
    </row>
    <row r="1735" spans="1:5" x14ac:dyDescent="0.3">
      <c r="A1735" s="9">
        <v>44694</v>
      </c>
      <c r="B1735" s="10" t="s">
        <v>17</v>
      </c>
      <c r="C1735" s="10" t="s">
        <v>28</v>
      </c>
      <c r="D1735" s="12">
        <v>131.69</v>
      </c>
      <c r="E1735" s="12">
        <f>SUMIF('Parametros Inventario'!$A:$A,B1735,'Parametros Inventario'!$B:$B)+SUMIFS(D$2:D1735,B$2:B1735,B1735,C$2:C1735,"ENTRADA")-SUMIFS(D$2:D1735,B$2:B1735,B1735,C$2:C1735,"SALIDA")</f>
        <v>7109.6690000000017</v>
      </c>
    </row>
    <row r="1736" spans="1:5" x14ac:dyDescent="0.3">
      <c r="A1736" s="9">
        <f>'Volúmenes DIstribuidos '!B1113</f>
        <v>44694</v>
      </c>
      <c r="B1736" s="10" t="str">
        <f>IF(OR('Volúmenes DIstribuidos '!C1113="Azúcar",'Volúmenes DIstribuidos '!C1113="azúcar"),"Azúcar o dulce",IF('Volúmenes DIstribuidos '!C1113="Aceite","Aceite o grasas",IF('Volúmenes DIstribuidos '!C1113="Avena","Otros almidones",'Volúmenes DIstribuidos '!C1113)))</f>
        <v>Salsas</v>
      </c>
      <c r="C1736" s="10" t="s">
        <v>29</v>
      </c>
      <c r="D1736" s="12">
        <f>'Volúmenes DIstribuidos '!D1113</f>
        <v>62.265999999999998</v>
      </c>
      <c r="E1736" s="12">
        <f>SUMIF('Parametros Inventario'!$A:$A,B1736,'Parametros Inventario'!$B:$B)+SUMIFS(D$2:D1736,B$2:B1736,B1736,C$2:C1736,"ENTRADA")-SUMIFS(D$2:D1736,B$2:B1736,B1736,C$2:C1736,"SALIDA")</f>
        <v>7563.1219999999967</v>
      </c>
    </row>
    <row r="1737" spans="1:5" x14ac:dyDescent="0.3">
      <c r="A1737" s="9">
        <f>'Volúmenes DIstribuidos '!B1113</f>
        <v>44694</v>
      </c>
      <c r="B1737" s="10" t="str">
        <f>IF(OR('Volúmenes DIstribuidos '!C1114="Azúcar",'Volúmenes DIstribuidos '!C1114="azúcar"),"Azúcar o dulce",IF('Volúmenes DIstribuidos '!C1114="Aceite","Aceite o grasas",IF('Volúmenes DIstribuidos '!C1114="Avena","Otros almidones",'Volúmenes DIstribuidos '!C1114)))</f>
        <v>Azúcar o dulce</v>
      </c>
      <c r="C1737" s="10" t="s">
        <v>29</v>
      </c>
      <c r="D1737" s="12">
        <f>'Volúmenes DIstribuidos '!D1114</f>
        <v>60.42</v>
      </c>
      <c r="E1737" s="12">
        <f>SUMIF('Parametros Inventario'!$A:$A,B1737,'Parametros Inventario'!$B:$B)+SUMIFS(D$2:D1737,B$2:B1737,B1737,C$2:C1737,"ENTRADA")-SUMIFS(D$2:D1737,B$2:B1737,B1737,C$2:C1737,"SALIDA")</f>
        <v>8415.9420000000009</v>
      </c>
    </row>
    <row r="1738" spans="1:5" x14ac:dyDescent="0.3">
      <c r="A1738" s="9">
        <f>'Volúmenes DIstribuidos '!B1113</f>
        <v>44694</v>
      </c>
      <c r="B1738" s="10" t="str">
        <f>IF(OR('Volúmenes DIstribuidos '!C1115="Azúcar",'Volúmenes DIstribuidos '!C1115="azúcar"),"Azúcar o dulce",IF('Volúmenes DIstribuidos '!C1115="Aceite","Aceite o grasas",IF('Volúmenes DIstribuidos '!C1115="Avena","Otros almidones",'Volúmenes DIstribuidos '!C1115)))</f>
        <v>Fideo</v>
      </c>
      <c r="C1738" s="10" t="s">
        <v>29</v>
      </c>
      <c r="D1738" s="12">
        <f>'Volúmenes DIstribuidos '!D1115</f>
        <v>22.71</v>
      </c>
      <c r="E1738" s="12">
        <f>SUMIF('Parametros Inventario'!$A:$A,B1738,'Parametros Inventario'!$B:$B)+SUMIFS(D$2:D1738,B$2:B1738,B1738,C$2:C1738,"ENTRADA")-SUMIFS(D$2:D1738,B$2:B1738,B1738,C$2:C1738,"SALIDA")</f>
        <v>8680.0590000000011</v>
      </c>
    </row>
    <row r="1739" spans="1:5" x14ac:dyDescent="0.3">
      <c r="A1739" s="9">
        <f>'Volúmenes DIstribuidos '!B1113</f>
        <v>44694</v>
      </c>
      <c r="B1739" s="10" t="str">
        <f>IF(OR('Volúmenes DIstribuidos '!C1116="Azúcar",'Volúmenes DIstribuidos '!C1116="azúcar"),"Azúcar o dulce",IF('Volúmenes DIstribuidos '!C1116="Aceite","Aceite o grasas",IF('Volúmenes DIstribuidos '!C1116="Avena","Otros almidones",'Volúmenes DIstribuidos '!C1116)))</f>
        <v>Vegetales y hojas</v>
      </c>
      <c r="C1739" s="10" t="s">
        <v>29</v>
      </c>
      <c r="D1739" s="12">
        <f>'Volúmenes DIstribuidos '!D1116</f>
        <v>25.5</v>
      </c>
      <c r="E1739" s="12">
        <f>SUMIF('Parametros Inventario'!$A:$A,B1739,'Parametros Inventario'!$B:$B)+SUMIFS(D$2:D1739,B$2:B1739,B1739,C$2:C1739,"ENTRADA")-SUMIFS(D$2:D1739,B$2:B1739,B1739,C$2:C1739,"SALIDA")</f>
        <v>8739.4349999999977</v>
      </c>
    </row>
    <row r="1740" spans="1:5" x14ac:dyDescent="0.3">
      <c r="A1740" s="9">
        <f>'Volúmenes DIstribuidos '!B1113</f>
        <v>44694</v>
      </c>
      <c r="B1740" s="10" t="str">
        <f>IF(OR('Volúmenes DIstribuidos '!C1117="Azúcar",'Volúmenes DIstribuidos '!C1117="azúcar"),"Azúcar o dulce",IF('Volúmenes DIstribuidos '!C1117="Aceite","Aceite o grasas",IF('Volúmenes DIstribuidos '!C1117="Avena","Otros almidones",'Volúmenes DIstribuidos '!C1117)))</f>
        <v>Menestras</v>
      </c>
      <c r="C1740" s="10" t="s">
        <v>29</v>
      </c>
      <c r="D1740" s="12">
        <f>'Volúmenes DIstribuidos '!D1117</f>
        <v>29.03</v>
      </c>
      <c r="E1740" s="12">
        <f>SUMIF('Parametros Inventario'!$A:$A,B1740,'Parametros Inventario'!$B:$B)+SUMIFS(D$2:D1740,B$2:B1740,B1740,C$2:C1740,"ENTRADA")-SUMIFS(D$2:D1740,B$2:B1740,B1740,C$2:C1740,"SALIDA")</f>
        <v>8151.889000000001</v>
      </c>
    </row>
    <row r="1741" spans="1:5" x14ac:dyDescent="0.3">
      <c r="A1741" s="9">
        <f>'Volúmenes DIstribuidos '!B1113</f>
        <v>44694</v>
      </c>
      <c r="B1741" s="10" t="str">
        <f>IF(OR('Volúmenes DIstribuidos '!C1118="Azúcar",'Volúmenes DIstribuidos '!C1118="azúcar"),"Azúcar o dulce",IF('Volúmenes DIstribuidos '!C1118="Aceite","Aceite o grasas",IF('Volúmenes DIstribuidos '!C1118="Avena","Otros almidones",'Volúmenes DIstribuidos '!C1118)))</f>
        <v>Carnes rojas</v>
      </c>
      <c r="C1741" s="10" t="s">
        <v>29</v>
      </c>
      <c r="D1741" s="12">
        <f>'Volúmenes DIstribuidos '!D1118</f>
        <v>33.93</v>
      </c>
      <c r="E1741" s="12">
        <f>SUMIF('Parametros Inventario'!$A:$A,B1741,'Parametros Inventario'!$B:$B)+SUMIFS(D$2:D1741,B$2:B1741,B1741,C$2:C1741,"ENTRADA")-SUMIFS(D$2:D1741,B$2:B1741,B1741,C$2:C1741,"SALIDA")</f>
        <v>7977.8700000000008</v>
      </c>
    </row>
    <row r="1742" spans="1:5" x14ac:dyDescent="0.3">
      <c r="A1742" s="9">
        <f>'Volúmenes DIstribuidos '!B1119</f>
        <v>44698</v>
      </c>
      <c r="B1742" s="10" t="str">
        <f>IF(OR('Volúmenes DIstribuidos '!C1119="Azúcar",'Volúmenes DIstribuidos '!C1119="azúcar"),"Azúcar o dulce",IF('Volúmenes DIstribuidos '!C1119="Aceite","Aceite o grasas",IF('Volúmenes DIstribuidos '!C1119="Avena","Otros almidones",'Volúmenes DIstribuidos '!C1119)))</f>
        <v>Lácteos</v>
      </c>
      <c r="C1742" s="10" t="s">
        <v>29</v>
      </c>
      <c r="D1742" s="12">
        <f>'Volúmenes DIstribuidos '!D1119</f>
        <v>10.843999999999999</v>
      </c>
      <c r="E1742" s="12">
        <f>SUMIF('Parametros Inventario'!$A:$A,B1742,'Parametros Inventario'!$B:$B)+SUMIFS(D$2:D1742,B$2:B1742,B1742,C$2:C1742,"ENTRADA")-SUMIFS(D$2:D1742,B$2:B1742,B1742,C$2:C1742,"SALIDA")</f>
        <v>7098.8250000000007</v>
      </c>
    </row>
    <row r="1743" spans="1:5" x14ac:dyDescent="0.3">
      <c r="A1743" s="9">
        <f>'Volúmenes DIstribuidos '!B1119</f>
        <v>44698</v>
      </c>
      <c r="B1743" s="10" t="str">
        <f>IF(OR('Volúmenes DIstribuidos '!C1120="Azúcar",'Volúmenes DIstribuidos '!C1120="azúcar"),"Azúcar o dulce",IF('Volúmenes DIstribuidos '!C1120="Aceite","Aceite o grasas",IF('Volúmenes DIstribuidos '!C1120="Avena","Otros almidones",'Volúmenes DIstribuidos '!C1120)))</f>
        <v>Otros almidones</v>
      </c>
      <c r="C1743" s="10" t="s">
        <v>29</v>
      </c>
      <c r="D1743" s="12">
        <f>'Volúmenes DIstribuidos '!D1120</f>
        <v>4.8499999999999996</v>
      </c>
      <c r="E1743" s="12">
        <f>SUMIF('Parametros Inventario'!$A:$A,B1743,'Parametros Inventario'!$B:$B)+SUMIFS(D$2:D1743,B$2:B1743,B1743,C$2:C1743,"ENTRADA")-SUMIFS(D$2:D1743,B$2:B1743,B1743,C$2:C1743,"SALIDA")</f>
        <v>8112.2599999999984</v>
      </c>
    </row>
    <row r="1744" spans="1:5" x14ac:dyDescent="0.3">
      <c r="A1744" s="9">
        <f>'Volúmenes DIstribuidos '!B1119</f>
        <v>44698</v>
      </c>
      <c r="B1744" s="10" t="str">
        <f>IF(OR('Volúmenes DIstribuidos '!C1121="Azúcar",'Volúmenes DIstribuidos '!C1121="azúcar"),"Azúcar o dulce",IF('Volúmenes DIstribuidos '!C1121="Aceite","Aceite o grasas",IF('Volúmenes DIstribuidos '!C1121="Avena","Otros almidones",'Volúmenes DIstribuidos '!C1121)))</f>
        <v>Lácteos</v>
      </c>
      <c r="C1744" s="10" t="s">
        <v>29</v>
      </c>
      <c r="D1744" s="12">
        <f>'Volúmenes DIstribuidos '!D1121</f>
        <v>7.4</v>
      </c>
      <c r="E1744" s="12">
        <f>SUMIF('Parametros Inventario'!$A:$A,B1744,'Parametros Inventario'!$B:$B)+SUMIFS(D$2:D1744,B$2:B1744,B1744,C$2:C1744,"ENTRADA")-SUMIFS(D$2:D1744,B$2:B1744,B1744,C$2:C1744,"SALIDA")</f>
        <v>7091.4250000000011</v>
      </c>
    </row>
    <row r="1745" spans="1:5" x14ac:dyDescent="0.3">
      <c r="A1745" s="9">
        <f>'Volúmenes DIstribuidos '!B1119</f>
        <v>44698</v>
      </c>
      <c r="B1745" s="10" t="str">
        <f>IF(OR('Volúmenes DIstribuidos '!C1122="Azúcar",'Volúmenes DIstribuidos '!C1122="azúcar"),"Azúcar o dulce",IF('Volúmenes DIstribuidos '!C1122="Aceite","Aceite o grasas",IF('Volúmenes DIstribuidos '!C1122="Avena","Otros almidones",'Volúmenes DIstribuidos '!C1122)))</f>
        <v>Carnes rojas</v>
      </c>
      <c r="C1745" s="10" t="s">
        <v>29</v>
      </c>
      <c r="D1745" s="12">
        <f>'Volúmenes DIstribuidos '!D1122</f>
        <v>4.3499999999999996</v>
      </c>
      <c r="E1745" s="12">
        <f>SUMIF('Parametros Inventario'!$A:$A,B1745,'Parametros Inventario'!$B:$B)+SUMIFS(D$2:D1745,B$2:B1745,B1745,C$2:C1745,"ENTRADA")-SUMIFS(D$2:D1745,B$2:B1745,B1745,C$2:C1745,"SALIDA")</f>
        <v>7973.52</v>
      </c>
    </row>
    <row r="1746" spans="1:5" x14ac:dyDescent="0.3">
      <c r="A1746" s="9">
        <f>'Volúmenes DIstribuidos '!B1119</f>
        <v>44698</v>
      </c>
      <c r="B1746" s="10" t="str">
        <f>IF(OR('Volúmenes DIstribuidos '!C1123="Azúcar",'Volúmenes DIstribuidos '!C1123="azúcar"),"Azúcar o dulce",IF('Volúmenes DIstribuidos '!C1123="Aceite","Aceite o grasas",IF('Volúmenes DIstribuidos '!C1123="Avena","Otros almidones",'Volúmenes DIstribuidos '!C1123)))</f>
        <v>Salsas</v>
      </c>
      <c r="C1746" s="10" t="s">
        <v>29</v>
      </c>
      <c r="D1746" s="12">
        <f>'Volúmenes DIstribuidos '!D1123</f>
        <v>8.75</v>
      </c>
      <c r="E1746" s="12">
        <f>SUMIF('Parametros Inventario'!$A:$A,B1746,'Parametros Inventario'!$B:$B)+SUMIFS(D$2:D1746,B$2:B1746,B1746,C$2:C1746,"ENTRADA")-SUMIFS(D$2:D1746,B$2:B1746,B1746,C$2:C1746,"SALIDA")</f>
        <v>7554.3719999999967</v>
      </c>
    </row>
    <row r="1747" spans="1:5" x14ac:dyDescent="0.3">
      <c r="A1747" s="9">
        <f>'Volúmenes DIstribuidos '!B1119</f>
        <v>44698</v>
      </c>
      <c r="B1747" s="10" t="str">
        <f>IF(OR('Volúmenes DIstribuidos '!C1124="Azúcar",'Volúmenes DIstribuidos '!C1124="azúcar"),"Azúcar o dulce",IF('Volúmenes DIstribuidos '!C1124="Aceite","Aceite o grasas",IF('Volúmenes DIstribuidos '!C1124="Avena","Otros almidones",'Volúmenes DIstribuidos '!C1124)))</f>
        <v>Aceite o grasas</v>
      </c>
      <c r="C1747" s="10" t="s">
        <v>29</v>
      </c>
      <c r="D1747" s="12">
        <f>'Volúmenes DIstribuidos '!D1124</f>
        <v>19.067</v>
      </c>
      <c r="E1747" s="12">
        <f>SUMIF('Parametros Inventario'!$A:$A,B1747,'Parametros Inventario'!$B:$B)+SUMIFS(D$2:D1747,B$2:B1747,B1747,C$2:C1747,"ENTRADA")-SUMIFS(D$2:D1747,B$2:B1747,B1747,C$2:C1747,"SALIDA")</f>
        <v>7162.2159999999994</v>
      </c>
    </row>
    <row r="1748" spans="1:5" x14ac:dyDescent="0.3">
      <c r="A1748" s="9">
        <f>'Volúmenes DIstribuidos '!B1125</f>
        <v>44701</v>
      </c>
      <c r="B1748" s="10" t="str">
        <f>IF(OR('Volúmenes DIstribuidos '!C1125="Azúcar",'Volúmenes DIstribuidos '!C1125="azúcar"),"Azúcar o dulce",IF('Volúmenes DIstribuidos '!C1125="Aceite","Aceite o grasas",IF('Volúmenes DIstribuidos '!C1125="Avena","Otros almidones",'Volúmenes DIstribuidos '!C1125)))</f>
        <v>Vegetales y hojas</v>
      </c>
      <c r="C1748" s="10" t="s">
        <v>29</v>
      </c>
      <c r="D1748" s="12">
        <f>'Volúmenes DIstribuidos '!D1125</f>
        <v>31.12</v>
      </c>
      <c r="E1748" s="12">
        <f>SUMIF('Parametros Inventario'!$A:$A,B1748,'Parametros Inventario'!$B:$B)+SUMIFS(D$2:D1748,B$2:B1748,B1748,C$2:C1748,"ENTRADA")-SUMIFS(D$2:D1748,B$2:B1748,B1748,C$2:C1748,"SALIDA")</f>
        <v>8708.3149999999987</v>
      </c>
    </row>
    <row r="1749" spans="1:5" x14ac:dyDescent="0.3">
      <c r="A1749" s="9">
        <f>'Volúmenes DIstribuidos '!B1125</f>
        <v>44701</v>
      </c>
      <c r="B1749" s="10" t="str">
        <f>IF(OR('Volúmenes DIstribuidos '!C1126="Azúcar",'Volúmenes DIstribuidos '!C1126="azúcar"),"Azúcar o dulce",IF('Volúmenes DIstribuidos '!C1126="Aceite","Aceite o grasas",IF('Volúmenes DIstribuidos '!C1126="Avena","Otros almidones",'Volúmenes DIstribuidos '!C1126)))</f>
        <v>Otros almidones</v>
      </c>
      <c r="C1749" s="10" t="s">
        <v>29</v>
      </c>
      <c r="D1749" s="12">
        <f>'Volúmenes DIstribuidos '!D1126</f>
        <v>76.58</v>
      </c>
      <c r="E1749" s="12">
        <f>SUMIF('Parametros Inventario'!$A:$A,B1749,'Parametros Inventario'!$B:$B)+SUMIFS(D$2:D1749,B$2:B1749,B1749,C$2:C1749,"ENTRADA")-SUMIFS(D$2:D1749,B$2:B1749,B1749,C$2:C1749,"SALIDA")</f>
        <v>8035.6799999999985</v>
      </c>
    </row>
    <row r="1750" spans="1:5" x14ac:dyDescent="0.3">
      <c r="A1750" s="9">
        <f>'Volúmenes DIstribuidos '!B1125</f>
        <v>44701</v>
      </c>
      <c r="B1750" s="10" t="str">
        <f>IF(OR('Volúmenes DIstribuidos '!C1127="Azúcar",'Volúmenes DIstribuidos '!C1127="azúcar"),"Azúcar o dulce",IF('Volúmenes DIstribuidos '!C1127="Aceite","Aceite o grasas",IF('Volúmenes DIstribuidos '!C1127="Avena","Otros almidones",'Volúmenes DIstribuidos '!C1127)))</f>
        <v>Fideo</v>
      </c>
      <c r="C1750" s="10" t="s">
        <v>29</v>
      </c>
      <c r="D1750" s="12">
        <f>'Volúmenes DIstribuidos '!D1127</f>
        <v>37.53</v>
      </c>
      <c r="E1750" s="12">
        <f>SUMIF('Parametros Inventario'!$A:$A,B1750,'Parametros Inventario'!$B:$B)+SUMIFS(D$2:D1750,B$2:B1750,B1750,C$2:C1750,"ENTRADA")-SUMIFS(D$2:D1750,B$2:B1750,B1750,C$2:C1750,"SALIDA")</f>
        <v>8642.5290000000023</v>
      </c>
    </row>
    <row r="1751" spans="1:5" x14ac:dyDescent="0.3">
      <c r="A1751" s="9">
        <f>'Volúmenes DIstribuidos '!B1125</f>
        <v>44701</v>
      </c>
      <c r="B1751" s="10" t="str">
        <f>IF(OR('Volúmenes DIstribuidos '!C1128="Azúcar",'Volúmenes DIstribuidos '!C1128="azúcar"),"Azúcar o dulce",IF('Volúmenes DIstribuidos '!C1128="Aceite","Aceite o grasas",IF('Volúmenes DIstribuidos '!C1128="Avena","Otros almidones",'Volúmenes DIstribuidos '!C1128)))</f>
        <v>Menestras</v>
      </c>
      <c r="C1751" s="10" t="s">
        <v>29</v>
      </c>
      <c r="D1751" s="12">
        <f>'Volúmenes DIstribuidos '!D1128</f>
        <v>40.119999999999997</v>
      </c>
      <c r="E1751" s="12">
        <f>SUMIF('Parametros Inventario'!$A:$A,B1751,'Parametros Inventario'!$B:$B)+SUMIFS(D$2:D1751,B$2:B1751,B1751,C$2:C1751,"ENTRADA")-SUMIFS(D$2:D1751,B$2:B1751,B1751,C$2:C1751,"SALIDA")</f>
        <v>8111.7690000000021</v>
      </c>
    </row>
    <row r="1752" spans="1:5" x14ac:dyDescent="0.3">
      <c r="A1752" s="9">
        <f>'Volúmenes DIstribuidos '!B1125</f>
        <v>44701</v>
      </c>
      <c r="B1752" s="10" t="str">
        <f>IF(OR('Volúmenes DIstribuidos '!C1129="Azúcar",'Volúmenes DIstribuidos '!C1129="azúcar"),"Azúcar o dulce",IF('Volúmenes DIstribuidos '!C1129="Aceite","Aceite o grasas",IF('Volúmenes DIstribuidos '!C1129="Avena","Otros almidones",'Volúmenes DIstribuidos '!C1129)))</f>
        <v>Azúcar o dulce</v>
      </c>
      <c r="C1752" s="10" t="s">
        <v>29</v>
      </c>
      <c r="D1752" s="12">
        <f>'Volúmenes DIstribuidos '!D1129</f>
        <v>25.73</v>
      </c>
      <c r="E1752" s="12">
        <f>SUMIF('Parametros Inventario'!$A:$A,B1752,'Parametros Inventario'!$B:$B)+SUMIFS(D$2:D1752,B$2:B1752,B1752,C$2:C1752,"ENTRADA")-SUMIFS(D$2:D1752,B$2:B1752,B1752,C$2:C1752,"SALIDA")</f>
        <v>8390.2120000000014</v>
      </c>
    </row>
    <row r="1753" spans="1:5" x14ac:dyDescent="0.3">
      <c r="A1753" s="9">
        <f>'Volúmenes DIstribuidos '!B1125</f>
        <v>44701</v>
      </c>
      <c r="B1753" s="10" t="str">
        <f>IF(OR('Volúmenes DIstribuidos '!C1130="Azúcar",'Volúmenes DIstribuidos '!C1130="azúcar"),"Azúcar o dulce",IF('Volúmenes DIstribuidos '!C1130="Aceite","Aceite o grasas",IF('Volúmenes DIstribuidos '!C1130="Avena","Otros almidones",'Volúmenes DIstribuidos '!C1130)))</f>
        <v>Panadería</v>
      </c>
      <c r="C1753" s="10" t="s">
        <v>29</v>
      </c>
      <c r="D1753" s="12">
        <f>'Volúmenes DIstribuidos '!D1130</f>
        <v>17.138999999999999</v>
      </c>
      <c r="E1753" s="12">
        <f>SUMIF('Parametros Inventario'!$A:$A,B1753,'Parametros Inventario'!$B:$B)+SUMIFS(D$2:D1753,B$2:B1753,B1753,C$2:C1753,"ENTRADA")-SUMIFS(D$2:D1753,B$2:B1753,B1753,C$2:C1753,"SALIDA")</f>
        <v>5958.777000000001</v>
      </c>
    </row>
    <row r="1754" spans="1:5" x14ac:dyDescent="0.3">
      <c r="A1754" s="9">
        <f>'Volúmenes DIstribuidos '!B1131</f>
        <v>44705</v>
      </c>
      <c r="B1754" s="10" t="str">
        <f>IF(OR('Volúmenes DIstribuidos '!C1131="Azúcar",'Volúmenes DIstribuidos '!C1131="azúcar"),"Azúcar o dulce",IF('Volúmenes DIstribuidos '!C1131="Aceite","Aceite o grasas",IF('Volúmenes DIstribuidos '!C1131="Avena","Otros almidones",'Volúmenes DIstribuidos '!C1131)))</f>
        <v>Aceite o grasas</v>
      </c>
      <c r="C1754" s="10" t="s">
        <v>29</v>
      </c>
      <c r="D1754" s="12">
        <f>'Volúmenes DIstribuidos '!D1131</f>
        <v>17.059999999999999</v>
      </c>
      <c r="E1754" s="12">
        <f>SUMIF('Parametros Inventario'!$A:$A,B1754,'Parametros Inventario'!$B:$B)+SUMIFS(D$2:D1754,B$2:B1754,B1754,C$2:C1754,"ENTRADA")-SUMIFS(D$2:D1754,B$2:B1754,B1754,C$2:C1754,"SALIDA")</f>
        <v>7145.155999999999</v>
      </c>
    </row>
    <row r="1755" spans="1:5" x14ac:dyDescent="0.3">
      <c r="A1755" s="9">
        <f>'Volúmenes DIstribuidos '!B1131</f>
        <v>44705</v>
      </c>
      <c r="B1755" s="10" t="str">
        <f>IF(OR('Volúmenes DIstribuidos '!C1132="Azúcar",'Volúmenes DIstribuidos '!C1132="azúcar"),"Azúcar o dulce",IF('Volúmenes DIstribuidos '!C1132="Aceite","Aceite o grasas",IF('Volúmenes DIstribuidos '!C1132="Avena","Otros almidones",'Volúmenes DIstribuidos '!C1132)))</f>
        <v>Menestras</v>
      </c>
      <c r="C1755" s="10" t="s">
        <v>29</v>
      </c>
      <c r="D1755" s="12">
        <f>'Volúmenes DIstribuidos '!D1132</f>
        <v>8.9600000000000009</v>
      </c>
      <c r="E1755" s="12">
        <f>SUMIF('Parametros Inventario'!$A:$A,B1755,'Parametros Inventario'!$B:$B)+SUMIFS(D$2:D1755,B$2:B1755,B1755,C$2:C1755,"ENTRADA")-SUMIFS(D$2:D1755,B$2:B1755,B1755,C$2:C1755,"SALIDA")</f>
        <v>8102.8090000000011</v>
      </c>
    </row>
    <row r="1756" spans="1:5" x14ac:dyDescent="0.3">
      <c r="A1756" s="9">
        <f>'Volúmenes DIstribuidos '!B1131</f>
        <v>44705</v>
      </c>
      <c r="B1756" s="10" t="str">
        <f>IF(OR('Volúmenes DIstribuidos '!C1133="Azúcar",'Volúmenes DIstribuidos '!C1133="azúcar"),"Azúcar o dulce",IF('Volúmenes DIstribuidos '!C1133="Aceite","Aceite o grasas",IF('Volúmenes DIstribuidos '!C1133="Avena","Otros almidones",'Volúmenes DIstribuidos '!C1133)))</f>
        <v>Carnes rojas</v>
      </c>
      <c r="C1756" s="10" t="s">
        <v>29</v>
      </c>
      <c r="D1756" s="12">
        <f>'Volúmenes DIstribuidos '!D1133</f>
        <v>18.149999999999999</v>
      </c>
      <c r="E1756" s="12">
        <f>SUMIF('Parametros Inventario'!$A:$A,B1756,'Parametros Inventario'!$B:$B)+SUMIFS(D$2:D1756,B$2:B1756,B1756,C$2:C1756,"ENTRADA")-SUMIFS(D$2:D1756,B$2:B1756,B1756,C$2:C1756,"SALIDA")</f>
        <v>7955.3700000000008</v>
      </c>
    </row>
    <row r="1757" spans="1:5" x14ac:dyDescent="0.3">
      <c r="A1757" s="9">
        <f>'Volúmenes DIstribuidos '!B1131</f>
        <v>44705</v>
      </c>
      <c r="B1757" s="10" t="str">
        <f>IF(OR('Volúmenes DIstribuidos '!C1134="Azúcar",'Volúmenes DIstribuidos '!C1134="azúcar"),"Azúcar o dulce",IF('Volúmenes DIstribuidos '!C1134="Aceite","Aceite o grasas",IF('Volúmenes DIstribuidos '!C1134="Avena","Otros almidones",'Volúmenes DIstribuidos '!C1134)))</f>
        <v>Panadería</v>
      </c>
      <c r="C1757" s="10" t="s">
        <v>29</v>
      </c>
      <c r="D1757" s="12">
        <f>'Volúmenes DIstribuidos '!D1134</f>
        <v>23.803999999999998</v>
      </c>
      <c r="E1757" s="12">
        <f>SUMIF('Parametros Inventario'!$A:$A,B1757,'Parametros Inventario'!$B:$B)+SUMIFS(D$2:D1757,B$2:B1757,B1757,C$2:C1757,"ENTRADA")-SUMIFS(D$2:D1757,B$2:B1757,B1757,C$2:C1757,"SALIDA")</f>
        <v>5934.9730000000009</v>
      </c>
    </row>
    <row r="1758" spans="1:5" x14ac:dyDescent="0.3">
      <c r="A1758" s="9">
        <f>'Volúmenes DIstribuidos '!B1131</f>
        <v>44705</v>
      </c>
      <c r="B1758" s="10" t="str">
        <f>IF(OR('Volúmenes DIstribuidos '!C1135="Azúcar",'Volúmenes DIstribuidos '!C1135="azúcar"),"Azúcar o dulce",IF('Volúmenes DIstribuidos '!C1135="Aceite","Aceite o grasas",IF('Volúmenes DIstribuidos '!C1135="Avena","Otros almidones",'Volúmenes DIstribuidos '!C1135)))</f>
        <v>Carnes rojas</v>
      </c>
      <c r="C1758" s="10" t="s">
        <v>29</v>
      </c>
      <c r="D1758" s="12">
        <f>'Volúmenes DIstribuidos '!D1135</f>
        <v>31.99</v>
      </c>
      <c r="E1758" s="12">
        <f>SUMIF('Parametros Inventario'!$A:$A,B1758,'Parametros Inventario'!$B:$B)+SUMIFS(D$2:D1758,B$2:B1758,B1758,C$2:C1758,"ENTRADA")-SUMIFS(D$2:D1758,B$2:B1758,B1758,C$2:C1758,"SALIDA")</f>
        <v>7923.380000000001</v>
      </c>
    </row>
    <row r="1759" spans="1:5" x14ac:dyDescent="0.3">
      <c r="A1759" s="9">
        <f>'Volúmenes DIstribuidos '!B1131</f>
        <v>44705</v>
      </c>
      <c r="B1759" s="10" t="str">
        <f>IF(OR('Volúmenes DIstribuidos '!C1136="Azúcar",'Volúmenes DIstribuidos '!C1136="azúcar"),"Azúcar o dulce",IF('Volúmenes DIstribuidos '!C1136="Aceite","Aceite o grasas",IF('Volúmenes DIstribuidos '!C1136="Avena","Otros almidones",'Volúmenes DIstribuidos '!C1136)))</f>
        <v>Aceite o grasas</v>
      </c>
      <c r="C1759" s="10" t="s">
        <v>29</v>
      </c>
      <c r="D1759" s="12">
        <f>'Volúmenes DIstribuidos '!D1136</f>
        <v>38.58</v>
      </c>
      <c r="E1759" s="12">
        <f>SUMIF('Parametros Inventario'!$A:$A,B1759,'Parametros Inventario'!$B:$B)+SUMIFS(D$2:D1759,B$2:B1759,B1759,C$2:C1759,"ENTRADA")-SUMIFS(D$2:D1759,B$2:B1759,B1759,C$2:C1759,"SALIDA")</f>
        <v>7106.5759999999991</v>
      </c>
    </row>
    <row r="1760" spans="1:5" x14ac:dyDescent="0.3">
      <c r="A1760" s="9">
        <v>44708</v>
      </c>
      <c r="B1760" s="10" t="s">
        <v>18</v>
      </c>
      <c r="C1760" s="10" t="s">
        <v>28</v>
      </c>
      <c r="D1760" s="12">
        <v>277.45</v>
      </c>
      <c r="E1760" s="12">
        <f>SUMIF('Parametros Inventario'!$A:$A,B1760,'Parametros Inventario'!$B:$B)+SUMIFS(D$2:D1760,B$2:B1760,B1760,C$2:C1760,"ENTRADA")-SUMIFS(D$2:D1760,B$2:B1760,B1760,C$2:C1760,"SALIDA")</f>
        <v>7831.8219999999974</v>
      </c>
    </row>
    <row r="1761" spans="1:5" x14ac:dyDescent="0.3">
      <c r="A1761" s="9">
        <v>44708</v>
      </c>
      <c r="B1761" s="10" t="s">
        <v>10</v>
      </c>
      <c r="C1761" s="10" t="s">
        <v>28</v>
      </c>
      <c r="D1761" s="12">
        <v>147.78</v>
      </c>
      <c r="E1761" s="12">
        <f>SUMIF('Parametros Inventario'!$A:$A,B1761,'Parametros Inventario'!$B:$B)+SUMIFS(D$2:D1761,B$2:B1761,B1761,C$2:C1761,"ENTRADA")-SUMIFS(D$2:D1761,B$2:B1761,B1761,C$2:C1761,"SALIDA")</f>
        <v>8856.0949999999993</v>
      </c>
    </row>
    <row r="1762" spans="1:5" x14ac:dyDescent="0.3">
      <c r="A1762" s="9">
        <v>44708</v>
      </c>
      <c r="B1762" s="10" t="s">
        <v>8</v>
      </c>
      <c r="C1762" s="10" t="s">
        <v>28</v>
      </c>
      <c r="D1762" s="12">
        <v>297.39999999999998</v>
      </c>
      <c r="E1762" s="12">
        <f>SUMIF('Parametros Inventario'!$A:$A,B1762,'Parametros Inventario'!$B:$B)+SUMIFS(D$2:D1762,B$2:B1762,B1762,C$2:C1762,"ENTRADA")-SUMIFS(D$2:D1762,B$2:B1762,B1762,C$2:C1762,"SALIDA")</f>
        <v>7403.9759999999987</v>
      </c>
    </row>
    <row r="1763" spans="1:5" x14ac:dyDescent="0.3">
      <c r="A1763" s="9">
        <v>44708</v>
      </c>
      <c r="B1763" s="10" t="s">
        <v>13</v>
      </c>
      <c r="C1763" s="10" t="s">
        <v>28</v>
      </c>
      <c r="D1763" s="12">
        <v>82.28</v>
      </c>
      <c r="E1763" s="12">
        <f>SUMIF('Parametros Inventario'!$A:$A,B1763,'Parametros Inventario'!$B:$B)+SUMIFS(D$2:D1763,B$2:B1763,B1763,C$2:C1763,"ENTRADA")-SUMIFS(D$2:D1763,B$2:B1763,B1763,C$2:C1763,"SALIDA")</f>
        <v>8472.492000000002</v>
      </c>
    </row>
    <row r="1764" spans="1:5" x14ac:dyDescent="0.3">
      <c r="A1764" s="9">
        <v>44708</v>
      </c>
      <c r="B1764" s="10" t="s">
        <v>15</v>
      </c>
      <c r="C1764" s="10" t="s">
        <v>28</v>
      </c>
      <c r="D1764" s="12">
        <v>154.6</v>
      </c>
      <c r="E1764" s="12">
        <f>SUMIF('Parametros Inventario'!$A:$A,B1764,'Parametros Inventario'!$B:$B)+SUMIFS(D$2:D1764,B$2:B1764,B1764,C$2:C1764,"ENTRADA")-SUMIFS(D$2:D1764,B$2:B1764,B1764,C$2:C1764,"SALIDA")</f>
        <v>8190.2799999999988</v>
      </c>
    </row>
    <row r="1765" spans="1:5" x14ac:dyDescent="0.3">
      <c r="A1765" s="9">
        <v>44708</v>
      </c>
      <c r="B1765" s="10" t="s">
        <v>11</v>
      </c>
      <c r="C1765" s="10" t="s">
        <v>28</v>
      </c>
      <c r="D1765" s="12">
        <v>235.79</v>
      </c>
      <c r="E1765" s="12">
        <f>SUMIF('Parametros Inventario'!$A:$A,B1765,'Parametros Inventario'!$B:$B)+SUMIFS(D$2:D1765,B$2:B1765,B1765,C$2:C1765,"ENTRADA")-SUMIFS(D$2:D1765,B$2:B1765,B1765,C$2:C1765,"SALIDA")</f>
        <v>8878.3190000000031</v>
      </c>
    </row>
    <row r="1766" spans="1:5" x14ac:dyDescent="0.3">
      <c r="A1766" s="9">
        <v>44708</v>
      </c>
      <c r="B1766" s="10" t="s">
        <v>9</v>
      </c>
      <c r="C1766" s="10" t="s">
        <v>28</v>
      </c>
      <c r="D1766" s="12">
        <v>147.25</v>
      </c>
      <c r="E1766" s="12">
        <f>SUMIF('Parametros Inventario'!$A:$A,B1766,'Parametros Inventario'!$B:$B)+SUMIFS(D$2:D1766,B$2:B1766,B1766,C$2:C1766,"ENTRADA")-SUMIFS(D$2:D1766,B$2:B1766,B1766,C$2:C1766,"SALIDA")</f>
        <v>6082.2230000000009</v>
      </c>
    </row>
    <row r="1767" spans="1:5" x14ac:dyDescent="0.3">
      <c r="A1767" s="9">
        <v>44708</v>
      </c>
      <c r="B1767" s="10" t="s">
        <v>14</v>
      </c>
      <c r="C1767" s="10" t="s">
        <v>28</v>
      </c>
      <c r="D1767" s="12">
        <v>275.89999999999998</v>
      </c>
      <c r="E1767" s="12">
        <f>SUMIF('Parametros Inventario'!$A:$A,B1767,'Parametros Inventario'!$B:$B)+SUMIFS(D$2:D1767,B$2:B1767,B1767,C$2:C1767,"ENTRADA")-SUMIFS(D$2:D1767,B$2:B1767,B1767,C$2:C1767,"SALIDA")</f>
        <v>8378.7090000000007</v>
      </c>
    </row>
    <row r="1768" spans="1:5" x14ac:dyDescent="0.3">
      <c r="A1768" s="9">
        <f>'Volúmenes DIstribuidos '!B1137</f>
        <v>44708</v>
      </c>
      <c r="B1768" s="10" t="str">
        <f>IF(OR('Volúmenes DIstribuidos '!C1137="Azúcar",'Volúmenes DIstribuidos '!C1137="azúcar"),"Azúcar o dulce",IF('Volúmenes DIstribuidos '!C1137="Aceite","Aceite o grasas",IF('Volúmenes DIstribuidos '!C1137="Avena","Otros almidones",'Volúmenes DIstribuidos '!C1137)))</f>
        <v>Panadería</v>
      </c>
      <c r="C1768" s="10" t="s">
        <v>29</v>
      </c>
      <c r="D1768" s="12">
        <f>'Volúmenes DIstribuidos '!D1137</f>
        <v>16.61</v>
      </c>
      <c r="E1768" s="12">
        <f>SUMIF('Parametros Inventario'!$A:$A,B1768,'Parametros Inventario'!$B:$B)+SUMIFS(D$2:D1768,B$2:B1768,B1768,C$2:C1768,"ENTRADA")-SUMIFS(D$2:D1768,B$2:B1768,B1768,C$2:C1768,"SALIDA")</f>
        <v>6065.6130000000012</v>
      </c>
    </row>
    <row r="1769" spans="1:5" x14ac:dyDescent="0.3">
      <c r="A1769" s="9">
        <f>'Volúmenes DIstribuidos '!B1137</f>
        <v>44708</v>
      </c>
      <c r="B1769" s="10" t="str">
        <f>IF(OR('Volúmenes DIstribuidos '!C1138="Azúcar",'Volúmenes DIstribuidos '!C1138="azúcar"),"Azúcar o dulce",IF('Volúmenes DIstribuidos '!C1138="Aceite","Aceite o grasas",IF('Volúmenes DIstribuidos '!C1138="Avena","Otros almidones",'Volúmenes DIstribuidos '!C1138)))</f>
        <v>Carnes blancas</v>
      </c>
      <c r="C1769" s="10" t="s">
        <v>29</v>
      </c>
      <c r="D1769" s="12">
        <f>'Volúmenes DIstribuidos '!D1138</f>
        <v>24.42</v>
      </c>
      <c r="E1769" s="12">
        <f>SUMIF('Parametros Inventario'!$A:$A,B1769,'Parametros Inventario'!$B:$B)+SUMIFS(D$2:D1769,B$2:B1769,B1769,C$2:C1769,"ENTRADA")-SUMIFS(D$2:D1769,B$2:B1769,B1769,C$2:C1769,"SALIDA")</f>
        <v>8624.9220000000023</v>
      </c>
    </row>
    <row r="1770" spans="1:5" x14ac:dyDescent="0.3">
      <c r="A1770" s="9">
        <f>'Volúmenes DIstribuidos '!B1137</f>
        <v>44708</v>
      </c>
      <c r="B1770" s="10" t="str">
        <f>IF(OR('Volúmenes DIstribuidos '!C1139="Azúcar",'Volúmenes DIstribuidos '!C1139="azúcar"),"Azúcar o dulce",IF('Volúmenes DIstribuidos '!C1139="Aceite","Aceite o grasas",IF('Volúmenes DIstribuidos '!C1139="Avena","Otros almidones",'Volúmenes DIstribuidos '!C1139)))</f>
        <v>Vegetales y hojas</v>
      </c>
      <c r="C1770" s="10" t="s">
        <v>29</v>
      </c>
      <c r="D1770" s="12">
        <f>'Volúmenes DIstribuidos '!D1139</f>
        <v>101.07</v>
      </c>
      <c r="E1770" s="12">
        <f>SUMIF('Parametros Inventario'!$A:$A,B1770,'Parametros Inventario'!$B:$B)+SUMIFS(D$2:D1770,B$2:B1770,B1770,C$2:C1770,"ENTRADA")-SUMIFS(D$2:D1770,B$2:B1770,B1770,C$2:C1770,"SALIDA")</f>
        <v>8755.0249999999978</v>
      </c>
    </row>
    <row r="1771" spans="1:5" x14ac:dyDescent="0.3">
      <c r="A1771" s="9">
        <f>'Volúmenes DIstribuidos '!B1137</f>
        <v>44708</v>
      </c>
      <c r="B1771" s="10" t="str">
        <f>IF(OR('Volúmenes DIstribuidos '!C1140="Azúcar",'Volúmenes DIstribuidos '!C1140="azúcar"),"Azúcar o dulce",IF('Volúmenes DIstribuidos '!C1140="Aceite","Aceite o grasas",IF('Volúmenes DIstribuidos '!C1140="Avena","Otros almidones",'Volúmenes DIstribuidos '!C1140)))</f>
        <v>Fideo</v>
      </c>
      <c r="C1771" s="10" t="s">
        <v>29</v>
      </c>
      <c r="D1771" s="12">
        <f>'Volúmenes DIstribuidos '!D1140</f>
        <v>11.548</v>
      </c>
      <c r="E1771" s="12">
        <f>SUMIF('Parametros Inventario'!$A:$A,B1771,'Parametros Inventario'!$B:$B)+SUMIFS(D$2:D1771,B$2:B1771,B1771,C$2:C1771,"ENTRADA")-SUMIFS(D$2:D1771,B$2:B1771,B1771,C$2:C1771,"SALIDA")</f>
        <v>8866.7710000000025</v>
      </c>
    </row>
    <row r="1772" spans="1:5" x14ac:dyDescent="0.3">
      <c r="A1772" s="9">
        <f>'Volúmenes DIstribuidos '!B1137</f>
        <v>44708</v>
      </c>
      <c r="B1772" s="10" t="str">
        <f>IF(OR('Volúmenes DIstribuidos '!C1141="Azúcar",'Volúmenes DIstribuidos '!C1141="azúcar"),"Azúcar o dulce",IF('Volúmenes DIstribuidos '!C1141="Aceite","Aceite o grasas",IF('Volúmenes DIstribuidos '!C1141="Avena","Otros almidones",'Volúmenes DIstribuidos '!C1141)))</f>
        <v>Salsas</v>
      </c>
      <c r="C1772" s="10" t="s">
        <v>29</v>
      </c>
      <c r="D1772" s="12">
        <f>'Volúmenes DIstribuidos '!D1141</f>
        <v>26.47</v>
      </c>
      <c r="E1772" s="12">
        <f>SUMIF('Parametros Inventario'!$A:$A,B1772,'Parametros Inventario'!$B:$B)+SUMIFS(D$2:D1772,B$2:B1772,B1772,C$2:C1772,"ENTRADA")-SUMIFS(D$2:D1772,B$2:B1772,B1772,C$2:C1772,"SALIDA")</f>
        <v>7805.3519999999971</v>
      </c>
    </row>
    <row r="1773" spans="1:5" x14ac:dyDescent="0.3">
      <c r="A1773" s="9">
        <f>'Volúmenes DIstribuidos '!B1137</f>
        <v>44708</v>
      </c>
      <c r="B1773" s="10" t="str">
        <f>IF(OR('Volúmenes DIstribuidos '!C1142="Azúcar",'Volúmenes DIstribuidos '!C1142="azúcar"),"Azúcar o dulce",IF('Volúmenes DIstribuidos '!C1142="Aceite","Aceite o grasas",IF('Volúmenes DIstribuidos '!C1142="Avena","Otros almidones",'Volúmenes DIstribuidos '!C1142)))</f>
        <v>Lácteos</v>
      </c>
      <c r="C1773" s="10" t="s">
        <v>29</v>
      </c>
      <c r="D1773" s="12">
        <f>'Volúmenes DIstribuidos '!D1142</f>
        <v>32.479999999999997</v>
      </c>
      <c r="E1773" s="12">
        <f>SUMIF('Parametros Inventario'!$A:$A,B1773,'Parametros Inventario'!$B:$B)+SUMIFS(D$2:D1773,B$2:B1773,B1773,C$2:C1773,"ENTRADA")-SUMIFS(D$2:D1773,B$2:B1773,B1773,C$2:C1773,"SALIDA")</f>
        <v>7058.9450000000015</v>
      </c>
    </row>
    <row r="1774" spans="1:5" x14ac:dyDescent="0.3">
      <c r="A1774" s="9">
        <f>'Volúmenes DIstribuidos '!B1143</f>
        <v>44712</v>
      </c>
      <c r="B1774" s="10" t="str">
        <f>IF(OR('Volúmenes DIstribuidos '!C1143="Azúcar",'Volúmenes DIstribuidos '!C1143="azúcar"),"Azúcar o dulce",IF('Volúmenes DIstribuidos '!C1143="Aceite","Aceite o grasas",IF('Volúmenes DIstribuidos '!C1143="Avena","Otros almidones",'Volúmenes DIstribuidos '!C1143)))</f>
        <v>Panadería</v>
      </c>
      <c r="C1774" s="10" t="s">
        <v>29</v>
      </c>
      <c r="D1774" s="12">
        <f>'Volúmenes DIstribuidos '!D1143</f>
        <v>95.516999999999996</v>
      </c>
      <c r="E1774" s="12">
        <f>SUMIF('Parametros Inventario'!$A:$A,B1774,'Parametros Inventario'!$B:$B)+SUMIFS(D$2:D1774,B$2:B1774,B1774,C$2:C1774,"ENTRADA")-SUMIFS(D$2:D1774,B$2:B1774,B1774,C$2:C1774,"SALIDA")</f>
        <v>5970.0960000000014</v>
      </c>
    </row>
    <row r="1775" spans="1:5" x14ac:dyDescent="0.3">
      <c r="A1775" s="9">
        <f>'Volúmenes DIstribuidos '!B1143</f>
        <v>44712</v>
      </c>
      <c r="B1775" s="10" t="str">
        <f>IF(OR('Volúmenes DIstribuidos '!C1144="Azúcar",'Volúmenes DIstribuidos '!C1144="azúcar"),"Azúcar o dulce",IF('Volúmenes DIstribuidos '!C1144="Aceite","Aceite o grasas",IF('Volúmenes DIstribuidos '!C1144="Avena","Otros almidones",'Volúmenes DIstribuidos '!C1144)))</f>
        <v>Otros almidones</v>
      </c>
      <c r="C1775" s="10" t="s">
        <v>29</v>
      </c>
      <c r="D1775" s="12">
        <f>'Volúmenes DIstribuidos '!D1144</f>
        <v>29.76</v>
      </c>
      <c r="E1775" s="12">
        <f>SUMIF('Parametros Inventario'!$A:$A,B1775,'Parametros Inventario'!$B:$B)+SUMIFS(D$2:D1775,B$2:B1775,B1775,C$2:C1775,"ENTRADA")-SUMIFS(D$2:D1775,B$2:B1775,B1775,C$2:C1775,"SALIDA")</f>
        <v>8160.5199999999986</v>
      </c>
    </row>
    <row r="1776" spans="1:5" x14ac:dyDescent="0.3">
      <c r="A1776" s="9">
        <f>'Volúmenes DIstribuidos '!B1143</f>
        <v>44712</v>
      </c>
      <c r="B1776" s="10" t="str">
        <f>IF(OR('Volúmenes DIstribuidos '!C1145="Azúcar",'Volúmenes DIstribuidos '!C1145="azúcar"),"Azúcar o dulce",IF('Volúmenes DIstribuidos '!C1145="Aceite","Aceite o grasas",IF('Volúmenes DIstribuidos '!C1145="Avena","Otros almidones",'Volúmenes DIstribuidos '!C1145)))</f>
        <v>Salsas</v>
      </c>
      <c r="C1776" s="10" t="s">
        <v>29</v>
      </c>
      <c r="D1776" s="12">
        <f>'Volúmenes DIstribuidos '!D1145</f>
        <v>77.22</v>
      </c>
      <c r="E1776" s="12">
        <f>SUMIF('Parametros Inventario'!$A:$A,B1776,'Parametros Inventario'!$B:$B)+SUMIFS(D$2:D1776,B$2:B1776,B1776,C$2:C1776,"ENTRADA")-SUMIFS(D$2:D1776,B$2:B1776,B1776,C$2:C1776,"SALIDA")</f>
        <v>7728.1319999999978</v>
      </c>
    </row>
    <row r="1777" spans="1:5" x14ac:dyDescent="0.3">
      <c r="A1777" s="9">
        <f>'Volúmenes DIstribuidos '!B1143</f>
        <v>44712</v>
      </c>
      <c r="B1777" s="10" t="str">
        <f>IF(OR('Volúmenes DIstribuidos '!C1146="Azúcar",'Volúmenes DIstribuidos '!C1146="azúcar"),"Azúcar o dulce",IF('Volúmenes DIstribuidos '!C1146="Aceite","Aceite o grasas",IF('Volúmenes DIstribuidos '!C1146="Avena","Otros almidones",'Volúmenes DIstribuidos '!C1146)))</f>
        <v>Panadería</v>
      </c>
      <c r="C1777" s="10" t="s">
        <v>29</v>
      </c>
      <c r="D1777" s="12">
        <f>'Volúmenes DIstribuidos '!D1146</f>
        <v>58.61</v>
      </c>
      <c r="E1777" s="12">
        <f>SUMIF('Parametros Inventario'!$A:$A,B1777,'Parametros Inventario'!$B:$B)+SUMIFS(D$2:D1777,B$2:B1777,B1777,C$2:C1777,"ENTRADA")-SUMIFS(D$2:D1777,B$2:B1777,B1777,C$2:C1777,"SALIDA")</f>
        <v>5911.4860000000008</v>
      </c>
    </row>
    <row r="1778" spans="1:5" x14ac:dyDescent="0.3">
      <c r="A1778" s="9">
        <f>'Volúmenes DIstribuidos '!B1143</f>
        <v>44712</v>
      </c>
      <c r="B1778" s="10" t="str">
        <f>IF(OR('Volúmenes DIstribuidos '!C1147="Azúcar",'Volúmenes DIstribuidos '!C1147="azúcar"),"Azúcar o dulce",IF('Volúmenes DIstribuidos '!C1147="Aceite","Aceite o grasas",IF('Volúmenes DIstribuidos '!C1147="Avena","Otros almidones",'Volúmenes DIstribuidos '!C1147)))</f>
        <v>Carnes rojas</v>
      </c>
      <c r="C1778" s="10" t="s">
        <v>29</v>
      </c>
      <c r="D1778" s="12">
        <f>'Volúmenes DIstribuidos '!D1147</f>
        <v>51.83</v>
      </c>
      <c r="E1778" s="12">
        <f>SUMIF('Parametros Inventario'!$A:$A,B1778,'Parametros Inventario'!$B:$B)+SUMIFS(D$2:D1778,B$2:B1778,B1778,C$2:C1778,"ENTRADA")-SUMIFS(D$2:D1778,B$2:B1778,B1778,C$2:C1778,"SALIDA")</f>
        <v>7871.5500000000011</v>
      </c>
    </row>
    <row r="1779" spans="1:5" x14ac:dyDescent="0.3">
      <c r="A1779" s="9">
        <f>'Volúmenes DIstribuidos '!B1143</f>
        <v>44712</v>
      </c>
      <c r="B1779" s="10" t="str">
        <f>IF(OR('Volúmenes DIstribuidos '!C1148="Azúcar",'Volúmenes DIstribuidos '!C1148="azúcar"),"Azúcar o dulce",IF('Volúmenes DIstribuidos '!C1148="Aceite","Aceite o grasas",IF('Volúmenes DIstribuidos '!C1148="Avena","Otros almidones",'Volúmenes DIstribuidos '!C1148)))</f>
        <v>Fideo</v>
      </c>
      <c r="C1779" s="10" t="s">
        <v>29</v>
      </c>
      <c r="D1779" s="12">
        <f>'Volúmenes DIstribuidos '!D1148</f>
        <v>49.63</v>
      </c>
      <c r="E1779" s="12">
        <f>SUMIF('Parametros Inventario'!$A:$A,B1779,'Parametros Inventario'!$B:$B)+SUMIFS(D$2:D1779,B$2:B1779,B1779,C$2:C1779,"ENTRADA")-SUMIFS(D$2:D1779,B$2:B1779,B1779,C$2:C1779,"SALIDA")</f>
        <v>8817.1410000000033</v>
      </c>
    </row>
    <row r="1780" spans="1:5" x14ac:dyDescent="0.3">
      <c r="A1780" s="9">
        <v>44715</v>
      </c>
      <c r="B1780" s="10" t="s">
        <v>12</v>
      </c>
      <c r="C1780" s="10" t="s">
        <v>28</v>
      </c>
      <c r="D1780" s="12">
        <v>101.62</v>
      </c>
      <c r="E1780" s="12">
        <f>SUMIF('Parametros Inventario'!$A:$A,B1780,'Parametros Inventario'!$B:$B)+SUMIFS(D$2:D1780,B$2:B1780,B1780,C$2:C1780,"ENTRADA")-SUMIFS(D$2:D1780,B$2:B1780,B1780,C$2:C1780,"SALIDA")</f>
        <v>7973.1700000000019</v>
      </c>
    </row>
    <row r="1781" spans="1:5" x14ac:dyDescent="0.3">
      <c r="A1781" s="9">
        <v>44715</v>
      </c>
      <c r="B1781" s="10" t="s">
        <v>16</v>
      </c>
      <c r="C1781" s="10" t="s">
        <v>28</v>
      </c>
      <c r="D1781" s="12">
        <v>267.61</v>
      </c>
      <c r="E1781" s="12">
        <f>SUMIF('Parametros Inventario'!$A:$A,B1781,'Parametros Inventario'!$B:$B)+SUMIFS(D$2:D1781,B$2:B1781,B1781,C$2:C1781,"ENTRADA")-SUMIFS(D$2:D1781,B$2:B1781,B1781,C$2:C1781,"SALIDA")</f>
        <v>8892.5320000000029</v>
      </c>
    </row>
    <row r="1782" spans="1:5" x14ac:dyDescent="0.3">
      <c r="A1782" s="9">
        <v>44715</v>
      </c>
      <c r="B1782" s="10" t="s">
        <v>17</v>
      </c>
      <c r="C1782" s="10" t="s">
        <v>28</v>
      </c>
      <c r="D1782" s="12">
        <v>127.44</v>
      </c>
      <c r="E1782" s="12">
        <f>SUMIF('Parametros Inventario'!$A:$A,B1782,'Parametros Inventario'!$B:$B)+SUMIFS(D$2:D1782,B$2:B1782,B1782,C$2:C1782,"ENTRADA")-SUMIFS(D$2:D1782,B$2:B1782,B1782,C$2:C1782,"SALIDA")</f>
        <v>7186.385000000002</v>
      </c>
    </row>
    <row r="1783" spans="1:5" x14ac:dyDescent="0.3">
      <c r="A1783" s="9">
        <v>44715</v>
      </c>
      <c r="B1783" s="10" t="s">
        <v>18</v>
      </c>
      <c r="C1783" s="10" t="s">
        <v>28</v>
      </c>
      <c r="D1783" s="12">
        <v>254.47</v>
      </c>
      <c r="E1783" s="12">
        <f>SUMIF('Parametros Inventario'!$A:$A,B1783,'Parametros Inventario'!$B:$B)+SUMIFS(D$2:D1783,B$2:B1783,B1783,C$2:C1783,"ENTRADA")-SUMIFS(D$2:D1783,B$2:B1783,B1783,C$2:C1783,"SALIDA")</f>
        <v>7982.6019999999971</v>
      </c>
    </row>
    <row r="1784" spans="1:5" x14ac:dyDescent="0.3">
      <c r="A1784" s="9">
        <v>44715</v>
      </c>
      <c r="B1784" s="10" t="s">
        <v>10</v>
      </c>
      <c r="C1784" s="10" t="s">
        <v>28</v>
      </c>
      <c r="D1784" s="12">
        <v>216.2</v>
      </c>
      <c r="E1784" s="12">
        <f>SUMIF('Parametros Inventario'!$A:$A,B1784,'Parametros Inventario'!$B:$B)+SUMIFS(D$2:D1784,B$2:B1784,B1784,C$2:C1784,"ENTRADA")-SUMIFS(D$2:D1784,B$2:B1784,B1784,C$2:C1784,"SALIDA")</f>
        <v>8971.2249999999985</v>
      </c>
    </row>
    <row r="1785" spans="1:5" x14ac:dyDescent="0.3">
      <c r="A1785" s="9">
        <v>44715</v>
      </c>
      <c r="B1785" s="10" t="s">
        <v>8</v>
      </c>
      <c r="C1785" s="10" t="s">
        <v>28</v>
      </c>
      <c r="D1785" s="12">
        <v>89.7</v>
      </c>
      <c r="E1785" s="12">
        <f>SUMIF('Parametros Inventario'!$A:$A,B1785,'Parametros Inventario'!$B:$B)+SUMIFS(D$2:D1785,B$2:B1785,B1785,C$2:C1785,"ENTRADA")-SUMIFS(D$2:D1785,B$2:B1785,B1785,C$2:C1785,"SALIDA")</f>
        <v>7493.6759999999995</v>
      </c>
    </row>
    <row r="1786" spans="1:5" x14ac:dyDescent="0.3">
      <c r="A1786" s="9">
        <v>44715</v>
      </c>
      <c r="B1786" s="10" t="s">
        <v>13</v>
      </c>
      <c r="C1786" s="10" t="s">
        <v>28</v>
      </c>
      <c r="D1786" s="12">
        <v>193.77</v>
      </c>
      <c r="E1786" s="12">
        <f>SUMIF('Parametros Inventario'!$A:$A,B1786,'Parametros Inventario'!$B:$B)+SUMIFS(D$2:D1786,B$2:B1786,B1786,C$2:C1786,"ENTRADA")-SUMIFS(D$2:D1786,B$2:B1786,B1786,C$2:C1786,"SALIDA")</f>
        <v>8666.2620000000024</v>
      </c>
    </row>
    <row r="1787" spans="1:5" x14ac:dyDescent="0.3">
      <c r="A1787" s="9">
        <v>44715</v>
      </c>
      <c r="B1787" s="10" t="s">
        <v>15</v>
      </c>
      <c r="C1787" s="10" t="s">
        <v>28</v>
      </c>
      <c r="D1787" s="12">
        <v>127.58</v>
      </c>
      <c r="E1787" s="12">
        <f>SUMIF('Parametros Inventario'!$A:$A,B1787,'Parametros Inventario'!$B:$B)+SUMIFS(D$2:D1787,B$2:B1787,B1787,C$2:C1787,"ENTRADA")-SUMIFS(D$2:D1787,B$2:B1787,B1787,C$2:C1787,"SALIDA")</f>
        <v>8288.0999999999985</v>
      </c>
    </row>
    <row r="1788" spans="1:5" x14ac:dyDescent="0.3">
      <c r="A1788" s="9">
        <f>'Volúmenes DIstribuidos '!B1149</f>
        <v>44715</v>
      </c>
      <c r="B1788" s="10" t="str">
        <f>IF(OR('Volúmenes DIstribuidos '!C1149="Azúcar",'Volúmenes DIstribuidos '!C1149="azúcar"),"Azúcar o dulce",IF('Volúmenes DIstribuidos '!C1149="Aceite","Aceite o grasas",IF('Volúmenes DIstribuidos '!C1149="Avena","Otros almidones",'Volúmenes DIstribuidos '!C1149)))</f>
        <v>Vegetales y hojas</v>
      </c>
      <c r="C1788" s="10" t="s">
        <v>29</v>
      </c>
      <c r="D1788" s="12">
        <f>'Volúmenes DIstribuidos '!D1149</f>
        <v>10.404999999999999</v>
      </c>
      <c r="E1788" s="12">
        <f>SUMIF('Parametros Inventario'!$A:$A,B1788,'Parametros Inventario'!$B:$B)+SUMIFS(D$2:D1788,B$2:B1788,B1788,C$2:C1788,"ENTRADA")-SUMIFS(D$2:D1788,B$2:B1788,B1788,C$2:C1788,"SALIDA")</f>
        <v>8960.82</v>
      </c>
    </row>
    <row r="1789" spans="1:5" x14ac:dyDescent="0.3">
      <c r="A1789" s="9">
        <f>'Volúmenes DIstribuidos '!B1149</f>
        <v>44715</v>
      </c>
      <c r="B1789" s="10" t="str">
        <f>IF(OR('Volúmenes DIstribuidos '!C1150="Azúcar",'Volúmenes DIstribuidos '!C1150="azúcar"),"Azúcar o dulce",IF('Volúmenes DIstribuidos '!C1150="Aceite","Aceite o grasas",IF('Volúmenes DIstribuidos '!C1150="Avena","Otros almidones",'Volúmenes DIstribuidos '!C1150)))</f>
        <v>Lácteos</v>
      </c>
      <c r="C1789" s="10" t="s">
        <v>29</v>
      </c>
      <c r="D1789" s="12">
        <f>'Volúmenes DIstribuidos '!D1150</f>
        <v>8.44</v>
      </c>
      <c r="E1789" s="12">
        <f>SUMIF('Parametros Inventario'!$A:$A,B1789,'Parametros Inventario'!$B:$B)+SUMIFS(D$2:D1789,B$2:B1789,B1789,C$2:C1789,"ENTRADA")-SUMIFS(D$2:D1789,B$2:B1789,B1789,C$2:C1789,"SALIDA")</f>
        <v>7177.9450000000015</v>
      </c>
    </row>
    <row r="1790" spans="1:5" x14ac:dyDescent="0.3">
      <c r="A1790" s="9">
        <f>'Volúmenes DIstribuidos '!B1149</f>
        <v>44715</v>
      </c>
      <c r="B1790" s="10" t="str">
        <f>IF(OR('Volúmenes DIstribuidos '!C1151="Azúcar",'Volúmenes DIstribuidos '!C1151="azúcar"),"Azúcar o dulce",IF('Volúmenes DIstribuidos '!C1151="Aceite","Aceite o grasas",IF('Volúmenes DIstribuidos '!C1151="Avena","Otros almidones",'Volúmenes DIstribuidos '!C1151)))</f>
        <v>Vegetales y hojas</v>
      </c>
      <c r="C1790" s="10" t="s">
        <v>29</v>
      </c>
      <c r="D1790" s="12">
        <f>'Volúmenes DIstribuidos '!D1151</f>
        <v>32.86</v>
      </c>
      <c r="E1790" s="12">
        <f>SUMIF('Parametros Inventario'!$A:$A,B1790,'Parametros Inventario'!$B:$B)+SUMIFS(D$2:D1790,B$2:B1790,B1790,C$2:C1790,"ENTRADA")-SUMIFS(D$2:D1790,B$2:B1790,B1790,C$2:C1790,"SALIDA")</f>
        <v>8927.9599999999991</v>
      </c>
    </row>
    <row r="1791" spans="1:5" x14ac:dyDescent="0.3">
      <c r="A1791" s="9">
        <f>'Volúmenes DIstribuidos '!B1149</f>
        <v>44715</v>
      </c>
      <c r="B1791" s="10" t="str">
        <f>IF(OR('Volúmenes DIstribuidos '!C1152="Azúcar",'Volúmenes DIstribuidos '!C1152="azúcar"),"Azúcar o dulce",IF('Volúmenes DIstribuidos '!C1152="Aceite","Aceite o grasas",IF('Volúmenes DIstribuidos '!C1152="Avena","Otros almidones",'Volúmenes DIstribuidos '!C1152)))</f>
        <v>Azúcar o dulce</v>
      </c>
      <c r="C1791" s="10" t="s">
        <v>29</v>
      </c>
      <c r="D1791" s="12">
        <f>'Volúmenes DIstribuidos '!D1152</f>
        <v>5.48</v>
      </c>
      <c r="E1791" s="12">
        <f>SUMIF('Parametros Inventario'!$A:$A,B1791,'Parametros Inventario'!$B:$B)+SUMIFS(D$2:D1791,B$2:B1791,B1791,C$2:C1791,"ENTRADA")-SUMIFS(D$2:D1791,B$2:B1791,B1791,C$2:C1791,"SALIDA")</f>
        <v>8660.7820000000029</v>
      </c>
    </row>
    <row r="1792" spans="1:5" x14ac:dyDescent="0.3">
      <c r="A1792" s="9">
        <f>'Volúmenes DIstribuidos '!B1149</f>
        <v>44715</v>
      </c>
      <c r="B1792" s="10" t="str">
        <f>IF(OR('Volúmenes DIstribuidos '!C1153="Azúcar",'Volúmenes DIstribuidos '!C1153="azúcar"),"Azúcar o dulce",IF('Volúmenes DIstribuidos '!C1153="Aceite","Aceite o grasas",IF('Volúmenes DIstribuidos '!C1153="Avena","Otros almidones",'Volúmenes DIstribuidos '!C1153)))</f>
        <v>Carnes rojas</v>
      </c>
      <c r="C1792" s="10" t="s">
        <v>29</v>
      </c>
      <c r="D1792" s="12">
        <f>'Volúmenes DIstribuidos '!D1153</f>
        <v>4.3600000000000003</v>
      </c>
      <c r="E1792" s="12">
        <f>SUMIF('Parametros Inventario'!$A:$A,B1792,'Parametros Inventario'!$B:$B)+SUMIFS(D$2:D1792,B$2:B1792,B1792,C$2:C1792,"ENTRADA")-SUMIFS(D$2:D1792,B$2:B1792,B1792,C$2:C1792,"SALIDA")</f>
        <v>7968.8100000000013</v>
      </c>
    </row>
    <row r="1793" spans="1:5" x14ac:dyDescent="0.3">
      <c r="A1793" s="9">
        <f>'Volúmenes DIstribuidos '!B1149</f>
        <v>44715</v>
      </c>
      <c r="B1793" s="10" t="str">
        <f>IF(OR('Volúmenes DIstribuidos '!C1154="Azúcar",'Volúmenes DIstribuidos '!C1154="azúcar"),"Azúcar o dulce",IF('Volúmenes DIstribuidos '!C1154="Aceite","Aceite o grasas",IF('Volúmenes DIstribuidos '!C1154="Avena","Otros almidones",'Volúmenes DIstribuidos '!C1154)))</f>
        <v>Salsas</v>
      </c>
      <c r="C1793" s="10" t="s">
        <v>29</v>
      </c>
      <c r="D1793" s="12">
        <f>'Volúmenes DIstribuidos '!D1154</f>
        <v>14.97</v>
      </c>
      <c r="E1793" s="12">
        <f>SUMIF('Parametros Inventario'!$A:$A,B1793,'Parametros Inventario'!$B:$B)+SUMIFS(D$2:D1793,B$2:B1793,B1793,C$2:C1793,"ENTRADA")-SUMIFS(D$2:D1793,B$2:B1793,B1793,C$2:C1793,"SALIDA")</f>
        <v>7967.6319999999978</v>
      </c>
    </row>
    <row r="1794" spans="1:5" x14ac:dyDescent="0.3">
      <c r="A1794" s="9">
        <f>'Volúmenes DIstribuidos '!B1155</f>
        <v>44719</v>
      </c>
      <c r="B1794" s="10" t="str">
        <f>IF(OR('Volúmenes DIstribuidos '!C1155="Azúcar",'Volúmenes DIstribuidos '!C1155="azúcar"),"Azúcar o dulce",IF('Volúmenes DIstribuidos '!C1155="Aceite","Aceite o grasas",IF('Volúmenes DIstribuidos '!C1155="Avena","Otros almidones",'Volúmenes DIstribuidos '!C1155)))</f>
        <v>Menestras</v>
      </c>
      <c r="C1794" s="10" t="s">
        <v>29</v>
      </c>
      <c r="D1794" s="12">
        <f>'Volúmenes DIstribuidos '!D1155</f>
        <v>78.936000000000007</v>
      </c>
      <c r="E1794" s="12">
        <f>SUMIF('Parametros Inventario'!$A:$A,B1794,'Parametros Inventario'!$B:$B)+SUMIFS(D$2:D1794,B$2:B1794,B1794,C$2:C1794,"ENTRADA")-SUMIFS(D$2:D1794,B$2:B1794,B1794,C$2:C1794,"SALIDA")</f>
        <v>8299.773000000001</v>
      </c>
    </row>
    <row r="1795" spans="1:5" x14ac:dyDescent="0.3">
      <c r="A1795" s="9">
        <f>'Volúmenes DIstribuidos '!B1155</f>
        <v>44719</v>
      </c>
      <c r="B1795" s="10" t="str">
        <f>IF(OR('Volúmenes DIstribuidos '!C1156="Azúcar",'Volúmenes DIstribuidos '!C1156="azúcar"),"Azúcar o dulce",IF('Volúmenes DIstribuidos '!C1156="Aceite","Aceite o grasas",IF('Volúmenes DIstribuidos '!C1156="Avena","Otros almidones",'Volúmenes DIstribuidos '!C1156)))</f>
        <v>Fideo</v>
      </c>
      <c r="C1795" s="10" t="s">
        <v>29</v>
      </c>
      <c r="D1795" s="12">
        <f>'Volúmenes DIstribuidos '!D1156</f>
        <v>26.77</v>
      </c>
      <c r="E1795" s="12">
        <f>SUMIF('Parametros Inventario'!$A:$A,B1795,'Parametros Inventario'!$B:$B)+SUMIFS(D$2:D1795,B$2:B1795,B1795,C$2:C1795,"ENTRADA")-SUMIFS(D$2:D1795,B$2:B1795,B1795,C$2:C1795,"SALIDA")</f>
        <v>8790.3710000000028</v>
      </c>
    </row>
    <row r="1796" spans="1:5" x14ac:dyDescent="0.3">
      <c r="A1796" s="9">
        <f>'Volúmenes DIstribuidos '!B1155</f>
        <v>44719</v>
      </c>
      <c r="B1796" s="10" t="str">
        <f>IF(OR('Volúmenes DIstribuidos '!C1157="Azúcar",'Volúmenes DIstribuidos '!C1157="azúcar"),"Azúcar o dulce",IF('Volúmenes DIstribuidos '!C1157="Aceite","Aceite o grasas",IF('Volúmenes DIstribuidos '!C1157="Avena","Otros almidones",'Volúmenes DIstribuidos '!C1157)))</f>
        <v>Aceite o grasas</v>
      </c>
      <c r="C1796" s="10" t="s">
        <v>29</v>
      </c>
      <c r="D1796" s="12">
        <f>'Volúmenes DIstribuidos '!D1157</f>
        <v>16.82</v>
      </c>
      <c r="E1796" s="12">
        <f>SUMIF('Parametros Inventario'!$A:$A,B1796,'Parametros Inventario'!$B:$B)+SUMIFS(D$2:D1796,B$2:B1796,B1796,C$2:C1796,"ENTRADA")-SUMIFS(D$2:D1796,B$2:B1796,B1796,C$2:C1796,"SALIDA")</f>
        <v>7476.8559999999998</v>
      </c>
    </row>
    <row r="1797" spans="1:5" x14ac:dyDescent="0.3">
      <c r="A1797" s="9">
        <f>'Volúmenes DIstribuidos '!B1155</f>
        <v>44719</v>
      </c>
      <c r="B1797" s="10" t="str">
        <f>IF(OR('Volúmenes DIstribuidos '!C1158="Azúcar",'Volúmenes DIstribuidos '!C1158="azúcar"),"Azúcar o dulce",IF('Volúmenes DIstribuidos '!C1158="Aceite","Aceite o grasas",IF('Volúmenes DIstribuidos '!C1158="Avena","Otros almidones",'Volúmenes DIstribuidos '!C1158)))</f>
        <v>Lácteos</v>
      </c>
      <c r="C1797" s="10" t="s">
        <v>29</v>
      </c>
      <c r="D1797" s="12">
        <f>'Volúmenes DIstribuidos '!D1158</f>
        <v>5.43</v>
      </c>
      <c r="E1797" s="12">
        <f>SUMIF('Parametros Inventario'!$A:$A,B1797,'Parametros Inventario'!$B:$B)+SUMIFS(D$2:D1797,B$2:B1797,B1797,C$2:C1797,"ENTRADA")-SUMIFS(D$2:D1797,B$2:B1797,B1797,C$2:C1797,"SALIDA")</f>
        <v>7172.5150000000012</v>
      </c>
    </row>
    <row r="1798" spans="1:5" x14ac:dyDescent="0.3">
      <c r="A1798" s="9">
        <f>'Volúmenes DIstribuidos '!B1155</f>
        <v>44719</v>
      </c>
      <c r="B1798" s="10" t="str">
        <f>IF(OR('Volúmenes DIstribuidos '!C1159="Azúcar",'Volúmenes DIstribuidos '!C1159="azúcar"),"Azúcar o dulce",IF('Volúmenes DIstribuidos '!C1159="Aceite","Aceite o grasas",IF('Volúmenes DIstribuidos '!C1159="Avena","Otros almidones",'Volúmenes DIstribuidos '!C1159)))</f>
        <v>Carnes blancas</v>
      </c>
      <c r="C1798" s="10" t="s">
        <v>29</v>
      </c>
      <c r="D1798" s="12">
        <f>'Volúmenes DIstribuidos '!D1159</f>
        <v>12.66</v>
      </c>
      <c r="E1798" s="12">
        <f>SUMIF('Parametros Inventario'!$A:$A,B1798,'Parametros Inventario'!$B:$B)+SUMIFS(D$2:D1798,B$2:B1798,B1798,C$2:C1798,"ENTRADA")-SUMIFS(D$2:D1798,B$2:B1798,B1798,C$2:C1798,"SALIDA")</f>
        <v>8879.872000000003</v>
      </c>
    </row>
    <row r="1799" spans="1:5" x14ac:dyDescent="0.3">
      <c r="A1799" s="9">
        <f>'Volúmenes DIstribuidos '!B1155</f>
        <v>44719</v>
      </c>
      <c r="B1799" s="10" t="str">
        <f>IF(OR('Volúmenes DIstribuidos '!C1160="Azúcar",'Volúmenes DIstribuidos '!C1160="azúcar"),"Azúcar o dulce",IF('Volúmenes DIstribuidos '!C1160="Aceite","Aceite o grasas",IF('Volúmenes DIstribuidos '!C1160="Avena","Otros almidones",'Volúmenes DIstribuidos '!C1160)))</f>
        <v>Menestras</v>
      </c>
      <c r="C1799" s="10" t="s">
        <v>29</v>
      </c>
      <c r="D1799" s="12">
        <f>'Volúmenes DIstribuidos '!D1160</f>
        <v>15.38</v>
      </c>
      <c r="E1799" s="12">
        <f>SUMIF('Parametros Inventario'!$A:$A,B1799,'Parametros Inventario'!$B:$B)+SUMIFS(D$2:D1799,B$2:B1799,B1799,C$2:C1799,"ENTRADA")-SUMIFS(D$2:D1799,B$2:B1799,B1799,C$2:C1799,"SALIDA")</f>
        <v>8284.393</v>
      </c>
    </row>
    <row r="1800" spans="1:5" x14ac:dyDescent="0.3">
      <c r="A1800" s="9">
        <v>44722</v>
      </c>
      <c r="B1800" s="10" t="s">
        <v>11</v>
      </c>
      <c r="C1800" s="10" t="s">
        <v>28</v>
      </c>
      <c r="D1800" s="12">
        <v>100.74</v>
      </c>
      <c r="E1800" s="12">
        <f>SUMIF('Parametros Inventario'!$A:$A,B1800,'Parametros Inventario'!$B:$B)+SUMIFS(D$2:D1800,B$2:B1800,B1800,C$2:C1800,"ENTRADA")-SUMIFS(D$2:D1800,B$2:B1800,B1800,C$2:C1800,"SALIDA")</f>
        <v>8891.1110000000026</v>
      </c>
    </row>
    <row r="1801" spans="1:5" x14ac:dyDescent="0.3">
      <c r="A1801" s="9">
        <v>44722</v>
      </c>
      <c r="B1801" s="10" t="s">
        <v>9</v>
      </c>
      <c r="C1801" s="10" t="s">
        <v>28</v>
      </c>
      <c r="D1801" s="12">
        <v>229.19</v>
      </c>
      <c r="E1801" s="12">
        <f>SUMIF('Parametros Inventario'!$A:$A,B1801,'Parametros Inventario'!$B:$B)+SUMIFS(D$2:D1801,B$2:B1801,B1801,C$2:C1801,"ENTRADA")-SUMIFS(D$2:D1801,B$2:B1801,B1801,C$2:C1801,"SALIDA")</f>
        <v>6140.6760000000013</v>
      </c>
    </row>
    <row r="1802" spans="1:5" x14ac:dyDescent="0.3">
      <c r="A1802" s="9">
        <v>44722</v>
      </c>
      <c r="B1802" s="10" t="s">
        <v>14</v>
      </c>
      <c r="C1802" s="10" t="s">
        <v>28</v>
      </c>
      <c r="D1802" s="12">
        <v>164.74</v>
      </c>
      <c r="E1802" s="12">
        <f>SUMIF('Parametros Inventario'!$A:$A,B1802,'Parametros Inventario'!$B:$B)+SUMIFS(D$2:D1802,B$2:B1802,B1802,C$2:C1802,"ENTRADA")-SUMIFS(D$2:D1802,B$2:B1802,B1802,C$2:C1802,"SALIDA")</f>
        <v>8449.1330000000016</v>
      </c>
    </row>
    <row r="1803" spans="1:5" x14ac:dyDescent="0.3">
      <c r="A1803" s="9">
        <v>44722</v>
      </c>
      <c r="B1803" s="10" t="s">
        <v>12</v>
      </c>
      <c r="C1803" s="10" t="s">
        <v>28</v>
      </c>
      <c r="D1803" s="12">
        <v>100.43</v>
      </c>
      <c r="E1803" s="12">
        <f>SUMIF('Parametros Inventario'!$A:$A,B1803,'Parametros Inventario'!$B:$B)+SUMIFS(D$2:D1803,B$2:B1803,B1803,C$2:C1803,"ENTRADA")-SUMIFS(D$2:D1803,B$2:B1803,B1803,C$2:C1803,"SALIDA")</f>
        <v>8069.2400000000016</v>
      </c>
    </row>
    <row r="1804" spans="1:5" x14ac:dyDescent="0.3">
      <c r="A1804" s="9">
        <v>44722</v>
      </c>
      <c r="B1804" s="10" t="s">
        <v>16</v>
      </c>
      <c r="C1804" s="10" t="s">
        <v>28</v>
      </c>
      <c r="D1804" s="12">
        <v>297.77</v>
      </c>
      <c r="E1804" s="12">
        <f>SUMIF('Parametros Inventario'!$A:$A,B1804,'Parametros Inventario'!$B:$B)+SUMIFS(D$2:D1804,B$2:B1804,B1804,C$2:C1804,"ENTRADA")-SUMIFS(D$2:D1804,B$2:B1804,B1804,C$2:C1804,"SALIDA")</f>
        <v>9177.6420000000035</v>
      </c>
    </row>
    <row r="1805" spans="1:5" x14ac:dyDescent="0.3">
      <c r="A1805" s="9">
        <v>44722</v>
      </c>
      <c r="B1805" s="10" t="s">
        <v>17</v>
      </c>
      <c r="C1805" s="10" t="s">
        <v>28</v>
      </c>
      <c r="D1805" s="12">
        <v>161.43</v>
      </c>
      <c r="E1805" s="12">
        <f>SUMIF('Parametros Inventario'!$A:$A,B1805,'Parametros Inventario'!$B:$B)+SUMIFS(D$2:D1805,B$2:B1805,B1805,C$2:C1805,"ENTRADA")-SUMIFS(D$2:D1805,B$2:B1805,B1805,C$2:C1805,"SALIDA")</f>
        <v>7333.9450000000015</v>
      </c>
    </row>
    <row r="1806" spans="1:5" x14ac:dyDescent="0.3">
      <c r="A1806" s="9">
        <v>44722</v>
      </c>
      <c r="B1806" s="10" t="s">
        <v>18</v>
      </c>
      <c r="C1806" s="10" t="s">
        <v>28</v>
      </c>
      <c r="D1806" s="12">
        <v>256.14999999999998</v>
      </c>
      <c r="E1806" s="12">
        <f>SUMIF('Parametros Inventario'!$A:$A,B1806,'Parametros Inventario'!$B:$B)+SUMIFS(D$2:D1806,B$2:B1806,B1806,C$2:C1806,"ENTRADA")-SUMIFS(D$2:D1806,B$2:B1806,B1806,C$2:C1806,"SALIDA")</f>
        <v>8223.7819999999974</v>
      </c>
    </row>
    <row r="1807" spans="1:5" x14ac:dyDescent="0.3">
      <c r="A1807" s="9">
        <v>44722</v>
      </c>
      <c r="B1807" s="10" t="s">
        <v>10</v>
      </c>
      <c r="C1807" s="10" t="s">
        <v>28</v>
      </c>
      <c r="D1807" s="12">
        <v>201.21</v>
      </c>
      <c r="E1807" s="12">
        <f>SUMIF('Parametros Inventario'!$A:$A,B1807,'Parametros Inventario'!$B:$B)+SUMIFS(D$2:D1807,B$2:B1807,B1807,C$2:C1807,"ENTRADA")-SUMIFS(D$2:D1807,B$2:B1807,B1807,C$2:C1807,"SALIDA")</f>
        <v>9129.1699999999983</v>
      </c>
    </row>
    <row r="1808" spans="1:5" x14ac:dyDescent="0.3">
      <c r="A1808" s="9">
        <v>44722</v>
      </c>
      <c r="B1808" s="10" t="s">
        <v>8</v>
      </c>
      <c r="C1808" s="10" t="s">
        <v>28</v>
      </c>
      <c r="D1808" s="12">
        <v>111.71</v>
      </c>
      <c r="E1808" s="12">
        <f>SUMIF('Parametros Inventario'!$A:$A,B1808,'Parametros Inventario'!$B:$B)+SUMIFS(D$2:D1808,B$2:B1808,B1808,C$2:C1808,"ENTRADA")-SUMIFS(D$2:D1808,B$2:B1808,B1808,C$2:C1808,"SALIDA")</f>
        <v>7588.5659999999989</v>
      </c>
    </row>
    <row r="1809" spans="1:5" x14ac:dyDescent="0.3">
      <c r="A1809" s="9">
        <v>44722</v>
      </c>
      <c r="B1809" s="10" t="s">
        <v>13</v>
      </c>
      <c r="C1809" s="10" t="s">
        <v>28</v>
      </c>
      <c r="D1809" s="12">
        <v>132.22</v>
      </c>
      <c r="E1809" s="12">
        <f>SUMIF('Parametros Inventario'!$A:$A,B1809,'Parametros Inventario'!$B:$B)+SUMIFS(D$2:D1809,B$2:B1809,B1809,C$2:C1809,"ENTRADA")-SUMIFS(D$2:D1809,B$2:B1809,B1809,C$2:C1809,"SALIDA")</f>
        <v>8793.0020000000022</v>
      </c>
    </row>
    <row r="1810" spans="1:5" x14ac:dyDescent="0.3">
      <c r="A1810" s="9">
        <f>'Volúmenes DIstribuidos '!B1161</f>
        <v>44722</v>
      </c>
      <c r="B1810" s="10" t="str">
        <f>IF(OR('Volúmenes DIstribuidos '!C1161="Azúcar",'Volúmenes DIstribuidos '!C1161="azúcar"),"Azúcar o dulce",IF('Volúmenes DIstribuidos '!C1161="Aceite","Aceite o grasas",IF('Volúmenes DIstribuidos '!C1161="Avena","Otros almidones",'Volúmenes DIstribuidos '!C1161)))</f>
        <v>Panadería</v>
      </c>
      <c r="C1810" s="10" t="s">
        <v>29</v>
      </c>
      <c r="D1810" s="12">
        <f>'Volúmenes DIstribuidos '!D1161</f>
        <v>9.3770000000000007</v>
      </c>
      <c r="E1810" s="12">
        <f>SUMIF('Parametros Inventario'!$A:$A,B1810,'Parametros Inventario'!$B:$B)+SUMIFS(D$2:D1810,B$2:B1810,B1810,C$2:C1810,"ENTRADA")-SUMIFS(D$2:D1810,B$2:B1810,B1810,C$2:C1810,"SALIDA")</f>
        <v>6131.2990000000009</v>
      </c>
    </row>
    <row r="1811" spans="1:5" x14ac:dyDescent="0.3">
      <c r="A1811" s="9">
        <f>'Volúmenes DIstribuidos '!B1161</f>
        <v>44722</v>
      </c>
      <c r="B1811" s="10" t="str">
        <f>IF(OR('Volúmenes DIstribuidos '!C1162="Azúcar",'Volúmenes DIstribuidos '!C1162="azúcar"),"Azúcar o dulce",IF('Volúmenes DIstribuidos '!C1162="Aceite","Aceite o grasas",IF('Volúmenes DIstribuidos '!C1162="Avena","Otros almidones",'Volúmenes DIstribuidos '!C1162)))</f>
        <v>Vegetales y hojas</v>
      </c>
      <c r="C1811" s="10" t="s">
        <v>29</v>
      </c>
      <c r="D1811" s="12">
        <f>'Volúmenes DIstribuidos '!D1162</f>
        <v>9.09</v>
      </c>
      <c r="E1811" s="12">
        <f>SUMIF('Parametros Inventario'!$A:$A,B1811,'Parametros Inventario'!$B:$B)+SUMIFS(D$2:D1811,B$2:B1811,B1811,C$2:C1811,"ENTRADA")-SUMIFS(D$2:D1811,B$2:B1811,B1811,C$2:C1811,"SALIDA")</f>
        <v>9120.0799999999981</v>
      </c>
    </row>
    <row r="1812" spans="1:5" x14ac:dyDescent="0.3">
      <c r="A1812" s="9">
        <f>'Volúmenes DIstribuidos '!B1161</f>
        <v>44722</v>
      </c>
      <c r="B1812" s="10" t="str">
        <f>IF(OR('Volúmenes DIstribuidos '!C1163="Azúcar",'Volúmenes DIstribuidos '!C1163="azúcar"),"Azúcar o dulce",IF('Volúmenes DIstribuidos '!C1163="Aceite","Aceite o grasas",IF('Volúmenes DIstribuidos '!C1163="Avena","Otros almidones",'Volúmenes DIstribuidos '!C1163)))</f>
        <v>Lácteos</v>
      </c>
      <c r="C1812" s="10" t="s">
        <v>29</v>
      </c>
      <c r="D1812" s="12">
        <f>'Volúmenes DIstribuidos '!D1163</f>
        <v>13.17</v>
      </c>
      <c r="E1812" s="12">
        <f>SUMIF('Parametros Inventario'!$A:$A,B1812,'Parametros Inventario'!$B:$B)+SUMIFS(D$2:D1812,B$2:B1812,B1812,C$2:C1812,"ENTRADA")-SUMIFS(D$2:D1812,B$2:B1812,B1812,C$2:C1812,"SALIDA")</f>
        <v>7320.7750000000015</v>
      </c>
    </row>
    <row r="1813" spans="1:5" x14ac:dyDescent="0.3">
      <c r="A1813" s="9">
        <f>'Volúmenes DIstribuidos '!B1161</f>
        <v>44722</v>
      </c>
      <c r="B1813" s="10" t="str">
        <f>IF(OR('Volúmenes DIstribuidos '!C1164="Azúcar",'Volúmenes DIstribuidos '!C1164="azúcar"),"Azúcar o dulce",IF('Volúmenes DIstribuidos '!C1164="Aceite","Aceite o grasas",IF('Volúmenes DIstribuidos '!C1164="Avena","Otros almidones",'Volúmenes DIstribuidos '!C1164)))</f>
        <v>Carnes rojas</v>
      </c>
      <c r="C1813" s="10" t="s">
        <v>29</v>
      </c>
      <c r="D1813" s="12">
        <f>'Volúmenes DIstribuidos '!D1164</f>
        <v>13.32</v>
      </c>
      <c r="E1813" s="12">
        <f>SUMIF('Parametros Inventario'!$A:$A,B1813,'Parametros Inventario'!$B:$B)+SUMIFS(D$2:D1813,B$2:B1813,B1813,C$2:C1813,"ENTRADA")-SUMIFS(D$2:D1813,B$2:B1813,B1813,C$2:C1813,"SALIDA")</f>
        <v>8055.9200000000019</v>
      </c>
    </row>
    <row r="1814" spans="1:5" x14ac:dyDescent="0.3">
      <c r="A1814" s="9">
        <f>'Volúmenes DIstribuidos '!B1161</f>
        <v>44722</v>
      </c>
      <c r="B1814" s="10" t="str">
        <f>IF(OR('Volúmenes DIstribuidos '!C1165="Azúcar",'Volúmenes DIstribuidos '!C1165="azúcar"),"Azúcar o dulce",IF('Volúmenes DIstribuidos '!C1165="Aceite","Aceite o grasas",IF('Volúmenes DIstribuidos '!C1165="Avena","Otros almidones",'Volúmenes DIstribuidos '!C1165)))</f>
        <v>Carnes blancas</v>
      </c>
      <c r="C1814" s="10" t="s">
        <v>29</v>
      </c>
      <c r="D1814" s="12">
        <f>'Volúmenes DIstribuidos '!D1165</f>
        <v>85.674999999999997</v>
      </c>
      <c r="E1814" s="12">
        <f>SUMIF('Parametros Inventario'!$A:$A,B1814,'Parametros Inventario'!$B:$B)+SUMIFS(D$2:D1814,B$2:B1814,B1814,C$2:C1814,"ENTRADA")-SUMIFS(D$2:D1814,B$2:B1814,B1814,C$2:C1814,"SALIDA")</f>
        <v>9091.9670000000042</v>
      </c>
    </row>
    <row r="1815" spans="1:5" x14ac:dyDescent="0.3">
      <c r="A1815" s="9">
        <f>'Volúmenes DIstribuidos '!B1161</f>
        <v>44722</v>
      </c>
      <c r="B1815" s="10" t="str">
        <f>IF(OR('Volúmenes DIstribuidos '!C1166="Azúcar",'Volúmenes DIstribuidos '!C1166="azúcar"),"Azúcar o dulce",IF('Volúmenes DIstribuidos '!C1166="Aceite","Aceite o grasas",IF('Volúmenes DIstribuidos '!C1166="Avena","Otros almidones",'Volúmenes DIstribuidos '!C1166)))</f>
        <v>Fideo</v>
      </c>
      <c r="C1815" s="10" t="s">
        <v>29</v>
      </c>
      <c r="D1815" s="12">
        <f>'Volúmenes DIstribuidos '!D1166</f>
        <v>16.98</v>
      </c>
      <c r="E1815" s="12">
        <f>SUMIF('Parametros Inventario'!$A:$A,B1815,'Parametros Inventario'!$B:$B)+SUMIFS(D$2:D1815,B$2:B1815,B1815,C$2:C1815,"ENTRADA")-SUMIFS(D$2:D1815,B$2:B1815,B1815,C$2:C1815,"SALIDA")</f>
        <v>8874.131000000003</v>
      </c>
    </row>
    <row r="1816" spans="1:5" x14ac:dyDescent="0.3">
      <c r="A1816" s="9">
        <f>'Volúmenes DIstribuidos '!B1167</f>
        <v>44726</v>
      </c>
      <c r="B1816" s="10" t="str">
        <f>IF(OR('Volúmenes DIstribuidos '!C1167="Azúcar",'Volúmenes DIstribuidos '!C1167="azúcar"),"Azúcar o dulce",IF('Volúmenes DIstribuidos '!C1167="Aceite","Aceite o grasas",IF('Volúmenes DIstribuidos '!C1167="Avena","Otros almidones",'Volúmenes DIstribuidos '!C1167)))</f>
        <v>Salsas</v>
      </c>
      <c r="C1816" s="10" t="s">
        <v>29</v>
      </c>
      <c r="D1816" s="12">
        <f>'Volúmenes DIstribuidos '!D1167</f>
        <v>93.28</v>
      </c>
      <c r="E1816" s="12">
        <f>SUMIF('Parametros Inventario'!$A:$A,B1816,'Parametros Inventario'!$B:$B)+SUMIFS(D$2:D1816,B$2:B1816,B1816,C$2:C1816,"ENTRADA")-SUMIFS(D$2:D1816,B$2:B1816,B1816,C$2:C1816,"SALIDA")</f>
        <v>8130.5019999999968</v>
      </c>
    </row>
    <row r="1817" spans="1:5" x14ac:dyDescent="0.3">
      <c r="A1817" s="9">
        <f>'Volúmenes DIstribuidos '!B1167</f>
        <v>44726</v>
      </c>
      <c r="B1817" s="10" t="str">
        <f>IF(OR('Volúmenes DIstribuidos '!C1168="Azúcar",'Volúmenes DIstribuidos '!C1168="azúcar"),"Azúcar o dulce",IF('Volúmenes DIstribuidos '!C1168="Aceite","Aceite o grasas",IF('Volúmenes DIstribuidos '!C1168="Avena","Otros almidones",'Volúmenes DIstribuidos '!C1168)))</f>
        <v>Otros almidones</v>
      </c>
      <c r="C1817" s="10" t="s">
        <v>29</v>
      </c>
      <c r="D1817" s="12">
        <f>'Volúmenes DIstribuidos '!D1168</f>
        <v>9.8209999999999997</v>
      </c>
      <c r="E1817" s="12">
        <f>SUMIF('Parametros Inventario'!$A:$A,B1817,'Parametros Inventario'!$B:$B)+SUMIFS(D$2:D1817,B$2:B1817,B1817,C$2:C1817,"ENTRADA")-SUMIFS(D$2:D1817,B$2:B1817,B1817,C$2:C1817,"SALIDA")</f>
        <v>8278.2789999999986</v>
      </c>
    </row>
    <row r="1818" spans="1:5" x14ac:dyDescent="0.3">
      <c r="A1818" s="9">
        <f>'Volúmenes DIstribuidos '!B1167</f>
        <v>44726</v>
      </c>
      <c r="B1818" s="10" t="str">
        <f>IF(OR('Volúmenes DIstribuidos '!C1169="Azúcar",'Volúmenes DIstribuidos '!C1169="azúcar"),"Azúcar o dulce",IF('Volúmenes DIstribuidos '!C1169="Aceite","Aceite o grasas",IF('Volúmenes DIstribuidos '!C1169="Avena","Otros almidones",'Volúmenes DIstribuidos '!C1169)))</f>
        <v>Otros almidones</v>
      </c>
      <c r="C1818" s="10" t="s">
        <v>29</v>
      </c>
      <c r="D1818" s="12">
        <f>'Volúmenes DIstribuidos '!D1169</f>
        <v>10.15</v>
      </c>
      <c r="E1818" s="12">
        <f>SUMIF('Parametros Inventario'!$A:$A,B1818,'Parametros Inventario'!$B:$B)+SUMIFS(D$2:D1818,B$2:B1818,B1818,C$2:C1818,"ENTRADA")-SUMIFS(D$2:D1818,B$2:B1818,B1818,C$2:C1818,"SALIDA")</f>
        <v>8268.128999999999</v>
      </c>
    </row>
    <row r="1819" spans="1:5" x14ac:dyDescent="0.3">
      <c r="A1819" s="9">
        <f>'Volúmenes DIstribuidos '!B1167</f>
        <v>44726</v>
      </c>
      <c r="B1819" s="10" t="str">
        <f>IF(OR('Volúmenes DIstribuidos '!C1170="Azúcar",'Volúmenes DIstribuidos '!C1170="azúcar"),"Azúcar o dulce",IF('Volúmenes DIstribuidos '!C1170="Aceite","Aceite o grasas",IF('Volúmenes DIstribuidos '!C1170="Avena","Otros almidones",'Volúmenes DIstribuidos '!C1170)))</f>
        <v>Carnes blancas</v>
      </c>
      <c r="C1819" s="10" t="s">
        <v>29</v>
      </c>
      <c r="D1819" s="12">
        <f>'Volúmenes DIstribuidos '!D1170</f>
        <v>6.79</v>
      </c>
      <c r="E1819" s="12">
        <f>SUMIF('Parametros Inventario'!$A:$A,B1819,'Parametros Inventario'!$B:$B)+SUMIFS(D$2:D1819,B$2:B1819,B1819,C$2:C1819,"ENTRADA")-SUMIFS(D$2:D1819,B$2:B1819,B1819,C$2:C1819,"SALIDA")</f>
        <v>9085.1770000000033</v>
      </c>
    </row>
    <row r="1820" spans="1:5" x14ac:dyDescent="0.3">
      <c r="A1820" s="9">
        <f>'Volúmenes DIstribuidos '!B1167</f>
        <v>44726</v>
      </c>
      <c r="B1820" s="10" t="str">
        <f>IF(OR('Volúmenes DIstribuidos '!C1171="Azúcar",'Volúmenes DIstribuidos '!C1171="azúcar"),"Azúcar o dulce",IF('Volúmenes DIstribuidos '!C1171="Aceite","Aceite o grasas",IF('Volúmenes DIstribuidos '!C1171="Avena","Otros almidones",'Volúmenes DIstribuidos '!C1171)))</f>
        <v>Carnes rojas</v>
      </c>
      <c r="C1820" s="10" t="s">
        <v>29</v>
      </c>
      <c r="D1820" s="12">
        <f>'Volúmenes DIstribuidos '!D1171</f>
        <v>7.33</v>
      </c>
      <c r="E1820" s="12">
        <f>SUMIF('Parametros Inventario'!$A:$A,B1820,'Parametros Inventario'!$B:$B)+SUMIFS(D$2:D1820,B$2:B1820,B1820,C$2:C1820,"ENTRADA")-SUMIFS(D$2:D1820,B$2:B1820,B1820,C$2:C1820,"SALIDA")</f>
        <v>8048.590000000002</v>
      </c>
    </row>
    <row r="1821" spans="1:5" x14ac:dyDescent="0.3">
      <c r="A1821" s="9">
        <f>'Volúmenes DIstribuidos '!B1167</f>
        <v>44726</v>
      </c>
      <c r="B1821" s="10" t="str">
        <f>IF(OR('Volúmenes DIstribuidos '!C1172="Azúcar",'Volúmenes DIstribuidos '!C1172="azúcar"),"Azúcar o dulce",IF('Volúmenes DIstribuidos '!C1172="Aceite","Aceite o grasas",IF('Volúmenes DIstribuidos '!C1172="Avena","Otros almidones",'Volúmenes DIstribuidos '!C1172)))</f>
        <v>Aceite o grasas</v>
      </c>
      <c r="C1821" s="10" t="s">
        <v>29</v>
      </c>
      <c r="D1821" s="12">
        <f>'Volúmenes DIstribuidos '!D1172</f>
        <v>5.0739999999999998</v>
      </c>
      <c r="E1821" s="12">
        <f>SUMIF('Parametros Inventario'!$A:$A,B1821,'Parametros Inventario'!$B:$B)+SUMIFS(D$2:D1821,B$2:B1821,B1821,C$2:C1821,"ENTRADA")-SUMIFS(D$2:D1821,B$2:B1821,B1821,C$2:C1821,"SALIDA")</f>
        <v>7583.4919999999993</v>
      </c>
    </row>
    <row r="1822" spans="1:5" x14ac:dyDescent="0.3">
      <c r="A1822" s="9">
        <v>44729</v>
      </c>
      <c r="B1822" s="10" t="s">
        <v>15</v>
      </c>
      <c r="C1822" s="10" t="s">
        <v>28</v>
      </c>
      <c r="D1822" s="12">
        <v>192.31</v>
      </c>
      <c r="E1822" s="12">
        <f>SUMIF('Parametros Inventario'!$A:$A,B1822,'Parametros Inventario'!$B:$B)+SUMIFS(D$2:D1822,B$2:B1822,B1822,C$2:C1822,"ENTRADA")-SUMIFS(D$2:D1822,B$2:B1822,B1822,C$2:C1822,"SALIDA")</f>
        <v>8460.4389999999985</v>
      </c>
    </row>
    <row r="1823" spans="1:5" x14ac:dyDescent="0.3">
      <c r="A1823" s="9">
        <v>44729</v>
      </c>
      <c r="B1823" s="10" t="s">
        <v>11</v>
      </c>
      <c r="C1823" s="10" t="s">
        <v>28</v>
      </c>
      <c r="D1823" s="12">
        <v>172.74</v>
      </c>
      <c r="E1823" s="12">
        <f>SUMIF('Parametros Inventario'!$A:$A,B1823,'Parametros Inventario'!$B:$B)+SUMIFS(D$2:D1823,B$2:B1823,B1823,C$2:C1823,"ENTRADA")-SUMIFS(D$2:D1823,B$2:B1823,B1823,C$2:C1823,"SALIDA")</f>
        <v>9046.8710000000028</v>
      </c>
    </row>
    <row r="1824" spans="1:5" x14ac:dyDescent="0.3">
      <c r="A1824" s="9">
        <v>44729</v>
      </c>
      <c r="B1824" s="10" t="s">
        <v>9</v>
      </c>
      <c r="C1824" s="10" t="s">
        <v>28</v>
      </c>
      <c r="D1824" s="12">
        <v>165.67</v>
      </c>
      <c r="E1824" s="12">
        <f>SUMIF('Parametros Inventario'!$A:$A,B1824,'Parametros Inventario'!$B:$B)+SUMIFS(D$2:D1824,B$2:B1824,B1824,C$2:C1824,"ENTRADA")-SUMIFS(D$2:D1824,B$2:B1824,B1824,C$2:C1824,"SALIDA")</f>
        <v>6296.969000000001</v>
      </c>
    </row>
    <row r="1825" spans="1:5" x14ac:dyDescent="0.3">
      <c r="A1825" s="9">
        <v>44729</v>
      </c>
      <c r="B1825" s="10" t="s">
        <v>14</v>
      </c>
      <c r="C1825" s="10" t="s">
        <v>28</v>
      </c>
      <c r="D1825" s="12">
        <v>59.77</v>
      </c>
      <c r="E1825" s="12">
        <f>SUMIF('Parametros Inventario'!$A:$A,B1825,'Parametros Inventario'!$B:$B)+SUMIFS(D$2:D1825,B$2:B1825,B1825,C$2:C1825,"ENTRADA")-SUMIFS(D$2:D1825,B$2:B1825,B1825,C$2:C1825,"SALIDA")</f>
        <v>8508.9030000000021</v>
      </c>
    </row>
    <row r="1826" spans="1:5" x14ac:dyDescent="0.3">
      <c r="A1826" s="9">
        <v>44729</v>
      </c>
      <c r="B1826" s="10" t="s">
        <v>12</v>
      </c>
      <c r="C1826" s="10" t="s">
        <v>28</v>
      </c>
      <c r="D1826" s="12">
        <v>72.78</v>
      </c>
      <c r="E1826" s="12">
        <f>SUMIF('Parametros Inventario'!$A:$A,B1826,'Parametros Inventario'!$B:$B)+SUMIFS(D$2:D1826,B$2:B1826,B1826,C$2:C1826,"ENTRADA")-SUMIFS(D$2:D1826,B$2:B1826,B1826,C$2:C1826,"SALIDA")</f>
        <v>8121.3700000000026</v>
      </c>
    </row>
    <row r="1827" spans="1:5" x14ac:dyDescent="0.3">
      <c r="A1827" s="9">
        <v>44729</v>
      </c>
      <c r="B1827" s="10" t="s">
        <v>16</v>
      </c>
      <c r="C1827" s="10" t="s">
        <v>28</v>
      </c>
      <c r="D1827" s="12">
        <v>211.57</v>
      </c>
      <c r="E1827" s="12">
        <f>SUMIF('Parametros Inventario'!$A:$A,B1827,'Parametros Inventario'!$B:$B)+SUMIFS(D$2:D1827,B$2:B1827,B1827,C$2:C1827,"ENTRADA")-SUMIFS(D$2:D1827,B$2:B1827,B1827,C$2:C1827,"SALIDA")</f>
        <v>9296.747000000003</v>
      </c>
    </row>
    <row r="1828" spans="1:5" x14ac:dyDescent="0.3">
      <c r="A1828" s="9">
        <v>44729</v>
      </c>
      <c r="B1828" s="10" t="s">
        <v>17</v>
      </c>
      <c r="C1828" s="10" t="s">
        <v>28</v>
      </c>
      <c r="D1828" s="12">
        <v>279.72000000000003</v>
      </c>
      <c r="E1828" s="12">
        <f>SUMIF('Parametros Inventario'!$A:$A,B1828,'Parametros Inventario'!$B:$B)+SUMIFS(D$2:D1828,B$2:B1828,B1828,C$2:C1828,"ENTRADA")-SUMIFS(D$2:D1828,B$2:B1828,B1828,C$2:C1828,"SALIDA")</f>
        <v>7600.4950000000008</v>
      </c>
    </row>
    <row r="1829" spans="1:5" x14ac:dyDescent="0.3">
      <c r="A1829" s="9">
        <v>44729</v>
      </c>
      <c r="B1829" s="10" t="s">
        <v>18</v>
      </c>
      <c r="C1829" s="10" t="s">
        <v>28</v>
      </c>
      <c r="D1829" s="12">
        <v>136.69999999999999</v>
      </c>
      <c r="E1829" s="12">
        <f>SUMIF('Parametros Inventario'!$A:$A,B1829,'Parametros Inventario'!$B:$B)+SUMIFS(D$2:D1829,B$2:B1829,B1829,C$2:C1829,"ENTRADA")-SUMIFS(D$2:D1829,B$2:B1829,B1829,C$2:C1829,"SALIDA")</f>
        <v>8267.2019999999975</v>
      </c>
    </row>
    <row r="1830" spans="1:5" x14ac:dyDescent="0.3">
      <c r="A1830" s="9">
        <v>44729</v>
      </c>
      <c r="B1830" s="10" t="s">
        <v>10</v>
      </c>
      <c r="C1830" s="10" t="s">
        <v>28</v>
      </c>
      <c r="D1830" s="12">
        <v>260.66000000000003</v>
      </c>
      <c r="E1830" s="12">
        <f>SUMIF('Parametros Inventario'!$A:$A,B1830,'Parametros Inventario'!$B:$B)+SUMIFS(D$2:D1830,B$2:B1830,B1830,C$2:C1830,"ENTRADA")-SUMIFS(D$2:D1830,B$2:B1830,B1830,C$2:C1830,"SALIDA")</f>
        <v>9380.739999999998</v>
      </c>
    </row>
    <row r="1831" spans="1:5" x14ac:dyDescent="0.3">
      <c r="A1831" s="9">
        <v>44729</v>
      </c>
      <c r="B1831" s="10" t="s">
        <v>8</v>
      </c>
      <c r="C1831" s="10" t="s">
        <v>28</v>
      </c>
      <c r="D1831" s="12">
        <v>248.09</v>
      </c>
      <c r="E1831" s="12">
        <f>SUMIF('Parametros Inventario'!$A:$A,B1831,'Parametros Inventario'!$B:$B)+SUMIFS(D$2:D1831,B$2:B1831,B1831,C$2:C1831,"ENTRADA")-SUMIFS(D$2:D1831,B$2:B1831,B1831,C$2:C1831,"SALIDA")</f>
        <v>7831.5819999999994</v>
      </c>
    </row>
    <row r="1832" spans="1:5" x14ac:dyDescent="0.3">
      <c r="A1832" s="9">
        <f>'Volúmenes DIstribuidos '!B1173</f>
        <v>44729</v>
      </c>
      <c r="B1832" s="10" t="str">
        <f>IF(OR('Volúmenes DIstribuidos '!C1173="Azúcar",'Volúmenes DIstribuidos '!C1173="azúcar"),"Azúcar o dulce",IF('Volúmenes DIstribuidos '!C1173="Aceite","Aceite o grasas",IF('Volúmenes DIstribuidos '!C1173="Avena","Otros almidones",'Volúmenes DIstribuidos '!C1173)))</f>
        <v>Lácteos</v>
      </c>
      <c r="C1832" s="10" t="s">
        <v>29</v>
      </c>
      <c r="D1832" s="12">
        <f>'Volúmenes DIstribuidos '!D1173</f>
        <v>5.55</v>
      </c>
      <c r="E1832" s="12">
        <f>SUMIF('Parametros Inventario'!$A:$A,B1832,'Parametros Inventario'!$B:$B)+SUMIFS(D$2:D1832,B$2:B1832,B1832,C$2:C1832,"ENTRADA")-SUMIFS(D$2:D1832,B$2:B1832,B1832,C$2:C1832,"SALIDA")</f>
        <v>7594.9450000000015</v>
      </c>
    </row>
    <row r="1833" spans="1:5" x14ac:dyDescent="0.3">
      <c r="A1833" s="9">
        <f>'Volúmenes DIstribuidos '!B1173</f>
        <v>44729</v>
      </c>
      <c r="B1833" s="10" t="str">
        <f>IF(OR('Volúmenes DIstribuidos '!C1174="Azúcar",'Volúmenes DIstribuidos '!C1174="azúcar"),"Azúcar o dulce",IF('Volúmenes DIstribuidos '!C1174="Aceite","Aceite o grasas",IF('Volúmenes DIstribuidos '!C1174="Avena","Otros almidones",'Volúmenes DIstribuidos '!C1174)))</f>
        <v>Carnes rojas</v>
      </c>
      <c r="C1833" s="10" t="s">
        <v>29</v>
      </c>
      <c r="D1833" s="12">
        <f>'Volúmenes DIstribuidos '!D1174</f>
        <v>24.48</v>
      </c>
      <c r="E1833" s="12">
        <f>SUMIF('Parametros Inventario'!$A:$A,B1833,'Parametros Inventario'!$B:$B)+SUMIFS(D$2:D1833,B$2:B1833,B1833,C$2:C1833,"ENTRADA")-SUMIFS(D$2:D1833,B$2:B1833,B1833,C$2:C1833,"SALIDA")</f>
        <v>8096.8900000000021</v>
      </c>
    </row>
    <row r="1834" spans="1:5" x14ac:dyDescent="0.3">
      <c r="A1834" s="9">
        <f>'Volúmenes DIstribuidos '!B1173</f>
        <v>44729</v>
      </c>
      <c r="B1834" s="10" t="str">
        <f>IF(OR('Volúmenes DIstribuidos '!C1175="Azúcar",'Volúmenes DIstribuidos '!C1175="azúcar"),"Azúcar o dulce",IF('Volúmenes DIstribuidos '!C1175="Aceite","Aceite o grasas",IF('Volúmenes DIstribuidos '!C1175="Avena","Otros almidones",'Volúmenes DIstribuidos '!C1175)))</f>
        <v>Otros almidones</v>
      </c>
      <c r="C1834" s="10" t="s">
        <v>29</v>
      </c>
      <c r="D1834" s="12">
        <f>'Volúmenes DIstribuidos '!D1175</f>
        <v>14.72</v>
      </c>
      <c r="E1834" s="12">
        <f>SUMIF('Parametros Inventario'!$A:$A,B1834,'Parametros Inventario'!$B:$B)+SUMIFS(D$2:D1834,B$2:B1834,B1834,C$2:C1834,"ENTRADA")-SUMIFS(D$2:D1834,B$2:B1834,B1834,C$2:C1834,"SALIDA")</f>
        <v>8445.7189999999991</v>
      </c>
    </row>
    <row r="1835" spans="1:5" x14ac:dyDescent="0.3">
      <c r="A1835" s="9">
        <f>'Volúmenes DIstribuidos '!B1173</f>
        <v>44729</v>
      </c>
      <c r="B1835" s="10" t="str">
        <f>IF(OR('Volúmenes DIstribuidos '!C1176="Azúcar",'Volúmenes DIstribuidos '!C1176="azúcar"),"Azúcar o dulce",IF('Volúmenes DIstribuidos '!C1176="Aceite","Aceite o grasas",IF('Volúmenes DIstribuidos '!C1176="Avena","Otros almidones",'Volúmenes DIstribuidos '!C1176)))</f>
        <v>Menestras</v>
      </c>
      <c r="C1835" s="10" t="s">
        <v>29</v>
      </c>
      <c r="D1835" s="12">
        <f>'Volúmenes DIstribuidos '!D1176</f>
        <v>26.93</v>
      </c>
      <c r="E1835" s="12">
        <f>SUMIF('Parametros Inventario'!$A:$A,B1835,'Parametros Inventario'!$B:$B)+SUMIFS(D$2:D1835,B$2:B1835,B1835,C$2:C1835,"ENTRADA")-SUMIFS(D$2:D1835,B$2:B1835,B1835,C$2:C1835,"SALIDA")</f>
        <v>8481.9730000000018</v>
      </c>
    </row>
    <row r="1836" spans="1:5" x14ac:dyDescent="0.3">
      <c r="A1836" s="9">
        <f>'Volúmenes DIstribuidos '!B1173</f>
        <v>44729</v>
      </c>
      <c r="B1836" s="10" t="str">
        <f>IF(OR('Volúmenes DIstribuidos '!C1177="Azúcar",'Volúmenes DIstribuidos '!C1177="azúcar"),"Azúcar o dulce",IF('Volúmenes DIstribuidos '!C1177="Aceite","Aceite o grasas",IF('Volúmenes DIstribuidos '!C1177="Avena","Otros almidones",'Volúmenes DIstribuidos '!C1177)))</f>
        <v>Azúcar o dulce</v>
      </c>
      <c r="C1836" s="10" t="s">
        <v>29</v>
      </c>
      <c r="D1836" s="12">
        <f>'Volúmenes DIstribuidos '!D1177</f>
        <v>4.1399999999999997</v>
      </c>
      <c r="E1836" s="12">
        <f>SUMIF('Parametros Inventario'!$A:$A,B1836,'Parametros Inventario'!$B:$B)+SUMIFS(D$2:D1836,B$2:B1836,B1836,C$2:C1836,"ENTRADA")-SUMIFS(D$2:D1836,B$2:B1836,B1836,C$2:C1836,"SALIDA")</f>
        <v>8788.862000000001</v>
      </c>
    </row>
    <row r="1837" spans="1:5" x14ac:dyDescent="0.3">
      <c r="A1837" s="9">
        <f>'Volúmenes DIstribuidos '!B1173</f>
        <v>44729</v>
      </c>
      <c r="B1837" s="10" t="str">
        <f>IF(OR('Volúmenes DIstribuidos '!C1178="Azúcar",'Volúmenes DIstribuidos '!C1178="azúcar"),"Azúcar o dulce",IF('Volúmenes DIstribuidos '!C1178="Aceite","Aceite o grasas",IF('Volúmenes DIstribuidos '!C1178="Avena","Otros almidones",'Volúmenes DIstribuidos '!C1178)))</f>
        <v>Aceite o grasas</v>
      </c>
      <c r="C1837" s="10" t="s">
        <v>29</v>
      </c>
      <c r="D1837" s="12">
        <f>'Volúmenes DIstribuidos '!D1178</f>
        <v>30.64</v>
      </c>
      <c r="E1837" s="12">
        <f>SUMIF('Parametros Inventario'!$A:$A,B1837,'Parametros Inventario'!$B:$B)+SUMIFS(D$2:D1837,B$2:B1837,B1837,C$2:C1837,"ENTRADA")-SUMIFS(D$2:D1837,B$2:B1837,B1837,C$2:C1837,"SALIDA")</f>
        <v>7800.9419999999991</v>
      </c>
    </row>
    <row r="1838" spans="1:5" x14ac:dyDescent="0.3">
      <c r="A1838" s="9">
        <f>'Volúmenes DIstribuidos '!B1179</f>
        <v>44733</v>
      </c>
      <c r="B1838" s="10" t="str">
        <f>IF(OR('Volúmenes DIstribuidos '!C1179="Azúcar",'Volúmenes DIstribuidos '!C1179="azúcar"),"Azúcar o dulce",IF('Volúmenes DIstribuidos '!C1179="Aceite","Aceite o grasas",IF('Volúmenes DIstribuidos '!C1179="Avena","Otros almidones",'Volúmenes DIstribuidos '!C1179)))</f>
        <v>Panadería</v>
      </c>
      <c r="C1838" s="10" t="s">
        <v>29</v>
      </c>
      <c r="D1838" s="12">
        <f>'Volúmenes DIstribuidos '!D1179</f>
        <v>33.880000000000003</v>
      </c>
      <c r="E1838" s="12">
        <f>SUMIF('Parametros Inventario'!$A:$A,B1838,'Parametros Inventario'!$B:$B)+SUMIFS(D$2:D1838,B$2:B1838,B1838,C$2:C1838,"ENTRADA")-SUMIFS(D$2:D1838,B$2:B1838,B1838,C$2:C1838,"SALIDA")</f>
        <v>6263.0890000000018</v>
      </c>
    </row>
    <row r="1839" spans="1:5" x14ac:dyDescent="0.3">
      <c r="A1839" s="9">
        <f>'Volúmenes DIstribuidos '!B1179</f>
        <v>44733</v>
      </c>
      <c r="B1839" s="10" t="str">
        <f>IF(OR('Volúmenes DIstribuidos '!C1180="Azúcar",'Volúmenes DIstribuidos '!C1180="azúcar"),"Azúcar o dulce",IF('Volúmenes DIstribuidos '!C1180="Aceite","Aceite o grasas",IF('Volúmenes DIstribuidos '!C1180="Avena","Otros almidones",'Volúmenes DIstribuidos '!C1180)))</f>
        <v>Carnes blancas</v>
      </c>
      <c r="C1839" s="10" t="s">
        <v>29</v>
      </c>
      <c r="D1839" s="12">
        <f>'Volúmenes DIstribuidos '!D1180</f>
        <v>9.64</v>
      </c>
      <c r="E1839" s="12">
        <f>SUMIF('Parametros Inventario'!$A:$A,B1839,'Parametros Inventario'!$B:$B)+SUMIFS(D$2:D1839,B$2:B1839,B1839,C$2:C1839,"ENTRADA")-SUMIFS(D$2:D1839,B$2:B1839,B1839,C$2:C1839,"SALIDA")</f>
        <v>9287.1070000000036</v>
      </c>
    </row>
    <row r="1840" spans="1:5" x14ac:dyDescent="0.3">
      <c r="A1840" s="9">
        <f>'Volúmenes DIstribuidos '!B1179</f>
        <v>44733</v>
      </c>
      <c r="B1840" s="10" t="str">
        <f>IF(OR('Volúmenes DIstribuidos '!C1181="Azúcar",'Volúmenes DIstribuidos '!C1181="azúcar"),"Azúcar o dulce",IF('Volúmenes DIstribuidos '!C1181="Aceite","Aceite o grasas",IF('Volúmenes DIstribuidos '!C1181="Avena","Otros almidones",'Volúmenes DIstribuidos '!C1181)))</f>
        <v>Vegetales y hojas</v>
      </c>
      <c r="C1840" s="10" t="s">
        <v>29</v>
      </c>
      <c r="D1840" s="12">
        <f>'Volúmenes DIstribuidos '!D1181</f>
        <v>16.91</v>
      </c>
      <c r="E1840" s="12">
        <f>SUMIF('Parametros Inventario'!$A:$A,B1840,'Parametros Inventario'!$B:$B)+SUMIFS(D$2:D1840,B$2:B1840,B1840,C$2:C1840,"ENTRADA")-SUMIFS(D$2:D1840,B$2:B1840,B1840,C$2:C1840,"SALIDA")</f>
        <v>9363.8299999999981</v>
      </c>
    </row>
    <row r="1841" spans="1:5" x14ac:dyDescent="0.3">
      <c r="A1841" s="9">
        <f>'Volúmenes DIstribuidos '!B1179</f>
        <v>44733</v>
      </c>
      <c r="B1841" s="10" t="str">
        <f>IF(OR('Volúmenes DIstribuidos '!C1182="Azúcar",'Volúmenes DIstribuidos '!C1182="azúcar"),"Azúcar o dulce",IF('Volúmenes DIstribuidos '!C1182="Aceite","Aceite o grasas",IF('Volúmenes DIstribuidos '!C1182="Avena","Otros almidones",'Volúmenes DIstribuidos '!C1182)))</f>
        <v>Lácteos</v>
      </c>
      <c r="C1841" s="10" t="s">
        <v>29</v>
      </c>
      <c r="D1841" s="12">
        <f>'Volúmenes DIstribuidos '!D1182</f>
        <v>55.857999999999997</v>
      </c>
      <c r="E1841" s="12">
        <f>SUMIF('Parametros Inventario'!$A:$A,B1841,'Parametros Inventario'!$B:$B)+SUMIFS(D$2:D1841,B$2:B1841,B1841,C$2:C1841,"ENTRADA")-SUMIFS(D$2:D1841,B$2:B1841,B1841,C$2:C1841,"SALIDA")</f>
        <v>7539.0870000000014</v>
      </c>
    </row>
    <row r="1842" spans="1:5" x14ac:dyDescent="0.3">
      <c r="A1842" s="9">
        <f>'Volúmenes DIstribuidos '!B1179</f>
        <v>44733</v>
      </c>
      <c r="B1842" s="10" t="str">
        <f>IF(OR('Volúmenes DIstribuidos '!C1183="Azúcar",'Volúmenes DIstribuidos '!C1183="azúcar"),"Azúcar o dulce",IF('Volúmenes DIstribuidos '!C1183="Aceite","Aceite o grasas",IF('Volúmenes DIstribuidos '!C1183="Avena","Otros almidones",'Volúmenes DIstribuidos '!C1183)))</f>
        <v>Fideo</v>
      </c>
      <c r="C1842" s="10" t="s">
        <v>29</v>
      </c>
      <c r="D1842" s="12">
        <f>'Volúmenes DIstribuidos '!D1183</f>
        <v>27.92</v>
      </c>
      <c r="E1842" s="12">
        <f>SUMIF('Parametros Inventario'!$A:$A,B1842,'Parametros Inventario'!$B:$B)+SUMIFS(D$2:D1842,B$2:B1842,B1842,C$2:C1842,"ENTRADA")-SUMIFS(D$2:D1842,B$2:B1842,B1842,C$2:C1842,"SALIDA")</f>
        <v>9018.9510000000028</v>
      </c>
    </row>
    <row r="1843" spans="1:5" x14ac:dyDescent="0.3">
      <c r="A1843" s="9">
        <f>'Volúmenes DIstribuidos '!B1179</f>
        <v>44733</v>
      </c>
      <c r="B1843" s="10" t="str">
        <f>IF(OR('Volúmenes DIstribuidos '!C1184="Azúcar",'Volúmenes DIstribuidos '!C1184="azúcar"),"Azúcar o dulce",IF('Volúmenes DIstribuidos '!C1184="Aceite","Aceite o grasas",IF('Volúmenes DIstribuidos '!C1184="Avena","Otros almidones",'Volúmenes DIstribuidos '!C1184)))</f>
        <v>Lácteos</v>
      </c>
      <c r="C1843" s="10" t="s">
        <v>29</v>
      </c>
      <c r="D1843" s="12">
        <f>'Volúmenes DIstribuidos '!D1184</f>
        <v>32.36</v>
      </c>
      <c r="E1843" s="12">
        <f>SUMIF('Parametros Inventario'!$A:$A,B1843,'Parametros Inventario'!$B:$B)+SUMIFS(D$2:D1843,B$2:B1843,B1843,C$2:C1843,"ENTRADA")-SUMIFS(D$2:D1843,B$2:B1843,B1843,C$2:C1843,"SALIDA")</f>
        <v>7506.7270000000008</v>
      </c>
    </row>
    <row r="1844" spans="1:5" x14ac:dyDescent="0.3">
      <c r="A1844" s="9">
        <v>44736</v>
      </c>
      <c r="B1844" s="10" t="s">
        <v>13</v>
      </c>
      <c r="C1844" s="10" t="s">
        <v>28</v>
      </c>
      <c r="D1844" s="12">
        <v>147.77000000000001</v>
      </c>
      <c r="E1844" s="12">
        <f>SUMIF('Parametros Inventario'!$A:$A,B1844,'Parametros Inventario'!$B:$B)+SUMIFS(D$2:D1844,B$2:B1844,B1844,C$2:C1844,"ENTRADA")-SUMIFS(D$2:D1844,B$2:B1844,B1844,C$2:C1844,"SALIDA")</f>
        <v>8936.6320000000014</v>
      </c>
    </row>
    <row r="1845" spans="1:5" x14ac:dyDescent="0.3">
      <c r="A1845" s="9">
        <v>44736</v>
      </c>
      <c r="B1845" s="10" t="s">
        <v>15</v>
      </c>
      <c r="C1845" s="10" t="s">
        <v>28</v>
      </c>
      <c r="D1845" s="12">
        <v>255.86</v>
      </c>
      <c r="E1845" s="12">
        <f>SUMIF('Parametros Inventario'!$A:$A,B1845,'Parametros Inventario'!$B:$B)+SUMIFS(D$2:D1845,B$2:B1845,B1845,C$2:C1845,"ENTRADA")-SUMIFS(D$2:D1845,B$2:B1845,B1845,C$2:C1845,"SALIDA")</f>
        <v>8701.5789999999997</v>
      </c>
    </row>
    <row r="1846" spans="1:5" x14ac:dyDescent="0.3">
      <c r="A1846" s="9">
        <v>44736</v>
      </c>
      <c r="B1846" s="10" t="s">
        <v>11</v>
      </c>
      <c r="C1846" s="10" t="s">
        <v>28</v>
      </c>
      <c r="D1846" s="12">
        <v>262.45999999999998</v>
      </c>
      <c r="E1846" s="12">
        <f>SUMIF('Parametros Inventario'!$A:$A,B1846,'Parametros Inventario'!$B:$B)+SUMIFS(D$2:D1846,B$2:B1846,B1846,C$2:C1846,"ENTRADA")-SUMIFS(D$2:D1846,B$2:B1846,B1846,C$2:C1846,"SALIDA")</f>
        <v>9281.4110000000019</v>
      </c>
    </row>
    <row r="1847" spans="1:5" x14ac:dyDescent="0.3">
      <c r="A1847" s="9">
        <v>44736</v>
      </c>
      <c r="B1847" s="10" t="s">
        <v>9</v>
      </c>
      <c r="C1847" s="10" t="s">
        <v>28</v>
      </c>
      <c r="D1847" s="12">
        <v>153.76</v>
      </c>
      <c r="E1847" s="12">
        <f>SUMIF('Parametros Inventario'!$A:$A,B1847,'Parametros Inventario'!$B:$B)+SUMIFS(D$2:D1847,B$2:B1847,B1847,C$2:C1847,"ENTRADA")-SUMIFS(D$2:D1847,B$2:B1847,B1847,C$2:C1847,"SALIDA")</f>
        <v>6416.849000000002</v>
      </c>
    </row>
    <row r="1848" spans="1:5" x14ac:dyDescent="0.3">
      <c r="A1848" s="9">
        <v>44736</v>
      </c>
      <c r="B1848" s="10" t="s">
        <v>14</v>
      </c>
      <c r="C1848" s="10" t="s">
        <v>28</v>
      </c>
      <c r="D1848" s="12">
        <v>94.89</v>
      </c>
      <c r="E1848" s="12">
        <f>SUMIF('Parametros Inventario'!$A:$A,B1848,'Parametros Inventario'!$B:$B)+SUMIFS(D$2:D1848,B$2:B1848,B1848,C$2:C1848,"ENTRADA")-SUMIFS(D$2:D1848,B$2:B1848,B1848,C$2:C1848,"SALIDA")</f>
        <v>8576.8630000000012</v>
      </c>
    </row>
    <row r="1849" spans="1:5" x14ac:dyDescent="0.3">
      <c r="A1849" s="9">
        <v>44736</v>
      </c>
      <c r="B1849" s="10" t="s">
        <v>12</v>
      </c>
      <c r="C1849" s="10" t="s">
        <v>28</v>
      </c>
      <c r="D1849" s="12">
        <v>204.43</v>
      </c>
      <c r="E1849" s="12">
        <f>SUMIF('Parametros Inventario'!$A:$A,B1849,'Parametros Inventario'!$B:$B)+SUMIFS(D$2:D1849,B$2:B1849,B1849,C$2:C1849,"ENTRADA")-SUMIFS(D$2:D1849,B$2:B1849,B1849,C$2:C1849,"SALIDA")</f>
        <v>8301.3200000000033</v>
      </c>
    </row>
    <row r="1850" spans="1:5" x14ac:dyDescent="0.3">
      <c r="A1850" s="9">
        <v>44736</v>
      </c>
      <c r="B1850" s="10" t="s">
        <v>16</v>
      </c>
      <c r="C1850" s="10" t="s">
        <v>28</v>
      </c>
      <c r="D1850" s="12">
        <v>158.02000000000001</v>
      </c>
      <c r="E1850" s="12">
        <f>SUMIF('Parametros Inventario'!$A:$A,B1850,'Parametros Inventario'!$B:$B)+SUMIFS(D$2:D1850,B$2:B1850,B1850,C$2:C1850,"ENTRADA")-SUMIFS(D$2:D1850,B$2:B1850,B1850,C$2:C1850,"SALIDA")</f>
        <v>9445.127000000004</v>
      </c>
    </row>
    <row r="1851" spans="1:5" x14ac:dyDescent="0.3">
      <c r="A1851" s="9">
        <v>44736</v>
      </c>
      <c r="B1851" s="10" t="s">
        <v>17</v>
      </c>
      <c r="C1851" s="10" t="s">
        <v>28</v>
      </c>
      <c r="D1851" s="12">
        <v>146.16999999999999</v>
      </c>
      <c r="E1851" s="12">
        <f>SUMIF('Parametros Inventario'!$A:$A,B1851,'Parametros Inventario'!$B:$B)+SUMIFS(D$2:D1851,B$2:B1851,B1851,C$2:C1851,"ENTRADA")-SUMIFS(D$2:D1851,B$2:B1851,B1851,C$2:C1851,"SALIDA")</f>
        <v>7652.8970000000008</v>
      </c>
    </row>
    <row r="1852" spans="1:5" x14ac:dyDescent="0.3">
      <c r="A1852" s="9">
        <v>44736</v>
      </c>
      <c r="B1852" s="10" t="s">
        <v>18</v>
      </c>
      <c r="C1852" s="10" t="s">
        <v>28</v>
      </c>
      <c r="D1852" s="12">
        <v>214.77</v>
      </c>
      <c r="E1852" s="12">
        <f>SUMIF('Parametros Inventario'!$A:$A,B1852,'Parametros Inventario'!$B:$B)+SUMIFS(D$2:D1852,B$2:B1852,B1852,C$2:C1852,"ENTRADA")-SUMIFS(D$2:D1852,B$2:B1852,B1852,C$2:C1852,"SALIDA")</f>
        <v>8481.9719999999979</v>
      </c>
    </row>
    <row r="1853" spans="1:5" x14ac:dyDescent="0.3">
      <c r="A1853" s="9">
        <v>44736</v>
      </c>
      <c r="B1853" s="10" t="s">
        <v>10</v>
      </c>
      <c r="C1853" s="10" t="s">
        <v>28</v>
      </c>
      <c r="D1853" s="12">
        <v>224.63</v>
      </c>
      <c r="E1853" s="12">
        <f>SUMIF('Parametros Inventario'!$A:$A,B1853,'Parametros Inventario'!$B:$B)+SUMIFS(D$2:D1853,B$2:B1853,B1853,C$2:C1853,"ENTRADA")-SUMIFS(D$2:D1853,B$2:B1853,B1853,C$2:C1853,"SALIDA")</f>
        <v>9588.4599999999973</v>
      </c>
    </row>
    <row r="1854" spans="1:5" x14ac:dyDescent="0.3">
      <c r="A1854" s="9">
        <v>44736</v>
      </c>
      <c r="B1854" s="10" t="s">
        <v>8</v>
      </c>
      <c r="C1854" s="10" t="s">
        <v>28</v>
      </c>
      <c r="D1854" s="12">
        <v>73.88</v>
      </c>
      <c r="E1854" s="12">
        <f>SUMIF('Parametros Inventario'!$A:$A,B1854,'Parametros Inventario'!$B:$B)+SUMIFS(D$2:D1854,B$2:B1854,B1854,C$2:C1854,"ENTRADA")-SUMIFS(D$2:D1854,B$2:B1854,B1854,C$2:C1854,"SALIDA")</f>
        <v>7874.8219999999983</v>
      </c>
    </row>
    <row r="1855" spans="1:5" x14ac:dyDescent="0.3">
      <c r="A1855" s="9">
        <f>'Volúmenes DIstribuidos '!B1185</f>
        <v>44736</v>
      </c>
      <c r="B1855" s="10" t="str">
        <f>IF(OR('Volúmenes DIstribuidos '!C1185="Azúcar",'Volúmenes DIstribuidos '!C1185="azúcar"),"Azúcar o dulce",IF('Volúmenes DIstribuidos '!C1185="Aceite","Aceite o grasas",IF('Volúmenes DIstribuidos '!C1185="Avena","Otros almidones",'Volúmenes DIstribuidos '!C1185)))</f>
        <v>Azúcar o dulce</v>
      </c>
      <c r="C1855" s="10" t="s">
        <v>29</v>
      </c>
      <c r="D1855" s="12">
        <f>'Volúmenes DIstribuidos '!D1185</f>
        <v>26.31</v>
      </c>
      <c r="E1855" s="12">
        <f>SUMIF('Parametros Inventario'!$A:$A,B1855,'Parametros Inventario'!$B:$B)+SUMIFS(D$2:D1855,B$2:B1855,B1855,C$2:C1855,"ENTRADA")-SUMIFS(D$2:D1855,B$2:B1855,B1855,C$2:C1855,"SALIDA")</f>
        <v>8910.3220000000019</v>
      </c>
    </row>
    <row r="1856" spans="1:5" x14ac:dyDescent="0.3">
      <c r="A1856" s="9">
        <f>'Volúmenes DIstribuidos '!B1185</f>
        <v>44736</v>
      </c>
      <c r="B1856" s="10" t="str">
        <f>IF(OR('Volúmenes DIstribuidos '!C1186="Azúcar",'Volúmenes DIstribuidos '!C1186="azúcar"),"Azúcar o dulce",IF('Volúmenes DIstribuidos '!C1186="Aceite","Aceite o grasas",IF('Volúmenes DIstribuidos '!C1186="Avena","Otros almidones",'Volúmenes DIstribuidos '!C1186)))</f>
        <v>Menestras</v>
      </c>
      <c r="C1856" s="10" t="s">
        <v>29</v>
      </c>
      <c r="D1856" s="12">
        <f>'Volúmenes DIstribuidos '!D1186</f>
        <v>14.68</v>
      </c>
      <c r="E1856" s="12">
        <f>SUMIF('Parametros Inventario'!$A:$A,B1856,'Parametros Inventario'!$B:$B)+SUMIFS(D$2:D1856,B$2:B1856,B1856,C$2:C1856,"ENTRADA")-SUMIFS(D$2:D1856,B$2:B1856,B1856,C$2:C1856,"SALIDA")</f>
        <v>8562.1830000000009</v>
      </c>
    </row>
    <row r="1857" spans="1:5" x14ac:dyDescent="0.3">
      <c r="A1857" s="9">
        <f>'Volúmenes DIstribuidos '!B1185</f>
        <v>44736</v>
      </c>
      <c r="B1857" s="10" t="str">
        <f>IF(OR('Volúmenes DIstribuidos '!C1187="Azúcar",'Volúmenes DIstribuidos '!C1187="azúcar"),"Azúcar o dulce",IF('Volúmenes DIstribuidos '!C1187="Aceite","Aceite o grasas",IF('Volúmenes DIstribuidos '!C1187="Avena","Otros almidones",'Volúmenes DIstribuidos '!C1187)))</f>
        <v>Salsas</v>
      </c>
      <c r="C1857" s="10" t="s">
        <v>29</v>
      </c>
      <c r="D1857" s="12">
        <f>'Volúmenes DIstribuidos '!D1187</f>
        <v>43.2</v>
      </c>
      <c r="E1857" s="12">
        <f>SUMIF('Parametros Inventario'!$A:$A,B1857,'Parametros Inventario'!$B:$B)+SUMIFS(D$2:D1857,B$2:B1857,B1857,C$2:C1857,"ENTRADA")-SUMIFS(D$2:D1857,B$2:B1857,B1857,C$2:C1857,"SALIDA")</f>
        <v>8438.7719999999972</v>
      </c>
    </row>
    <row r="1858" spans="1:5" x14ac:dyDescent="0.3">
      <c r="A1858" s="9">
        <f>'Volúmenes DIstribuidos '!B1185</f>
        <v>44736</v>
      </c>
      <c r="B1858" s="10" t="str">
        <f>IF(OR('Volúmenes DIstribuidos '!C1188="Azúcar",'Volúmenes DIstribuidos '!C1188="azúcar"),"Azúcar o dulce",IF('Volúmenes DIstribuidos '!C1188="Aceite","Aceite o grasas",IF('Volúmenes DIstribuidos '!C1188="Avena","Otros almidones",'Volúmenes DIstribuidos '!C1188)))</f>
        <v>Carnes rojas</v>
      </c>
      <c r="C1858" s="10" t="s">
        <v>29</v>
      </c>
      <c r="D1858" s="12">
        <f>'Volúmenes DIstribuidos '!D1188</f>
        <v>19.047000000000001</v>
      </c>
      <c r="E1858" s="12">
        <f>SUMIF('Parametros Inventario'!$A:$A,B1858,'Parametros Inventario'!$B:$B)+SUMIFS(D$2:D1858,B$2:B1858,B1858,C$2:C1858,"ENTRADA")-SUMIFS(D$2:D1858,B$2:B1858,B1858,C$2:C1858,"SALIDA")</f>
        <v>8282.2730000000029</v>
      </c>
    </row>
    <row r="1859" spans="1:5" x14ac:dyDescent="0.3">
      <c r="A1859" s="9">
        <f>'Volúmenes DIstribuidos '!B1185</f>
        <v>44736</v>
      </c>
      <c r="B1859" s="10" t="str">
        <f>IF(OR('Volúmenes DIstribuidos '!C1189="Azúcar",'Volúmenes DIstribuidos '!C1189="azúcar"),"Azúcar o dulce",IF('Volúmenes DIstribuidos '!C1189="Aceite","Aceite o grasas",IF('Volúmenes DIstribuidos '!C1189="Avena","Otros almidones",'Volúmenes DIstribuidos '!C1189)))</f>
        <v>Otros almidones</v>
      </c>
      <c r="C1859" s="10" t="s">
        <v>29</v>
      </c>
      <c r="D1859" s="12">
        <f>'Volúmenes DIstribuidos '!D1189</f>
        <v>10.18</v>
      </c>
      <c r="E1859" s="12">
        <f>SUMIF('Parametros Inventario'!$A:$A,B1859,'Parametros Inventario'!$B:$B)+SUMIFS(D$2:D1859,B$2:B1859,B1859,C$2:C1859,"ENTRADA")-SUMIFS(D$2:D1859,B$2:B1859,B1859,C$2:C1859,"SALIDA")</f>
        <v>8691.3989999999994</v>
      </c>
    </row>
    <row r="1860" spans="1:5" x14ac:dyDescent="0.3">
      <c r="A1860" s="9">
        <f>'Volúmenes DIstribuidos '!B1185</f>
        <v>44736</v>
      </c>
      <c r="B1860" s="10" t="str">
        <f>IF(OR('Volúmenes DIstribuidos '!C1190="Azúcar",'Volúmenes DIstribuidos '!C1190="azúcar"),"Azúcar o dulce",IF('Volúmenes DIstribuidos '!C1190="Aceite","Aceite o grasas",IF('Volúmenes DIstribuidos '!C1190="Avena","Otros almidones",'Volúmenes DIstribuidos '!C1190)))</f>
        <v>Carnes blancas</v>
      </c>
      <c r="C1860" s="10" t="s">
        <v>29</v>
      </c>
      <c r="D1860" s="12">
        <f>'Volúmenes DIstribuidos '!D1190</f>
        <v>5.12</v>
      </c>
      <c r="E1860" s="12">
        <f>SUMIF('Parametros Inventario'!$A:$A,B1860,'Parametros Inventario'!$B:$B)+SUMIFS(D$2:D1860,B$2:B1860,B1860,C$2:C1860,"ENTRADA")-SUMIFS(D$2:D1860,B$2:B1860,B1860,C$2:C1860,"SALIDA")</f>
        <v>9440.0070000000051</v>
      </c>
    </row>
    <row r="1861" spans="1:5" x14ac:dyDescent="0.3">
      <c r="A1861" s="9">
        <v>44740</v>
      </c>
      <c r="B1861" s="10" t="s">
        <v>13</v>
      </c>
      <c r="C1861" s="10" t="s">
        <v>28</v>
      </c>
      <c r="D1861" s="12">
        <v>224.66</v>
      </c>
      <c r="E1861" s="12">
        <f>SUMIF('Parametros Inventario'!$A:$A,B1861,'Parametros Inventario'!$B:$B)+SUMIFS(D$2:D1861,B$2:B1861,B1861,C$2:C1861,"ENTRADA")-SUMIFS(D$2:D1861,B$2:B1861,B1861,C$2:C1861,"SALIDA")</f>
        <v>9134.9820000000018</v>
      </c>
    </row>
    <row r="1862" spans="1:5" x14ac:dyDescent="0.3">
      <c r="A1862" s="9">
        <v>44740</v>
      </c>
      <c r="B1862" s="10" t="s">
        <v>15</v>
      </c>
      <c r="C1862" s="10" t="s">
        <v>28</v>
      </c>
      <c r="D1862" s="12">
        <v>60.92</v>
      </c>
      <c r="E1862" s="12">
        <f>SUMIF('Parametros Inventario'!$A:$A,B1862,'Parametros Inventario'!$B:$B)+SUMIFS(D$2:D1862,B$2:B1862,B1862,C$2:C1862,"ENTRADA")-SUMIFS(D$2:D1862,B$2:B1862,B1862,C$2:C1862,"SALIDA")</f>
        <v>8752.3189999999995</v>
      </c>
    </row>
    <row r="1863" spans="1:5" x14ac:dyDescent="0.3">
      <c r="A1863" s="9">
        <v>44740</v>
      </c>
      <c r="B1863" s="10" t="s">
        <v>11</v>
      </c>
      <c r="C1863" s="10" t="s">
        <v>28</v>
      </c>
      <c r="D1863" s="12">
        <v>271.39</v>
      </c>
      <c r="E1863" s="12">
        <f>SUMIF('Parametros Inventario'!$A:$A,B1863,'Parametros Inventario'!$B:$B)+SUMIFS(D$2:D1863,B$2:B1863,B1863,C$2:C1863,"ENTRADA")-SUMIFS(D$2:D1863,B$2:B1863,B1863,C$2:C1863,"SALIDA")</f>
        <v>9552.8010000000013</v>
      </c>
    </row>
    <row r="1864" spans="1:5" x14ac:dyDescent="0.3">
      <c r="A1864" s="9">
        <v>44740</v>
      </c>
      <c r="B1864" s="10" t="s">
        <v>9</v>
      </c>
      <c r="C1864" s="10" t="s">
        <v>28</v>
      </c>
      <c r="D1864" s="12">
        <v>89.48</v>
      </c>
      <c r="E1864" s="12">
        <f>SUMIF('Parametros Inventario'!$A:$A,B1864,'Parametros Inventario'!$B:$B)+SUMIFS(D$2:D1864,B$2:B1864,B1864,C$2:C1864,"ENTRADA")-SUMIFS(D$2:D1864,B$2:B1864,B1864,C$2:C1864,"SALIDA")</f>
        <v>6506.3290000000015</v>
      </c>
    </row>
    <row r="1865" spans="1:5" x14ac:dyDescent="0.3">
      <c r="A1865" s="9">
        <v>44740</v>
      </c>
      <c r="B1865" s="10" t="s">
        <v>14</v>
      </c>
      <c r="C1865" s="10" t="s">
        <v>28</v>
      </c>
      <c r="D1865" s="12">
        <v>270.64</v>
      </c>
      <c r="E1865" s="12">
        <f>SUMIF('Parametros Inventario'!$A:$A,B1865,'Parametros Inventario'!$B:$B)+SUMIFS(D$2:D1865,B$2:B1865,B1865,C$2:C1865,"ENTRADA")-SUMIFS(D$2:D1865,B$2:B1865,B1865,C$2:C1865,"SALIDA")</f>
        <v>8832.8230000000003</v>
      </c>
    </row>
    <row r="1866" spans="1:5" x14ac:dyDescent="0.3">
      <c r="A1866" s="9">
        <v>44740</v>
      </c>
      <c r="B1866" s="10" t="s">
        <v>12</v>
      </c>
      <c r="C1866" s="10" t="s">
        <v>28</v>
      </c>
      <c r="D1866" s="12">
        <v>184.43</v>
      </c>
      <c r="E1866" s="12">
        <f>SUMIF('Parametros Inventario'!$A:$A,B1866,'Parametros Inventario'!$B:$B)+SUMIFS(D$2:D1866,B$2:B1866,B1866,C$2:C1866,"ENTRADA")-SUMIFS(D$2:D1866,B$2:B1866,B1866,C$2:C1866,"SALIDA")</f>
        <v>8466.7030000000032</v>
      </c>
    </row>
    <row r="1867" spans="1:5" x14ac:dyDescent="0.3">
      <c r="A1867" s="9">
        <v>44740</v>
      </c>
      <c r="B1867" s="10" t="s">
        <v>16</v>
      </c>
      <c r="C1867" s="10" t="s">
        <v>28</v>
      </c>
      <c r="D1867" s="12">
        <v>216.66</v>
      </c>
      <c r="E1867" s="12">
        <f>SUMIF('Parametros Inventario'!$A:$A,B1867,'Parametros Inventario'!$B:$B)+SUMIFS(D$2:D1867,B$2:B1867,B1867,C$2:C1867,"ENTRADA")-SUMIFS(D$2:D1867,B$2:B1867,B1867,C$2:C1867,"SALIDA")</f>
        <v>9656.6670000000049</v>
      </c>
    </row>
    <row r="1868" spans="1:5" x14ac:dyDescent="0.3">
      <c r="A1868" s="9">
        <v>44740</v>
      </c>
      <c r="B1868" s="10" t="s">
        <v>17</v>
      </c>
      <c r="C1868" s="10" t="s">
        <v>28</v>
      </c>
      <c r="D1868" s="12">
        <v>66.69</v>
      </c>
      <c r="E1868" s="12">
        <f>SUMIF('Parametros Inventario'!$A:$A,B1868,'Parametros Inventario'!$B:$B)+SUMIFS(D$2:D1868,B$2:B1868,B1868,C$2:C1868,"ENTRADA")-SUMIFS(D$2:D1868,B$2:B1868,B1868,C$2:C1868,"SALIDA")</f>
        <v>7719.5870000000014</v>
      </c>
    </row>
    <row r="1869" spans="1:5" x14ac:dyDescent="0.3">
      <c r="A1869" s="9">
        <v>44740</v>
      </c>
      <c r="B1869" s="10" t="s">
        <v>18</v>
      </c>
      <c r="C1869" s="10" t="s">
        <v>28</v>
      </c>
      <c r="D1869" s="12">
        <v>231.63</v>
      </c>
      <c r="E1869" s="12">
        <f>SUMIF('Parametros Inventario'!$A:$A,B1869,'Parametros Inventario'!$B:$B)+SUMIFS(D$2:D1869,B$2:B1869,B1869,C$2:C1869,"ENTRADA")-SUMIFS(D$2:D1869,B$2:B1869,B1869,C$2:C1869,"SALIDA")</f>
        <v>8670.4019999999982</v>
      </c>
    </row>
    <row r="1870" spans="1:5" x14ac:dyDescent="0.3">
      <c r="A1870" s="9">
        <v>44740</v>
      </c>
      <c r="B1870" s="10" t="s">
        <v>10</v>
      </c>
      <c r="C1870" s="10" t="s">
        <v>28</v>
      </c>
      <c r="D1870" s="12">
        <v>275.56</v>
      </c>
      <c r="E1870" s="12">
        <f>SUMIF('Parametros Inventario'!$A:$A,B1870,'Parametros Inventario'!$B:$B)+SUMIFS(D$2:D1870,B$2:B1870,B1870,C$2:C1870,"ENTRADA")-SUMIFS(D$2:D1870,B$2:B1870,B1870,C$2:C1870,"SALIDA")</f>
        <v>9864.0199999999968</v>
      </c>
    </row>
    <row r="1871" spans="1:5" x14ac:dyDescent="0.3">
      <c r="A1871" s="9">
        <f>'Volúmenes DIstribuidos '!B1191</f>
        <v>44740</v>
      </c>
      <c r="B1871" s="10" t="str">
        <f>IF(OR('Volúmenes DIstribuidos '!C1191="Azúcar",'Volúmenes DIstribuidos '!C1191="azúcar"),"Azúcar o dulce",IF('Volúmenes DIstribuidos '!C1191="Aceite","Aceite o grasas",IF('Volúmenes DIstribuidos '!C1191="Avena","Otros almidones",'Volúmenes DIstribuidos '!C1191)))</f>
        <v>Aceite o grasas</v>
      </c>
      <c r="C1871" s="10" t="s">
        <v>29</v>
      </c>
      <c r="D1871" s="12">
        <f>'Volúmenes DIstribuidos '!D1191</f>
        <v>17.940000000000001</v>
      </c>
      <c r="E1871" s="12">
        <f>SUMIF('Parametros Inventario'!$A:$A,B1871,'Parametros Inventario'!$B:$B)+SUMIFS(D$2:D1871,B$2:B1871,B1871,C$2:C1871,"ENTRADA")-SUMIFS(D$2:D1871,B$2:B1871,B1871,C$2:C1871,"SALIDA")</f>
        <v>7856.8819999999987</v>
      </c>
    </row>
    <row r="1872" spans="1:5" x14ac:dyDescent="0.3">
      <c r="A1872" s="9">
        <f>'Volúmenes DIstribuidos '!B1191</f>
        <v>44740</v>
      </c>
      <c r="B1872" s="10" t="str">
        <f>IF(OR('Volúmenes DIstribuidos '!C1192="Azúcar",'Volúmenes DIstribuidos '!C1192="azúcar"),"Azúcar o dulce",IF('Volúmenes DIstribuidos '!C1192="Aceite","Aceite o grasas",IF('Volúmenes DIstribuidos '!C1192="Avena","Otros almidones",'Volúmenes DIstribuidos '!C1192)))</f>
        <v>Menestras</v>
      </c>
      <c r="C1872" s="10" t="s">
        <v>29</v>
      </c>
      <c r="D1872" s="12">
        <f>'Volúmenes DIstribuidos '!D1192</f>
        <v>9.7439999999999998</v>
      </c>
      <c r="E1872" s="12">
        <f>SUMIF('Parametros Inventario'!$A:$A,B1872,'Parametros Inventario'!$B:$B)+SUMIFS(D$2:D1872,B$2:B1872,B1872,C$2:C1872,"ENTRADA")-SUMIFS(D$2:D1872,B$2:B1872,B1872,C$2:C1872,"SALIDA")</f>
        <v>8823.0789999999997</v>
      </c>
    </row>
    <row r="1873" spans="1:5" x14ac:dyDescent="0.3">
      <c r="A1873" s="9">
        <f>'Volúmenes DIstribuidos '!B1191</f>
        <v>44740</v>
      </c>
      <c r="B1873" s="10" t="str">
        <f>IF(OR('Volúmenes DIstribuidos '!C1193="Azúcar",'Volúmenes DIstribuidos '!C1193="azúcar"),"Azúcar o dulce",IF('Volúmenes DIstribuidos '!C1193="Aceite","Aceite o grasas",IF('Volúmenes DIstribuidos '!C1193="Avena","Otros almidones",'Volúmenes DIstribuidos '!C1193)))</f>
        <v>Salsas</v>
      </c>
      <c r="C1873" s="10" t="s">
        <v>29</v>
      </c>
      <c r="D1873" s="12">
        <f>'Volúmenes DIstribuidos '!D1193</f>
        <v>3.64</v>
      </c>
      <c r="E1873" s="12">
        <f>SUMIF('Parametros Inventario'!$A:$A,B1873,'Parametros Inventario'!$B:$B)+SUMIFS(D$2:D1873,B$2:B1873,B1873,C$2:C1873,"ENTRADA")-SUMIFS(D$2:D1873,B$2:B1873,B1873,C$2:C1873,"SALIDA")</f>
        <v>8666.761999999997</v>
      </c>
    </row>
    <row r="1874" spans="1:5" x14ac:dyDescent="0.3">
      <c r="A1874" s="9">
        <f>'Volúmenes DIstribuidos '!B1191</f>
        <v>44740</v>
      </c>
      <c r="B1874" s="10" t="str">
        <f>IF(OR('Volúmenes DIstribuidos '!C1194="Azúcar",'Volúmenes DIstribuidos '!C1194="azúcar"),"Azúcar o dulce",IF('Volúmenes DIstribuidos '!C1194="Aceite","Aceite o grasas",IF('Volúmenes DIstribuidos '!C1194="Avena","Otros almidones",'Volúmenes DIstribuidos '!C1194)))</f>
        <v>Aceite o grasas</v>
      </c>
      <c r="C1874" s="10" t="s">
        <v>29</v>
      </c>
      <c r="D1874" s="12">
        <f>'Volúmenes DIstribuidos '!D1194</f>
        <v>8.75</v>
      </c>
      <c r="E1874" s="12">
        <f>SUMIF('Parametros Inventario'!$A:$A,B1874,'Parametros Inventario'!$B:$B)+SUMIFS(D$2:D1874,B$2:B1874,B1874,C$2:C1874,"ENTRADA")-SUMIFS(D$2:D1874,B$2:B1874,B1874,C$2:C1874,"SALIDA")</f>
        <v>7848.1319999999987</v>
      </c>
    </row>
    <row r="1875" spans="1:5" x14ac:dyDescent="0.3">
      <c r="A1875" s="9">
        <f>'Volúmenes DIstribuidos '!B1191</f>
        <v>44740</v>
      </c>
      <c r="B1875" s="10" t="str">
        <f>IF(OR('Volúmenes DIstribuidos '!C1195="Azúcar",'Volúmenes DIstribuidos '!C1195="azúcar"),"Azúcar o dulce",IF('Volúmenes DIstribuidos '!C1195="Aceite","Aceite o grasas",IF('Volúmenes DIstribuidos '!C1195="Avena","Otros almidones",'Volúmenes DIstribuidos '!C1195)))</f>
        <v>Carnes blancas</v>
      </c>
      <c r="C1875" s="10" t="s">
        <v>29</v>
      </c>
      <c r="D1875" s="12">
        <f>'Volúmenes DIstribuidos '!D1195</f>
        <v>7.08</v>
      </c>
      <c r="E1875" s="12">
        <f>SUMIF('Parametros Inventario'!$A:$A,B1875,'Parametros Inventario'!$B:$B)+SUMIFS(D$2:D1875,B$2:B1875,B1875,C$2:C1875,"ENTRADA")-SUMIFS(D$2:D1875,B$2:B1875,B1875,C$2:C1875,"SALIDA")</f>
        <v>9649.5870000000032</v>
      </c>
    </row>
    <row r="1876" spans="1:5" x14ac:dyDescent="0.3">
      <c r="A1876" s="9">
        <f>'Volúmenes DIstribuidos '!B1191</f>
        <v>44740</v>
      </c>
      <c r="B1876" s="10" t="str">
        <f>IF(OR('Volúmenes DIstribuidos '!C1196="Azúcar",'Volúmenes DIstribuidos '!C1196="azúcar"),"Azúcar o dulce",IF('Volúmenes DIstribuidos '!C1196="Aceite","Aceite o grasas",IF('Volúmenes DIstribuidos '!C1196="Avena","Otros almidones",'Volúmenes DIstribuidos '!C1196)))</f>
        <v>Vegetales y hojas</v>
      </c>
      <c r="C1876" s="10" t="s">
        <v>29</v>
      </c>
      <c r="D1876" s="12">
        <f>'Volúmenes DIstribuidos '!D1196</f>
        <v>7.59</v>
      </c>
      <c r="E1876" s="12">
        <f>SUMIF('Parametros Inventario'!$A:$A,B1876,'Parametros Inventario'!$B:$B)+SUMIFS(D$2:D1876,B$2:B1876,B1876,C$2:C1876,"ENTRADA")-SUMIFS(D$2:D1876,B$2:B1876,B1876,C$2:C1876,"SALIDA")</f>
        <v>9856.4299999999967</v>
      </c>
    </row>
    <row r="1877" spans="1:5" x14ac:dyDescent="0.3">
      <c r="A1877" s="9">
        <v>44743</v>
      </c>
      <c r="B1877" s="10" t="s">
        <v>8</v>
      </c>
      <c r="C1877" s="10" t="s">
        <v>28</v>
      </c>
      <c r="D1877" s="12">
        <v>277.18</v>
      </c>
      <c r="E1877" s="12">
        <f>SUMIF('Parametros Inventario'!$A:$A,B1877,'Parametros Inventario'!$B:$B)+SUMIFS(D$2:D1877,B$2:B1877,B1877,C$2:C1877,"ENTRADA")-SUMIFS(D$2:D1877,B$2:B1877,B1877,C$2:C1877,"SALIDA")</f>
        <v>8125.311999999999</v>
      </c>
    </row>
    <row r="1878" spans="1:5" x14ac:dyDescent="0.3">
      <c r="A1878" s="9">
        <v>44743</v>
      </c>
      <c r="B1878" s="10" t="s">
        <v>13</v>
      </c>
      <c r="C1878" s="10" t="s">
        <v>28</v>
      </c>
      <c r="D1878" s="12">
        <v>152.82</v>
      </c>
      <c r="E1878" s="12">
        <f>SUMIF('Parametros Inventario'!$A:$A,B1878,'Parametros Inventario'!$B:$B)+SUMIFS(D$2:D1878,B$2:B1878,B1878,C$2:C1878,"ENTRADA")-SUMIFS(D$2:D1878,B$2:B1878,B1878,C$2:C1878,"SALIDA")</f>
        <v>9287.8020000000015</v>
      </c>
    </row>
    <row r="1879" spans="1:5" x14ac:dyDescent="0.3">
      <c r="A1879" s="9">
        <v>44743</v>
      </c>
      <c r="B1879" s="10" t="s">
        <v>15</v>
      </c>
      <c r="C1879" s="10" t="s">
        <v>28</v>
      </c>
      <c r="D1879" s="12">
        <v>240.47</v>
      </c>
      <c r="E1879" s="12">
        <f>SUMIF('Parametros Inventario'!$A:$A,B1879,'Parametros Inventario'!$B:$B)+SUMIFS(D$2:D1879,B$2:B1879,B1879,C$2:C1879,"ENTRADA")-SUMIFS(D$2:D1879,B$2:B1879,B1879,C$2:C1879,"SALIDA")</f>
        <v>8992.7889999999989</v>
      </c>
    </row>
    <row r="1880" spans="1:5" x14ac:dyDescent="0.3">
      <c r="A1880" s="9">
        <v>44743</v>
      </c>
      <c r="B1880" s="10" t="s">
        <v>11</v>
      </c>
      <c r="C1880" s="10" t="s">
        <v>28</v>
      </c>
      <c r="D1880" s="12">
        <v>80.31</v>
      </c>
      <c r="E1880" s="12">
        <f>SUMIF('Parametros Inventario'!$A:$A,B1880,'Parametros Inventario'!$B:$B)+SUMIFS(D$2:D1880,B$2:B1880,B1880,C$2:C1880,"ENTRADA")-SUMIFS(D$2:D1880,B$2:B1880,B1880,C$2:C1880,"SALIDA")</f>
        <v>9633.1110000000008</v>
      </c>
    </row>
    <row r="1881" spans="1:5" x14ac:dyDescent="0.3">
      <c r="A1881" s="9">
        <v>44743</v>
      </c>
      <c r="B1881" s="10" t="s">
        <v>9</v>
      </c>
      <c r="C1881" s="10" t="s">
        <v>28</v>
      </c>
      <c r="D1881" s="12">
        <v>142.18</v>
      </c>
      <c r="E1881" s="12">
        <f>SUMIF('Parametros Inventario'!$A:$A,B1881,'Parametros Inventario'!$B:$B)+SUMIFS(D$2:D1881,B$2:B1881,B1881,C$2:C1881,"ENTRADA")-SUMIFS(D$2:D1881,B$2:B1881,B1881,C$2:C1881,"SALIDA")</f>
        <v>6648.5090000000018</v>
      </c>
    </row>
    <row r="1882" spans="1:5" x14ac:dyDescent="0.3">
      <c r="A1882" s="9">
        <v>44743</v>
      </c>
      <c r="B1882" s="10" t="s">
        <v>14</v>
      </c>
      <c r="C1882" s="10" t="s">
        <v>28</v>
      </c>
      <c r="D1882" s="12">
        <v>238.85</v>
      </c>
      <c r="E1882" s="12">
        <f>SUMIF('Parametros Inventario'!$A:$A,B1882,'Parametros Inventario'!$B:$B)+SUMIFS(D$2:D1882,B$2:B1882,B1882,C$2:C1882,"ENTRADA")-SUMIFS(D$2:D1882,B$2:B1882,B1882,C$2:C1882,"SALIDA")</f>
        <v>9061.9290000000001</v>
      </c>
    </row>
    <row r="1883" spans="1:5" x14ac:dyDescent="0.3">
      <c r="A1883" s="9">
        <v>44743</v>
      </c>
      <c r="B1883" s="10" t="s">
        <v>12</v>
      </c>
      <c r="C1883" s="10" t="s">
        <v>28</v>
      </c>
      <c r="D1883" s="12">
        <v>176.1</v>
      </c>
      <c r="E1883" s="12">
        <f>SUMIF('Parametros Inventario'!$A:$A,B1883,'Parametros Inventario'!$B:$B)+SUMIFS(D$2:D1883,B$2:B1883,B1883,C$2:C1883,"ENTRADA")-SUMIFS(D$2:D1883,B$2:B1883,B1883,C$2:C1883,"SALIDA")</f>
        <v>8642.8030000000035</v>
      </c>
    </row>
    <row r="1884" spans="1:5" x14ac:dyDescent="0.3">
      <c r="A1884" s="9">
        <v>44743</v>
      </c>
      <c r="B1884" s="10" t="s">
        <v>16</v>
      </c>
      <c r="C1884" s="10" t="s">
        <v>28</v>
      </c>
      <c r="D1884" s="12">
        <v>244.88</v>
      </c>
      <c r="E1884" s="12">
        <f>SUMIF('Parametros Inventario'!$A:$A,B1884,'Parametros Inventario'!$B:$B)+SUMIFS(D$2:D1884,B$2:B1884,B1884,C$2:C1884,"ENTRADA")-SUMIFS(D$2:D1884,B$2:B1884,B1884,C$2:C1884,"SALIDA")</f>
        <v>9894.4670000000042</v>
      </c>
    </row>
    <row r="1885" spans="1:5" x14ac:dyDescent="0.3">
      <c r="A1885" s="9">
        <v>44743</v>
      </c>
      <c r="B1885" s="10" t="s">
        <v>17</v>
      </c>
      <c r="C1885" s="10" t="s">
        <v>28</v>
      </c>
      <c r="D1885" s="12">
        <v>152.52000000000001</v>
      </c>
      <c r="E1885" s="12">
        <f>SUMIF('Parametros Inventario'!$A:$A,B1885,'Parametros Inventario'!$B:$B)+SUMIFS(D$2:D1885,B$2:B1885,B1885,C$2:C1885,"ENTRADA")-SUMIFS(D$2:D1885,B$2:B1885,B1885,C$2:C1885,"SALIDA")</f>
        <v>7872.1070000000018</v>
      </c>
    </row>
    <row r="1886" spans="1:5" x14ac:dyDescent="0.3">
      <c r="A1886" s="9">
        <f>'Volúmenes DIstribuidos '!B1197</f>
        <v>44743</v>
      </c>
      <c r="B1886" s="10" t="str">
        <f>IF(OR('Volúmenes DIstribuidos '!C1197="Azúcar",'Volúmenes DIstribuidos '!C1197="azúcar"),"Azúcar o dulce",IF('Volúmenes DIstribuidos '!C1197="Aceite","Aceite o grasas",IF('Volúmenes DIstribuidos '!C1197="Avena","Otros almidones",'Volúmenes DIstribuidos '!C1197)))</f>
        <v>Menestras</v>
      </c>
      <c r="C1886" s="10" t="s">
        <v>29</v>
      </c>
      <c r="D1886" s="12">
        <f>'Volúmenes DIstribuidos '!D1197</f>
        <v>9.56</v>
      </c>
      <c r="E1886" s="12">
        <f>SUMIF('Parametros Inventario'!$A:$A,B1886,'Parametros Inventario'!$B:$B)+SUMIFS(D$2:D1886,B$2:B1886,B1886,C$2:C1886,"ENTRADA")-SUMIFS(D$2:D1886,B$2:B1886,B1886,C$2:C1886,"SALIDA")</f>
        <v>9052.3690000000006</v>
      </c>
    </row>
    <row r="1887" spans="1:5" x14ac:dyDescent="0.3">
      <c r="A1887" s="9">
        <f>'Volúmenes DIstribuidos '!B1197</f>
        <v>44743</v>
      </c>
      <c r="B1887" s="10" t="str">
        <f>IF(OR('Volúmenes DIstribuidos '!C1198="Azúcar",'Volúmenes DIstribuidos '!C1198="azúcar"),"Azúcar o dulce",IF('Volúmenes DIstribuidos '!C1198="Aceite","Aceite o grasas",IF('Volúmenes DIstribuidos '!C1198="Avena","Otros almidones",'Volúmenes DIstribuidos '!C1198)))</f>
        <v>Aceite o grasas</v>
      </c>
      <c r="C1887" s="10" t="s">
        <v>29</v>
      </c>
      <c r="D1887" s="12">
        <f>'Volúmenes DIstribuidos '!D1198</f>
        <v>3.68</v>
      </c>
      <c r="E1887" s="12">
        <f>SUMIF('Parametros Inventario'!$A:$A,B1887,'Parametros Inventario'!$B:$B)+SUMIFS(D$2:D1887,B$2:B1887,B1887,C$2:C1887,"ENTRADA")-SUMIFS(D$2:D1887,B$2:B1887,B1887,C$2:C1887,"SALIDA")</f>
        <v>8121.6319999999987</v>
      </c>
    </row>
    <row r="1888" spans="1:5" x14ac:dyDescent="0.3">
      <c r="A1888" s="9">
        <f>'Volúmenes DIstribuidos '!B1197</f>
        <v>44743</v>
      </c>
      <c r="B1888" s="10" t="str">
        <f>IF(OR('Volúmenes DIstribuidos '!C1199="Azúcar",'Volúmenes DIstribuidos '!C1199="azúcar"),"Azúcar o dulce",IF('Volúmenes DIstribuidos '!C1199="Aceite","Aceite o grasas",IF('Volúmenes DIstribuidos '!C1199="Avena","Otros almidones",'Volúmenes DIstribuidos '!C1199)))</f>
        <v>Vegetales y hojas</v>
      </c>
      <c r="C1888" s="10" t="s">
        <v>29</v>
      </c>
      <c r="D1888" s="12">
        <f>'Volúmenes DIstribuidos '!D1199</f>
        <v>13.61</v>
      </c>
      <c r="E1888" s="12">
        <f>SUMIF('Parametros Inventario'!$A:$A,B1888,'Parametros Inventario'!$B:$B)+SUMIFS(D$2:D1888,B$2:B1888,B1888,C$2:C1888,"ENTRADA")-SUMIFS(D$2:D1888,B$2:B1888,B1888,C$2:C1888,"SALIDA")</f>
        <v>9842.8199999999961</v>
      </c>
    </row>
    <row r="1889" spans="1:5" x14ac:dyDescent="0.3">
      <c r="A1889" s="9">
        <f>'Volúmenes DIstribuidos '!B1197</f>
        <v>44743</v>
      </c>
      <c r="B1889" s="10" t="str">
        <f>IF(OR('Volúmenes DIstribuidos '!C1200="Azúcar",'Volúmenes DIstribuidos '!C1200="azúcar"),"Azúcar o dulce",IF('Volúmenes DIstribuidos '!C1200="Aceite","Aceite o grasas",IF('Volúmenes DIstribuidos '!C1200="Avena","Otros almidones",'Volúmenes DIstribuidos '!C1200)))</f>
        <v>Otros almidones</v>
      </c>
      <c r="C1889" s="10" t="s">
        <v>29</v>
      </c>
      <c r="D1889" s="12">
        <f>'Volúmenes DIstribuidos '!D1200</f>
        <v>17.32</v>
      </c>
      <c r="E1889" s="12">
        <f>SUMIF('Parametros Inventario'!$A:$A,B1889,'Parametros Inventario'!$B:$B)+SUMIFS(D$2:D1889,B$2:B1889,B1889,C$2:C1889,"ENTRADA")-SUMIFS(D$2:D1889,B$2:B1889,B1889,C$2:C1889,"SALIDA")</f>
        <v>8975.4689999999991</v>
      </c>
    </row>
    <row r="1890" spans="1:5" x14ac:dyDescent="0.3">
      <c r="A1890" s="9">
        <f>'Volúmenes DIstribuidos '!B1197</f>
        <v>44743</v>
      </c>
      <c r="B1890" s="10" t="str">
        <f>IF(OR('Volúmenes DIstribuidos '!C1201="Azúcar",'Volúmenes DIstribuidos '!C1201="azúcar"),"Azúcar o dulce",IF('Volúmenes DIstribuidos '!C1201="Aceite","Aceite o grasas",IF('Volúmenes DIstribuidos '!C1201="Avena","Otros almidones",'Volúmenes DIstribuidos '!C1201)))</f>
        <v>Fideo</v>
      </c>
      <c r="C1890" s="10" t="s">
        <v>29</v>
      </c>
      <c r="D1890" s="12">
        <f>'Volúmenes DIstribuidos '!D1201</f>
        <v>11.63</v>
      </c>
      <c r="E1890" s="12">
        <f>SUMIF('Parametros Inventario'!$A:$A,B1890,'Parametros Inventario'!$B:$B)+SUMIFS(D$2:D1890,B$2:B1890,B1890,C$2:C1890,"ENTRADA")-SUMIFS(D$2:D1890,B$2:B1890,B1890,C$2:C1890,"SALIDA")</f>
        <v>9621.4809999999998</v>
      </c>
    </row>
    <row r="1891" spans="1:5" x14ac:dyDescent="0.3">
      <c r="A1891" s="9">
        <f>'Volúmenes DIstribuidos '!B1197</f>
        <v>44743</v>
      </c>
      <c r="B1891" s="10" t="str">
        <f>IF(OR('Volúmenes DIstribuidos '!C1202="Azúcar",'Volúmenes DIstribuidos '!C1202="azúcar"),"Azúcar o dulce",IF('Volúmenes DIstribuidos '!C1202="Aceite","Aceite o grasas",IF('Volúmenes DIstribuidos '!C1202="Avena","Otros almidones",'Volúmenes DIstribuidos '!C1202)))</f>
        <v>Lácteos</v>
      </c>
      <c r="C1891" s="10" t="s">
        <v>29</v>
      </c>
      <c r="D1891" s="12">
        <f>'Volúmenes DIstribuidos '!D1202</f>
        <v>22.736999999999998</v>
      </c>
      <c r="E1891" s="12">
        <f>SUMIF('Parametros Inventario'!$A:$A,B1891,'Parametros Inventario'!$B:$B)+SUMIFS(D$2:D1891,B$2:B1891,B1891,C$2:C1891,"ENTRADA")-SUMIFS(D$2:D1891,B$2:B1891,B1891,C$2:C1891,"SALIDA")</f>
        <v>7849.3700000000017</v>
      </c>
    </row>
    <row r="1892" spans="1:5" x14ac:dyDescent="0.3">
      <c r="A1892" s="9">
        <f>'Volúmenes DIstribuidos '!B1203</f>
        <v>44747</v>
      </c>
      <c r="B1892" s="10" t="str">
        <f>IF(OR('Volúmenes DIstribuidos '!C1203="Azúcar",'Volúmenes DIstribuidos '!C1203="azúcar"),"Azúcar o dulce",IF('Volúmenes DIstribuidos '!C1203="Aceite","Aceite o grasas",IF('Volúmenes DIstribuidos '!C1203="Avena","Otros almidones",'Volúmenes DIstribuidos '!C1203)))</f>
        <v>Salsas</v>
      </c>
      <c r="C1892" s="10" t="s">
        <v>29</v>
      </c>
      <c r="D1892" s="12">
        <f>'Volúmenes DIstribuidos '!D1203</f>
        <v>18.3</v>
      </c>
      <c r="E1892" s="12">
        <f>SUMIF('Parametros Inventario'!$A:$A,B1892,'Parametros Inventario'!$B:$B)+SUMIFS(D$2:D1892,B$2:B1892,B1892,C$2:C1892,"ENTRADA")-SUMIFS(D$2:D1892,B$2:B1892,B1892,C$2:C1892,"SALIDA")</f>
        <v>8648.4619999999977</v>
      </c>
    </row>
    <row r="1893" spans="1:5" x14ac:dyDescent="0.3">
      <c r="A1893" s="9">
        <f>'Volúmenes DIstribuidos '!B1203</f>
        <v>44747</v>
      </c>
      <c r="B1893" s="10" t="str">
        <f>IF(OR('Volúmenes DIstribuidos '!C1204="Azúcar",'Volúmenes DIstribuidos '!C1204="azúcar"),"Azúcar o dulce",IF('Volúmenes DIstribuidos '!C1204="Aceite","Aceite o grasas",IF('Volúmenes DIstribuidos '!C1204="Avena","Otros almidones",'Volúmenes DIstribuidos '!C1204)))</f>
        <v>Aceite o grasas</v>
      </c>
      <c r="C1893" s="10" t="s">
        <v>29</v>
      </c>
      <c r="D1893" s="12">
        <f>'Volúmenes DIstribuidos '!D1204</f>
        <v>52.83</v>
      </c>
      <c r="E1893" s="12">
        <f>SUMIF('Parametros Inventario'!$A:$A,B1893,'Parametros Inventario'!$B:$B)+SUMIFS(D$2:D1893,B$2:B1893,B1893,C$2:C1893,"ENTRADA")-SUMIFS(D$2:D1893,B$2:B1893,B1893,C$2:C1893,"SALIDA")</f>
        <v>8068.8019999999988</v>
      </c>
    </row>
    <row r="1894" spans="1:5" x14ac:dyDescent="0.3">
      <c r="A1894" s="9">
        <f>'Volúmenes DIstribuidos '!B1203</f>
        <v>44747</v>
      </c>
      <c r="B1894" s="10" t="str">
        <f>IF(OR('Volúmenes DIstribuidos '!C1205="Azúcar",'Volúmenes DIstribuidos '!C1205="azúcar"),"Azúcar o dulce",IF('Volúmenes DIstribuidos '!C1205="Aceite","Aceite o grasas",IF('Volúmenes DIstribuidos '!C1205="Avena","Otros almidones",'Volúmenes DIstribuidos '!C1205)))</f>
        <v>Carnes blancas</v>
      </c>
      <c r="C1894" s="10" t="s">
        <v>29</v>
      </c>
      <c r="D1894" s="12">
        <f>'Volúmenes DIstribuidos '!D1205</f>
        <v>39.619999999999997</v>
      </c>
      <c r="E1894" s="12">
        <f>SUMIF('Parametros Inventario'!$A:$A,B1894,'Parametros Inventario'!$B:$B)+SUMIFS(D$2:D1894,B$2:B1894,B1894,C$2:C1894,"ENTRADA")-SUMIFS(D$2:D1894,B$2:B1894,B1894,C$2:C1894,"SALIDA")</f>
        <v>9854.8470000000034</v>
      </c>
    </row>
    <row r="1895" spans="1:5" x14ac:dyDescent="0.3">
      <c r="A1895" s="9">
        <f>'Volúmenes DIstribuidos '!B1203</f>
        <v>44747</v>
      </c>
      <c r="B1895" s="10" t="str">
        <f>IF(OR('Volúmenes DIstribuidos '!C1206="Azúcar",'Volúmenes DIstribuidos '!C1206="azúcar"),"Azúcar o dulce",IF('Volúmenes DIstribuidos '!C1206="Aceite","Aceite o grasas",IF('Volúmenes DIstribuidos '!C1206="Avena","Otros almidones",'Volúmenes DIstribuidos '!C1206)))</f>
        <v>Vegetales y hojas</v>
      </c>
      <c r="C1895" s="10" t="s">
        <v>29</v>
      </c>
      <c r="D1895" s="12">
        <f>'Volúmenes DIstribuidos '!D1206</f>
        <v>30.698</v>
      </c>
      <c r="E1895" s="12">
        <f>SUMIF('Parametros Inventario'!$A:$A,B1895,'Parametros Inventario'!$B:$B)+SUMIFS(D$2:D1895,B$2:B1895,B1895,C$2:C1895,"ENTRADA")-SUMIFS(D$2:D1895,B$2:B1895,B1895,C$2:C1895,"SALIDA")</f>
        <v>9812.1219999999958</v>
      </c>
    </row>
    <row r="1896" spans="1:5" x14ac:dyDescent="0.3">
      <c r="A1896" s="9">
        <f>'Volúmenes DIstribuidos '!B1203</f>
        <v>44747</v>
      </c>
      <c r="B1896" s="10" t="str">
        <f>IF(OR('Volúmenes DIstribuidos '!C1207="Azúcar",'Volúmenes DIstribuidos '!C1207="azúcar"),"Azúcar o dulce",IF('Volúmenes DIstribuidos '!C1207="Aceite","Aceite o grasas",IF('Volúmenes DIstribuidos '!C1207="Avena","Otros almidones",'Volúmenes DIstribuidos '!C1207)))</f>
        <v>Aceite o grasas</v>
      </c>
      <c r="C1896" s="10" t="s">
        <v>29</v>
      </c>
      <c r="D1896" s="12">
        <f>'Volúmenes DIstribuidos '!D1207</f>
        <v>12.13</v>
      </c>
      <c r="E1896" s="12">
        <f>SUMIF('Parametros Inventario'!$A:$A,B1896,'Parametros Inventario'!$B:$B)+SUMIFS(D$2:D1896,B$2:B1896,B1896,C$2:C1896,"ENTRADA")-SUMIFS(D$2:D1896,B$2:B1896,B1896,C$2:C1896,"SALIDA")</f>
        <v>8056.6719999999987</v>
      </c>
    </row>
    <row r="1897" spans="1:5" x14ac:dyDescent="0.3">
      <c r="A1897" s="9">
        <f>'Volúmenes DIstribuidos '!B1203</f>
        <v>44747</v>
      </c>
      <c r="B1897" s="10" t="str">
        <f>IF(OR('Volúmenes DIstribuidos '!C1208="Azúcar",'Volúmenes DIstribuidos '!C1208="azúcar"),"Azúcar o dulce",IF('Volúmenes DIstribuidos '!C1208="Aceite","Aceite o grasas",IF('Volúmenes DIstribuidos '!C1208="Avena","Otros almidones",'Volúmenes DIstribuidos '!C1208)))</f>
        <v>Salsas</v>
      </c>
      <c r="C1897" s="10" t="s">
        <v>29</v>
      </c>
      <c r="D1897" s="12">
        <f>'Volúmenes DIstribuidos '!D1208</f>
        <v>45.46</v>
      </c>
      <c r="E1897" s="12">
        <f>SUMIF('Parametros Inventario'!$A:$A,B1897,'Parametros Inventario'!$B:$B)+SUMIFS(D$2:D1897,B$2:B1897,B1897,C$2:C1897,"ENTRADA")-SUMIFS(D$2:D1897,B$2:B1897,B1897,C$2:C1897,"SALIDA")</f>
        <v>8603.0019999999968</v>
      </c>
    </row>
    <row r="1898" spans="1:5" x14ac:dyDescent="0.3">
      <c r="A1898" s="9">
        <v>44750</v>
      </c>
      <c r="B1898" s="10" t="s">
        <v>18</v>
      </c>
      <c r="C1898" s="10" t="s">
        <v>28</v>
      </c>
      <c r="D1898" s="12">
        <v>91.21</v>
      </c>
      <c r="E1898" s="12">
        <f>SUMIF('Parametros Inventario'!$A:$A,B1898,'Parametros Inventario'!$B:$B)+SUMIFS(D$2:D1898,B$2:B1898,B1898,C$2:C1898,"ENTRADA")-SUMIFS(D$2:D1898,B$2:B1898,B1898,C$2:C1898,"SALIDA")</f>
        <v>8694.2119999999959</v>
      </c>
    </row>
    <row r="1899" spans="1:5" x14ac:dyDescent="0.3">
      <c r="A1899" s="9">
        <v>44750</v>
      </c>
      <c r="B1899" s="10" t="s">
        <v>10</v>
      </c>
      <c r="C1899" s="10" t="s">
        <v>28</v>
      </c>
      <c r="D1899" s="12">
        <v>101.84</v>
      </c>
      <c r="E1899" s="12">
        <f>SUMIF('Parametros Inventario'!$A:$A,B1899,'Parametros Inventario'!$B:$B)+SUMIFS(D$2:D1899,B$2:B1899,B1899,C$2:C1899,"ENTRADA")-SUMIFS(D$2:D1899,B$2:B1899,B1899,C$2:C1899,"SALIDA")</f>
        <v>9913.9619999999959</v>
      </c>
    </row>
    <row r="1900" spans="1:5" x14ac:dyDescent="0.3">
      <c r="A1900" s="9">
        <v>44750</v>
      </c>
      <c r="B1900" s="10" t="s">
        <v>8</v>
      </c>
      <c r="C1900" s="10" t="s">
        <v>28</v>
      </c>
      <c r="D1900" s="12">
        <v>61.16</v>
      </c>
      <c r="E1900" s="12">
        <f>SUMIF('Parametros Inventario'!$A:$A,B1900,'Parametros Inventario'!$B:$B)+SUMIFS(D$2:D1900,B$2:B1900,B1900,C$2:C1900,"ENTRADA")-SUMIFS(D$2:D1900,B$2:B1900,B1900,C$2:C1900,"SALIDA")</f>
        <v>8117.8319999999985</v>
      </c>
    </row>
    <row r="1901" spans="1:5" x14ac:dyDescent="0.3">
      <c r="A1901" s="9">
        <v>44750</v>
      </c>
      <c r="B1901" s="10" t="s">
        <v>13</v>
      </c>
      <c r="C1901" s="10" t="s">
        <v>28</v>
      </c>
      <c r="D1901" s="12">
        <v>56.68</v>
      </c>
      <c r="E1901" s="12">
        <f>SUMIF('Parametros Inventario'!$A:$A,B1901,'Parametros Inventario'!$B:$B)+SUMIFS(D$2:D1901,B$2:B1901,B1901,C$2:C1901,"ENTRADA")-SUMIFS(D$2:D1901,B$2:B1901,B1901,C$2:C1901,"SALIDA")</f>
        <v>9344.4820000000018</v>
      </c>
    </row>
    <row r="1902" spans="1:5" x14ac:dyDescent="0.3">
      <c r="A1902" s="9">
        <v>44750</v>
      </c>
      <c r="B1902" s="10" t="s">
        <v>15</v>
      </c>
      <c r="C1902" s="10" t="s">
        <v>28</v>
      </c>
      <c r="D1902" s="12">
        <v>209.72</v>
      </c>
      <c r="E1902" s="12">
        <f>SUMIF('Parametros Inventario'!$A:$A,B1902,'Parametros Inventario'!$B:$B)+SUMIFS(D$2:D1902,B$2:B1902,B1902,C$2:C1902,"ENTRADA")-SUMIFS(D$2:D1902,B$2:B1902,B1902,C$2:C1902,"SALIDA")</f>
        <v>9185.1889999999985</v>
      </c>
    </row>
    <row r="1903" spans="1:5" x14ac:dyDescent="0.3">
      <c r="A1903" s="9">
        <v>44750</v>
      </c>
      <c r="B1903" s="10" t="s">
        <v>11</v>
      </c>
      <c r="C1903" s="10" t="s">
        <v>28</v>
      </c>
      <c r="D1903" s="12">
        <v>218.91</v>
      </c>
      <c r="E1903" s="12">
        <f>SUMIF('Parametros Inventario'!$A:$A,B1903,'Parametros Inventario'!$B:$B)+SUMIFS(D$2:D1903,B$2:B1903,B1903,C$2:C1903,"ENTRADA")-SUMIFS(D$2:D1903,B$2:B1903,B1903,C$2:C1903,"SALIDA")</f>
        <v>9840.3909999999996</v>
      </c>
    </row>
    <row r="1904" spans="1:5" x14ac:dyDescent="0.3">
      <c r="A1904" s="9">
        <v>44750</v>
      </c>
      <c r="B1904" s="10" t="s">
        <v>9</v>
      </c>
      <c r="C1904" s="10" t="s">
        <v>28</v>
      </c>
      <c r="D1904" s="12">
        <v>165.48</v>
      </c>
      <c r="E1904" s="12">
        <f>SUMIF('Parametros Inventario'!$A:$A,B1904,'Parametros Inventario'!$B:$B)+SUMIFS(D$2:D1904,B$2:B1904,B1904,C$2:C1904,"ENTRADA")-SUMIFS(D$2:D1904,B$2:B1904,B1904,C$2:C1904,"SALIDA")</f>
        <v>6813.9890000000014</v>
      </c>
    </row>
    <row r="1905" spans="1:5" x14ac:dyDescent="0.3">
      <c r="A1905" s="9">
        <f>'Volúmenes DIstribuidos '!B1209</f>
        <v>44750</v>
      </c>
      <c r="B1905" s="10" t="str">
        <f>IF(OR('Volúmenes DIstribuidos '!C1209="Azúcar",'Volúmenes DIstribuidos '!C1209="azúcar"),"Azúcar o dulce",IF('Volúmenes DIstribuidos '!C1209="Aceite","Aceite o grasas",IF('Volúmenes DIstribuidos '!C1209="Avena","Otros almidones",'Volúmenes DIstribuidos '!C1209)))</f>
        <v>Fideo</v>
      </c>
      <c r="C1905" s="10" t="s">
        <v>29</v>
      </c>
      <c r="D1905" s="12">
        <f>'Volúmenes DIstribuidos '!D1209</f>
        <v>34.479999999999997</v>
      </c>
      <c r="E1905" s="12">
        <f>SUMIF('Parametros Inventario'!$A:$A,B1905,'Parametros Inventario'!$B:$B)+SUMIFS(D$2:D1905,B$2:B1905,B1905,C$2:C1905,"ENTRADA")-SUMIFS(D$2:D1905,B$2:B1905,B1905,C$2:C1905,"SALIDA")</f>
        <v>9805.9110000000001</v>
      </c>
    </row>
    <row r="1906" spans="1:5" x14ac:dyDescent="0.3">
      <c r="A1906" s="9">
        <f>'Volúmenes DIstribuidos '!B1209</f>
        <v>44750</v>
      </c>
      <c r="B1906" s="10" t="str">
        <f>IF(OR('Volúmenes DIstribuidos '!C1210="Azúcar",'Volúmenes DIstribuidos '!C1210="azúcar"),"Azúcar o dulce",IF('Volúmenes DIstribuidos '!C1210="Aceite","Aceite o grasas",IF('Volúmenes DIstribuidos '!C1210="Avena","Otros almidones",'Volúmenes DIstribuidos '!C1210)))</f>
        <v>Lácteos</v>
      </c>
      <c r="C1906" s="10" t="s">
        <v>29</v>
      </c>
      <c r="D1906" s="12">
        <f>'Volúmenes DIstribuidos '!D1210</f>
        <v>13.359</v>
      </c>
      <c r="E1906" s="12">
        <f>SUMIF('Parametros Inventario'!$A:$A,B1906,'Parametros Inventario'!$B:$B)+SUMIFS(D$2:D1906,B$2:B1906,B1906,C$2:C1906,"ENTRADA")-SUMIFS(D$2:D1906,B$2:B1906,B1906,C$2:C1906,"SALIDA")</f>
        <v>7836.0110000000022</v>
      </c>
    </row>
    <row r="1907" spans="1:5" x14ac:dyDescent="0.3">
      <c r="A1907" s="9">
        <f>'Volúmenes DIstribuidos '!B1209</f>
        <v>44750</v>
      </c>
      <c r="B1907" s="10" t="str">
        <f>IF(OR('Volúmenes DIstribuidos '!C1211="Azúcar",'Volúmenes DIstribuidos '!C1211="azúcar"),"Azúcar o dulce",IF('Volúmenes DIstribuidos '!C1211="Aceite","Aceite o grasas",IF('Volúmenes DIstribuidos '!C1211="Avena","Otros almidones",'Volúmenes DIstribuidos '!C1211)))</f>
        <v>Vegetales y hojas</v>
      </c>
      <c r="C1907" s="10" t="s">
        <v>29</v>
      </c>
      <c r="D1907" s="12">
        <f>'Volúmenes DIstribuidos '!D1211</f>
        <v>133.66999999999999</v>
      </c>
      <c r="E1907" s="12">
        <f>SUMIF('Parametros Inventario'!$A:$A,B1907,'Parametros Inventario'!$B:$B)+SUMIFS(D$2:D1907,B$2:B1907,B1907,C$2:C1907,"ENTRADA")-SUMIFS(D$2:D1907,B$2:B1907,B1907,C$2:C1907,"SALIDA")</f>
        <v>9780.2919999999976</v>
      </c>
    </row>
    <row r="1908" spans="1:5" x14ac:dyDescent="0.3">
      <c r="A1908" s="9">
        <f>'Volúmenes DIstribuidos '!B1209</f>
        <v>44750</v>
      </c>
      <c r="B1908" s="10" t="str">
        <f>IF(OR('Volúmenes DIstribuidos '!C1212="Azúcar",'Volúmenes DIstribuidos '!C1212="azúcar"),"Azúcar o dulce",IF('Volúmenes DIstribuidos '!C1212="Aceite","Aceite o grasas",IF('Volúmenes DIstribuidos '!C1212="Avena","Otros almidones",'Volúmenes DIstribuidos '!C1212)))</f>
        <v>Azúcar o dulce</v>
      </c>
      <c r="C1908" s="10" t="s">
        <v>29</v>
      </c>
      <c r="D1908" s="12">
        <f>'Volúmenes DIstribuidos '!D1212</f>
        <v>60</v>
      </c>
      <c r="E1908" s="12">
        <f>SUMIF('Parametros Inventario'!$A:$A,B1908,'Parametros Inventario'!$B:$B)+SUMIFS(D$2:D1908,B$2:B1908,B1908,C$2:C1908,"ENTRADA")-SUMIFS(D$2:D1908,B$2:B1908,B1908,C$2:C1908,"SALIDA")</f>
        <v>9284.4820000000018</v>
      </c>
    </row>
    <row r="1909" spans="1:5" x14ac:dyDescent="0.3">
      <c r="A1909" s="9">
        <f>'Volúmenes DIstribuidos '!B1209</f>
        <v>44750</v>
      </c>
      <c r="B1909" s="10" t="str">
        <f>IF(OR('Volúmenes DIstribuidos '!C1213="Azúcar",'Volúmenes DIstribuidos '!C1213="azúcar"),"Azúcar o dulce",IF('Volúmenes DIstribuidos '!C1213="Aceite","Aceite o grasas",IF('Volúmenes DIstribuidos '!C1213="Avena","Otros almidones",'Volúmenes DIstribuidos '!C1213)))</f>
        <v>Lácteos</v>
      </c>
      <c r="C1909" s="10" t="s">
        <v>29</v>
      </c>
      <c r="D1909" s="12">
        <f>'Volúmenes DIstribuidos '!D1213</f>
        <v>132.96</v>
      </c>
      <c r="E1909" s="12">
        <f>SUMIF('Parametros Inventario'!$A:$A,B1909,'Parametros Inventario'!$B:$B)+SUMIFS(D$2:D1909,B$2:B1909,B1909,C$2:C1909,"ENTRADA")-SUMIFS(D$2:D1909,B$2:B1909,B1909,C$2:C1909,"SALIDA")</f>
        <v>7703.0510000000013</v>
      </c>
    </row>
    <row r="1910" spans="1:5" x14ac:dyDescent="0.3">
      <c r="A1910" s="9">
        <f>'Volúmenes DIstribuidos '!B1209</f>
        <v>44750</v>
      </c>
      <c r="B1910" s="10" t="str">
        <f>IF(OR('Volúmenes DIstribuidos '!C1214="Azúcar",'Volúmenes DIstribuidos '!C1214="azúcar"),"Azúcar o dulce",IF('Volúmenes DIstribuidos '!C1214="Aceite","Aceite o grasas",IF('Volúmenes DIstribuidos '!C1214="Avena","Otros almidones",'Volúmenes DIstribuidos '!C1214)))</f>
        <v>Fideo</v>
      </c>
      <c r="C1910" s="10" t="s">
        <v>29</v>
      </c>
      <c r="D1910" s="12">
        <f>'Volúmenes DIstribuidos '!D1214</f>
        <v>76.56</v>
      </c>
      <c r="E1910" s="12">
        <f>SUMIF('Parametros Inventario'!$A:$A,B1910,'Parametros Inventario'!$B:$B)+SUMIFS(D$2:D1910,B$2:B1910,B1910,C$2:C1910,"ENTRADA")-SUMIFS(D$2:D1910,B$2:B1910,B1910,C$2:C1910,"SALIDA")</f>
        <v>9729.3510000000006</v>
      </c>
    </row>
    <row r="1911" spans="1:5" x14ac:dyDescent="0.3">
      <c r="A1911" s="9">
        <f>'Volúmenes DIstribuidos '!B1215</f>
        <v>44754</v>
      </c>
      <c r="B1911" s="10" t="str">
        <f>IF(OR('Volúmenes DIstribuidos '!C1215="Azúcar",'Volúmenes DIstribuidos '!C1215="azúcar"),"Azúcar o dulce",IF('Volúmenes DIstribuidos '!C1215="Aceite","Aceite o grasas",IF('Volúmenes DIstribuidos '!C1215="Avena","Otros almidones",'Volúmenes DIstribuidos '!C1215)))</f>
        <v>Otros almidones</v>
      </c>
      <c r="C1911" s="10" t="s">
        <v>29</v>
      </c>
      <c r="D1911" s="12">
        <f>'Volúmenes DIstribuidos '!D1215</f>
        <v>7.4169999999999998</v>
      </c>
      <c r="E1911" s="12">
        <f>SUMIF('Parametros Inventario'!$A:$A,B1911,'Parametros Inventario'!$B:$B)+SUMIFS(D$2:D1911,B$2:B1911,B1911,C$2:C1911,"ENTRADA")-SUMIFS(D$2:D1911,B$2:B1911,B1911,C$2:C1911,"SALIDA")</f>
        <v>9177.7719999999972</v>
      </c>
    </row>
    <row r="1912" spans="1:5" x14ac:dyDescent="0.3">
      <c r="A1912" s="9">
        <f>'Volúmenes DIstribuidos '!B1215</f>
        <v>44754</v>
      </c>
      <c r="B1912" s="10" t="str">
        <f>IF(OR('Volúmenes DIstribuidos '!C1216="Azúcar",'Volúmenes DIstribuidos '!C1216="azúcar"),"Azúcar o dulce",IF('Volúmenes DIstribuidos '!C1216="Aceite","Aceite o grasas",IF('Volúmenes DIstribuidos '!C1216="Avena","Otros almidones",'Volúmenes DIstribuidos '!C1216)))</f>
        <v>Aceite o grasas</v>
      </c>
      <c r="C1912" s="10" t="s">
        <v>29</v>
      </c>
      <c r="D1912" s="12">
        <f>'Volúmenes DIstribuidos '!D1216</f>
        <v>12.75</v>
      </c>
      <c r="E1912" s="12">
        <f>SUMIF('Parametros Inventario'!$A:$A,B1912,'Parametros Inventario'!$B:$B)+SUMIFS(D$2:D1912,B$2:B1912,B1912,C$2:C1912,"ENTRADA")-SUMIFS(D$2:D1912,B$2:B1912,B1912,C$2:C1912,"SALIDA")</f>
        <v>8105.0819999999985</v>
      </c>
    </row>
    <row r="1913" spans="1:5" x14ac:dyDescent="0.3">
      <c r="A1913" s="9">
        <f>'Volúmenes DIstribuidos '!B1215</f>
        <v>44754</v>
      </c>
      <c r="B1913" s="10" t="str">
        <f>IF(OR('Volúmenes DIstribuidos '!C1217="Azúcar",'Volúmenes DIstribuidos '!C1217="azúcar"),"Azúcar o dulce",IF('Volúmenes DIstribuidos '!C1217="Aceite","Aceite o grasas",IF('Volúmenes DIstribuidos '!C1217="Avena","Otros almidones",'Volúmenes DIstribuidos '!C1217)))</f>
        <v>Lácteos</v>
      </c>
      <c r="C1913" s="10" t="s">
        <v>29</v>
      </c>
      <c r="D1913" s="12">
        <f>'Volúmenes DIstribuidos '!D1217</f>
        <v>18.82</v>
      </c>
      <c r="E1913" s="12">
        <f>SUMIF('Parametros Inventario'!$A:$A,B1913,'Parametros Inventario'!$B:$B)+SUMIFS(D$2:D1913,B$2:B1913,B1913,C$2:C1913,"ENTRADA")-SUMIFS(D$2:D1913,B$2:B1913,B1913,C$2:C1913,"SALIDA")</f>
        <v>7684.2310000000016</v>
      </c>
    </row>
    <row r="1914" spans="1:5" x14ac:dyDescent="0.3">
      <c r="A1914" s="9">
        <f>'Volúmenes DIstribuidos '!B1215</f>
        <v>44754</v>
      </c>
      <c r="B1914" s="10" t="str">
        <f>IF(OR('Volúmenes DIstribuidos '!C1218="Azúcar",'Volúmenes DIstribuidos '!C1218="azúcar"),"Azúcar o dulce",IF('Volúmenes DIstribuidos '!C1218="Aceite","Aceite o grasas",IF('Volúmenes DIstribuidos '!C1218="Avena","Otros almidones",'Volúmenes DIstribuidos '!C1218)))</f>
        <v>Fideo</v>
      </c>
      <c r="C1914" s="10" t="s">
        <v>29</v>
      </c>
      <c r="D1914" s="12">
        <f>'Volúmenes DIstribuidos '!D1218</f>
        <v>8.15</v>
      </c>
      <c r="E1914" s="12">
        <f>SUMIF('Parametros Inventario'!$A:$A,B1914,'Parametros Inventario'!$B:$B)+SUMIFS(D$2:D1914,B$2:B1914,B1914,C$2:C1914,"ENTRADA")-SUMIFS(D$2:D1914,B$2:B1914,B1914,C$2:C1914,"SALIDA")</f>
        <v>9721.2010000000009</v>
      </c>
    </row>
    <row r="1915" spans="1:5" x14ac:dyDescent="0.3">
      <c r="A1915" s="9">
        <f>'Volúmenes DIstribuidos '!B1215</f>
        <v>44754</v>
      </c>
      <c r="B1915" s="10" t="str">
        <f>IF(OR('Volúmenes DIstribuidos '!C1219="Azúcar",'Volúmenes DIstribuidos '!C1219="azúcar"),"Azúcar o dulce",IF('Volúmenes DIstribuidos '!C1219="Aceite","Aceite o grasas",IF('Volúmenes DIstribuidos '!C1219="Avena","Otros almidones",'Volúmenes DIstribuidos '!C1219)))</f>
        <v>Otros almidones</v>
      </c>
      <c r="C1915" s="10" t="s">
        <v>29</v>
      </c>
      <c r="D1915" s="12">
        <f>'Volúmenes DIstribuidos '!D1219</f>
        <v>8.3699999999999992</v>
      </c>
      <c r="E1915" s="12">
        <f>SUMIF('Parametros Inventario'!$A:$A,B1915,'Parametros Inventario'!$B:$B)+SUMIFS(D$2:D1915,B$2:B1915,B1915,C$2:C1915,"ENTRADA")-SUMIFS(D$2:D1915,B$2:B1915,B1915,C$2:C1915,"SALIDA")</f>
        <v>9169.4019999999982</v>
      </c>
    </row>
    <row r="1916" spans="1:5" x14ac:dyDescent="0.3">
      <c r="A1916" s="9">
        <f>'Volúmenes DIstribuidos '!B1215</f>
        <v>44754</v>
      </c>
      <c r="B1916" s="10" t="str">
        <f>IF(OR('Volúmenes DIstribuidos '!C1220="Azúcar",'Volúmenes DIstribuidos '!C1220="azúcar"),"Azúcar o dulce",IF('Volúmenes DIstribuidos '!C1220="Aceite","Aceite o grasas",IF('Volúmenes DIstribuidos '!C1220="Avena","Otros almidones",'Volúmenes DIstribuidos '!C1220)))</f>
        <v>Menestras</v>
      </c>
      <c r="C1916" s="10" t="s">
        <v>29</v>
      </c>
      <c r="D1916" s="12">
        <f>'Volúmenes DIstribuidos '!D1220</f>
        <v>17.22</v>
      </c>
      <c r="E1916" s="12">
        <f>SUMIF('Parametros Inventario'!$A:$A,B1916,'Parametros Inventario'!$B:$B)+SUMIFS(D$2:D1916,B$2:B1916,B1916,C$2:C1916,"ENTRADA")-SUMIFS(D$2:D1916,B$2:B1916,B1916,C$2:C1916,"SALIDA")</f>
        <v>9035.1490000000013</v>
      </c>
    </row>
    <row r="1917" spans="1:5" x14ac:dyDescent="0.3">
      <c r="A1917" s="9">
        <f>'Volúmenes DIstribuidos '!B1221</f>
        <v>44757</v>
      </c>
      <c r="B1917" s="10" t="str">
        <f>IF(OR('Volúmenes DIstribuidos '!C1221="Azúcar",'Volúmenes DIstribuidos '!C1221="azúcar"),"Azúcar o dulce",IF('Volúmenes DIstribuidos '!C1221="Aceite","Aceite o grasas",IF('Volúmenes DIstribuidos '!C1221="Avena","Otros almidones",'Volúmenes DIstribuidos '!C1221)))</f>
        <v>Azúcar o dulce</v>
      </c>
      <c r="C1917" s="10" t="s">
        <v>29</v>
      </c>
      <c r="D1917" s="12">
        <f>'Volúmenes DIstribuidos '!D1221</f>
        <v>10.222</v>
      </c>
      <c r="E1917" s="12">
        <f>SUMIF('Parametros Inventario'!$A:$A,B1917,'Parametros Inventario'!$B:$B)+SUMIFS(D$2:D1917,B$2:B1917,B1917,C$2:C1917,"ENTRADA")-SUMIFS(D$2:D1917,B$2:B1917,B1917,C$2:C1917,"SALIDA")</f>
        <v>9274.260000000002</v>
      </c>
    </row>
    <row r="1918" spans="1:5" x14ac:dyDescent="0.3">
      <c r="A1918" s="9">
        <f>'Volúmenes DIstribuidos '!B1221</f>
        <v>44757</v>
      </c>
      <c r="B1918" s="10" t="str">
        <f>IF(OR('Volúmenes DIstribuidos '!C1222="Azúcar",'Volúmenes DIstribuidos '!C1222="azúcar"),"Azúcar o dulce",IF('Volúmenes DIstribuidos '!C1222="Aceite","Aceite o grasas",IF('Volúmenes DIstribuidos '!C1222="Avena","Otros almidones",'Volúmenes DIstribuidos '!C1222)))</f>
        <v>Lácteos</v>
      </c>
      <c r="C1918" s="10" t="s">
        <v>29</v>
      </c>
      <c r="D1918" s="12">
        <f>'Volúmenes DIstribuidos '!D1222</f>
        <v>5.18</v>
      </c>
      <c r="E1918" s="12">
        <f>SUMIF('Parametros Inventario'!$A:$A,B1918,'Parametros Inventario'!$B:$B)+SUMIFS(D$2:D1918,B$2:B1918,B1918,C$2:C1918,"ENTRADA")-SUMIFS(D$2:D1918,B$2:B1918,B1918,C$2:C1918,"SALIDA")</f>
        <v>7679.0510000000013</v>
      </c>
    </row>
    <row r="1919" spans="1:5" x14ac:dyDescent="0.3">
      <c r="A1919" s="9">
        <f>'Volúmenes DIstribuidos '!B1221</f>
        <v>44757</v>
      </c>
      <c r="B1919" s="10" t="str">
        <f>IF(OR('Volúmenes DIstribuidos '!C1223="Azúcar",'Volúmenes DIstribuidos '!C1223="azúcar"),"Azúcar o dulce",IF('Volúmenes DIstribuidos '!C1223="Aceite","Aceite o grasas",IF('Volúmenes DIstribuidos '!C1223="Avena","Otros almidones",'Volúmenes DIstribuidos '!C1223)))</f>
        <v>Vegetales y hojas</v>
      </c>
      <c r="C1919" s="10" t="s">
        <v>29</v>
      </c>
      <c r="D1919" s="12">
        <f>'Volúmenes DIstribuidos '!D1223</f>
        <v>7.93</v>
      </c>
      <c r="E1919" s="12">
        <f>SUMIF('Parametros Inventario'!$A:$A,B1919,'Parametros Inventario'!$B:$B)+SUMIFS(D$2:D1919,B$2:B1919,B1919,C$2:C1919,"ENTRADA")-SUMIFS(D$2:D1919,B$2:B1919,B1919,C$2:C1919,"SALIDA")</f>
        <v>9772.3619999999974</v>
      </c>
    </row>
    <row r="1920" spans="1:5" x14ac:dyDescent="0.3">
      <c r="A1920" s="9">
        <f>'Volúmenes DIstribuidos '!B1221</f>
        <v>44757</v>
      </c>
      <c r="B1920" s="10" t="str">
        <f>IF(OR('Volúmenes DIstribuidos '!C1224="Azúcar",'Volúmenes DIstribuidos '!C1224="azúcar"),"Azúcar o dulce",IF('Volúmenes DIstribuidos '!C1224="Aceite","Aceite o grasas",IF('Volúmenes DIstribuidos '!C1224="Avena","Otros almidones",'Volúmenes DIstribuidos '!C1224)))</f>
        <v>Aceite o grasas</v>
      </c>
      <c r="C1920" s="10" t="s">
        <v>29</v>
      </c>
      <c r="D1920" s="12">
        <f>'Volúmenes DIstribuidos '!D1224</f>
        <v>27.32</v>
      </c>
      <c r="E1920" s="12">
        <f>SUMIF('Parametros Inventario'!$A:$A,B1920,'Parametros Inventario'!$B:$B)+SUMIFS(D$2:D1920,B$2:B1920,B1920,C$2:C1920,"ENTRADA")-SUMIFS(D$2:D1920,B$2:B1920,B1920,C$2:C1920,"SALIDA")</f>
        <v>8077.7619999999988</v>
      </c>
    </row>
    <row r="1921" spans="1:5" x14ac:dyDescent="0.3">
      <c r="A1921" s="9">
        <f>'Volúmenes DIstribuidos '!B1221</f>
        <v>44757</v>
      </c>
      <c r="B1921" s="10" t="str">
        <f>IF(OR('Volúmenes DIstribuidos '!C1225="Azúcar",'Volúmenes DIstribuidos '!C1225="azúcar"),"Azúcar o dulce",IF('Volúmenes DIstribuidos '!C1225="Aceite","Aceite o grasas",IF('Volúmenes DIstribuidos '!C1225="Avena","Otros almidones",'Volúmenes DIstribuidos '!C1225)))</f>
        <v>Otros almidones</v>
      </c>
      <c r="C1921" s="10" t="s">
        <v>29</v>
      </c>
      <c r="D1921" s="12">
        <f>'Volúmenes DIstribuidos '!D1225</f>
        <v>13.13</v>
      </c>
      <c r="E1921" s="12">
        <f>SUMIF('Parametros Inventario'!$A:$A,B1921,'Parametros Inventario'!$B:$B)+SUMIFS(D$2:D1921,B$2:B1921,B1921,C$2:C1921,"ENTRADA")-SUMIFS(D$2:D1921,B$2:B1921,B1921,C$2:C1921,"SALIDA")</f>
        <v>9156.2719999999972</v>
      </c>
    </row>
    <row r="1922" spans="1:5" x14ac:dyDescent="0.3">
      <c r="A1922" s="9">
        <f>'Volúmenes DIstribuidos '!B1221</f>
        <v>44757</v>
      </c>
      <c r="B1922" s="10" t="str">
        <f>IF(OR('Volúmenes DIstribuidos '!C1226="Azúcar",'Volúmenes DIstribuidos '!C1226="azúcar"),"Azúcar o dulce",IF('Volúmenes DIstribuidos '!C1226="Aceite","Aceite o grasas",IF('Volúmenes DIstribuidos '!C1226="Avena","Otros almidones",'Volúmenes DIstribuidos '!C1226)))</f>
        <v>Menestras</v>
      </c>
      <c r="C1922" s="10" t="s">
        <v>29</v>
      </c>
      <c r="D1922" s="12">
        <f>'Volúmenes DIstribuidos '!D1226</f>
        <v>28.92</v>
      </c>
      <c r="E1922" s="12">
        <f>SUMIF('Parametros Inventario'!$A:$A,B1922,'Parametros Inventario'!$B:$B)+SUMIFS(D$2:D1922,B$2:B1922,B1922,C$2:C1922,"ENTRADA")-SUMIFS(D$2:D1922,B$2:B1922,B1922,C$2:C1922,"SALIDA")</f>
        <v>9006.2290000000012</v>
      </c>
    </row>
    <row r="1923" spans="1:5" x14ac:dyDescent="0.3">
      <c r="A1923" s="9">
        <f>'Volúmenes DIstribuidos '!B1227</f>
        <v>44761</v>
      </c>
      <c r="B1923" s="10" t="str">
        <f>IF(OR('Volúmenes DIstribuidos '!C1227="Azúcar",'Volúmenes DIstribuidos '!C1227="azúcar"),"Azúcar o dulce",IF('Volúmenes DIstribuidos '!C1227="Aceite","Aceite o grasas",IF('Volúmenes DIstribuidos '!C1227="Avena","Otros almidones",'Volúmenes DIstribuidos '!C1227)))</f>
        <v>Azúcar o dulce</v>
      </c>
      <c r="C1923" s="10" t="s">
        <v>29</v>
      </c>
      <c r="D1923" s="12">
        <f>'Volúmenes DIstribuidos '!D1227</f>
        <v>28.027999999999999</v>
      </c>
      <c r="E1923" s="12">
        <f>SUMIF('Parametros Inventario'!$A:$A,B1923,'Parametros Inventario'!$B:$B)+SUMIFS(D$2:D1923,B$2:B1923,B1923,C$2:C1923,"ENTRADA")-SUMIFS(D$2:D1923,B$2:B1923,B1923,C$2:C1923,"SALIDA")</f>
        <v>9246.2320000000018</v>
      </c>
    </row>
    <row r="1924" spans="1:5" x14ac:dyDescent="0.3">
      <c r="A1924" s="9">
        <f>'Volúmenes DIstribuidos '!B1227</f>
        <v>44761</v>
      </c>
      <c r="B1924" s="10" t="str">
        <f>IF(OR('Volúmenes DIstribuidos '!C1228="Azúcar",'Volúmenes DIstribuidos '!C1228="azúcar"),"Azúcar o dulce",IF('Volúmenes DIstribuidos '!C1228="Aceite","Aceite o grasas",IF('Volúmenes DIstribuidos '!C1228="Avena","Otros almidones",'Volúmenes DIstribuidos '!C1228)))</f>
        <v>Lácteos</v>
      </c>
      <c r="C1924" s="10" t="s">
        <v>29</v>
      </c>
      <c r="D1924" s="12">
        <f>'Volúmenes DIstribuidos '!D1228</f>
        <v>46.19</v>
      </c>
      <c r="E1924" s="12">
        <f>SUMIF('Parametros Inventario'!$A:$A,B1924,'Parametros Inventario'!$B:$B)+SUMIFS(D$2:D1924,B$2:B1924,B1924,C$2:C1924,"ENTRADA")-SUMIFS(D$2:D1924,B$2:B1924,B1924,C$2:C1924,"SALIDA")</f>
        <v>7632.8610000000017</v>
      </c>
    </row>
    <row r="1925" spans="1:5" x14ac:dyDescent="0.3">
      <c r="A1925" s="9">
        <f>'Volúmenes DIstribuidos '!B1227</f>
        <v>44761</v>
      </c>
      <c r="B1925" s="10" t="str">
        <f>IF(OR('Volúmenes DIstribuidos '!C1229="Azúcar",'Volúmenes DIstribuidos '!C1229="azúcar"),"Azúcar o dulce",IF('Volúmenes DIstribuidos '!C1229="Aceite","Aceite o grasas",IF('Volúmenes DIstribuidos '!C1229="Avena","Otros almidones",'Volúmenes DIstribuidos '!C1229)))</f>
        <v>Otros almidones</v>
      </c>
      <c r="C1925" s="10" t="s">
        <v>29</v>
      </c>
      <c r="D1925" s="12">
        <f>'Volúmenes DIstribuidos '!D1229</f>
        <v>33.520000000000003</v>
      </c>
      <c r="E1925" s="12">
        <f>SUMIF('Parametros Inventario'!$A:$A,B1925,'Parametros Inventario'!$B:$B)+SUMIFS(D$2:D1925,B$2:B1925,B1925,C$2:C1925,"ENTRADA")-SUMIFS(D$2:D1925,B$2:B1925,B1925,C$2:C1925,"SALIDA")</f>
        <v>9122.7519999999986</v>
      </c>
    </row>
    <row r="1926" spans="1:5" x14ac:dyDescent="0.3">
      <c r="A1926" s="9">
        <f>'Volúmenes DIstribuidos '!B1227</f>
        <v>44761</v>
      </c>
      <c r="B1926" s="10" t="str">
        <f>IF(OR('Volúmenes DIstribuidos '!C1230="Azúcar",'Volúmenes DIstribuidos '!C1230="azúcar"),"Azúcar o dulce",IF('Volúmenes DIstribuidos '!C1230="Aceite","Aceite o grasas",IF('Volúmenes DIstribuidos '!C1230="Avena","Otros almidones",'Volúmenes DIstribuidos '!C1230)))</f>
        <v>Panadería</v>
      </c>
      <c r="C1926" s="10" t="s">
        <v>29</v>
      </c>
      <c r="D1926" s="12">
        <f>'Volúmenes DIstribuidos '!D1230</f>
        <v>48.3</v>
      </c>
      <c r="E1926" s="12">
        <f>SUMIF('Parametros Inventario'!$A:$A,B1926,'Parametros Inventario'!$B:$B)+SUMIFS(D$2:D1926,B$2:B1926,B1926,C$2:C1926,"ENTRADA")-SUMIFS(D$2:D1926,B$2:B1926,B1926,C$2:C1926,"SALIDA")</f>
        <v>6765.6890000000003</v>
      </c>
    </row>
    <row r="1927" spans="1:5" x14ac:dyDescent="0.3">
      <c r="A1927" s="9">
        <f>'Volúmenes DIstribuidos '!B1227</f>
        <v>44761</v>
      </c>
      <c r="B1927" s="10" t="str">
        <f>IF(OR('Volúmenes DIstribuidos '!C1231="Azúcar",'Volúmenes DIstribuidos '!C1231="azúcar"),"Azúcar o dulce",IF('Volúmenes DIstribuidos '!C1231="Aceite","Aceite o grasas",IF('Volúmenes DIstribuidos '!C1231="Avena","Otros almidones",'Volúmenes DIstribuidos '!C1231)))</f>
        <v>Menestras</v>
      </c>
      <c r="C1927" s="10" t="s">
        <v>29</v>
      </c>
      <c r="D1927" s="12">
        <f>'Volúmenes DIstribuidos '!D1231</f>
        <v>27.8</v>
      </c>
      <c r="E1927" s="12">
        <f>SUMIF('Parametros Inventario'!$A:$A,B1927,'Parametros Inventario'!$B:$B)+SUMIFS(D$2:D1927,B$2:B1927,B1927,C$2:C1927,"ENTRADA")-SUMIFS(D$2:D1927,B$2:B1927,B1927,C$2:C1927,"SALIDA")</f>
        <v>8978.4290000000001</v>
      </c>
    </row>
    <row r="1928" spans="1:5" x14ac:dyDescent="0.3">
      <c r="A1928" s="9">
        <f>'Volúmenes DIstribuidos '!B1227</f>
        <v>44761</v>
      </c>
      <c r="B1928" s="10" t="str">
        <f>IF(OR('Volúmenes DIstribuidos '!C1232="Azúcar",'Volúmenes DIstribuidos '!C1232="azúcar"),"Azúcar o dulce",IF('Volúmenes DIstribuidos '!C1232="Aceite","Aceite o grasas",IF('Volúmenes DIstribuidos '!C1232="Avena","Otros almidones",'Volúmenes DIstribuidos '!C1232)))</f>
        <v>Carnes blancas</v>
      </c>
      <c r="C1928" s="10" t="s">
        <v>29</v>
      </c>
      <c r="D1928" s="12">
        <f>'Volúmenes DIstribuidos '!D1232</f>
        <v>97.58</v>
      </c>
      <c r="E1928" s="12">
        <f>SUMIF('Parametros Inventario'!$A:$A,B1928,'Parametros Inventario'!$B:$B)+SUMIFS(D$2:D1928,B$2:B1928,B1928,C$2:C1928,"ENTRADA")-SUMIFS(D$2:D1928,B$2:B1928,B1928,C$2:C1928,"SALIDA")</f>
        <v>9757.2670000000035</v>
      </c>
    </row>
    <row r="1929" spans="1:5" x14ac:dyDescent="0.3">
      <c r="A1929" s="9">
        <v>44764</v>
      </c>
      <c r="B1929" s="10" t="s">
        <v>14</v>
      </c>
      <c r="C1929" s="10" t="s">
        <v>28</v>
      </c>
      <c r="D1929" s="12">
        <v>135.91</v>
      </c>
      <c r="E1929" s="12">
        <f>SUMIF('Parametros Inventario'!$A:$A,B1929,'Parametros Inventario'!$B:$B)+SUMIFS(D$2:D1929,B$2:B1929,B1929,C$2:C1929,"ENTRADA")-SUMIFS(D$2:D1929,B$2:B1929,B1929,C$2:C1929,"SALIDA")</f>
        <v>9114.3389999999999</v>
      </c>
    </row>
    <row r="1930" spans="1:5" x14ac:dyDescent="0.3">
      <c r="A1930" s="9">
        <v>44764</v>
      </c>
      <c r="B1930" s="10" t="s">
        <v>12</v>
      </c>
      <c r="C1930" s="10" t="s">
        <v>28</v>
      </c>
      <c r="D1930" s="12">
        <v>149.84</v>
      </c>
      <c r="E1930" s="12">
        <f>SUMIF('Parametros Inventario'!$A:$A,B1930,'Parametros Inventario'!$B:$B)+SUMIFS(D$2:D1930,B$2:B1930,B1930,C$2:C1930,"ENTRADA")-SUMIFS(D$2:D1930,B$2:B1930,B1930,C$2:C1930,"SALIDA")</f>
        <v>8792.6430000000037</v>
      </c>
    </row>
    <row r="1931" spans="1:5" x14ac:dyDescent="0.3">
      <c r="A1931" s="9">
        <v>44764</v>
      </c>
      <c r="B1931" s="10" t="s">
        <v>16</v>
      </c>
      <c r="C1931" s="10" t="s">
        <v>28</v>
      </c>
      <c r="D1931" s="12">
        <v>98.6</v>
      </c>
      <c r="E1931" s="12">
        <f>SUMIF('Parametros Inventario'!$A:$A,B1931,'Parametros Inventario'!$B:$B)+SUMIFS(D$2:D1931,B$2:B1931,B1931,C$2:C1931,"ENTRADA")-SUMIFS(D$2:D1931,B$2:B1931,B1931,C$2:C1931,"SALIDA")</f>
        <v>9855.8670000000038</v>
      </c>
    </row>
    <row r="1932" spans="1:5" x14ac:dyDescent="0.3">
      <c r="A1932" s="9">
        <v>44764</v>
      </c>
      <c r="B1932" s="10" t="s">
        <v>17</v>
      </c>
      <c r="C1932" s="10" t="s">
        <v>28</v>
      </c>
      <c r="D1932" s="12">
        <v>59.44</v>
      </c>
      <c r="E1932" s="12">
        <f>SUMIF('Parametros Inventario'!$A:$A,B1932,'Parametros Inventario'!$B:$B)+SUMIFS(D$2:D1932,B$2:B1932,B1932,C$2:C1932,"ENTRADA")-SUMIFS(D$2:D1932,B$2:B1932,B1932,C$2:C1932,"SALIDA")</f>
        <v>7692.3010000000022</v>
      </c>
    </row>
    <row r="1933" spans="1:5" x14ac:dyDescent="0.3">
      <c r="A1933" s="9">
        <v>44764</v>
      </c>
      <c r="B1933" s="10" t="s">
        <v>18</v>
      </c>
      <c r="C1933" s="10" t="s">
        <v>28</v>
      </c>
      <c r="D1933" s="12">
        <v>112.65</v>
      </c>
      <c r="E1933" s="12">
        <f>SUMIF('Parametros Inventario'!$A:$A,B1933,'Parametros Inventario'!$B:$B)+SUMIFS(D$2:D1933,B$2:B1933,B1933,C$2:C1933,"ENTRADA")-SUMIFS(D$2:D1933,B$2:B1933,B1933,C$2:C1933,"SALIDA")</f>
        <v>8806.8619999999955</v>
      </c>
    </row>
    <row r="1934" spans="1:5" x14ac:dyDescent="0.3">
      <c r="A1934" s="9">
        <v>44764</v>
      </c>
      <c r="B1934" s="10" t="s">
        <v>10</v>
      </c>
      <c r="C1934" s="10" t="s">
        <v>28</v>
      </c>
      <c r="D1934" s="12">
        <v>227.27</v>
      </c>
      <c r="E1934" s="12">
        <f>SUMIF('Parametros Inventario'!$A:$A,B1934,'Parametros Inventario'!$B:$B)+SUMIFS(D$2:D1934,B$2:B1934,B1934,C$2:C1934,"ENTRADA")-SUMIFS(D$2:D1934,B$2:B1934,B1934,C$2:C1934,"SALIDA")</f>
        <v>9999.6319999999978</v>
      </c>
    </row>
    <row r="1935" spans="1:5" x14ac:dyDescent="0.3">
      <c r="A1935" s="9">
        <v>44764</v>
      </c>
      <c r="B1935" s="10" t="s">
        <v>8</v>
      </c>
      <c r="C1935" s="10" t="s">
        <v>28</v>
      </c>
      <c r="D1935" s="12">
        <v>84.12</v>
      </c>
      <c r="E1935" s="12">
        <f>SUMIF('Parametros Inventario'!$A:$A,B1935,'Parametros Inventario'!$B:$B)+SUMIFS(D$2:D1935,B$2:B1935,B1935,C$2:C1935,"ENTRADA")-SUMIFS(D$2:D1935,B$2:B1935,B1935,C$2:C1935,"SALIDA")</f>
        <v>8161.8819999999996</v>
      </c>
    </row>
    <row r="1936" spans="1:5" x14ac:dyDescent="0.3">
      <c r="A1936" s="9">
        <v>44764</v>
      </c>
      <c r="B1936" s="10" t="s">
        <v>13</v>
      </c>
      <c r="C1936" s="10" t="s">
        <v>28</v>
      </c>
      <c r="D1936" s="12">
        <v>217.57</v>
      </c>
      <c r="E1936" s="12">
        <f>SUMIF('Parametros Inventario'!$A:$A,B1936,'Parametros Inventario'!$B:$B)+SUMIFS(D$2:D1936,B$2:B1936,B1936,C$2:C1936,"ENTRADA")-SUMIFS(D$2:D1936,B$2:B1936,B1936,C$2:C1936,"SALIDA")</f>
        <v>9463.8020000000015</v>
      </c>
    </row>
    <row r="1937" spans="1:5" x14ac:dyDescent="0.3">
      <c r="A1937" s="9">
        <v>44764</v>
      </c>
      <c r="B1937" s="10" t="s">
        <v>15</v>
      </c>
      <c r="C1937" s="10" t="s">
        <v>28</v>
      </c>
      <c r="D1937" s="12">
        <v>166.06</v>
      </c>
      <c r="E1937" s="12">
        <f>SUMIF('Parametros Inventario'!$A:$A,B1937,'Parametros Inventario'!$B:$B)+SUMIFS(D$2:D1937,B$2:B1937,B1937,C$2:C1937,"ENTRADA")-SUMIFS(D$2:D1937,B$2:B1937,B1937,C$2:C1937,"SALIDA")</f>
        <v>9288.8119999999981</v>
      </c>
    </row>
    <row r="1938" spans="1:5" x14ac:dyDescent="0.3">
      <c r="A1938" s="9">
        <v>44764</v>
      </c>
      <c r="B1938" s="10" t="s">
        <v>11</v>
      </c>
      <c r="C1938" s="10" t="s">
        <v>28</v>
      </c>
      <c r="D1938" s="12">
        <v>165.34</v>
      </c>
      <c r="E1938" s="12">
        <f>SUMIF('Parametros Inventario'!$A:$A,B1938,'Parametros Inventario'!$B:$B)+SUMIFS(D$2:D1938,B$2:B1938,B1938,C$2:C1938,"ENTRADA")-SUMIFS(D$2:D1938,B$2:B1938,B1938,C$2:C1938,"SALIDA")</f>
        <v>9886.5410000000011</v>
      </c>
    </row>
    <row r="1939" spans="1:5" x14ac:dyDescent="0.3">
      <c r="A1939" s="9">
        <v>44764</v>
      </c>
      <c r="B1939" s="10" t="s">
        <v>9</v>
      </c>
      <c r="C1939" s="10" t="s">
        <v>28</v>
      </c>
      <c r="D1939" s="12">
        <v>70.64</v>
      </c>
      <c r="E1939" s="12">
        <f>SUMIF('Parametros Inventario'!$A:$A,B1939,'Parametros Inventario'!$B:$B)+SUMIFS(D$2:D1939,B$2:B1939,B1939,C$2:C1939,"ENTRADA")-SUMIFS(D$2:D1939,B$2:B1939,B1939,C$2:C1939,"SALIDA")</f>
        <v>6836.3289999999997</v>
      </c>
    </row>
    <row r="1940" spans="1:5" x14ac:dyDescent="0.3">
      <c r="A1940" s="9">
        <f>'Volúmenes DIstribuidos '!B1233</f>
        <v>44764</v>
      </c>
      <c r="B1940" s="10" t="str">
        <f>IF(OR('Volúmenes DIstribuidos '!C1233="Azúcar",'Volúmenes DIstribuidos '!C1233="azúcar"),"Azúcar o dulce",IF('Volúmenes DIstribuidos '!C1233="Aceite","Aceite o grasas",IF('Volúmenes DIstribuidos '!C1233="Avena","Otros almidones",'Volúmenes DIstribuidos '!C1233)))</f>
        <v>Azúcar o dulce</v>
      </c>
      <c r="C1940" s="10" t="s">
        <v>29</v>
      </c>
      <c r="D1940" s="12">
        <f>'Volúmenes DIstribuidos '!D1233</f>
        <v>22.074000000000002</v>
      </c>
      <c r="E1940" s="12">
        <f>SUMIF('Parametros Inventario'!$A:$A,B1940,'Parametros Inventario'!$B:$B)+SUMIFS(D$2:D1940,B$2:B1940,B1940,C$2:C1940,"ENTRADA")-SUMIFS(D$2:D1940,B$2:B1940,B1940,C$2:C1940,"SALIDA")</f>
        <v>9441.7280000000028</v>
      </c>
    </row>
    <row r="1941" spans="1:5" x14ac:dyDescent="0.3">
      <c r="A1941" s="9">
        <f>'Volúmenes DIstribuidos '!B1233</f>
        <v>44764</v>
      </c>
      <c r="B1941" s="10" t="str">
        <f>IF(OR('Volúmenes DIstribuidos '!C1234="Azúcar",'Volúmenes DIstribuidos '!C1234="azúcar"),"Azúcar o dulce",IF('Volúmenes DIstribuidos '!C1234="Aceite","Aceite o grasas",IF('Volúmenes DIstribuidos '!C1234="Avena","Otros almidones",'Volúmenes DIstribuidos '!C1234)))</f>
        <v>Panadería</v>
      </c>
      <c r="C1941" s="10" t="s">
        <v>29</v>
      </c>
      <c r="D1941" s="12">
        <f>'Volúmenes DIstribuidos '!D1234</f>
        <v>9.34</v>
      </c>
      <c r="E1941" s="12">
        <f>SUMIF('Parametros Inventario'!$A:$A,B1941,'Parametros Inventario'!$B:$B)+SUMIFS(D$2:D1941,B$2:B1941,B1941,C$2:C1941,"ENTRADA")-SUMIFS(D$2:D1941,B$2:B1941,B1941,C$2:C1941,"SALIDA")</f>
        <v>6826.9889999999996</v>
      </c>
    </row>
    <row r="1942" spans="1:5" x14ac:dyDescent="0.3">
      <c r="A1942" s="9">
        <f>'Volúmenes DIstribuidos '!B1233</f>
        <v>44764</v>
      </c>
      <c r="B1942" s="10" t="str">
        <f>IF(OR('Volúmenes DIstribuidos '!C1235="Azúcar",'Volúmenes DIstribuidos '!C1235="azúcar"),"Azúcar o dulce",IF('Volúmenes DIstribuidos '!C1235="Aceite","Aceite o grasas",IF('Volúmenes DIstribuidos '!C1235="Avena","Otros almidones",'Volúmenes DIstribuidos '!C1235)))</f>
        <v>Aceite o grasas</v>
      </c>
      <c r="C1942" s="10" t="s">
        <v>29</v>
      </c>
      <c r="D1942" s="12">
        <f>'Volúmenes DIstribuidos '!D1235</f>
        <v>15.05</v>
      </c>
      <c r="E1942" s="12">
        <f>SUMIF('Parametros Inventario'!$A:$A,B1942,'Parametros Inventario'!$B:$B)+SUMIFS(D$2:D1942,B$2:B1942,B1942,C$2:C1942,"ENTRADA")-SUMIFS(D$2:D1942,B$2:B1942,B1942,C$2:C1942,"SALIDA")</f>
        <v>8146.8319999999994</v>
      </c>
    </row>
    <row r="1943" spans="1:5" x14ac:dyDescent="0.3">
      <c r="A1943" s="9">
        <f>'Volúmenes DIstribuidos '!B1233</f>
        <v>44764</v>
      </c>
      <c r="B1943" s="10" t="str">
        <f>IF(OR('Volúmenes DIstribuidos '!C1236="Azúcar",'Volúmenes DIstribuidos '!C1236="azúcar"),"Azúcar o dulce",IF('Volúmenes DIstribuidos '!C1236="Aceite","Aceite o grasas",IF('Volúmenes DIstribuidos '!C1236="Avena","Otros almidones",'Volúmenes DIstribuidos '!C1236)))</f>
        <v>Lácteos</v>
      </c>
      <c r="C1943" s="10" t="s">
        <v>29</v>
      </c>
      <c r="D1943" s="12">
        <f>'Volúmenes DIstribuidos '!D1236</f>
        <v>43.87</v>
      </c>
      <c r="E1943" s="12">
        <f>SUMIF('Parametros Inventario'!$A:$A,B1943,'Parametros Inventario'!$B:$B)+SUMIFS(D$2:D1943,B$2:B1943,B1943,C$2:C1943,"ENTRADA")-SUMIFS(D$2:D1943,B$2:B1943,B1943,C$2:C1943,"SALIDA")</f>
        <v>7648.4310000000023</v>
      </c>
    </row>
    <row r="1944" spans="1:5" x14ac:dyDescent="0.3">
      <c r="A1944" s="9">
        <f>'Volúmenes DIstribuidos '!B1233</f>
        <v>44764</v>
      </c>
      <c r="B1944" s="10" t="str">
        <f>IF(OR('Volúmenes DIstribuidos '!C1237="Azúcar",'Volúmenes DIstribuidos '!C1237="azúcar"),"Azúcar o dulce",IF('Volúmenes DIstribuidos '!C1237="Aceite","Aceite o grasas",IF('Volúmenes DIstribuidos '!C1237="Avena","Otros almidones",'Volúmenes DIstribuidos '!C1237)))</f>
        <v>Fideo</v>
      </c>
      <c r="C1944" s="10" t="s">
        <v>29</v>
      </c>
      <c r="D1944" s="12">
        <f>'Volúmenes DIstribuidos '!D1237</f>
        <v>11.52</v>
      </c>
      <c r="E1944" s="12">
        <f>SUMIF('Parametros Inventario'!$A:$A,B1944,'Parametros Inventario'!$B:$B)+SUMIFS(D$2:D1944,B$2:B1944,B1944,C$2:C1944,"ENTRADA")-SUMIFS(D$2:D1944,B$2:B1944,B1944,C$2:C1944,"SALIDA")</f>
        <v>9875.0210000000006</v>
      </c>
    </row>
    <row r="1945" spans="1:5" x14ac:dyDescent="0.3">
      <c r="A1945" s="9">
        <f>'Volúmenes DIstribuidos '!B1233</f>
        <v>44764</v>
      </c>
      <c r="B1945" s="10" t="str">
        <f>IF(OR('Volúmenes DIstribuidos '!C1238="Azúcar",'Volúmenes DIstribuidos '!C1238="azúcar"),"Azúcar o dulce",IF('Volúmenes DIstribuidos '!C1238="Aceite","Aceite o grasas",IF('Volúmenes DIstribuidos '!C1238="Avena","Otros almidones",'Volúmenes DIstribuidos '!C1238)))</f>
        <v>Carnes rojas</v>
      </c>
      <c r="C1945" s="10" t="s">
        <v>29</v>
      </c>
      <c r="D1945" s="12">
        <f>'Volúmenes DIstribuidos '!D1238</f>
        <v>29.082999999999998</v>
      </c>
      <c r="E1945" s="12">
        <f>SUMIF('Parametros Inventario'!$A:$A,B1945,'Parametros Inventario'!$B:$B)+SUMIFS(D$2:D1945,B$2:B1945,B1945,C$2:C1945,"ENTRADA")-SUMIFS(D$2:D1945,B$2:B1945,B1945,C$2:C1945,"SALIDA")</f>
        <v>8763.5600000000031</v>
      </c>
    </row>
    <row r="1946" spans="1:5" x14ac:dyDescent="0.3">
      <c r="A1946" s="9">
        <f>'Volúmenes DIstribuidos '!B1239</f>
        <v>44768</v>
      </c>
      <c r="B1946" s="10" t="str">
        <f>IF(OR('Volúmenes DIstribuidos '!C1239="Azúcar",'Volúmenes DIstribuidos '!C1239="azúcar"),"Azúcar o dulce",IF('Volúmenes DIstribuidos '!C1239="Aceite","Aceite o grasas",IF('Volúmenes DIstribuidos '!C1239="Avena","Otros almidones",'Volúmenes DIstribuidos '!C1239)))</f>
        <v>Carnes rojas</v>
      </c>
      <c r="C1946" s="10" t="s">
        <v>29</v>
      </c>
      <c r="D1946" s="12">
        <f>'Volúmenes DIstribuidos '!D1239</f>
        <v>30.5</v>
      </c>
      <c r="E1946" s="12">
        <f>SUMIF('Parametros Inventario'!$A:$A,B1946,'Parametros Inventario'!$B:$B)+SUMIFS(D$2:D1946,B$2:B1946,B1946,C$2:C1946,"ENTRADA")-SUMIFS(D$2:D1946,B$2:B1946,B1946,C$2:C1946,"SALIDA")</f>
        <v>8733.0600000000031</v>
      </c>
    </row>
    <row r="1947" spans="1:5" x14ac:dyDescent="0.3">
      <c r="A1947" s="9">
        <f>'Volúmenes DIstribuidos '!B1239</f>
        <v>44768</v>
      </c>
      <c r="B1947" s="10" t="str">
        <f>IF(OR('Volúmenes DIstribuidos '!C1240="Azúcar",'Volúmenes DIstribuidos '!C1240="azúcar"),"Azúcar o dulce",IF('Volúmenes DIstribuidos '!C1240="Aceite","Aceite o grasas",IF('Volúmenes DIstribuidos '!C1240="Avena","Otros almidones",'Volúmenes DIstribuidos '!C1240)))</f>
        <v>Carnes blancas</v>
      </c>
      <c r="C1947" s="10" t="s">
        <v>29</v>
      </c>
      <c r="D1947" s="12">
        <f>'Volúmenes DIstribuidos '!D1240</f>
        <v>50.14</v>
      </c>
      <c r="E1947" s="12">
        <f>SUMIF('Parametros Inventario'!$A:$A,B1947,'Parametros Inventario'!$B:$B)+SUMIFS(D$2:D1947,B$2:B1947,B1947,C$2:C1947,"ENTRADA")-SUMIFS(D$2:D1947,B$2:B1947,B1947,C$2:C1947,"SALIDA")</f>
        <v>9805.7270000000044</v>
      </c>
    </row>
    <row r="1948" spans="1:5" x14ac:dyDescent="0.3">
      <c r="A1948" s="9">
        <f>'Volúmenes DIstribuidos '!B1239</f>
        <v>44768</v>
      </c>
      <c r="B1948" s="10" t="str">
        <f>IF(OR('Volúmenes DIstribuidos '!C1241="Azúcar",'Volúmenes DIstribuidos '!C1241="azúcar"),"Azúcar o dulce",IF('Volúmenes DIstribuidos '!C1241="Aceite","Aceite o grasas",IF('Volúmenes DIstribuidos '!C1241="Avena","Otros almidones",'Volúmenes DIstribuidos '!C1241)))</f>
        <v>Menestras</v>
      </c>
      <c r="C1948" s="10" t="s">
        <v>29</v>
      </c>
      <c r="D1948" s="12">
        <f>'Volúmenes DIstribuidos '!D1241</f>
        <v>19.87</v>
      </c>
      <c r="E1948" s="12">
        <f>SUMIF('Parametros Inventario'!$A:$A,B1948,'Parametros Inventario'!$B:$B)+SUMIFS(D$2:D1948,B$2:B1948,B1948,C$2:C1948,"ENTRADA")-SUMIFS(D$2:D1948,B$2:B1948,B1948,C$2:C1948,"SALIDA")</f>
        <v>9094.469000000001</v>
      </c>
    </row>
    <row r="1949" spans="1:5" x14ac:dyDescent="0.3">
      <c r="A1949" s="9">
        <f>'Volúmenes DIstribuidos '!B1239</f>
        <v>44768</v>
      </c>
      <c r="B1949" s="10" t="str">
        <f>IF(OR('Volúmenes DIstribuidos '!C1242="Azúcar",'Volúmenes DIstribuidos '!C1242="azúcar"),"Azúcar o dulce",IF('Volúmenes DIstribuidos '!C1242="Aceite","Aceite o grasas",IF('Volúmenes DIstribuidos '!C1242="Avena","Otros almidones",'Volúmenes DIstribuidos '!C1242)))</f>
        <v>Vegetales y hojas</v>
      </c>
      <c r="C1949" s="10" t="s">
        <v>29</v>
      </c>
      <c r="D1949" s="12">
        <f>'Volúmenes DIstribuidos '!D1242</f>
        <v>38.347000000000001</v>
      </c>
      <c r="E1949" s="12">
        <f>SUMIF('Parametros Inventario'!$A:$A,B1949,'Parametros Inventario'!$B:$B)+SUMIFS(D$2:D1949,B$2:B1949,B1949,C$2:C1949,"ENTRADA")-SUMIFS(D$2:D1949,B$2:B1949,B1949,C$2:C1949,"SALIDA")</f>
        <v>9961.2849999999962</v>
      </c>
    </row>
    <row r="1950" spans="1:5" x14ac:dyDescent="0.3">
      <c r="A1950" s="9">
        <f>'Volúmenes DIstribuidos '!B1239</f>
        <v>44768</v>
      </c>
      <c r="B1950" s="10" t="str">
        <f>IF(OR('Volúmenes DIstribuidos '!C1243="Azúcar",'Volúmenes DIstribuidos '!C1243="azúcar"),"Azúcar o dulce",IF('Volúmenes DIstribuidos '!C1243="Aceite","Aceite o grasas",IF('Volúmenes DIstribuidos '!C1243="Avena","Otros almidones",'Volúmenes DIstribuidos '!C1243)))</f>
        <v>Aceite o grasas</v>
      </c>
      <c r="C1950" s="10" t="s">
        <v>29</v>
      </c>
      <c r="D1950" s="12">
        <f>'Volúmenes DIstribuidos '!D1243</f>
        <v>56.54</v>
      </c>
      <c r="E1950" s="12">
        <f>SUMIF('Parametros Inventario'!$A:$A,B1950,'Parametros Inventario'!$B:$B)+SUMIFS(D$2:D1950,B$2:B1950,B1950,C$2:C1950,"ENTRADA")-SUMIFS(D$2:D1950,B$2:B1950,B1950,C$2:C1950,"SALIDA")</f>
        <v>8090.2919999999995</v>
      </c>
    </row>
    <row r="1951" spans="1:5" x14ac:dyDescent="0.3">
      <c r="A1951" s="9">
        <f>'Volúmenes DIstribuidos '!B1239</f>
        <v>44768</v>
      </c>
      <c r="B1951" s="10" t="str">
        <f>IF(OR('Volúmenes DIstribuidos '!C1244="Azúcar",'Volúmenes DIstribuidos '!C1244="azúcar"),"Azúcar o dulce",IF('Volúmenes DIstribuidos '!C1244="Aceite","Aceite o grasas",IF('Volúmenes DIstribuidos '!C1244="Avena","Otros almidones",'Volúmenes DIstribuidos '!C1244)))</f>
        <v>Carnes blancas</v>
      </c>
      <c r="C1951" s="10" t="s">
        <v>29</v>
      </c>
      <c r="D1951" s="12">
        <f>'Volúmenes DIstribuidos '!D1244</f>
        <v>47.42</v>
      </c>
      <c r="E1951" s="12">
        <f>SUMIF('Parametros Inventario'!$A:$A,B1951,'Parametros Inventario'!$B:$B)+SUMIFS(D$2:D1951,B$2:B1951,B1951,C$2:C1951,"ENTRADA")-SUMIFS(D$2:D1951,B$2:B1951,B1951,C$2:C1951,"SALIDA")</f>
        <v>9758.3070000000043</v>
      </c>
    </row>
    <row r="1952" spans="1:5" x14ac:dyDescent="0.3">
      <c r="A1952" s="9">
        <v>44771</v>
      </c>
      <c r="B1952" s="10" t="s">
        <v>14</v>
      </c>
      <c r="C1952" s="10" t="s">
        <v>28</v>
      </c>
      <c r="D1952" s="12">
        <v>214.26</v>
      </c>
      <c r="E1952" s="12">
        <f>SUMIF('Parametros Inventario'!$A:$A,B1952,'Parametros Inventario'!$B:$B)+SUMIFS(D$2:D1952,B$2:B1952,B1952,C$2:C1952,"ENTRADA")-SUMIFS(D$2:D1952,B$2:B1952,B1952,C$2:C1952,"SALIDA")</f>
        <v>9308.7290000000012</v>
      </c>
    </row>
    <row r="1953" spans="1:5" x14ac:dyDescent="0.3">
      <c r="A1953" s="9">
        <v>44771</v>
      </c>
      <c r="B1953" s="10" t="s">
        <v>12</v>
      </c>
      <c r="C1953" s="10" t="s">
        <v>28</v>
      </c>
      <c r="D1953" s="12">
        <v>228.4</v>
      </c>
      <c r="E1953" s="12">
        <f>SUMIF('Parametros Inventario'!$A:$A,B1953,'Parametros Inventario'!$B:$B)+SUMIFS(D$2:D1953,B$2:B1953,B1953,C$2:C1953,"ENTRADA")-SUMIFS(D$2:D1953,B$2:B1953,B1953,C$2:C1953,"SALIDA")</f>
        <v>8961.4600000000028</v>
      </c>
    </row>
    <row r="1954" spans="1:5" x14ac:dyDescent="0.3">
      <c r="A1954" s="9">
        <v>44771</v>
      </c>
      <c r="B1954" s="10" t="s">
        <v>16</v>
      </c>
      <c r="C1954" s="10" t="s">
        <v>28</v>
      </c>
      <c r="D1954" s="12">
        <v>159.43</v>
      </c>
      <c r="E1954" s="12">
        <f>SUMIF('Parametros Inventario'!$A:$A,B1954,'Parametros Inventario'!$B:$B)+SUMIFS(D$2:D1954,B$2:B1954,B1954,C$2:C1954,"ENTRADA")-SUMIFS(D$2:D1954,B$2:B1954,B1954,C$2:C1954,"SALIDA")</f>
        <v>9917.7370000000046</v>
      </c>
    </row>
    <row r="1955" spans="1:5" x14ac:dyDescent="0.3">
      <c r="A1955" s="9">
        <v>44771</v>
      </c>
      <c r="B1955" s="10" t="s">
        <v>17</v>
      </c>
      <c r="C1955" s="10" t="s">
        <v>28</v>
      </c>
      <c r="D1955" s="12">
        <v>167.7</v>
      </c>
      <c r="E1955" s="12">
        <f>SUMIF('Parametros Inventario'!$A:$A,B1955,'Parametros Inventario'!$B:$B)+SUMIFS(D$2:D1955,B$2:B1955,B1955,C$2:C1955,"ENTRADA")-SUMIFS(D$2:D1955,B$2:B1955,B1955,C$2:C1955,"SALIDA")</f>
        <v>7816.131000000003</v>
      </c>
    </row>
    <row r="1956" spans="1:5" x14ac:dyDescent="0.3">
      <c r="A1956" s="9">
        <v>44771</v>
      </c>
      <c r="B1956" s="10" t="s">
        <v>18</v>
      </c>
      <c r="C1956" s="10" t="s">
        <v>28</v>
      </c>
      <c r="D1956" s="12">
        <v>119.79</v>
      </c>
      <c r="E1956" s="12">
        <f>SUMIF('Parametros Inventario'!$A:$A,B1956,'Parametros Inventario'!$B:$B)+SUMIFS(D$2:D1956,B$2:B1956,B1956,C$2:C1956,"ENTRADA")-SUMIFS(D$2:D1956,B$2:B1956,B1956,C$2:C1956,"SALIDA")</f>
        <v>8926.6519999999964</v>
      </c>
    </row>
    <row r="1957" spans="1:5" x14ac:dyDescent="0.3">
      <c r="A1957" s="9">
        <v>44771</v>
      </c>
      <c r="B1957" s="10" t="s">
        <v>10</v>
      </c>
      <c r="C1957" s="10" t="s">
        <v>28</v>
      </c>
      <c r="D1957" s="12">
        <v>90.34</v>
      </c>
      <c r="E1957" s="12">
        <f>SUMIF('Parametros Inventario'!$A:$A,B1957,'Parametros Inventario'!$B:$B)+SUMIFS(D$2:D1957,B$2:B1957,B1957,C$2:C1957,"ENTRADA")-SUMIFS(D$2:D1957,B$2:B1957,B1957,C$2:C1957,"SALIDA")</f>
        <v>10051.624999999996</v>
      </c>
    </row>
    <row r="1958" spans="1:5" x14ac:dyDescent="0.3">
      <c r="A1958" s="9">
        <v>44771</v>
      </c>
      <c r="B1958" s="10" t="s">
        <v>8</v>
      </c>
      <c r="C1958" s="10" t="s">
        <v>28</v>
      </c>
      <c r="D1958" s="12">
        <v>259.62</v>
      </c>
      <c r="E1958" s="12">
        <f>SUMIF('Parametros Inventario'!$A:$A,B1958,'Parametros Inventario'!$B:$B)+SUMIFS(D$2:D1958,B$2:B1958,B1958,C$2:C1958,"ENTRADA")-SUMIFS(D$2:D1958,B$2:B1958,B1958,C$2:C1958,"SALIDA")</f>
        <v>8349.9120000000003</v>
      </c>
    </row>
    <row r="1959" spans="1:5" x14ac:dyDescent="0.3">
      <c r="A1959" s="9">
        <f>'Volúmenes DIstribuidos '!B1245</f>
        <v>44771</v>
      </c>
      <c r="B1959" s="10" t="str">
        <f>IF(OR('Volúmenes DIstribuidos '!C1245="Azúcar",'Volúmenes DIstribuidos '!C1245="azúcar"),"Azúcar o dulce",IF('Volúmenes DIstribuidos '!C1245="Aceite","Aceite o grasas",IF('Volúmenes DIstribuidos '!C1245="Avena","Otros almidones",'Volúmenes DIstribuidos '!C1245)))</f>
        <v>Azúcar o dulce</v>
      </c>
      <c r="C1959" s="10" t="s">
        <v>29</v>
      </c>
      <c r="D1959" s="12">
        <f>'Volúmenes DIstribuidos '!D1245</f>
        <v>64.77</v>
      </c>
      <c r="E1959" s="12">
        <f>SUMIF('Parametros Inventario'!$A:$A,B1959,'Parametros Inventario'!$B:$B)+SUMIFS(D$2:D1959,B$2:B1959,B1959,C$2:C1959,"ENTRADA")-SUMIFS(D$2:D1959,B$2:B1959,B1959,C$2:C1959,"SALIDA")</f>
        <v>9376.9580000000024</v>
      </c>
    </row>
    <row r="1960" spans="1:5" x14ac:dyDescent="0.3">
      <c r="A1960" s="9">
        <f>'Volúmenes DIstribuidos '!B1245</f>
        <v>44771</v>
      </c>
      <c r="B1960" s="10" t="str">
        <f>IF(OR('Volúmenes DIstribuidos '!C1246="Azúcar",'Volúmenes DIstribuidos '!C1246="azúcar"),"Azúcar o dulce",IF('Volúmenes DIstribuidos '!C1246="Aceite","Aceite o grasas",IF('Volúmenes DIstribuidos '!C1246="Avena","Otros almidones",'Volúmenes DIstribuidos '!C1246)))</f>
        <v>Menestras</v>
      </c>
      <c r="C1960" s="10" t="s">
        <v>29</v>
      </c>
      <c r="D1960" s="12">
        <f>'Volúmenes DIstribuidos '!D1246</f>
        <v>22.19</v>
      </c>
      <c r="E1960" s="12">
        <f>SUMIF('Parametros Inventario'!$A:$A,B1960,'Parametros Inventario'!$B:$B)+SUMIFS(D$2:D1960,B$2:B1960,B1960,C$2:C1960,"ENTRADA")-SUMIFS(D$2:D1960,B$2:B1960,B1960,C$2:C1960,"SALIDA")</f>
        <v>9286.5390000000007</v>
      </c>
    </row>
    <row r="1961" spans="1:5" x14ac:dyDescent="0.3">
      <c r="A1961" s="9">
        <f>'Volúmenes DIstribuidos '!B1245</f>
        <v>44771</v>
      </c>
      <c r="B1961" s="10" t="str">
        <f>IF(OR('Volúmenes DIstribuidos '!C1247="Azúcar",'Volúmenes DIstribuidos '!C1247="azúcar"),"Azúcar o dulce",IF('Volúmenes DIstribuidos '!C1247="Aceite","Aceite o grasas",IF('Volúmenes DIstribuidos '!C1247="Avena","Otros almidones",'Volúmenes DIstribuidos '!C1247)))</f>
        <v>Panadería</v>
      </c>
      <c r="C1961" s="10" t="s">
        <v>29</v>
      </c>
      <c r="D1961" s="12">
        <f>'Volúmenes DIstribuidos '!D1247</f>
        <v>38.25</v>
      </c>
      <c r="E1961" s="12">
        <f>SUMIF('Parametros Inventario'!$A:$A,B1961,'Parametros Inventario'!$B:$B)+SUMIFS(D$2:D1961,B$2:B1961,B1961,C$2:C1961,"ENTRADA")-SUMIFS(D$2:D1961,B$2:B1961,B1961,C$2:C1961,"SALIDA")</f>
        <v>6788.7389999999996</v>
      </c>
    </row>
    <row r="1962" spans="1:5" x14ac:dyDescent="0.3">
      <c r="A1962" s="9">
        <f>'Volúmenes DIstribuidos '!B1245</f>
        <v>44771</v>
      </c>
      <c r="B1962" s="10" t="str">
        <f>IF(OR('Volúmenes DIstribuidos '!C1248="Azúcar",'Volúmenes DIstribuidos '!C1248="azúcar"),"Azúcar o dulce",IF('Volúmenes DIstribuidos '!C1248="Aceite","Aceite o grasas",IF('Volúmenes DIstribuidos '!C1248="Avena","Otros almidones",'Volúmenes DIstribuidos '!C1248)))</f>
        <v>Menestras</v>
      </c>
      <c r="C1962" s="10" t="s">
        <v>29</v>
      </c>
      <c r="D1962" s="12">
        <f>'Volúmenes DIstribuidos '!D1248</f>
        <v>19.48</v>
      </c>
      <c r="E1962" s="12">
        <f>SUMIF('Parametros Inventario'!$A:$A,B1962,'Parametros Inventario'!$B:$B)+SUMIFS(D$2:D1962,B$2:B1962,B1962,C$2:C1962,"ENTRADA")-SUMIFS(D$2:D1962,B$2:B1962,B1962,C$2:C1962,"SALIDA")</f>
        <v>9267.0590000000011</v>
      </c>
    </row>
    <row r="1963" spans="1:5" x14ac:dyDescent="0.3">
      <c r="A1963" s="9">
        <f>'Volúmenes DIstribuidos '!B1245</f>
        <v>44771</v>
      </c>
      <c r="B1963" s="10" t="str">
        <f>IF(OR('Volúmenes DIstribuidos '!C1249="Azúcar",'Volúmenes DIstribuidos '!C1249="azúcar"),"Azúcar o dulce",IF('Volúmenes DIstribuidos '!C1249="Aceite","Aceite o grasas",IF('Volúmenes DIstribuidos '!C1249="Avena","Otros almidones",'Volúmenes DIstribuidos '!C1249)))</f>
        <v>Lácteos</v>
      </c>
      <c r="C1963" s="10" t="s">
        <v>29</v>
      </c>
      <c r="D1963" s="12">
        <f>'Volúmenes DIstribuidos '!D1249</f>
        <v>15.7</v>
      </c>
      <c r="E1963" s="12">
        <f>SUMIF('Parametros Inventario'!$A:$A,B1963,'Parametros Inventario'!$B:$B)+SUMIFS(D$2:D1963,B$2:B1963,B1963,C$2:C1963,"ENTRADA")-SUMIFS(D$2:D1963,B$2:B1963,B1963,C$2:C1963,"SALIDA")</f>
        <v>7800.4310000000032</v>
      </c>
    </row>
    <row r="1964" spans="1:5" x14ac:dyDescent="0.3">
      <c r="A1964" s="9">
        <f>'Volúmenes DIstribuidos '!B1245</f>
        <v>44771</v>
      </c>
      <c r="B1964" s="10" t="str">
        <f>IF(OR('Volúmenes DIstribuidos '!C1250="Azúcar",'Volúmenes DIstribuidos '!C1250="azúcar"),"Azúcar o dulce",IF('Volúmenes DIstribuidos '!C1250="Aceite","Aceite o grasas",IF('Volúmenes DIstribuidos '!C1250="Avena","Otros almidones",'Volúmenes DIstribuidos '!C1250)))</f>
        <v>Salsas</v>
      </c>
      <c r="C1964" s="10" t="s">
        <v>29</v>
      </c>
      <c r="D1964" s="12">
        <f>'Volúmenes DIstribuidos '!D1250</f>
        <v>46.31</v>
      </c>
      <c r="E1964" s="12">
        <f>SUMIF('Parametros Inventario'!$A:$A,B1964,'Parametros Inventario'!$B:$B)+SUMIFS(D$2:D1964,B$2:B1964,B1964,C$2:C1964,"ENTRADA")-SUMIFS(D$2:D1964,B$2:B1964,B1964,C$2:C1964,"SALIDA")</f>
        <v>8880.3419999999969</v>
      </c>
    </row>
    <row r="1965" spans="1:5" x14ac:dyDescent="0.3">
      <c r="A1965" s="9">
        <f>'Volúmenes DIstribuidos '!B1251</f>
        <v>44775</v>
      </c>
      <c r="B1965" s="10" t="str">
        <f>IF(OR('Volúmenes DIstribuidos '!C1251="Azúcar",'Volúmenes DIstribuidos '!C1251="azúcar"),"Azúcar o dulce",IF('Volúmenes DIstribuidos '!C1251="Aceite","Aceite o grasas",IF('Volúmenes DIstribuidos '!C1251="Avena","Otros almidones",'Volúmenes DIstribuidos '!C1251)))</f>
        <v>Otros almidones</v>
      </c>
      <c r="C1965" s="10" t="s">
        <v>29</v>
      </c>
      <c r="D1965" s="12">
        <f>'Volúmenes DIstribuidos '!D1251</f>
        <v>29.248999999999999</v>
      </c>
      <c r="E1965" s="12">
        <f>SUMIF('Parametros Inventario'!$A:$A,B1965,'Parametros Inventario'!$B:$B)+SUMIFS(D$2:D1965,B$2:B1965,B1965,C$2:C1965,"ENTRADA")-SUMIFS(D$2:D1965,B$2:B1965,B1965,C$2:C1965,"SALIDA")</f>
        <v>9259.5629999999983</v>
      </c>
    </row>
    <row r="1966" spans="1:5" x14ac:dyDescent="0.3">
      <c r="A1966" s="9">
        <f>'Volúmenes DIstribuidos '!B1251</f>
        <v>44775</v>
      </c>
      <c r="B1966" s="10" t="str">
        <f>IF(OR('Volúmenes DIstribuidos '!C1252="Azúcar",'Volúmenes DIstribuidos '!C1252="azúcar"),"Azúcar o dulce",IF('Volúmenes DIstribuidos '!C1252="Aceite","Aceite o grasas",IF('Volúmenes DIstribuidos '!C1252="Avena","Otros almidones",'Volúmenes DIstribuidos '!C1252)))</f>
        <v>Aceite o grasas</v>
      </c>
      <c r="C1966" s="10" t="s">
        <v>29</v>
      </c>
      <c r="D1966" s="12">
        <f>'Volúmenes DIstribuidos '!D1252</f>
        <v>39.54</v>
      </c>
      <c r="E1966" s="12">
        <f>SUMIF('Parametros Inventario'!$A:$A,B1966,'Parametros Inventario'!$B:$B)+SUMIFS(D$2:D1966,B$2:B1966,B1966,C$2:C1966,"ENTRADA")-SUMIFS(D$2:D1966,B$2:B1966,B1966,C$2:C1966,"SALIDA")</f>
        <v>8310.3719999999994</v>
      </c>
    </row>
    <row r="1967" spans="1:5" x14ac:dyDescent="0.3">
      <c r="A1967" s="9">
        <f>'Volúmenes DIstribuidos '!B1251</f>
        <v>44775</v>
      </c>
      <c r="B1967" s="10" t="str">
        <f>IF(OR('Volúmenes DIstribuidos '!C1253="Azúcar",'Volúmenes DIstribuidos '!C1253="azúcar"),"Azúcar o dulce",IF('Volúmenes DIstribuidos '!C1253="Aceite","Aceite o grasas",IF('Volúmenes DIstribuidos '!C1253="Avena","Otros almidones",'Volúmenes DIstribuidos '!C1253)))</f>
        <v>Carnes blancas</v>
      </c>
      <c r="C1967" s="10" t="s">
        <v>29</v>
      </c>
      <c r="D1967" s="12">
        <f>'Volúmenes DIstribuidos '!D1253</f>
        <v>21.59</v>
      </c>
      <c r="E1967" s="12">
        <f>SUMIF('Parametros Inventario'!$A:$A,B1967,'Parametros Inventario'!$B:$B)+SUMIFS(D$2:D1967,B$2:B1967,B1967,C$2:C1967,"ENTRADA")-SUMIFS(D$2:D1967,B$2:B1967,B1967,C$2:C1967,"SALIDA")</f>
        <v>9896.1470000000045</v>
      </c>
    </row>
    <row r="1968" spans="1:5" x14ac:dyDescent="0.3">
      <c r="A1968" s="9">
        <f>'Volúmenes DIstribuidos '!B1251</f>
        <v>44775</v>
      </c>
      <c r="B1968" s="10" t="str">
        <f>IF(OR('Volúmenes DIstribuidos '!C1254="Azúcar",'Volúmenes DIstribuidos '!C1254="azúcar"),"Azúcar o dulce",IF('Volúmenes DIstribuidos '!C1254="Aceite","Aceite o grasas",IF('Volúmenes DIstribuidos '!C1254="Avena","Otros almidones",'Volúmenes DIstribuidos '!C1254)))</f>
        <v>Salsas</v>
      </c>
      <c r="C1968" s="10" t="s">
        <v>29</v>
      </c>
      <c r="D1968" s="12">
        <f>'Volúmenes DIstribuidos '!D1254</f>
        <v>32.442999999999998</v>
      </c>
      <c r="E1968" s="12">
        <f>SUMIF('Parametros Inventario'!$A:$A,B1968,'Parametros Inventario'!$B:$B)+SUMIFS(D$2:D1968,B$2:B1968,B1968,C$2:C1968,"ENTRADA")-SUMIFS(D$2:D1968,B$2:B1968,B1968,C$2:C1968,"SALIDA")</f>
        <v>8847.8989999999976</v>
      </c>
    </row>
    <row r="1969" spans="1:5" x14ac:dyDescent="0.3">
      <c r="A1969" s="9">
        <f>'Volúmenes DIstribuidos '!B1251</f>
        <v>44775</v>
      </c>
      <c r="B1969" s="10" t="str">
        <f>IF(OR('Volúmenes DIstribuidos '!C1255="Azúcar",'Volúmenes DIstribuidos '!C1255="azúcar"),"Azúcar o dulce",IF('Volúmenes DIstribuidos '!C1255="Aceite","Aceite o grasas",IF('Volúmenes DIstribuidos '!C1255="Avena","Otros almidones",'Volúmenes DIstribuidos '!C1255)))</f>
        <v>Carnes rojas</v>
      </c>
      <c r="C1969" s="10" t="s">
        <v>29</v>
      </c>
      <c r="D1969" s="12">
        <f>'Volúmenes DIstribuidos '!D1255</f>
        <v>40.229999999999997</v>
      </c>
      <c r="E1969" s="12">
        <f>SUMIF('Parametros Inventario'!$A:$A,B1969,'Parametros Inventario'!$B:$B)+SUMIFS(D$2:D1969,B$2:B1969,B1969,C$2:C1969,"ENTRADA")-SUMIFS(D$2:D1969,B$2:B1969,B1969,C$2:C1969,"SALIDA")</f>
        <v>8921.2300000000032</v>
      </c>
    </row>
    <row r="1970" spans="1:5" x14ac:dyDescent="0.3">
      <c r="A1970" s="9">
        <f>'Volúmenes DIstribuidos '!B1251</f>
        <v>44775</v>
      </c>
      <c r="B1970" s="10" t="str">
        <f>IF(OR('Volúmenes DIstribuidos '!C1256="Azúcar",'Volúmenes DIstribuidos '!C1256="azúcar"),"Azúcar o dulce",IF('Volúmenes DIstribuidos '!C1256="Aceite","Aceite o grasas",IF('Volúmenes DIstribuidos '!C1256="Avena","Otros almidones",'Volúmenes DIstribuidos '!C1256)))</f>
        <v>Carnes blancas</v>
      </c>
      <c r="C1970" s="10" t="s">
        <v>29</v>
      </c>
      <c r="D1970" s="12">
        <f>'Volúmenes DIstribuidos '!D1256</f>
        <v>87.78</v>
      </c>
      <c r="E1970" s="12">
        <f>SUMIF('Parametros Inventario'!$A:$A,B1970,'Parametros Inventario'!$B:$B)+SUMIFS(D$2:D1970,B$2:B1970,B1970,C$2:C1970,"ENTRADA")-SUMIFS(D$2:D1970,B$2:B1970,B1970,C$2:C1970,"SALIDA")</f>
        <v>9808.3670000000038</v>
      </c>
    </row>
    <row r="1971" spans="1:5" x14ac:dyDescent="0.3">
      <c r="A1971" s="9">
        <f>'Volúmenes DIstribuidos '!B1257</f>
        <v>44778</v>
      </c>
      <c r="B1971" s="10" t="str">
        <f>IF(OR('Volúmenes DIstribuidos '!C1257="Azúcar",'Volúmenes DIstribuidos '!C1257="azúcar"),"Azúcar o dulce",IF('Volúmenes DIstribuidos '!C1257="Aceite","Aceite o grasas",IF('Volúmenes DIstribuidos '!C1257="Avena","Otros almidones",'Volúmenes DIstribuidos '!C1257)))</f>
        <v>Azúcar o dulce</v>
      </c>
      <c r="C1971" s="10" t="s">
        <v>29</v>
      </c>
      <c r="D1971" s="12">
        <f>'Volúmenes DIstribuidos '!D1257</f>
        <v>78.41</v>
      </c>
      <c r="E1971" s="12">
        <f>SUMIF('Parametros Inventario'!$A:$A,B1971,'Parametros Inventario'!$B:$B)+SUMIFS(D$2:D1971,B$2:B1971,B1971,C$2:C1971,"ENTRADA")-SUMIFS(D$2:D1971,B$2:B1971,B1971,C$2:C1971,"SALIDA")</f>
        <v>9298.5480000000025</v>
      </c>
    </row>
    <row r="1972" spans="1:5" x14ac:dyDescent="0.3">
      <c r="A1972" s="9">
        <f>'Volúmenes DIstribuidos '!B1257</f>
        <v>44778</v>
      </c>
      <c r="B1972" s="10" t="str">
        <f>IF(OR('Volúmenes DIstribuidos '!C1258="Azúcar",'Volúmenes DIstribuidos '!C1258="azúcar"),"Azúcar o dulce",IF('Volúmenes DIstribuidos '!C1258="Aceite","Aceite o grasas",IF('Volúmenes DIstribuidos '!C1258="Avena","Otros almidones",'Volúmenes DIstribuidos '!C1258)))</f>
        <v>Otros almidones</v>
      </c>
      <c r="C1972" s="10" t="s">
        <v>29</v>
      </c>
      <c r="D1972" s="12">
        <f>'Volúmenes DIstribuidos '!D1258</f>
        <v>33.46</v>
      </c>
      <c r="E1972" s="12">
        <f>SUMIF('Parametros Inventario'!$A:$A,B1972,'Parametros Inventario'!$B:$B)+SUMIFS(D$2:D1972,B$2:B1972,B1972,C$2:C1972,"ENTRADA")-SUMIFS(D$2:D1972,B$2:B1972,B1972,C$2:C1972,"SALIDA")</f>
        <v>9226.1029999999973</v>
      </c>
    </row>
    <row r="1973" spans="1:5" x14ac:dyDescent="0.3">
      <c r="A1973" s="9">
        <f>'Volúmenes DIstribuidos '!B1257</f>
        <v>44778</v>
      </c>
      <c r="B1973" s="10" t="str">
        <f>IF(OR('Volúmenes DIstribuidos '!C1259="Azúcar",'Volúmenes DIstribuidos '!C1259="azúcar"),"Azúcar o dulce",IF('Volúmenes DIstribuidos '!C1259="Aceite","Aceite o grasas",IF('Volúmenes DIstribuidos '!C1259="Avena","Otros almidones",'Volúmenes DIstribuidos '!C1259)))</f>
        <v>Aceite o grasas</v>
      </c>
      <c r="C1973" s="10" t="s">
        <v>29</v>
      </c>
      <c r="D1973" s="12">
        <f>'Volúmenes DIstribuidos '!D1259</f>
        <v>41.45</v>
      </c>
      <c r="E1973" s="12">
        <f>SUMIF('Parametros Inventario'!$A:$A,B1973,'Parametros Inventario'!$B:$B)+SUMIFS(D$2:D1973,B$2:B1973,B1973,C$2:C1973,"ENTRADA")-SUMIFS(D$2:D1973,B$2:B1973,B1973,C$2:C1973,"SALIDA")</f>
        <v>8268.9220000000005</v>
      </c>
    </row>
    <row r="1974" spans="1:5" x14ac:dyDescent="0.3">
      <c r="A1974" s="9">
        <f>'Volúmenes DIstribuidos '!B1257</f>
        <v>44778</v>
      </c>
      <c r="B1974" s="10" t="str">
        <f>IF(OR('Volúmenes DIstribuidos '!C1260="Azúcar",'Volúmenes DIstribuidos '!C1260="azúcar"),"Azúcar o dulce",IF('Volúmenes DIstribuidos '!C1260="Aceite","Aceite o grasas",IF('Volúmenes DIstribuidos '!C1260="Avena","Otros almidones",'Volúmenes DIstribuidos '!C1260)))</f>
        <v>Panadería</v>
      </c>
      <c r="C1974" s="10" t="s">
        <v>29</v>
      </c>
      <c r="D1974" s="12">
        <f>'Volúmenes DIstribuidos '!D1260</f>
        <v>42.378999999999998</v>
      </c>
      <c r="E1974" s="12">
        <f>SUMIF('Parametros Inventario'!$A:$A,B1974,'Parametros Inventario'!$B:$B)+SUMIFS(D$2:D1974,B$2:B1974,B1974,C$2:C1974,"ENTRADA")-SUMIFS(D$2:D1974,B$2:B1974,B1974,C$2:C1974,"SALIDA")</f>
        <v>6746.3600000000006</v>
      </c>
    </row>
    <row r="1975" spans="1:5" x14ac:dyDescent="0.3">
      <c r="A1975" s="9">
        <f>'Volúmenes DIstribuidos '!B1257</f>
        <v>44778</v>
      </c>
      <c r="B1975" s="10" t="str">
        <f>IF(OR('Volúmenes DIstribuidos '!C1261="Azúcar",'Volúmenes DIstribuidos '!C1261="azúcar"),"Azúcar o dulce",IF('Volúmenes DIstribuidos '!C1261="Aceite","Aceite o grasas",IF('Volúmenes DIstribuidos '!C1261="Avena","Otros almidones",'Volúmenes DIstribuidos '!C1261)))</f>
        <v>Carnes blancas</v>
      </c>
      <c r="C1975" s="10" t="s">
        <v>29</v>
      </c>
      <c r="D1975" s="12">
        <f>'Volúmenes DIstribuidos '!D1261</f>
        <v>38.270000000000003</v>
      </c>
      <c r="E1975" s="12">
        <f>SUMIF('Parametros Inventario'!$A:$A,B1975,'Parametros Inventario'!$B:$B)+SUMIFS(D$2:D1975,B$2:B1975,B1975,C$2:C1975,"ENTRADA")-SUMIFS(D$2:D1975,B$2:B1975,B1975,C$2:C1975,"SALIDA")</f>
        <v>9770.0970000000034</v>
      </c>
    </row>
    <row r="1976" spans="1:5" x14ac:dyDescent="0.3">
      <c r="A1976" s="9">
        <f>'Volúmenes DIstribuidos '!B1257</f>
        <v>44778</v>
      </c>
      <c r="B1976" s="10" t="str">
        <f>IF(OR('Volúmenes DIstribuidos '!C1262="Azúcar",'Volúmenes DIstribuidos '!C1262="azúcar"),"Azúcar o dulce",IF('Volúmenes DIstribuidos '!C1262="Aceite","Aceite o grasas",IF('Volúmenes DIstribuidos '!C1262="Avena","Otros almidones",'Volúmenes DIstribuidos '!C1262)))</f>
        <v>Menestras</v>
      </c>
      <c r="C1976" s="10" t="s">
        <v>29</v>
      </c>
      <c r="D1976" s="12">
        <f>'Volúmenes DIstribuidos '!D1262</f>
        <v>32.6</v>
      </c>
      <c r="E1976" s="12">
        <f>SUMIF('Parametros Inventario'!$A:$A,B1976,'Parametros Inventario'!$B:$B)+SUMIFS(D$2:D1976,B$2:B1976,B1976,C$2:C1976,"ENTRADA")-SUMIFS(D$2:D1976,B$2:B1976,B1976,C$2:C1976,"SALIDA")</f>
        <v>9234.4590000000007</v>
      </c>
    </row>
    <row r="1977" spans="1:5" x14ac:dyDescent="0.3">
      <c r="A1977" s="9">
        <f>'Volúmenes DIstribuidos '!B1263</f>
        <v>44782</v>
      </c>
      <c r="B1977" s="10" t="str">
        <f>IF(OR('Volúmenes DIstribuidos '!C1263="Azúcar",'Volúmenes DIstribuidos '!C1263="azúcar"),"Azúcar o dulce",IF('Volúmenes DIstribuidos '!C1263="Aceite","Aceite o grasas",IF('Volúmenes DIstribuidos '!C1263="Avena","Otros almidones",'Volúmenes DIstribuidos '!C1263)))</f>
        <v>Carnes rojas</v>
      </c>
      <c r="C1977" s="10" t="s">
        <v>29</v>
      </c>
      <c r="D1977" s="12">
        <f>'Volúmenes DIstribuidos '!D1263</f>
        <v>20.59</v>
      </c>
      <c r="E1977" s="12">
        <f>SUMIF('Parametros Inventario'!$A:$A,B1977,'Parametros Inventario'!$B:$B)+SUMIFS(D$2:D1977,B$2:B1977,B1977,C$2:C1977,"ENTRADA")-SUMIFS(D$2:D1977,B$2:B1977,B1977,C$2:C1977,"SALIDA")</f>
        <v>8900.6400000000031</v>
      </c>
    </row>
    <row r="1978" spans="1:5" x14ac:dyDescent="0.3">
      <c r="A1978" s="9">
        <f>'Volúmenes DIstribuidos '!B1263</f>
        <v>44782</v>
      </c>
      <c r="B1978" s="10" t="str">
        <f>IF(OR('Volúmenes DIstribuidos '!C1264="Azúcar",'Volúmenes DIstribuidos '!C1264="azúcar"),"Azúcar o dulce",IF('Volúmenes DIstribuidos '!C1264="Aceite","Aceite o grasas",IF('Volúmenes DIstribuidos '!C1264="Avena","Otros almidones",'Volúmenes DIstribuidos '!C1264)))</f>
        <v>Aceite o grasas</v>
      </c>
      <c r="C1978" s="10" t="s">
        <v>29</v>
      </c>
      <c r="D1978" s="12">
        <f>'Volúmenes DIstribuidos '!D1264</f>
        <v>66.5</v>
      </c>
      <c r="E1978" s="12">
        <f>SUMIF('Parametros Inventario'!$A:$A,B1978,'Parametros Inventario'!$B:$B)+SUMIFS(D$2:D1978,B$2:B1978,B1978,C$2:C1978,"ENTRADA")-SUMIFS(D$2:D1978,B$2:B1978,B1978,C$2:C1978,"SALIDA")</f>
        <v>8202.4220000000005</v>
      </c>
    </row>
    <row r="1979" spans="1:5" x14ac:dyDescent="0.3">
      <c r="A1979" s="9">
        <f>'Volúmenes DIstribuidos '!B1263</f>
        <v>44782</v>
      </c>
      <c r="B1979" s="10" t="str">
        <f>IF(OR('Volúmenes DIstribuidos '!C1265="Azúcar",'Volúmenes DIstribuidos '!C1265="azúcar"),"Azúcar o dulce",IF('Volúmenes DIstribuidos '!C1265="Aceite","Aceite o grasas",IF('Volúmenes DIstribuidos '!C1265="Avena","Otros almidones",'Volúmenes DIstribuidos '!C1265)))</f>
        <v>Fideo</v>
      </c>
      <c r="C1979" s="10" t="s">
        <v>29</v>
      </c>
      <c r="D1979" s="12">
        <f>'Volúmenes DIstribuidos '!D1265</f>
        <v>21.33</v>
      </c>
      <c r="E1979" s="12">
        <f>SUMIF('Parametros Inventario'!$A:$A,B1979,'Parametros Inventario'!$B:$B)+SUMIFS(D$2:D1979,B$2:B1979,B1979,C$2:C1979,"ENTRADA")-SUMIFS(D$2:D1979,B$2:B1979,B1979,C$2:C1979,"SALIDA")</f>
        <v>9853.6910000000007</v>
      </c>
    </row>
    <row r="1980" spans="1:5" x14ac:dyDescent="0.3">
      <c r="A1980" s="9">
        <f>'Volúmenes DIstribuidos '!B1263</f>
        <v>44782</v>
      </c>
      <c r="B1980" s="10" t="str">
        <f>IF(OR('Volúmenes DIstribuidos '!C1266="Azúcar",'Volúmenes DIstribuidos '!C1266="azúcar"),"Azúcar o dulce",IF('Volúmenes DIstribuidos '!C1266="Aceite","Aceite o grasas",IF('Volúmenes DIstribuidos '!C1266="Avena","Otros almidones",'Volúmenes DIstribuidos '!C1266)))</f>
        <v>Salsas</v>
      </c>
      <c r="C1980" s="10" t="s">
        <v>29</v>
      </c>
      <c r="D1980" s="12">
        <f>'Volúmenes DIstribuidos '!D1266</f>
        <v>40.134999999999998</v>
      </c>
      <c r="E1980" s="12">
        <f>SUMIF('Parametros Inventario'!$A:$A,B1980,'Parametros Inventario'!$B:$B)+SUMIFS(D$2:D1980,B$2:B1980,B1980,C$2:C1980,"ENTRADA")-SUMIFS(D$2:D1980,B$2:B1980,B1980,C$2:C1980,"SALIDA")</f>
        <v>8807.7639999999956</v>
      </c>
    </row>
    <row r="1981" spans="1:5" x14ac:dyDescent="0.3">
      <c r="A1981" s="9">
        <f>'Volúmenes DIstribuidos '!B1263</f>
        <v>44782</v>
      </c>
      <c r="B1981" s="10" t="str">
        <f>IF(OR('Volúmenes DIstribuidos '!C1267="Azúcar",'Volúmenes DIstribuidos '!C1267="azúcar"),"Azúcar o dulce",IF('Volúmenes DIstribuidos '!C1267="Aceite","Aceite o grasas",IF('Volúmenes DIstribuidos '!C1267="Avena","Otros almidones",'Volúmenes DIstribuidos '!C1267)))</f>
        <v>Azúcar o dulce</v>
      </c>
      <c r="C1981" s="10" t="s">
        <v>29</v>
      </c>
      <c r="D1981" s="12">
        <f>'Volúmenes DIstribuidos '!D1267</f>
        <v>27.05</v>
      </c>
      <c r="E1981" s="12">
        <f>SUMIF('Parametros Inventario'!$A:$A,B1981,'Parametros Inventario'!$B:$B)+SUMIFS(D$2:D1981,B$2:B1981,B1981,C$2:C1981,"ENTRADA")-SUMIFS(D$2:D1981,B$2:B1981,B1981,C$2:C1981,"SALIDA")</f>
        <v>9271.4980000000014</v>
      </c>
    </row>
    <row r="1982" spans="1:5" x14ac:dyDescent="0.3">
      <c r="A1982" s="9">
        <f>'Volúmenes DIstribuidos '!B1263</f>
        <v>44782</v>
      </c>
      <c r="B1982" s="10" t="str">
        <f>IF(OR('Volúmenes DIstribuidos '!C1268="Azúcar",'Volúmenes DIstribuidos '!C1268="azúcar"),"Azúcar o dulce",IF('Volúmenes DIstribuidos '!C1268="Aceite","Aceite o grasas",IF('Volúmenes DIstribuidos '!C1268="Avena","Otros almidones",'Volúmenes DIstribuidos '!C1268)))</f>
        <v>Otros almidones</v>
      </c>
      <c r="C1982" s="10" t="s">
        <v>29</v>
      </c>
      <c r="D1982" s="12">
        <f>'Volúmenes DIstribuidos '!D1268</f>
        <v>173.96</v>
      </c>
      <c r="E1982" s="12">
        <f>SUMIF('Parametros Inventario'!$A:$A,B1982,'Parametros Inventario'!$B:$B)+SUMIFS(D$2:D1982,B$2:B1982,B1982,C$2:C1982,"ENTRADA")-SUMIFS(D$2:D1982,B$2:B1982,B1982,C$2:C1982,"SALIDA")</f>
        <v>9052.1429999999982</v>
      </c>
    </row>
    <row r="1983" spans="1:5" x14ac:dyDescent="0.3">
      <c r="A1983" s="9">
        <f>'Volúmenes DIstribuidos '!B1269</f>
        <v>44785</v>
      </c>
      <c r="B1983" s="10" t="str">
        <f>IF(OR('Volúmenes DIstribuidos '!C1269="Azúcar",'Volúmenes DIstribuidos '!C1269="azúcar"),"Azúcar o dulce",IF('Volúmenes DIstribuidos '!C1269="Aceite","Aceite o grasas",IF('Volúmenes DIstribuidos '!C1269="Avena","Otros almidones",'Volúmenes DIstribuidos '!C1269)))</f>
        <v>Fideo</v>
      </c>
      <c r="C1983" s="10" t="s">
        <v>29</v>
      </c>
      <c r="D1983" s="12">
        <f>'Volúmenes DIstribuidos '!D1269</f>
        <v>32.57</v>
      </c>
      <c r="E1983" s="12">
        <f>SUMIF('Parametros Inventario'!$A:$A,B1983,'Parametros Inventario'!$B:$B)+SUMIFS(D$2:D1983,B$2:B1983,B1983,C$2:C1983,"ENTRADA")-SUMIFS(D$2:D1983,B$2:B1983,B1983,C$2:C1983,"SALIDA")</f>
        <v>9821.1209999999992</v>
      </c>
    </row>
    <row r="1984" spans="1:5" x14ac:dyDescent="0.3">
      <c r="A1984" s="9">
        <f>'Volúmenes DIstribuidos '!B1269</f>
        <v>44785</v>
      </c>
      <c r="B1984" s="10" t="str">
        <f>IF(OR('Volúmenes DIstribuidos '!C1270="Azúcar",'Volúmenes DIstribuidos '!C1270="azúcar"),"Azúcar o dulce",IF('Volúmenes DIstribuidos '!C1270="Aceite","Aceite o grasas",IF('Volúmenes DIstribuidos '!C1270="Avena","Otros almidones",'Volúmenes DIstribuidos '!C1270)))</f>
        <v>Panadería</v>
      </c>
      <c r="C1984" s="10" t="s">
        <v>29</v>
      </c>
      <c r="D1984" s="12">
        <f>'Volúmenes DIstribuidos '!D1270</f>
        <v>55.18</v>
      </c>
      <c r="E1984" s="12">
        <f>SUMIF('Parametros Inventario'!$A:$A,B1984,'Parametros Inventario'!$B:$B)+SUMIFS(D$2:D1984,B$2:B1984,B1984,C$2:C1984,"ENTRADA")-SUMIFS(D$2:D1984,B$2:B1984,B1984,C$2:C1984,"SALIDA")</f>
        <v>6691.18</v>
      </c>
    </row>
    <row r="1985" spans="1:5" x14ac:dyDescent="0.3">
      <c r="A1985" s="9">
        <f>'Volúmenes DIstribuidos '!B1269</f>
        <v>44785</v>
      </c>
      <c r="B1985" s="10" t="str">
        <f>IF(OR('Volúmenes DIstribuidos '!C1271="Azúcar",'Volúmenes DIstribuidos '!C1271="azúcar"),"Azúcar o dulce",IF('Volúmenes DIstribuidos '!C1271="Aceite","Aceite o grasas",IF('Volúmenes DIstribuidos '!C1271="Avena","Otros almidones",'Volúmenes DIstribuidos '!C1271)))</f>
        <v>Menestras</v>
      </c>
      <c r="C1985" s="10" t="s">
        <v>29</v>
      </c>
      <c r="D1985" s="12">
        <f>'Volúmenes DIstribuidos '!D1271</f>
        <v>19.62</v>
      </c>
      <c r="E1985" s="12">
        <f>SUMIF('Parametros Inventario'!$A:$A,B1985,'Parametros Inventario'!$B:$B)+SUMIFS(D$2:D1985,B$2:B1985,B1985,C$2:C1985,"ENTRADA")-SUMIFS(D$2:D1985,B$2:B1985,B1985,C$2:C1985,"SALIDA")</f>
        <v>9214.8389999999999</v>
      </c>
    </row>
    <row r="1986" spans="1:5" x14ac:dyDescent="0.3">
      <c r="A1986" s="9">
        <f>'Volúmenes DIstribuidos '!B1269</f>
        <v>44785</v>
      </c>
      <c r="B1986" s="10" t="str">
        <f>IF(OR('Volúmenes DIstribuidos '!C1272="Azúcar",'Volúmenes DIstribuidos '!C1272="azúcar"),"Azúcar o dulce",IF('Volúmenes DIstribuidos '!C1272="Aceite","Aceite o grasas",IF('Volúmenes DIstribuidos '!C1272="Avena","Otros almidones",'Volúmenes DIstribuidos '!C1272)))</f>
        <v>Lácteos</v>
      </c>
      <c r="C1986" s="10" t="s">
        <v>29</v>
      </c>
      <c r="D1986" s="12">
        <f>'Volúmenes DIstribuidos '!D1272</f>
        <v>20.971</v>
      </c>
      <c r="E1986" s="12">
        <f>SUMIF('Parametros Inventario'!$A:$A,B1986,'Parametros Inventario'!$B:$B)+SUMIFS(D$2:D1986,B$2:B1986,B1986,C$2:C1986,"ENTRADA")-SUMIFS(D$2:D1986,B$2:B1986,B1986,C$2:C1986,"SALIDA")</f>
        <v>7779.4600000000037</v>
      </c>
    </row>
    <row r="1987" spans="1:5" x14ac:dyDescent="0.3">
      <c r="A1987" s="9">
        <f>'Volúmenes DIstribuidos '!B1269</f>
        <v>44785</v>
      </c>
      <c r="B1987" s="10" t="str">
        <f>IF(OR('Volúmenes DIstribuidos '!C1273="Azúcar",'Volúmenes DIstribuidos '!C1273="azúcar"),"Azúcar o dulce",IF('Volúmenes DIstribuidos '!C1273="Aceite","Aceite o grasas",IF('Volúmenes DIstribuidos '!C1273="Avena","Otros almidones",'Volúmenes DIstribuidos '!C1273)))</f>
        <v>Aceite o grasas</v>
      </c>
      <c r="C1987" s="10" t="s">
        <v>29</v>
      </c>
      <c r="D1987" s="12">
        <f>'Volúmenes DIstribuidos '!D1273</f>
        <v>56.76</v>
      </c>
      <c r="E1987" s="12">
        <f>SUMIF('Parametros Inventario'!$A:$A,B1987,'Parametros Inventario'!$B:$B)+SUMIFS(D$2:D1987,B$2:B1987,B1987,C$2:C1987,"ENTRADA")-SUMIFS(D$2:D1987,B$2:B1987,B1987,C$2:C1987,"SALIDA")</f>
        <v>8145.6620000000003</v>
      </c>
    </row>
    <row r="1988" spans="1:5" x14ac:dyDescent="0.3">
      <c r="A1988" s="9">
        <f>'Volúmenes DIstribuidos '!B1269</f>
        <v>44785</v>
      </c>
      <c r="B1988" s="10" t="str">
        <f>IF(OR('Volúmenes DIstribuidos '!C1274="Azúcar",'Volúmenes DIstribuidos '!C1274="azúcar"),"Azúcar o dulce",IF('Volúmenes DIstribuidos '!C1274="Aceite","Aceite o grasas",IF('Volúmenes DIstribuidos '!C1274="Avena","Otros almidones",'Volúmenes DIstribuidos '!C1274)))</f>
        <v>Otros almidones</v>
      </c>
      <c r="C1988" s="10" t="s">
        <v>29</v>
      </c>
      <c r="D1988" s="12">
        <f>'Volúmenes DIstribuidos '!D1274</f>
        <v>61.56</v>
      </c>
      <c r="E1988" s="12">
        <f>SUMIF('Parametros Inventario'!$A:$A,B1988,'Parametros Inventario'!$B:$B)+SUMIFS(D$2:D1988,B$2:B1988,B1988,C$2:C1988,"ENTRADA")-SUMIFS(D$2:D1988,B$2:B1988,B1988,C$2:C1988,"SALIDA")</f>
        <v>8990.5829999999987</v>
      </c>
    </row>
    <row r="1989" spans="1:5" x14ac:dyDescent="0.3">
      <c r="A1989" s="9">
        <v>44789</v>
      </c>
      <c r="B1989" s="10" t="s">
        <v>13</v>
      </c>
      <c r="C1989" s="10" t="s">
        <v>28</v>
      </c>
      <c r="D1989" s="12">
        <v>201.75</v>
      </c>
      <c r="E1989" s="12">
        <f>SUMIF('Parametros Inventario'!$A:$A,B1989,'Parametros Inventario'!$B:$B)+SUMIFS(D$2:D1989,B$2:B1989,B1989,C$2:C1989,"ENTRADA")-SUMIFS(D$2:D1989,B$2:B1989,B1989,C$2:C1989,"SALIDA")</f>
        <v>9473.2480000000014</v>
      </c>
    </row>
    <row r="1990" spans="1:5" x14ac:dyDescent="0.3">
      <c r="A1990" s="9">
        <v>44789</v>
      </c>
      <c r="B1990" s="10" t="s">
        <v>15</v>
      </c>
      <c r="C1990" s="10" t="s">
        <v>28</v>
      </c>
      <c r="D1990" s="12">
        <v>94.31</v>
      </c>
      <c r="E1990" s="12">
        <f>SUMIF('Parametros Inventario'!$A:$A,B1990,'Parametros Inventario'!$B:$B)+SUMIFS(D$2:D1990,B$2:B1990,B1990,C$2:C1990,"ENTRADA")-SUMIFS(D$2:D1990,B$2:B1990,B1990,C$2:C1990,"SALIDA")</f>
        <v>9084.8929999999964</v>
      </c>
    </row>
    <row r="1991" spans="1:5" x14ac:dyDescent="0.3">
      <c r="A1991" s="9">
        <v>44789</v>
      </c>
      <c r="B1991" s="10" t="s">
        <v>11</v>
      </c>
      <c r="C1991" s="10" t="s">
        <v>28</v>
      </c>
      <c r="D1991" s="12">
        <v>81.040000000000006</v>
      </c>
      <c r="E1991" s="12">
        <f>SUMIF('Parametros Inventario'!$A:$A,B1991,'Parametros Inventario'!$B:$B)+SUMIFS(D$2:D1991,B$2:B1991,B1991,C$2:C1991,"ENTRADA")-SUMIFS(D$2:D1991,B$2:B1991,B1991,C$2:C1991,"SALIDA")</f>
        <v>9902.1610000000001</v>
      </c>
    </row>
    <row r="1992" spans="1:5" x14ac:dyDescent="0.3">
      <c r="A1992" s="9">
        <v>44789</v>
      </c>
      <c r="B1992" s="10" t="s">
        <v>9</v>
      </c>
      <c r="C1992" s="10" t="s">
        <v>28</v>
      </c>
      <c r="D1992" s="12">
        <v>235.36</v>
      </c>
      <c r="E1992" s="12">
        <f>SUMIF('Parametros Inventario'!$A:$A,B1992,'Parametros Inventario'!$B:$B)+SUMIFS(D$2:D1992,B$2:B1992,B1992,C$2:C1992,"ENTRADA")-SUMIFS(D$2:D1992,B$2:B1992,B1992,C$2:C1992,"SALIDA")</f>
        <v>6926.5400000000009</v>
      </c>
    </row>
    <row r="1993" spans="1:5" x14ac:dyDescent="0.3">
      <c r="A1993" s="9">
        <v>44789</v>
      </c>
      <c r="B1993" s="10" t="s">
        <v>14</v>
      </c>
      <c r="C1993" s="10" t="s">
        <v>28</v>
      </c>
      <c r="D1993" s="12">
        <v>92.11</v>
      </c>
      <c r="E1993" s="12">
        <f>SUMIF('Parametros Inventario'!$A:$A,B1993,'Parametros Inventario'!$B:$B)+SUMIFS(D$2:D1993,B$2:B1993,B1993,C$2:C1993,"ENTRADA")-SUMIFS(D$2:D1993,B$2:B1993,B1993,C$2:C1993,"SALIDA")</f>
        <v>9306.9490000000005</v>
      </c>
    </row>
    <row r="1994" spans="1:5" x14ac:dyDescent="0.3">
      <c r="A1994" s="9">
        <v>44789</v>
      </c>
      <c r="B1994" s="10" t="s">
        <v>12</v>
      </c>
      <c r="C1994" s="10" t="s">
        <v>28</v>
      </c>
      <c r="D1994" s="12">
        <v>217.85</v>
      </c>
      <c r="E1994" s="12">
        <f>SUMIF('Parametros Inventario'!$A:$A,B1994,'Parametros Inventario'!$B:$B)+SUMIFS(D$2:D1994,B$2:B1994,B1994,C$2:C1994,"ENTRADA")-SUMIFS(D$2:D1994,B$2:B1994,B1994,C$2:C1994,"SALIDA")</f>
        <v>9118.4900000000034</v>
      </c>
    </row>
    <row r="1995" spans="1:5" x14ac:dyDescent="0.3">
      <c r="A1995" s="9">
        <v>44789</v>
      </c>
      <c r="B1995" s="10" t="s">
        <v>16</v>
      </c>
      <c r="C1995" s="10" t="s">
        <v>28</v>
      </c>
      <c r="D1995" s="12">
        <v>52.8</v>
      </c>
      <c r="E1995" s="12">
        <f>SUMIF('Parametros Inventario'!$A:$A,B1995,'Parametros Inventario'!$B:$B)+SUMIFS(D$2:D1995,B$2:B1995,B1995,C$2:C1995,"ENTRADA")-SUMIFS(D$2:D1995,B$2:B1995,B1995,C$2:C1995,"SALIDA")</f>
        <v>9822.8970000000027</v>
      </c>
    </row>
    <row r="1996" spans="1:5" x14ac:dyDescent="0.3">
      <c r="A1996" s="9">
        <v>44789</v>
      </c>
      <c r="B1996" s="10" t="s">
        <v>17</v>
      </c>
      <c r="C1996" s="10" t="s">
        <v>28</v>
      </c>
      <c r="D1996" s="12">
        <v>118.31</v>
      </c>
      <c r="E1996" s="12">
        <f>SUMIF('Parametros Inventario'!$A:$A,B1996,'Parametros Inventario'!$B:$B)+SUMIFS(D$2:D1996,B$2:B1996,B1996,C$2:C1996,"ENTRADA")-SUMIFS(D$2:D1996,B$2:B1996,B1996,C$2:C1996,"SALIDA")</f>
        <v>7897.7700000000032</v>
      </c>
    </row>
    <row r="1997" spans="1:5" x14ac:dyDescent="0.3">
      <c r="A1997" s="9">
        <v>44789</v>
      </c>
      <c r="B1997" s="10" t="s">
        <v>18</v>
      </c>
      <c r="C1997" s="10" t="s">
        <v>28</v>
      </c>
      <c r="D1997" s="12">
        <v>160.16</v>
      </c>
      <c r="E1997" s="12">
        <f>SUMIF('Parametros Inventario'!$A:$A,B1997,'Parametros Inventario'!$B:$B)+SUMIFS(D$2:D1997,B$2:B1997,B1997,C$2:C1997,"ENTRADA")-SUMIFS(D$2:D1997,B$2:B1997,B1997,C$2:C1997,"SALIDA")</f>
        <v>8967.9239999999954</v>
      </c>
    </row>
    <row r="1998" spans="1:5" x14ac:dyDescent="0.3">
      <c r="A1998" s="9">
        <v>44789</v>
      </c>
      <c r="B1998" s="10" t="s">
        <v>10</v>
      </c>
      <c r="C1998" s="10" t="s">
        <v>28</v>
      </c>
      <c r="D1998" s="12">
        <v>94.49</v>
      </c>
      <c r="E1998" s="12">
        <f>SUMIF('Parametros Inventario'!$A:$A,B1998,'Parametros Inventario'!$B:$B)+SUMIFS(D$2:D1998,B$2:B1998,B1998,C$2:C1998,"ENTRADA")-SUMIFS(D$2:D1998,B$2:B1998,B1998,C$2:C1998,"SALIDA")</f>
        <v>10146.114999999998</v>
      </c>
    </row>
    <row r="1999" spans="1:5" x14ac:dyDescent="0.3">
      <c r="A1999" s="9">
        <v>44789</v>
      </c>
      <c r="B1999" s="10" t="s">
        <v>8</v>
      </c>
      <c r="C1999" s="10" t="s">
        <v>28</v>
      </c>
      <c r="D1999" s="12">
        <v>228.6</v>
      </c>
      <c r="E1999" s="12">
        <f>SUMIF('Parametros Inventario'!$A:$A,B1999,'Parametros Inventario'!$B:$B)+SUMIFS(D$2:D1999,B$2:B1999,B1999,C$2:C1999,"ENTRADA")-SUMIFS(D$2:D1999,B$2:B1999,B1999,C$2:C1999,"SALIDA")</f>
        <v>8374.2620000000006</v>
      </c>
    </row>
    <row r="2000" spans="1:5" x14ac:dyDescent="0.3">
      <c r="A2000" s="9">
        <f>'Volúmenes DIstribuidos '!B1275</f>
        <v>44789</v>
      </c>
      <c r="B2000" s="10" t="str">
        <f>IF(OR('Volúmenes DIstribuidos '!C1275="Azúcar",'Volúmenes DIstribuidos '!C1275="azúcar"),"Azúcar o dulce",IF('Volúmenes DIstribuidos '!C1275="Aceite","Aceite o grasas",IF('Volúmenes DIstribuidos '!C1275="Avena","Otros almidones",'Volúmenes DIstribuidos '!C1275)))</f>
        <v>Carnes rojas</v>
      </c>
      <c r="C2000" s="10" t="s">
        <v>29</v>
      </c>
      <c r="D2000" s="12">
        <f>'Volúmenes DIstribuidos '!D1275</f>
        <v>28.43</v>
      </c>
      <c r="E2000" s="12">
        <f>SUMIF('Parametros Inventario'!$A:$A,B2000,'Parametros Inventario'!$B:$B)+SUMIFS(D$2:D2000,B$2:B2000,B2000,C$2:C2000,"ENTRADA")-SUMIFS(D$2:D2000,B$2:B2000,B2000,C$2:C2000,"SALIDA")</f>
        <v>9090.0600000000031</v>
      </c>
    </row>
    <row r="2001" spans="1:5" x14ac:dyDescent="0.3">
      <c r="A2001" s="9">
        <f>'Volúmenes DIstribuidos '!B1275</f>
        <v>44789</v>
      </c>
      <c r="B2001" s="10" t="str">
        <f>IF(OR('Volúmenes DIstribuidos '!C1276="Azúcar",'Volúmenes DIstribuidos '!C1276="azúcar"),"Azúcar o dulce",IF('Volúmenes DIstribuidos '!C1276="Aceite","Aceite o grasas",IF('Volúmenes DIstribuidos '!C1276="Avena","Otros almidones",'Volúmenes DIstribuidos '!C1276)))</f>
        <v>Menestras</v>
      </c>
      <c r="C2001" s="10" t="s">
        <v>29</v>
      </c>
      <c r="D2001" s="12">
        <f>'Volúmenes DIstribuidos '!D1276</f>
        <v>75.650000000000006</v>
      </c>
      <c r="E2001" s="12">
        <f>SUMIF('Parametros Inventario'!$A:$A,B2001,'Parametros Inventario'!$B:$B)+SUMIFS(D$2:D2001,B$2:B2001,B2001,C$2:C2001,"ENTRADA")-SUMIFS(D$2:D2001,B$2:B2001,B2001,C$2:C2001,"SALIDA")</f>
        <v>9231.2990000000009</v>
      </c>
    </row>
    <row r="2002" spans="1:5" x14ac:dyDescent="0.3">
      <c r="A2002" s="9">
        <f>'Volúmenes DIstribuidos '!B1275</f>
        <v>44789</v>
      </c>
      <c r="B2002" s="10" t="str">
        <f>IF(OR('Volúmenes DIstribuidos '!C1277="Azúcar",'Volúmenes DIstribuidos '!C1277="azúcar"),"Azúcar o dulce",IF('Volúmenes DIstribuidos '!C1277="Aceite","Aceite o grasas",IF('Volúmenes DIstribuidos '!C1277="Avena","Otros almidones",'Volúmenes DIstribuidos '!C1277)))</f>
        <v>Azúcar o dulce</v>
      </c>
      <c r="C2002" s="10" t="s">
        <v>29</v>
      </c>
      <c r="D2002" s="12">
        <f>'Volúmenes DIstribuidos '!D1277</f>
        <v>76.271000000000001</v>
      </c>
      <c r="E2002" s="12">
        <f>SUMIF('Parametros Inventario'!$A:$A,B2002,'Parametros Inventario'!$B:$B)+SUMIFS(D$2:D2002,B$2:B2002,B2002,C$2:C2002,"ENTRADA")-SUMIFS(D$2:D2002,B$2:B2002,B2002,C$2:C2002,"SALIDA")</f>
        <v>9396.9770000000026</v>
      </c>
    </row>
    <row r="2003" spans="1:5" x14ac:dyDescent="0.3">
      <c r="A2003" s="9">
        <f>'Volúmenes DIstribuidos '!B1275</f>
        <v>44789</v>
      </c>
      <c r="B2003" s="10" t="str">
        <f>IF(OR('Volúmenes DIstribuidos '!C1278="Azúcar",'Volúmenes DIstribuidos '!C1278="azúcar"),"Azúcar o dulce",IF('Volúmenes DIstribuidos '!C1278="Aceite","Aceite o grasas",IF('Volúmenes DIstribuidos '!C1278="Avena","Otros almidones",'Volúmenes DIstribuidos '!C1278)))</f>
        <v>Menestras</v>
      </c>
      <c r="C2003" s="10" t="s">
        <v>29</v>
      </c>
      <c r="D2003" s="12">
        <f>'Volúmenes DIstribuidos '!D1278</f>
        <v>19.260000000000002</v>
      </c>
      <c r="E2003" s="12">
        <f>SUMIF('Parametros Inventario'!$A:$A,B2003,'Parametros Inventario'!$B:$B)+SUMIFS(D$2:D2003,B$2:B2003,B2003,C$2:C2003,"ENTRADA")-SUMIFS(D$2:D2003,B$2:B2003,B2003,C$2:C2003,"SALIDA")</f>
        <v>9212.0390000000007</v>
      </c>
    </row>
    <row r="2004" spans="1:5" x14ac:dyDescent="0.3">
      <c r="A2004" s="9">
        <f>'Volúmenes DIstribuidos '!B1275</f>
        <v>44789</v>
      </c>
      <c r="B2004" s="10" t="str">
        <f>IF(OR('Volúmenes DIstribuidos '!C1279="Azúcar",'Volúmenes DIstribuidos '!C1279="azúcar"),"Azúcar o dulce",IF('Volúmenes DIstribuidos '!C1279="Aceite","Aceite o grasas",IF('Volúmenes DIstribuidos '!C1279="Avena","Otros almidones",'Volúmenes DIstribuidos '!C1279)))</f>
        <v>Lácteos</v>
      </c>
      <c r="C2004" s="10" t="s">
        <v>29</v>
      </c>
      <c r="D2004" s="12">
        <f>'Volúmenes DIstribuidos '!D1279</f>
        <v>81.77</v>
      </c>
      <c r="E2004" s="12">
        <f>SUMIF('Parametros Inventario'!$A:$A,B2004,'Parametros Inventario'!$B:$B)+SUMIFS(D$2:D2004,B$2:B2004,B2004,C$2:C2004,"ENTRADA")-SUMIFS(D$2:D2004,B$2:B2004,B2004,C$2:C2004,"SALIDA")</f>
        <v>7816.0000000000027</v>
      </c>
    </row>
    <row r="2005" spans="1:5" x14ac:dyDescent="0.3">
      <c r="A2005" s="9">
        <f>'Volúmenes DIstribuidos '!B1275</f>
        <v>44789</v>
      </c>
      <c r="B2005" s="10" t="str">
        <f>IF(OR('Volúmenes DIstribuidos '!C1280="Azúcar",'Volúmenes DIstribuidos '!C1280="azúcar"),"Azúcar o dulce",IF('Volúmenes DIstribuidos '!C1280="Aceite","Aceite o grasas",IF('Volúmenes DIstribuidos '!C1280="Avena","Otros almidones",'Volúmenes DIstribuidos '!C1280)))</f>
        <v>Otros almidones</v>
      </c>
      <c r="C2005" s="10" t="s">
        <v>29</v>
      </c>
      <c r="D2005" s="12">
        <f>'Volúmenes DIstribuidos '!D1280</f>
        <v>18.37</v>
      </c>
      <c r="E2005" s="12">
        <f>SUMIF('Parametros Inventario'!$A:$A,B2005,'Parametros Inventario'!$B:$B)+SUMIFS(D$2:D2005,B$2:B2005,B2005,C$2:C2005,"ENTRADA")-SUMIFS(D$2:D2005,B$2:B2005,B2005,C$2:C2005,"SALIDA")</f>
        <v>9066.5229999999974</v>
      </c>
    </row>
    <row r="2006" spans="1:5" x14ac:dyDescent="0.3">
      <c r="A2006" s="9">
        <f>'Volúmenes DIstribuidos '!B1281</f>
        <v>44792</v>
      </c>
      <c r="B2006" s="10" t="str">
        <f>IF(OR('Volúmenes DIstribuidos '!C1281="Azúcar",'Volúmenes DIstribuidos '!C1281="azúcar"),"Azúcar o dulce",IF('Volúmenes DIstribuidos '!C1281="Aceite","Aceite o grasas",IF('Volúmenes DIstribuidos '!C1281="Avena","Otros almidones",'Volúmenes DIstribuidos '!C1281)))</f>
        <v>Vegetales y hojas</v>
      </c>
      <c r="C2006" s="10" t="s">
        <v>29</v>
      </c>
      <c r="D2006" s="12">
        <f>'Volúmenes DIstribuidos '!D1281</f>
        <v>15.388999999999999</v>
      </c>
      <c r="E2006" s="12">
        <f>SUMIF('Parametros Inventario'!$A:$A,B2006,'Parametros Inventario'!$B:$B)+SUMIFS(D$2:D2006,B$2:B2006,B2006,C$2:C2006,"ENTRADA")-SUMIFS(D$2:D2006,B$2:B2006,B2006,C$2:C2006,"SALIDA")</f>
        <v>10130.725999999997</v>
      </c>
    </row>
    <row r="2007" spans="1:5" x14ac:dyDescent="0.3">
      <c r="A2007" s="9">
        <f>'Volúmenes DIstribuidos '!B1281</f>
        <v>44792</v>
      </c>
      <c r="B2007" s="10" t="str">
        <f>IF(OR('Volúmenes DIstribuidos '!C1282="Azúcar",'Volúmenes DIstribuidos '!C1282="azúcar"),"Azúcar o dulce",IF('Volúmenes DIstribuidos '!C1282="Aceite","Aceite o grasas",IF('Volúmenes DIstribuidos '!C1282="Avena","Otros almidones",'Volúmenes DIstribuidos '!C1282)))</f>
        <v>Panadería</v>
      </c>
      <c r="C2007" s="10" t="s">
        <v>29</v>
      </c>
      <c r="D2007" s="12">
        <f>'Volúmenes DIstribuidos '!D1282</f>
        <v>34.700000000000003</v>
      </c>
      <c r="E2007" s="12">
        <f>SUMIF('Parametros Inventario'!$A:$A,B2007,'Parametros Inventario'!$B:$B)+SUMIFS(D$2:D2007,B$2:B2007,B2007,C$2:C2007,"ENTRADA")-SUMIFS(D$2:D2007,B$2:B2007,B2007,C$2:C2007,"SALIDA")</f>
        <v>6891.8400000000011</v>
      </c>
    </row>
    <row r="2008" spans="1:5" x14ac:dyDescent="0.3">
      <c r="A2008" s="9">
        <f>'Volúmenes DIstribuidos '!B1281</f>
        <v>44792</v>
      </c>
      <c r="B2008" s="10" t="str">
        <f>IF(OR('Volúmenes DIstribuidos '!C1283="Azúcar",'Volúmenes DIstribuidos '!C1283="azúcar"),"Azúcar o dulce",IF('Volúmenes DIstribuidos '!C1283="Aceite","Aceite o grasas",IF('Volúmenes DIstribuidos '!C1283="Avena","Otros almidones",'Volúmenes DIstribuidos '!C1283)))</f>
        <v>Azúcar o dulce</v>
      </c>
      <c r="C2008" s="10" t="s">
        <v>29</v>
      </c>
      <c r="D2008" s="12">
        <f>'Volúmenes DIstribuidos '!D1283</f>
        <v>6.72</v>
      </c>
      <c r="E2008" s="12">
        <f>SUMIF('Parametros Inventario'!$A:$A,B2008,'Parametros Inventario'!$B:$B)+SUMIFS(D$2:D2008,B$2:B2008,B2008,C$2:C2008,"ENTRADA")-SUMIFS(D$2:D2008,B$2:B2008,B2008,C$2:C2008,"SALIDA")</f>
        <v>9390.2570000000014</v>
      </c>
    </row>
    <row r="2009" spans="1:5" x14ac:dyDescent="0.3">
      <c r="A2009" s="9">
        <f>'Volúmenes DIstribuidos '!B1281</f>
        <v>44792</v>
      </c>
      <c r="B2009" s="10" t="str">
        <f>IF(OR('Volúmenes DIstribuidos '!C1284="Azúcar",'Volúmenes DIstribuidos '!C1284="azúcar"),"Azúcar o dulce",IF('Volúmenes DIstribuidos '!C1284="Aceite","Aceite o grasas",IF('Volúmenes DIstribuidos '!C1284="Avena","Otros almidones",'Volúmenes DIstribuidos '!C1284)))</f>
        <v>Aceite o grasas</v>
      </c>
      <c r="C2009" s="10" t="s">
        <v>29</v>
      </c>
      <c r="D2009" s="12">
        <f>'Volúmenes DIstribuidos '!D1284</f>
        <v>5.78</v>
      </c>
      <c r="E2009" s="12">
        <f>SUMIF('Parametros Inventario'!$A:$A,B2009,'Parametros Inventario'!$B:$B)+SUMIFS(D$2:D2009,B$2:B2009,B2009,C$2:C2009,"ENTRADA")-SUMIFS(D$2:D2009,B$2:B2009,B2009,C$2:C2009,"SALIDA")</f>
        <v>8368.482</v>
      </c>
    </row>
    <row r="2010" spans="1:5" x14ac:dyDescent="0.3">
      <c r="A2010" s="9">
        <f>'Volúmenes DIstribuidos '!B1281</f>
        <v>44792</v>
      </c>
      <c r="B2010" s="10" t="str">
        <f>IF(OR('Volúmenes DIstribuidos '!C1285="Azúcar",'Volúmenes DIstribuidos '!C1285="azúcar"),"Azúcar o dulce",IF('Volúmenes DIstribuidos '!C1285="Aceite","Aceite o grasas",IF('Volúmenes DIstribuidos '!C1285="Avena","Otros almidones",'Volúmenes DIstribuidos '!C1285)))</f>
        <v>Carnes blancas</v>
      </c>
      <c r="C2010" s="10" t="s">
        <v>29</v>
      </c>
      <c r="D2010" s="12">
        <f>'Volúmenes DIstribuidos '!D1285</f>
        <v>4.78</v>
      </c>
      <c r="E2010" s="12">
        <f>SUMIF('Parametros Inventario'!$A:$A,B2010,'Parametros Inventario'!$B:$B)+SUMIFS(D$2:D2010,B$2:B2010,B2010,C$2:C2010,"ENTRADA")-SUMIFS(D$2:D2010,B$2:B2010,B2010,C$2:C2010,"SALIDA")</f>
        <v>9818.117000000002</v>
      </c>
    </row>
    <row r="2011" spans="1:5" x14ac:dyDescent="0.3">
      <c r="A2011" s="9">
        <f>'Volúmenes DIstribuidos '!B1281</f>
        <v>44792</v>
      </c>
      <c r="B2011" s="10" t="str">
        <f>IF(OR('Volúmenes DIstribuidos '!C1286="Azúcar",'Volúmenes DIstribuidos '!C1286="azúcar"),"Azúcar o dulce",IF('Volúmenes DIstribuidos '!C1286="Aceite","Aceite o grasas",IF('Volúmenes DIstribuidos '!C1286="Avena","Otros almidones",'Volúmenes DIstribuidos '!C1286)))</f>
        <v>Lácteos</v>
      </c>
      <c r="C2011" s="10" t="s">
        <v>29</v>
      </c>
      <c r="D2011" s="12">
        <f>'Volúmenes DIstribuidos '!D1286</f>
        <v>6.33</v>
      </c>
      <c r="E2011" s="12">
        <f>SUMIF('Parametros Inventario'!$A:$A,B2011,'Parametros Inventario'!$B:$B)+SUMIFS(D$2:D2011,B$2:B2011,B2011,C$2:C2011,"ENTRADA")-SUMIFS(D$2:D2011,B$2:B2011,B2011,C$2:C2011,"SALIDA")</f>
        <v>7809.6700000000028</v>
      </c>
    </row>
    <row r="2012" spans="1:5" x14ac:dyDescent="0.3">
      <c r="A2012" s="9">
        <f>'Volúmenes DIstribuidos '!B1287</f>
        <v>44796</v>
      </c>
      <c r="B2012" s="10" t="str">
        <f>IF(OR('Volúmenes DIstribuidos '!C1287="Azúcar",'Volúmenes DIstribuidos '!C1287="azúcar"),"Azúcar o dulce",IF('Volúmenes DIstribuidos '!C1287="Aceite","Aceite o grasas",IF('Volúmenes DIstribuidos '!C1287="Avena","Otros almidones",'Volúmenes DIstribuidos '!C1287)))</f>
        <v>Vegetales y hojas</v>
      </c>
      <c r="C2012" s="10" t="s">
        <v>29</v>
      </c>
      <c r="D2012" s="12">
        <f>'Volúmenes DIstribuidos '!D1287</f>
        <v>26.779</v>
      </c>
      <c r="E2012" s="12">
        <f>SUMIF('Parametros Inventario'!$A:$A,B2012,'Parametros Inventario'!$B:$B)+SUMIFS(D$2:D2012,B$2:B2012,B2012,C$2:C2012,"ENTRADA")-SUMIFS(D$2:D2012,B$2:B2012,B2012,C$2:C2012,"SALIDA")</f>
        <v>10103.946999999996</v>
      </c>
    </row>
    <row r="2013" spans="1:5" x14ac:dyDescent="0.3">
      <c r="A2013" s="9">
        <f>'Volúmenes DIstribuidos '!B1287</f>
        <v>44796</v>
      </c>
      <c r="B2013" s="10" t="str">
        <f>IF(OR('Volúmenes DIstribuidos '!C1288="Azúcar",'Volúmenes DIstribuidos '!C1288="azúcar"),"Azúcar o dulce",IF('Volúmenes DIstribuidos '!C1288="Aceite","Aceite o grasas",IF('Volúmenes DIstribuidos '!C1288="Avena","Otros almidones",'Volúmenes DIstribuidos '!C1288)))</f>
        <v>Otros almidones</v>
      </c>
      <c r="C2013" s="10" t="s">
        <v>29</v>
      </c>
      <c r="D2013" s="12">
        <f>'Volúmenes DIstribuidos '!D1288</f>
        <v>41.95</v>
      </c>
      <c r="E2013" s="12">
        <f>SUMIF('Parametros Inventario'!$A:$A,B2013,'Parametros Inventario'!$B:$B)+SUMIFS(D$2:D2013,B$2:B2013,B2013,C$2:C2013,"ENTRADA")-SUMIFS(D$2:D2013,B$2:B2013,B2013,C$2:C2013,"SALIDA")</f>
        <v>9024.5729999999967</v>
      </c>
    </row>
    <row r="2014" spans="1:5" x14ac:dyDescent="0.3">
      <c r="A2014" s="9">
        <f>'Volúmenes DIstribuidos '!B1287</f>
        <v>44796</v>
      </c>
      <c r="B2014" s="10" t="str">
        <f>IF(OR('Volúmenes DIstribuidos '!C1289="Azúcar",'Volúmenes DIstribuidos '!C1289="azúcar"),"Azúcar o dulce",IF('Volúmenes DIstribuidos '!C1289="Aceite","Aceite o grasas",IF('Volúmenes DIstribuidos '!C1289="Avena","Otros almidones",'Volúmenes DIstribuidos '!C1289)))</f>
        <v>Carnes rojas</v>
      </c>
      <c r="C2014" s="10" t="s">
        <v>29</v>
      </c>
      <c r="D2014" s="12">
        <f>'Volúmenes DIstribuidos '!D1289</f>
        <v>62.97</v>
      </c>
      <c r="E2014" s="12">
        <f>SUMIF('Parametros Inventario'!$A:$A,B2014,'Parametros Inventario'!$B:$B)+SUMIFS(D$2:D2014,B$2:B2014,B2014,C$2:C2014,"ENTRADA")-SUMIFS(D$2:D2014,B$2:B2014,B2014,C$2:C2014,"SALIDA")</f>
        <v>9027.0900000000038</v>
      </c>
    </row>
    <row r="2015" spans="1:5" x14ac:dyDescent="0.3">
      <c r="A2015" s="9">
        <f>'Volúmenes DIstribuidos '!B1287</f>
        <v>44796</v>
      </c>
      <c r="B2015" s="10" t="str">
        <f>IF(OR('Volúmenes DIstribuidos '!C1290="Azúcar",'Volúmenes DIstribuidos '!C1290="azúcar"),"Azúcar o dulce",IF('Volúmenes DIstribuidos '!C1290="Aceite","Aceite o grasas",IF('Volúmenes DIstribuidos '!C1290="Avena","Otros almidones",'Volúmenes DIstribuidos '!C1290)))</f>
        <v>Panadería</v>
      </c>
      <c r="C2015" s="10" t="s">
        <v>29</v>
      </c>
      <c r="D2015" s="12">
        <f>'Volúmenes DIstribuidos '!D1290</f>
        <v>30.96</v>
      </c>
      <c r="E2015" s="12">
        <f>SUMIF('Parametros Inventario'!$A:$A,B2015,'Parametros Inventario'!$B:$B)+SUMIFS(D$2:D2015,B$2:B2015,B2015,C$2:C2015,"ENTRADA")-SUMIFS(D$2:D2015,B$2:B2015,B2015,C$2:C2015,"SALIDA")</f>
        <v>6860.880000000001</v>
      </c>
    </row>
    <row r="2016" spans="1:5" x14ac:dyDescent="0.3">
      <c r="A2016" s="9">
        <f>'Volúmenes DIstribuidos '!B1287</f>
        <v>44796</v>
      </c>
      <c r="B2016" s="10" t="str">
        <f>IF(OR('Volúmenes DIstribuidos '!C1291="Azúcar",'Volúmenes DIstribuidos '!C1291="azúcar"),"Azúcar o dulce",IF('Volúmenes DIstribuidos '!C1291="Aceite","Aceite o grasas",IF('Volúmenes DIstribuidos '!C1291="Avena","Otros almidones",'Volúmenes DIstribuidos '!C1291)))</f>
        <v>Lácteos</v>
      </c>
      <c r="C2016" s="10" t="s">
        <v>29</v>
      </c>
      <c r="D2016" s="12">
        <f>'Volúmenes DIstribuidos '!D1291</f>
        <v>21.22</v>
      </c>
      <c r="E2016" s="12">
        <f>SUMIF('Parametros Inventario'!$A:$A,B2016,'Parametros Inventario'!$B:$B)+SUMIFS(D$2:D2016,B$2:B2016,B2016,C$2:C2016,"ENTRADA")-SUMIFS(D$2:D2016,B$2:B2016,B2016,C$2:C2016,"SALIDA")</f>
        <v>7788.4500000000025</v>
      </c>
    </row>
    <row r="2017" spans="1:5" x14ac:dyDescent="0.3">
      <c r="A2017" s="9">
        <f>'Volúmenes DIstribuidos '!B1287</f>
        <v>44796</v>
      </c>
      <c r="B2017" s="10" t="str">
        <f>IF(OR('Volúmenes DIstribuidos '!C1292="Azúcar",'Volúmenes DIstribuidos '!C1292="azúcar"),"Azúcar o dulce",IF('Volúmenes DIstribuidos '!C1292="Aceite","Aceite o grasas",IF('Volúmenes DIstribuidos '!C1292="Avena","Otros almidones",'Volúmenes DIstribuidos '!C1292)))</f>
        <v>Salsas</v>
      </c>
      <c r="C2017" s="10" t="s">
        <v>29</v>
      </c>
      <c r="D2017" s="12">
        <f>'Volúmenes DIstribuidos '!D1292</f>
        <v>25.353999999999999</v>
      </c>
      <c r="E2017" s="12">
        <f>SUMIF('Parametros Inventario'!$A:$A,B2017,'Parametros Inventario'!$B:$B)+SUMIFS(D$2:D2017,B$2:B2017,B2017,C$2:C2017,"ENTRADA")-SUMIFS(D$2:D2017,B$2:B2017,B2017,C$2:C2017,"SALIDA")</f>
        <v>8942.5699999999961</v>
      </c>
    </row>
    <row r="2018" spans="1:5" x14ac:dyDescent="0.3">
      <c r="A2018" s="9">
        <v>44799</v>
      </c>
      <c r="B2018" s="10" t="s">
        <v>13</v>
      </c>
      <c r="C2018" s="10" t="s">
        <v>28</v>
      </c>
      <c r="D2018" s="12">
        <v>273.17</v>
      </c>
      <c r="E2018" s="12">
        <f>SUMIF('Parametros Inventario'!$A:$A,B2018,'Parametros Inventario'!$B:$B)+SUMIFS(D$2:D2018,B$2:B2018,B2018,C$2:C2018,"ENTRADA")-SUMIFS(D$2:D2018,B$2:B2018,B2018,C$2:C2018,"SALIDA")</f>
        <v>9663.4270000000015</v>
      </c>
    </row>
    <row r="2019" spans="1:5" x14ac:dyDescent="0.3">
      <c r="A2019" s="9">
        <v>44799</v>
      </c>
      <c r="B2019" s="10" t="s">
        <v>15</v>
      </c>
      <c r="C2019" s="10" t="s">
        <v>28</v>
      </c>
      <c r="D2019" s="12">
        <v>183.07</v>
      </c>
      <c r="E2019" s="12">
        <f>SUMIF('Parametros Inventario'!$A:$A,B2019,'Parametros Inventario'!$B:$B)+SUMIFS(D$2:D2019,B$2:B2019,B2019,C$2:C2019,"ENTRADA")-SUMIFS(D$2:D2019,B$2:B2019,B2019,C$2:C2019,"SALIDA")</f>
        <v>9207.6429999999964</v>
      </c>
    </row>
    <row r="2020" spans="1:5" x14ac:dyDescent="0.3">
      <c r="A2020" s="9">
        <v>44799</v>
      </c>
      <c r="B2020" s="10" t="s">
        <v>11</v>
      </c>
      <c r="C2020" s="10" t="s">
        <v>28</v>
      </c>
      <c r="D2020" s="12">
        <v>160.51</v>
      </c>
      <c r="E2020" s="12">
        <f>SUMIF('Parametros Inventario'!$A:$A,B2020,'Parametros Inventario'!$B:$B)+SUMIFS(D$2:D2020,B$2:B2020,B2020,C$2:C2020,"ENTRADA")-SUMIFS(D$2:D2020,B$2:B2020,B2020,C$2:C2020,"SALIDA")</f>
        <v>10062.671000000002</v>
      </c>
    </row>
    <row r="2021" spans="1:5" x14ac:dyDescent="0.3">
      <c r="A2021" s="9">
        <v>44799</v>
      </c>
      <c r="B2021" s="10" t="s">
        <v>9</v>
      </c>
      <c r="C2021" s="10" t="s">
        <v>28</v>
      </c>
      <c r="D2021" s="12">
        <v>61.94</v>
      </c>
      <c r="E2021" s="12">
        <f>SUMIF('Parametros Inventario'!$A:$A,B2021,'Parametros Inventario'!$B:$B)+SUMIFS(D$2:D2021,B$2:B2021,B2021,C$2:C2021,"ENTRADA")-SUMIFS(D$2:D2021,B$2:B2021,B2021,C$2:C2021,"SALIDA")</f>
        <v>6922.8200000000015</v>
      </c>
    </row>
    <row r="2022" spans="1:5" x14ac:dyDescent="0.3">
      <c r="A2022" s="9">
        <v>44799</v>
      </c>
      <c r="B2022" s="10" t="s">
        <v>14</v>
      </c>
      <c r="C2022" s="10" t="s">
        <v>28</v>
      </c>
      <c r="D2022" s="12">
        <v>208.7</v>
      </c>
      <c r="E2022" s="12">
        <f>SUMIF('Parametros Inventario'!$A:$A,B2022,'Parametros Inventario'!$B:$B)+SUMIFS(D$2:D2022,B$2:B2022,B2022,C$2:C2022,"ENTRADA")-SUMIFS(D$2:D2022,B$2:B2022,B2022,C$2:C2022,"SALIDA")</f>
        <v>9420.7390000000014</v>
      </c>
    </row>
    <row r="2023" spans="1:5" x14ac:dyDescent="0.3">
      <c r="A2023" s="9">
        <v>44799</v>
      </c>
      <c r="B2023" s="10" t="s">
        <v>12</v>
      </c>
      <c r="C2023" s="10" t="s">
        <v>28</v>
      </c>
      <c r="D2023" s="12">
        <v>180.72</v>
      </c>
      <c r="E2023" s="12">
        <f>SUMIF('Parametros Inventario'!$A:$A,B2023,'Parametros Inventario'!$B:$B)+SUMIFS(D$2:D2023,B$2:B2023,B2023,C$2:C2023,"ENTRADA")-SUMIFS(D$2:D2023,B$2:B2023,B2023,C$2:C2023,"SALIDA")</f>
        <v>9207.8100000000031</v>
      </c>
    </row>
    <row r="2024" spans="1:5" x14ac:dyDescent="0.3">
      <c r="A2024" s="9">
        <v>44799</v>
      </c>
      <c r="B2024" s="10" t="s">
        <v>16</v>
      </c>
      <c r="C2024" s="10" t="s">
        <v>28</v>
      </c>
      <c r="D2024" s="12">
        <v>215.63</v>
      </c>
      <c r="E2024" s="12">
        <f>SUMIF('Parametros Inventario'!$A:$A,B2024,'Parametros Inventario'!$B:$B)+SUMIFS(D$2:D2024,B$2:B2024,B2024,C$2:C2024,"ENTRADA")-SUMIFS(D$2:D2024,B$2:B2024,B2024,C$2:C2024,"SALIDA")</f>
        <v>10033.747000000003</v>
      </c>
    </row>
    <row r="2025" spans="1:5" x14ac:dyDescent="0.3">
      <c r="A2025" s="9">
        <v>44799</v>
      </c>
      <c r="B2025" s="10" t="s">
        <v>17</v>
      </c>
      <c r="C2025" s="10" t="s">
        <v>28</v>
      </c>
      <c r="D2025" s="12">
        <v>215.01</v>
      </c>
      <c r="E2025" s="12">
        <f>SUMIF('Parametros Inventario'!$A:$A,B2025,'Parametros Inventario'!$B:$B)+SUMIFS(D$2:D2025,B$2:B2025,B2025,C$2:C2025,"ENTRADA")-SUMIFS(D$2:D2025,B$2:B2025,B2025,C$2:C2025,"SALIDA")</f>
        <v>8003.4600000000028</v>
      </c>
    </row>
    <row r="2026" spans="1:5" x14ac:dyDescent="0.3">
      <c r="A2026" s="9">
        <v>44799</v>
      </c>
      <c r="B2026" s="10" t="s">
        <v>18</v>
      </c>
      <c r="C2026" s="10" t="s">
        <v>28</v>
      </c>
      <c r="D2026" s="12">
        <v>75.7</v>
      </c>
      <c r="E2026" s="12">
        <f>SUMIF('Parametros Inventario'!$A:$A,B2026,'Parametros Inventario'!$B:$B)+SUMIFS(D$2:D2026,B$2:B2026,B2026,C$2:C2026,"ENTRADA")-SUMIFS(D$2:D2026,B$2:B2026,B2026,C$2:C2026,"SALIDA")</f>
        <v>9018.2699999999968</v>
      </c>
    </row>
    <row r="2027" spans="1:5" x14ac:dyDescent="0.3">
      <c r="A2027" s="9">
        <v>44799</v>
      </c>
      <c r="B2027" s="10" t="s">
        <v>10</v>
      </c>
      <c r="C2027" s="10" t="s">
        <v>28</v>
      </c>
      <c r="D2027" s="12">
        <v>222.59</v>
      </c>
      <c r="E2027" s="12">
        <f>SUMIF('Parametros Inventario'!$A:$A,B2027,'Parametros Inventario'!$B:$B)+SUMIFS(D$2:D2027,B$2:B2027,B2027,C$2:C2027,"ENTRADA")-SUMIFS(D$2:D2027,B$2:B2027,B2027,C$2:C2027,"SALIDA")</f>
        <v>10326.536999999997</v>
      </c>
    </row>
    <row r="2028" spans="1:5" x14ac:dyDescent="0.3">
      <c r="A2028" s="9">
        <v>44799</v>
      </c>
      <c r="B2028" s="10" t="s">
        <v>8</v>
      </c>
      <c r="C2028" s="10" t="s">
        <v>28</v>
      </c>
      <c r="D2028" s="12">
        <v>161</v>
      </c>
      <c r="E2028" s="12">
        <f>SUMIF('Parametros Inventario'!$A:$A,B2028,'Parametros Inventario'!$B:$B)+SUMIFS(D$2:D2028,B$2:B2028,B2028,C$2:C2028,"ENTRADA")-SUMIFS(D$2:D2028,B$2:B2028,B2028,C$2:C2028,"SALIDA")</f>
        <v>8529.482</v>
      </c>
    </row>
    <row r="2029" spans="1:5" x14ac:dyDescent="0.3">
      <c r="A2029" s="9">
        <f>'Volúmenes DIstribuidos '!B1293</f>
        <v>44799</v>
      </c>
      <c r="B2029" s="10" t="str">
        <f>IF(OR('Volúmenes DIstribuidos '!C1293="Azúcar",'Volúmenes DIstribuidos '!C1293="azúcar"),"Azúcar o dulce",IF('Volúmenes DIstribuidos '!C1293="Aceite","Aceite o grasas",IF('Volúmenes DIstribuidos '!C1293="Avena","Otros almidones",'Volúmenes DIstribuidos '!C1293)))</f>
        <v>Otros almidones</v>
      </c>
      <c r="C2029" s="10" t="s">
        <v>29</v>
      </c>
      <c r="D2029" s="12">
        <f>'Volúmenes DIstribuidos '!D1293</f>
        <v>9.66</v>
      </c>
      <c r="E2029" s="12">
        <f>SUMIF('Parametros Inventario'!$A:$A,B2029,'Parametros Inventario'!$B:$B)+SUMIFS(D$2:D2029,B$2:B2029,B2029,C$2:C2029,"ENTRADA")-SUMIFS(D$2:D2029,B$2:B2029,B2029,C$2:C2029,"SALIDA")</f>
        <v>9197.9829999999965</v>
      </c>
    </row>
    <row r="2030" spans="1:5" x14ac:dyDescent="0.3">
      <c r="A2030" s="9">
        <f>'Volúmenes DIstribuidos '!B1293</f>
        <v>44799</v>
      </c>
      <c r="B2030" s="10" t="str">
        <f>IF(OR('Volúmenes DIstribuidos '!C1294="Azúcar",'Volúmenes DIstribuidos '!C1294="azúcar"),"Azúcar o dulce",IF('Volúmenes DIstribuidos '!C1294="Aceite","Aceite o grasas",IF('Volúmenes DIstribuidos '!C1294="Avena","Otros almidones",'Volúmenes DIstribuidos '!C1294)))</f>
        <v>Aceite o grasas</v>
      </c>
      <c r="C2030" s="10" t="s">
        <v>29</v>
      </c>
      <c r="D2030" s="12">
        <f>'Volúmenes DIstribuidos '!D1294</f>
        <v>27.23</v>
      </c>
      <c r="E2030" s="12">
        <f>SUMIF('Parametros Inventario'!$A:$A,B2030,'Parametros Inventario'!$B:$B)+SUMIFS(D$2:D2030,B$2:B2030,B2030,C$2:C2030,"ENTRADA")-SUMIFS(D$2:D2030,B$2:B2030,B2030,C$2:C2030,"SALIDA")</f>
        <v>8502.2520000000004</v>
      </c>
    </row>
    <row r="2031" spans="1:5" x14ac:dyDescent="0.3">
      <c r="A2031" s="9">
        <f>'Volúmenes DIstribuidos '!B1293</f>
        <v>44799</v>
      </c>
      <c r="B2031" s="10" t="str">
        <f>IF(OR('Volúmenes DIstribuidos '!C1295="Azúcar",'Volúmenes DIstribuidos '!C1295="azúcar"),"Azúcar o dulce",IF('Volúmenes DIstribuidos '!C1295="Aceite","Aceite o grasas",IF('Volúmenes DIstribuidos '!C1295="Avena","Otros almidones",'Volúmenes DIstribuidos '!C1295)))</f>
        <v>Panadería</v>
      </c>
      <c r="C2031" s="10" t="s">
        <v>29</v>
      </c>
      <c r="D2031" s="12">
        <f>'Volúmenes DIstribuidos '!D1295</f>
        <v>9.9830000000000005</v>
      </c>
      <c r="E2031" s="12">
        <f>SUMIF('Parametros Inventario'!$A:$A,B2031,'Parametros Inventario'!$B:$B)+SUMIFS(D$2:D2031,B$2:B2031,B2031,C$2:C2031,"ENTRADA")-SUMIFS(D$2:D2031,B$2:B2031,B2031,C$2:C2031,"SALIDA")</f>
        <v>6912.8370000000014</v>
      </c>
    </row>
    <row r="2032" spans="1:5" x14ac:dyDescent="0.3">
      <c r="A2032" s="9">
        <f>'Volúmenes DIstribuidos '!B1293</f>
        <v>44799</v>
      </c>
      <c r="B2032" s="10" t="str">
        <f>IF(OR('Volúmenes DIstribuidos '!C1296="Azúcar",'Volúmenes DIstribuidos '!C1296="azúcar"),"Azúcar o dulce",IF('Volúmenes DIstribuidos '!C1296="Aceite","Aceite o grasas",IF('Volúmenes DIstribuidos '!C1296="Avena","Otros almidones",'Volúmenes DIstribuidos '!C1296)))</f>
        <v>Aceite o grasas</v>
      </c>
      <c r="C2032" s="10" t="s">
        <v>29</v>
      </c>
      <c r="D2032" s="12">
        <f>'Volúmenes DIstribuidos '!D1296</f>
        <v>3.9</v>
      </c>
      <c r="E2032" s="12">
        <f>SUMIF('Parametros Inventario'!$A:$A,B2032,'Parametros Inventario'!$B:$B)+SUMIFS(D$2:D2032,B$2:B2032,B2032,C$2:C2032,"ENTRADA")-SUMIFS(D$2:D2032,B$2:B2032,B2032,C$2:C2032,"SALIDA")</f>
        <v>8498.3520000000026</v>
      </c>
    </row>
    <row r="2033" spans="1:5" x14ac:dyDescent="0.3">
      <c r="A2033" s="9">
        <f>'Volúmenes DIstribuidos '!B1293</f>
        <v>44799</v>
      </c>
      <c r="B2033" s="10" t="str">
        <f>IF(OR('Volúmenes DIstribuidos '!C1297="Azúcar",'Volúmenes DIstribuidos '!C1297="azúcar"),"Azúcar o dulce",IF('Volúmenes DIstribuidos '!C1297="Aceite","Aceite o grasas",IF('Volúmenes DIstribuidos '!C1297="Avena","Otros almidones",'Volúmenes DIstribuidos '!C1297)))</f>
        <v>Vegetales y hojas</v>
      </c>
      <c r="C2033" s="10" t="s">
        <v>29</v>
      </c>
      <c r="D2033" s="12">
        <f>'Volúmenes DIstribuidos '!D1297</f>
        <v>5.35</v>
      </c>
      <c r="E2033" s="12">
        <f>SUMIF('Parametros Inventario'!$A:$A,B2033,'Parametros Inventario'!$B:$B)+SUMIFS(D$2:D2033,B$2:B2033,B2033,C$2:C2033,"ENTRADA")-SUMIFS(D$2:D2033,B$2:B2033,B2033,C$2:C2033,"SALIDA")</f>
        <v>10321.186999999998</v>
      </c>
    </row>
    <row r="2034" spans="1:5" x14ac:dyDescent="0.3">
      <c r="A2034" s="9">
        <f>'Volúmenes DIstribuidos '!B1293</f>
        <v>44799</v>
      </c>
      <c r="B2034" s="10" t="str">
        <f>IF(OR('Volúmenes DIstribuidos '!C1298="Azúcar",'Volúmenes DIstribuidos '!C1298="azúcar"),"Azúcar o dulce",IF('Volúmenes DIstribuidos '!C1298="Aceite","Aceite o grasas",IF('Volúmenes DIstribuidos '!C1298="Avena","Otros almidones",'Volúmenes DIstribuidos '!C1298)))</f>
        <v>Lácteos</v>
      </c>
      <c r="C2034" s="10" t="s">
        <v>29</v>
      </c>
      <c r="D2034" s="12">
        <f>'Volúmenes DIstribuidos '!D1298</f>
        <v>19.600000000000001</v>
      </c>
      <c r="E2034" s="12">
        <f>SUMIF('Parametros Inventario'!$A:$A,B2034,'Parametros Inventario'!$B:$B)+SUMIFS(D$2:D2034,B$2:B2034,B2034,C$2:C2034,"ENTRADA")-SUMIFS(D$2:D2034,B$2:B2034,B2034,C$2:C2034,"SALIDA")</f>
        <v>7983.8600000000024</v>
      </c>
    </row>
    <row r="2035" spans="1:5" x14ac:dyDescent="0.3">
      <c r="A2035" s="9">
        <f>'Volúmenes DIstribuidos '!B1299</f>
        <v>44803</v>
      </c>
      <c r="B2035" s="10" t="str">
        <f>IF(OR('Volúmenes DIstribuidos '!C1299="Azúcar",'Volúmenes DIstribuidos '!C1299="azúcar"),"Azúcar o dulce",IF('Volúmenes DIstribuidos '!C1299="Aceite","Aceite o grasas",IF('Volúmenes DIstribuidos '!C1299="Avena","Otros almidones",'Volúmenes DIstribuidos '!C1299)))</f>
        <v>Panadería</v>
      </c>
      <c r="C2035" s="10" t="s">
        <v>29</v>
      </c>
      <c r="D2035" s="12">
        <f>'Volúmenes DIstribuidos '!D1299</f>
        <v>18.79</v>
      </c>
      <c r="E2035" s="12">
        <f>SUMIF('Parametros Inventario'!$A:$A,B2035,'Parametros Inventario'!$B:$B)+SUMIFS(D$2:D2035,B$2:B2035,B2035,C$2:C2035,"ENTRADA")-SUMIFS(D$2:D2035,B$2:B2035,B2035,C$2:C2035,"SALIDA")</f>
        <v>6894.0470000000014</v>
      </c>
    </row>
    <row r="2036" spans="1:5" x14ac:dyDescent="0.3">
      <c r="A2036" s="9">
        <f>'Volúmenes DIstribuidos '!B1299</f>
        <v>44803</v>
      </c>
      <c r="B2036" s="10" t="str">
        <f>IF(OR('Volúmenes DIstribuidos '!C1300="Azúcar",'Volúmenes DIstribuidos '!C1300="azúcar"),"Azúcar o dulce",IF('Volúmenes DIstribuidos '!C1300="Aceite","Aceite o grasas",IF('Volúmenes DIstribuidos '!C1300="Avena","Otros almidones",'Volúmenes DIstribuidos '!C1300)))</f>
        <v>Azúcar o dulce</v>
      </c>
      <c r="C2036" s="10" t="s">
        <v>29</v>
      </c>
      <c r="D2036" s="12">
        <f>'Volúmenes DIstribuidos '!D1300</f>
        <v>9.8000000000000007</v>
      </c>
      <c r="E2036" s="12">
        <f>SUMIF('Parametros Inventario'!$A:$A,B2036,'Parametros Inventario'!$B:$B)+SUMIFS(D$2:D2036,B$2:B2036,B2036,C$2:C2036,"ENTRADA")-SUMIFS(D$2:D2036,B$2:B2036,B2036,C$2:C2036,"SALIDA")</f>
        <v>9653.6270000000004</v>
      </c>
    </row>
    <row r="2037" spans="1:5" x14ac:dyDescent="0.3">
      <c r="A2037" s="9">
        <f>'Volúmenes DIstribuidos '!B1299</f>
        <v>44803</v>
      </c>
      <c r="B2037" s="10" t="str">
        <f>IF(OR('Volúmenes DIstribuidos '!C1301="Azúcar",'Volúmenes DIstribuidos '!C1301="azúcar"),"Azúcar o dulce",IF('Volúmenes DIstribuidos '!C1301="Aceite","Aceite o grasas",IF('Volúmenes DIstribuidos '!C1301="Avena","Otros almidones",'Volúmenes DIstribuidos '!C1301)))</f>
        <v>Carnes blancas</v>
      </c>
      <c r="C2037" s="10" t="s">
        <v>29</v>
      </c>
      <c r="D2037" s="12">
        <f>'Volúmenes DIstribuidos '!D1301</f>
        <v>19.911000000000001</v>
      </c>
      <c r="E2037" s="12">
        <f>SUMIF('Parametros Inventario'!$A:$A,B2037,'Parametros Inventario'!$B:$B)+SUMIFS(D$2:D2037,B$2:B2037,B2037,C$2:C2037,"ENTRADA")-SUMIFS(D$2:D2037,B$2:B2037,B2037,C$2:C2037,"SALIDA")</f>
        <v>10013.836000000003</v>
      </c>
    </row>
    <row r="2038" spans="1:5" x14ac:dyDescent="0.3">
      <c r="A2038" s="9">
        <f>'Volúmenes DIstribuidos '!B1299</f>
        <v>44803</v>
      </c>
      <c r="B2038" s="10" t="str">
        <f>IF(OR('Volúmenes DIstribuidos '!C1302="Azúcar",'Volúmenes DIstribuidos '!C1302="azúcar"),"Azúcar o dulce",IF('Volúmenes DIstribuidos '!C1302="Aceite","Aceite o grasas",IF('Volúmenes DIstribuidos '!C1302="Avena","Otros almidones",'Volúmenes DIstribuidos '!C1302)))</f>
        <v>Fideo</v>
      </c>
      <c r="C2038" s="10" t="s">
        <v>29</v>
      </c>
      <c r="D2038" s="12">
        <f>'Volúmenes DIstribuidos '!D1302</f>
        <v>14.01</v>
      </c>
      <c r="E2038" s="12">
        <f>SUMIF('Parametros Inventario'!$A:$A,B2038,'Parametros Inventario'!$B:$B)+SUMIFS(D$2:D2038,B$2:B2038,B2038,C$2:C2038,"ENTRADA")-SUMIFS(D$2:D2038,B$2:B2038,B2038,C$2:C2038,"SALIDA")</f>
        <v>10048.661</v>
      </c>
    </row>
    <row r="2039" spans="1:5" x14ac:dyDescent="0.3">
      <c r="A2039" s="9">
        <f>'Volúmenes DIstribuidos '!B1299</f>
        <v>44803</v>
      </c>
      <c r="B2039" s="10" t="str">
        <f>IF(OR('Volúmenes DIstribuidos '!C1303="Azúcar",'Volúmenes DIstribuidos '!C1303="azúcar"),"Azúcar o dulce",IF('Volúmenes DIstribuidos '!C1303="Aceite","Aceite o grasas",IF('Volúmenes DIstribuidos '!C1303="Avena","Otros almidones",'Volúmenes DIstribuidos '!C1303)))</f>
        <v>Menestras</v>
      </c>
      <c r="C2039" s="10" t="s">
        <v>29</v>
      </c>
      <c r="D2039" s="12">
        <f>'Volúmenes DIstribuidos '!D1303</f>
        <v>9.7100000000000009</v>
      </c>
      <c r="E2039" s="12">
        <f>SUMIF('Parametros Inventario'!$A:$A,B2039,'Parametros Inventario'!$B:$B)+SUMIFS(D$2:D2039,B$2:B2039,B2039,C$2:C2039,"ENTRADA")-SUMIFS(D$2:D2039,B$2:B2039,B2039,C$2:C2039,"SALIDA")</f>
        <v>9411.0290000000023</v>
      </c>
    </row>
    <row r="2040" spans="1:5" x14ac:dyDescent="0.3">
      <c r="A2040" s="9">
        <f>'Volúmenes DIstribuidos '!B1299</f>
        <v>44803</v>
      </c>
      <c r="B2040" s="10" t="str">
        <f>IF(OR('Volúmenes DIstribuidos '!C1304="Azúcar",'Volúmenes DIstribuidos '!C1304="azúcar"),"Azúcar o dulce",IF('Volúmenes DIstribuidos '!C1304="Aceite","Aceite o grasas",IF('Volúmenes DIstribuidos '!C1304="Avena","Otros almidones",'Volúmenes DIstribuidos '!C1304)))</f>
        <v>Vegetales y hojas</v>
      </c>
      <c r="C2040" s="10" t="s">
        <v>29</v>
      </c>
      <c r="D2040" s="12">
        <f>'Volúmenes DIstribuidos '!D1304</f>
        <v>46.716999999999999</v>
      </c>
      <c r="E2040" s="12">
        <f>SUMIF('Parametros Inventario'!$A:$A,B2040,'Parametros Inventario'!$B:$B)+SUMIFS(D$2:D2040,B$2:B2040,B2040,C$2:C2040,"ENTRADA")-SUMIFS(D$2:D2040,B$2:B2040,B2040,C$2:C2040,"SALIDA")</f>
        <v>10274.469999999998</v>
      </c>
    </row>
    <row r="2041" spans="1:5" x14ac:dyDescent="0.3">
      <c r="A2041" s="9">
        <v>44806</v>
      </c>
      <c r="B2041" s="10" t="s">
        <v>13</v>
      </c>
      <c r="C2041" s="10" t="s">
        <v>28</v>
      </c>
      <c r="D2041" s="12">
        <v>199.55</v>
      </c>
      <c r="E2041" s="12">
        <f>SUMIF('Parametros Inventario'!$A:$A,B2041,'Parametros Inventario'!$B:$B)+SUMIFS(D$2:D2041,B$2:B2041,B2041,C$2:C2041,"ENTRADA")-SUMIFS(D$2:D2041,B$2:B2041,B2041,C$2:C2041,"SALIDA")</f>
        <v>9853.1769999999997</v>
      </c>
    </row>
    <row r="2042" spans="1:5" x14ac:dyDescent="0.3">
      <c r="A2042" s="9">
        <v>44806</v>
      </c>
      <c r="B2042" s="10" t="s">
        <v>15</v>
      </c>
      <c r="C2042" s="10" t="s">
        <v>28</v>
      </c>
      <c r="D2042" s="12">
        <v>62.17</v>
      </c>
      <c r="E2042" s="12">
        <f>SUMIF('Parametros Inventario'!$A:$A,B2042,'Parametros Inventario'!$B:$B)+SUMIFS(D$2:D2042,B$2:B2042,B2042,C$2:C2042,"ENTRADA")-SUMIFS(D$2:D2042,B$2:B2042,B2042,C$2:C2042,"SALIDA")</f>
        <v>9260.1529999999984</v>
      </c>
    </row>
    <row r="2043" spans="1:5" x14ac:dyDescent="0.3">
      <c r="A2043" s="9">
        <v>44806</v>
      </c>
      <c r="B2043" s="10" t="s">
        <v>11</v>
      </c>
      <c r="C2043" s="10" t="s">
        <v>28</v>
      </c>
      <c r="D2043" s="12">
        <v>144.35</v>
      </c>
      <c r="E2043" s="12">
        <f>SUMIF('Parametros Inventario'!$A:$A,B2043,'Parametros Inventario'!$B:$B)+SUMIFS(D$2:D2043,B$2:B2043,B2043,C$2:C2043,"ENTRADA")-SUMIFS(D$2:D2043,B$2:B2043,B2043,C$2:C2043,"SALIDA")</f>
        <v>10193.011000000002</v>
      </c>
    </row>
    <row r="2044" spans="1:5" x14ac:dyDescent="0.3">
      <c r="A2044" s="9">
        <v>44806</v>
      </c>
      <c r="B2044" s="10" t="s">
        <v>9</v>
      </c>
      <c r="C2044" s="10" t="s">
        <v>28</v>
      </c>
      <c r="D2044" s="12">
        <v>100.43</v>
      </c>
      <c r="E2044" s="12">
        <f>SUMIF('Parametros Inventario'!$A:$A,B2044,'Parametros Inventario'!$B:$B)+SUMIFS(D$2:D2044,B$2:B2044,B2044,C$2:C2044,"ENTRADA")-SUMIFS(D$2:D2044,B$2:B2044,B2044,C$2:C2044,"SALIDA")</f>
        <v>6994.4770000000017</v>
      </c>
    </row>
    <row r="2045" spans="1:5" x14ac:dyDescent="0.3">
      <c r="A2045" s="9">
        <v>44806</v>
      </c>
      <c r="B2045" s="10" t="s">
        <v>14</v>
      </c>
      <c r="C2045" s="10" t="s">
        <v>28</v>
      </c>
      <c r="D2045" s="12">
        <v>112.42</v>
      </c>
      <c r="E2045" s="12">
        <f>SUMIF('Parametros Inventario'!$A:$A,B2045,'Parametros Inventario'!$B:$B)+SUMIFS(D$2:D2045,B$2:B2045,B2045,C$2:C2045,"ENTRADA")-SUMIFS(D$2:D2045,B$2:B2045,B2045,C$2:C2045,"SALIDA")</f>
        <v>9523.4490000000023</v>
      </c>
    </row>
    <row r="2046" spans="1:5" x14ac:dyDescent="0.3">
      <c r="A2046" s="9">
        <v>44806</v>
      </c>
      <c r="B2046" s="10" t="s">
        <v>12</v>
      </c>
      <c r="C2046" s="10" t="s">
        <v>28</v>
      </c>
      <c r="D2046" s="12">
        <v>277.19</v>
      </c>
      <c r="E2046" s="12">
        <f>SUMIF('Parametros Inventario'!$A:$A,B2046,'Parametros Inventario'!$B:$B)+SUMIFS(D$2:D2046,B$2:B2046,B2046,C$2:C2046,"ENTRADA")-SUMIFS(D$2:D2046,B$2:B2046,B2046,C$2:C2046,"SALIDA")</f>
        <v>9485.0000000000036</v>
      </c>
    </row>
    <row r="2047" spans="1:5" x14ac:dyDescent="0.3">
      <c r="A2047" s="9">
        <v>44806</v>
      </c>
      <c r="B2047" s="10" t="s">
        <v>16</v>
      </c>
      <c r="C2047" s="10" t="s">
        <v>28</v>
      </c>
      <c r="D2047" s="12">
        <v>100</v>
      </c>
      <c r="E2047" s="12">
        <f>SUMIF('Parametros Inventario'!$A:$A,B2047,'Parametros Inventario'!$B:$B)+SUMIFS(D$2:D2047,B$2:B2047,B2047,C$2:C2047,"ENTRADA")-SUMIFS(D$2:D2047,B$2:B2047,B2047,C$2:C2047,"SALIDA")</f>
        <v>10113.836000000003</v>
      </c>
    </row>
    <row r="2048" spans="1:5" x14ac:dyDescent="0.3">
      <c r="A2048" s="9">
        <v>44806</v>
      </c>
      <c r="B2048" s="10" t="s">
        <v>17</v>
      </c>
      <c r="C2048" s="10" t="s">
        <v>28</v>
      </c>
      <c r="D2048" s="12">
        <v>54.01</v>
      </c>
      <c r="E2048" s="12">
        <f>SUMIF('Parametros Inventario'!$A:$A,B2048,'Parametros Inventario'!$B:$B)+SUMIFS(D$2:D2048,B$2:B2048,B2048,C$2:C2048,"ENTRADA")-SUMIFS(D$2:D2048,B$2:B2048,B2048,C$2:C2048,"SALIDA")</f>
        <v>8037.8700000000026</v>
      </c>
    </row>
    <row r="2049" spans="1:5" x14ac:dyDescent="0.3">
      <c r="A2049" s="9">
        <v>44806</v>
      </c>
      <c r="B2049" s="10" t="s">
        <v>18</v>
      </c>
      <c r="C2049" s="10" t="s">
        <v>28</v>
      </c>
      <c r="D2049" s="12">
        <v>56.99</v>
      </c>
      <c r="E2049" s="12">
        <f>SUMIF('Parametros Inventario'!$A:$A,B2049,'Parametros Inventario'!$B:$B)+SUMIFS(D$2:D2049,B$2:B2049,B2049,C$2:C2049,"ENTRADA")-SUMIFS(D$2:D2049,B$2:B2049,B2049,C$2:C2049,"SALIDA")</f>
        <v>9075.2599999999966</v>
      </c>
    </row>
    <row r="2050" spans="1:5" x14ac:dyDescent="0.3">
      <c r="A2050" s="9">
        <v>44806</v>
      </c>
      <c r="B2050" s="10" t="s">
        <v>10</v>
      </c>
      <c r="C2050" s="10" t="s">
        <v>28</v>
      </c>
      <c r="D2050" s="12">
        <v>53.64</v>
      </c>
      <c r="E2050" s="12">
        <f>SUMIF('Parametros Inventario'!$A:$A,B2050,'Parametros Inventario'!$B:$B)+SUMIFS(D$2:D2050,B$2:B2050,B2050,C$2:C2050,"ENTRADA")-SUMIFS(D$2:D2050,B$2:B2050,B2050,C$2:C2050,"SALIDA")</f>
        <v>10328.109999999997</v>
      </c>
    </row>
    <row r="2051" spans="1:5" x14ac:dyDescent="0.3">
      <c r="A2051" s="9">
        <f>'Volúmenes DIstribuidos '!B1305</f>
        <v>44806</v>
      </c>
      <c r="B2051" s="10" t="str">
        <f>IF(OR('Volúmenes DIstribuidos '!C1305="Azúcar",'Volúmenes DIstribuidos '!C1305="azúcar"),"Azúcar o dulce",IF('Volúmenes DIstribuidos '!C1305="Aceite","Aceite o grasas",IF('Volúmenes DIstribuidos '!C1305="Avena","Otros almidones",'Volúmenes DIstribuidos '!C1305)))</f>
        <v>Menestras</v>
      </c>
      <c r="C2051" s="10" t="s">
        <v>29</v>
      </c>
      <c r="D2051" s="12">
        <f>'Volúmenes DIstribuidos '!D1305</f>
        <v>30.77</v>
      </c>
      <c r="E2051" s="12">
        <f>SUMIF('Parametros Inventario'!$A:$A,B2051,'Parametros Inventario'!$B:$B)+SUMIFS(D$2:D2051,B$2:B2051,B2051,C$2:C2051,"ENTRADA")-SUMIFS(D$2:D2051,B$2:B2051,B2051,C$2:C2051,"SALIDA")</f>
        <v>9492.6790000000019</v>
      </c>
    </row>
    <row r="2052" spans="1:5" x14ac:dyDescent="0.3">
      <c r="A2052" s="9">
        <f>'Volúmenes DIstribuidos '!B1305</f>
        <v>44806</v>
      </c>
      <c r="B2052" s="10" t="str">
        <f>IF(OR('Volúmenes DIstribuidos '!C1306="Azúcar",'Volúmenes DIstribuidos '!C1306="azúcar"),"Azúcar o dulce",IF('Volúmenes DIstribuidos '!C1306="Aceite","Aceite o grasas",IF('Volúmenes DIstribuidos '!C1306="Avena","Otros almidones",'Volúmenes DIstribuidos '!C1306)))</f>
        <v>Carnes rojas</v>
      </c>
      <c r="C2052" s="10" t="s">
        <v>29</v>
      </c>
      <c r="D2052" s="12">
        <f>'Volúmenes DIstribuidos '!D1306</f>
        <v>42.53</v>
      </c>
      <c r="E2052" s="12">
        <f>SUMIF('Parametros Inventario'!$A:$A,B2052,'Parametros Inventario'!$B:$B)+SUMIFS(D$2:D2052,B$2:B2052,B2052,C$2:C2052,"ENTRADA")-SUMIFS(D$2:D2052,B$2:B2052,B2052,C$2:C2052,"SALIDA")</f>
        <v>9442.470000000003</v>
      </c>
    </row>
    <row r="2053" spans="1:5" x14ac:dyDescent="0.3">
      <c r="A2053" s="9">
        <f>'Volúmenes DIstribuidos '!B1305</f>
        <v>44806</v>
      </c>
      <c r="B2053" s="10" t="str">
        <f>IF(OR('Volúmenes DIstribuidos '!C1307="Azúcar",'Volúmenes DIstribuidos '!C1307="azúcar"),"Azúcar o dulce",IF('Volúmenes DIstribuidos '!C1307="Aceite","Aceite o grasas",IF('Volúmenes DIstribuidos '!C1307="Avena","Otros almidones",'Volúmenes DIstribuidos '!C1307)))</f>
        <v>Panadería</v>
      </c>
      <c r="C2053" s="10" t="s">
        <v>29</v>
      </c>
      <c r="D2053" s="12">
        <f>'Volúmenes DIstribuidos '!D1307</f>
        <v>22.370999999999999</v>
      </c>
      <c r="E2053" s="12">
        <f>SUMIF('Parametros Inventario'!$A:$A,B2053,'Parametros Inventario'!$B:$B)+SUMIFS(D$2:D2053,B$2:B2053,B2053,C$2:C2053,"ENTRADA")-SUMIFS(D$2:D2053,B$2:B2053,B2053,C$2:C2053,"SALIDA")</f>
        <v>6972.1060000000016</v>
      </c>
    </row>
    <row r="2054" spans="1:5" x14ac:dyDescent="0.3">
      <c r="A2054" s="9">
        <f>'Volúmenes DIstribuidos '!B1305</f>
        <v>44806</v>
      </c>
      <c r="B2054" s="10" t="str">
        <f>IF(OR('Volúmenes DIstribuidos '!C1308="Azúcar",'Volúmenes DIstribuidos '!C1308="azúcar"),"Azúcar o dulce",IF('Volúmenes DIstribuidos '!C1308="Aceite","Aceite o grasas",IF('Volúmenes DIstribuidos '!C1308="Avena","Otros almidones",'Volúmenes DIstribuidos '!C1308)))</f>
        <v>Carnes blancas</v>
      </c>
      <c r="C2054" s="10" t="s">
        <v>29</v>
      </c>
      <c r="D2054" s="12">
        <f>'Volúmenes DIstribuidos '!D1308</f>
        <v>35.61</v>
      </c>
      <c r="E2054" s="12">
        <f>SUMIF('Parametros Inventario'!$A:$A,B2054,'Parametros Inventario'!$B:$B)+SUMIFS(D$2:D2054,B$2:B2054,B2054,C$2:C2054,"ENTRADA")-SUMIFS(D$2:D2054,B$2:B2054,B2054,C$2:C2054,"SALIDA")</f>
        <v>10078.226000000002</v>
      </c>
    </row>
    <row r="2055" spans="1:5" x14ac:dyDescent="0.3">
      <c r="A2055" s="9">
        <f>'Volúmenes DIstribuidos '!B1305</f>
        <v>44806</v>
      </c>
      <c r="B2055" s="10" t="str">
        <f>IF(OR('Volúmenes DIstribuidos '!C1309="Azúcar",'Volúmenes DIstribuidos '!C1309="azúcar"),"Azúcar o dulce",IF('Volúmenes DIstribuidos '!C1309="Aceite","Aceite o grasas",IF('Volúmenes DIstribuidos '!C1309="Avena","Otros almidones",'Volúmenes DIstribuidos '!C1309)))</f>
        <v>Panadería</v>
      </c>
      <c r="C2055" s="10" t="s">
        <v>29</v>
      </c>
      <c r="D2055" s="12">
        <f>'Volúmenes DIstribuidos '!D1309</f>
        <v>12.06</v>
      </c>
      <c r="E2055" s="12">
        <f>SUMIF('Parametros Inventario'!$A:$A,B2055,'Parametros Inventario'!$B:$B)+SUMIFS(D$2:D2055,B$2:B2055,B2055,C$2:C2055,"ENTRADA")-SUMIFS(D$2:D2055,B$2:B2055,B2055,C$2:C2055,"SALIDA")</f>
        <v>6960.0460000000012</v>
      </c>
    </row>
    <row r="2056" spans="1:5" x14ac:dyDescent="0.3">
      <c r="A2056" s="9">
        <f>'Volúmenes DIstribuidos '!B1305</f>
        <v>44806</v>
      </c>
      <c r="B2056" s="10" t="str">
        <f>IF(OR('Volúmenes DIstribuidos '!C1310="Azúcar",'Volúmenes DIstribuidos '!C1310="azúcar"),"Azúcar o dulce",IF('Volúmenes DIstribuidos '!C1310="Aceite","Aceite o grasas",IF('Volúmenes DIstribuidos '!C1310="Avena","Otros almidones",'Volúmenes DIstribuidos '!C1310)))</f>
        <v>Salsas</v>
      </c>
      <c r="C2056" s="10" t="s">
        <v>29</v>
      </c>
      <c r="D2056" s="12">
        <f>'Volúmenes DIstribuidos '!D1310</f>
        <v>23.63</v>
      </c>
      <c r="E2056" s="12">
        <f>SUMIF('Parametros Inventario'!$A:$A,B2056,'Parametros Inventario'!$B:$B)+SUMIFS(D$2:D2056,B$2:B2056,B2056,C$2:C2056,"ENTRADA")-SUMIFS(D$2:D2056,B$2:B2056,B2056,C$2:C2056,"SALIDA")</f>
        <v>9051.6299999999974</v>
      </c>
    </row>
    <row r="2057" spans="1:5" x14ac:dyDescent="0.3">
      <c r="A2057" s="9">
        <f>'Volúmenes DIstribuidos '!B1311</f>
        <v>44810</v>
      </c>
      <c r="B2057" s="10" t="str">
        <f>IF(OR('Volúmenes DIstribuidos '!C1311="Azúcar",'Volúmenes DIstribuidos '!C1311="azúcar"),"Azúcar o dulce",IF('Volúmenes DIstribuidos '!C1311="Aceite","Aceite o grasas",IF('Volúmenes DIstribuidos '!C1311="Avena","Otros almidones",'Volúmenes DIstribuidos '!C1311)))</f>
        <v>Aceite o grasas</v>
      </c>
      <c r="C2057" s="10" t="s">
        <v>29</v>
      </c>
      <c r="D2057" s="12">
        <f>'Volúmenes DIstribuidos '!D1311</f>
        <v>16.190000000000001</v>
      </c>
      <c r="E2057" s="12">
        <f>SUMIF('Parametros Inventario'!$A:$A,B2057,'Parametros Inventario'!$B:$B)+SUMIFS(D$2:D2057,B$2:B2057,B2057,C$2:C2057,"ENTRADA")-SUMIFS(D$2:D2057,B$2:B2057,B2057,C$2:C2057,"SALIDA")</f>
        <v>8482.1620000000021</v>
      </c>
    </row>
    <row r="2058" spans="1:5" x14ac:dyDescent="0.3">
      <c r="A2058" s="9">
        <f>'Volúmenes DIstribuidos '!B1311</f>
        <v>44810</v>
      </c>
      <c r="B2058" s="10" t="str">
        <f>IF(OR('Volúmenes DIstribuidos '!C1312="Azúcar",'Volúmenes DIstribuidos '!C1312="azúcar"),"Azúcar o dulce",IF('Volúmenes DIstribuidos '!C1312="Aceite","Aceite o grasas",IF('Volúmenes DIstribuidos '!C1312="Avena","Otros almidones",'Volúmenes DIstribuidos '!C1312)))</f>
        <v>Carnes rojas</v>
      </c>
      <c r="C2058" s="10" t="s">
        <v>29</v>
      </c>
      <c r="D2058" s="12">
        <f>'Volúmenes DIstribuidos '!D1312</f>
        <v>31.1</v>
      </c>
      <c r="E2058" s="12">
        <f>SUMIF('Parametros Inventario'!$A:$A,B2058,'Parametros Inventario'!$B:$B)+SUMIFS(D$2:D2058,B$2:B2058,B2058,C$2:C2058,"ENTRADA")-SUMIFS(D$2:D2058,B$2:B2058,B2058,C$2:C2058,"SALIDA")</f>
        <v>9411.3700000000026</v>
      </c>
    </row>
    <row r="2059" spans="1:5" x14ac:dyDescent="0.3">
      <c r="A2059" s="9">
        <f>'Volúmenes DIstribuidos '!B1311</f>
        <v>44810</v>
      </c>
      <c r="B2059" s="10" t="str">
        <f>IF(OR('Volúmenes DIstribuidos '!C1313="Azúcar",'Volúmenes DIstribuidos '!C1313="azúcar"),"Azúcar o dulce",IF('Volúmenes DIstribuidos '!C1313="Aceite","Aceite o grasas",IF('Volúmenes DIstribuidos '!C1313="Avena","Otros almidones",'Volúmenes DIstribuidos '!C1313)))</f>
        <v>Vegetales y hojas</v>
      </c>
      <c r="C2059" s="10" t="s">
        <v>29</v>
      </c>
      <c r="D2059" s="12">
        <f>'Volúmenes DIstribuidos '!D1313</f>
        <v>10.734</v>
      </c>
      <c r="E2059" s="12">
        <f>SUMIF('Parametros Inventario'!$A:$A,B2059,'Parametros Inventario'!$B:$B)+SUMIFS(D$2:D2059,B$2:B2059,B2059,C$2:C2059,"ENTRADA")-SUMIFS(D$2:D2059,B$2:B2059,B2059,C$2:C2059,"SALIDA")</f>
        <v>10317.375999999997</v>
      </c>
    </row>
    <row r="2060" spans="1:5" x14ac:dyDescent="0.3">
      <c r="A2060" s="9">
        <f>'Volúmenes DIstribuidos '!B1311</f>
        <v>44810</v>
      </c>
      <c r="B2060" s="10" t="str">
        <f>IF(OR('Volúmenes DIstribuidos '!C1314="Azúcar",'Volúmenes DIstribuidos '!C1314="azúcar"),"Azúcar o dulce",IF('Volúmenes DIstribuidos '!C1314="Aceite","Aceite o grasas",IF('Volúmenes DIstribuidos '!C1314="Avena","Otros almidones",'Volúmenes DIstribuidos '!C1314)))</f>
        <v>Vegetales y hojas</v>
      </c>
      <c r="C2060" s="10" t="s">
        <v>29</v>
      </c>
      <c r="D2060" s="12">
        <f>'Volúmenes DIstribuidos '!D1314</f>
        <v>16.739999999999998</v>
      </c>
      <c r="E2060" s="12">
        <f>SUMIF('Parametros Inventario'!$A:$A,B2060,'Parametros Inventario'!$B:$B)+SUMIFS(D$2:D2060,B$2:B2060,B2060,C$2:C2060,"ENTRADA")-SUMIFS(D$2:D2060,B$2:B2060,B2060,C$2:C2060,"SALIDA")</f>
        <v>10300.635999999997</v>
      </c>
    </row>
    <row r="2061" spans="1:5" x14ac:dyDescent="0.3">
      <c r="A2061" s="9">
        <f>'Volúmenes DIstribuidos '!B1311</f>
        <v>44810</v>
      </c>
      <c r="B2061" s="10" t="str">
        <f>IF(OR('Volúmenes DIstribuidos '!C1315="Azúcar",'Volúmenes DIstribuidos '!C1315="azúcar"),"Azúcar o dulce",IF('Volúmenes DIstribuidos '!C1315="Aceite","Aceite o grasas",IF('Volúmenes DIstribuidos '!C1315="Avena","Otros almidones",'Volúmenes DIstribuidos '!C1315)))</f>
        <v>Lácteos</v>
      </c>
      <c r="C2061" s="10" t="s">
        <v>29</v>
      </c>
      <c r="D2061" s="12">
        <f>'Volúmenes DIstribuidos '!D1315</f>
        <v>12.44</v>
      </c>
      <c r="E2061" s="12">
        <f>SUMIF('Parametros Inventario'!$A:$A,B2061,'Parametros Inventario'!$B:$B)+SUMIFS(D$2:D2061,B$2:B2061,B2061,C$2:C2061,"ENTRADA")-SUMIFS(D$2:D2061,B$2:B2061,B2061,C$2:C2061,"SALIDA")</f>
        <v>8025.430000000003</v>
      </c>
    </row>
    <row r="2062" spans="1:5" x14ac:dyDescent="0.3">
      <c r="A2062" s="9">
        <f>'Volúmenes DIstribuidos '!B1311</f>
        <v>44810</v>
      </c>
      <c r="B2062" s="10" t="str">
        <f>IF(OR('Volúmenes DIstribuidos '!C1316="Azúcar",'Volúmenes DIstribuidos '!C1316="azúcar"),"Azúcar o dulce",IF('Volúmenes DIstribuidos '!C1316="Aceite","Aceite o grasas",IF('Volúmenes DIstribuidos '!C1316="Avena","Otros almidones",'Volúmenes DIstribuidos '!C1316)))</f>
        <v>Otros almidones</v>
      </c>
      <c r="C2062" s="10" t="s">
        <v>29</v>
      </c>
      <c r="D2062" s="12">
        <f>'Volúmenes DIstribuidos '!D1316</f>
        <v>24.63</v>
      </c>
      <c r="E2062" s="12">
        <f>SUMIF('Parametros Inventario'!$A:$A,B2062,'Parametros Inventario'!$B:$B)+SUMIFS(D$2:D2062,B$2:B2062,B2062,C$2:C2062,"ENTRADA")-SUMIFS(D$2:D2062,B$2:B2062,B2062,C$2:C2062,"SALIDA")</f>
        <v>9235.5229999999974</v>
      </c>
    </row>
    <row r="2063" spans="1:5" x14ac:dyDescent="0.3">
      <c r="A2063" s="9">
        <v>44813</v>
      </c>
      <c r="B2063" s="10" t="s">
        <v>8</v>
      </c>
      <c r="C2063" s="10" t="s">
        <v>28</v>
      </c>
      <c r="D2063" s="12">
        <v>255.13</v>
      </c>
      <c r="E2063" s="12">
        <f>SUMIF('Parametros Inventario'!$A:$A,B2063,'Parametros Inventario'!$B:$B)+SUMIFS(D$2:D2063,B$2:B2063,B2063,C$2:C2063,"ENTRADA")-SUMIFS(D$2:D2063,B$2:B2063,B2063,C$2:C2063,"SALIDA")</f>
        <v>8737.2920000000013</v>
      </c>
    </row>
    <row r="2064" spans="1:5" x14ac:dyDescent="0.3">
      <c r="A2064" s="9">
        <v>44813</v>
      </c>
      <c r="B2064" s="10" t="s">
        <v>13</v>
      </c>
      <c r="C2064" s="10" t="s">
        <v>28</v>
      </c>
      <c r="D2064" s="12">
        <v>219.99</v>
      </c>
      <c r="E2064" s="12">
        <f>SUMIF('Parametros Inventario'!$A:$A,B2064,'Parametros Inventario'!$B:$B)+SUMIFS(D$2:D2064,B$2:B2064,B2064,C$2:C2064,"ENTRADA")-SUMIFS(D$2:D2064,B$2:B2064,B2064,C$2:C2064,"SALIDA")</f>
        <v>10073.167000000001</v>
      </c>
    </row>
    <row r="2065" spans="1:5" x14ac:dyDescent="0.3">
      <c r="A2065" s="9">
        <v>44813</v>
      </c>
      <c r="B2065" s="10" t="s">
        <v>15</v>
      </c>
      <c r="C2065" s="10" t="s">
        <v>28</v>
      </c>
      <c r="D2065" s="12">
        <v>65.790000000000006</v>
      </c>
      <c r="E2065" s="12">
        <f>SUMIF('Parametros Inventario'!$A:$A,B2065,'Parametros Inventario'!$B:$B)+SUMIFS(D$2:D2065,B$2:B2065,B2065,C$2:C2065,"ENTRADA")-SUMIFS(D$2:D2065,B$2:B2065,B2065,C$2:C2065,"SALIDA")</f>
        <v>9301.3129999999983</v>
      </c>
    </row>
    <row r="2066" spans="1:5" x14ac:dyDescent="0.3">
      <c r="A2066" s="9">
        <v>44813</v>
      </c>
      <c r="B2066" s="10" t="s">
        <v>11</v>
      </c>
      <c r="C2066" s="10" t="s">
        <v>28</v>
      </c>
      <c r="D2066" s="12">
        <v>289.69</v>
      </c>
      <c r="E2066" s="12">
        <f>SUMIF('Parametros Inventario'!$A:$A,B2066,'Parametros Inventario'!$B:$B)+SUMIFS(D$2:D2066,B$2:B2066,B2066,C$2:C2066,"ENTRADA")-SUMIFS(D$2:D2066,B$2:B2066,B2066,C$2:C2066,"SALIDA")</f>
        <v>10482.701000000001</v>
      </c>
    </row>
    <row r="2067" spans="1:5" x14ac:dyDescent="0.3">
      <c r="A2067" s="9">
        <v>44813</v>
      </c>
      <c r="B2067" s="10" t="s">
        <v>9</v>
      </c>
      <c r="C2067" s="10" t="s">
        <v>28</v>
      </c>
      <c r="D2067" s="12">
        <v>74.150000000000006</v>
      </c>
      <c r="E2067" s="12">
        <f>SUMIF('Parametros Inventario'!$A:$A,B2067,'Parametros Inventario'!$B:$B)+SUMIFS(D$2:D2067,B$2:B2067,B2067,C$2:C2067,"ENTRADA")-SUMIFS(D$2:D2067,B$2:B2067,B2067,C$2:C2067,"SALIDA")</f>
        <v>7034.1960000000008</v>
      </c>
    </row>
    <row r="2068" spans="1:5" x14ac:dyDescent="0.3">
      <c r="A2068" s="9">
        <v>44813</v>
      </c>
      <c r="B2068" s="10" t="s">
        <v>14</v>
      </c>
      <c r="C2068" s="10" t="s">
        <v>28</v>
      </c>
      <c r="D2068" s="12">
        <v>258.85000000000002</v>
      </c>
      <c r="E2068" s="12">
        <f>SUMIF('Parametros Inventario'!$A:$A,B2068,'Parametros Inventario'!$B:$B)+SUMIFS(D$2:D2068,B$2:B2068,B2068,C$2:C2068,"ENTRADA")-SUMIFS(D$2:D2068,B$2:B2068,B2068,C$2:C2068,"SALIDA")</f>
        <v>9751.5290000000023</v>
      </c>
    </row>
    <row r="2069" spans="1:5" x14ac:dyDescent="0.3">
      <c r="A2069" s="9">
        <v>44813</v>
      </c>
      <c r="B2069" s="10" t="s">
        <v>12</v>
      </c>
      <c r="C2069" s="10" t="s">
        <v>28</v>
      </c>
      <c r="D2069" s="12">
        <v>216.03</v>
      </c>
      <c r="E2069" s="12">
        <f>SUMIF('Parametros Inventario'!$A:$A,B2069,'Parametros Inventario'!$B:$B)+SUMIFS(D$2:D2069,B$2:B2069,B2069,C$2:C2069,"ENTRADA")-SUMIFS(D$2:D2069,B$2:B2069,B2069,C$2:C2069,"SALIDA")</f>
        <v>9627.4000000000033</v>
      </c>
    </row>
    <row r="2070" spans="1:5" x14ac:dyDescent="0.3">
      <c r="A2070" s="9">
        <v>44813</v>
      </c>
      <c r="B2070" s="10" t="s">
        <v>16</v>
      </c>
      <c r="C2070" s="10" t="s">
        <v>28</v>
      </c>
      <c r="D2070" s="12">
        <v>231</v>
      </c>
      <c r="E2070" s="12">
        <f>SUMIF('Parametros Inventario'!$A:$A,B2070,'Parametros Inventario'!$B:$B)+SUMIFS(D$2:D2070,B$2:B2070,B2070,C$2:C2070,"ENTRADA")-SUMIFS(D$2:D2070,B$2:B2070,B2070,C$2:C2070,"SALIDA")</f>
        <v>10309.226000000002</v>
      </c>
    </row>
    <row r="2071" spans="1:5" x14ac:dyDescent="0.3">
      <c r="A2071" s="9">
        <v>44813</v>
      </c>
      <c r="B2071" s="10" t="s">
        <v>17</v>
      </c>
      <c r="C2071" s="10" t="s">
        <v>28</v>
      </c>
      <c r="D2071" s="12">
        <v>61</v>
      </c>
      <c r="E2071" s="12">
        <f>SUMIF('Parametros Inventario'!$A:$A,B2071,'Parametros Inventario'!$B:$B)+SUMIFS(D$2:D2071,B$2:B2071,B2071,C$2:C2071,"ENTRADA")-SUMIFS(D$2:D2071,B$2:B2071,B2071,C$2:C2071,"SALIDA")</f>
        <v>8086.430000000003</v>
      </c>
    </row>
    <row r="2072" spans="1:5" x14ac:dyDescent="0.3">
      <c r="A2072" s="9">
        <v>44813</v>
      </c>
      <c r="B2072" s="10" t="s">
        <v>18</v>
      </c>
      <c r="C2072" s="10" t="s">
        <v>28</v>
      </c>
      <c r="D2072" s="12">
        <v>178.13</v>
      </c>
      <c r="E2072" s="12">
        <f>SUMIF('Parametros Inventario'!$A:$A,B2072,'Parametros Inventario'!$B:$B)+SUMIFS(D$2:D2072,B$2:B2072,B2072,C$2:C2072,"ENTRADA")-SUMIFS(D$2:D2072,B$2:B2072,B2072,C$2:C2072,"SALIDA")</f>
        <v>9229.7599999999966</v>
      </c>
    </row>
    <row r="2073" spans="1:5" x14ac:dyDescent="0.3">
      <c r="A2073" s="9">
        <f>'Volúmenes DIstribuidos '!B1317</f>
        <v>44813</v>
      </c>
      <c r="B2073" s="10" t="str">
        <f>IF(OR('Volúmenes DIstribuidos '!C1317="Azúcar",'Volúmenes DIstribuidos '!C1317="azúcar"),"Azúcar o dulce",IF('Volúmenes DIstribuidos '!C1317="Aceite","Aceite o grasas",IF('Volúmenes DIstribuidos '!C1317="Avena","Otros almidones",'Volúmenes DIstribuidos '!C1317)))</f>
        <v>Azúcar o dulce</v>
      </c>
      <c r="C2073" s="10" t="s">
        <v>29</v>
      </c>
      <c r="D2073" s="12">
        <f>'Volúmenes DIstribuidos '!D1317</f>
        <v>67.433999999999997</v>
      </c>
      <c r="E2073" s="12">
        <f>SUMIF('Parametros Inventario'!$A:$A,B2073,'Parametros Inventario'!$B:$B)+SUMIFS(D$2:D2073,B$2:B2073,B2073,C$2:C2073,"ENTRADA")-SUMIFS(D$2:D2073,B$2:B2073,B2073,C$2:C2073,"SALIDA")</f>
        <v>10005.733</v>
      </c>
    </row>
    <row r="2074" spans="1:5" x14ac:dyDescent="0.3">
      <c r="A2074" s="9">
        <f>'Volúmenes DIstribuidos '!B1317</f>
        <v>44813</v>
      </c>
      <c r="B2074" s="10" t="str">
        <f>IF(OR('Volúmenes DIstribuidos '!C1318="Azúcar",'Volúmenes DIstribuidos '!C1318="azúcar"),"Azúcar o dulce",IF('Volúmenes DIstribuidos '!C1318="Aceite","Aceite o grasas",IF('Volúmenes DIstribuidos '!C1318="Avena","Otros almidones",'Volúmenes DIstribuidos '!C1318)))</f>
        <v>Azúcar o dulce</v>
      </c>
      <c r="C2074" s="10" t="s">
        <v>29</v>
      </c>
      <c r="D2074" s="12">
        <f>'Volúmenes DIstribuidos '!D1318</f>
        <v>13.05</v>
      </c>
      <c r="E2074" s="12">
        <f>SUMIF('Parametros Inventario'!$A:$A,B2074,'Parametros Inventario'!$B:$B)+SUMIFS(D$2:D2074,B$2:B2074,B2074,C$2:C2074,"ENTRADA")-SUMIFS(D$2:D2074,B$2:B2074,B2074,C$2:C2074,"SALIDA")</f>
        <v>9992.6830000000009</v>
      </c>
    </row>
    <row r="2075" spans="1:5" x14ac:dyDescent="0.3">
      <c r="A2075" s="9">
        <f>'Volúmenes DIstribuidos '!B1317</f>
        <v>44813</v>
      </c>
      <c r="B2075" s="10" t="str">
        <f>IF(OR('Volúmenes DIstribuidos '!C1319="Azúcar",'Volúmenes DIstribuidos '!C1319="azúcar"),"Azúcar o dulce",IF('Volúmenes DIstribuidos '!C1319="Aceite","Aceite o grasas",IF('Volúmenes DIstribuidos '!C1319="Avena","Otros almidones",'Volúmenes DIstribuidos '!C1319)))</f>
        <v>Vegetales y hojas</v>
      </c>
      <c r="C2075" s="10" t="s">
        <v>29</v>
      </c>
      <c r="D2075" s="12">
        <f>'Volúmenes DIstribuidos '!D1319</f>
        <v>25.29</v>
      </c>
      <c r="E2075" s="12">
        <f>SUMIF('Parametros Inventario'!$A:$A,B2075,'Parametros Inventario'!$B:$B)+SUMIFS(D$2:D2075,B$2:B2075,B2075,C$2:C2075,"ENTRADA")-SUMIFS(D$2:D2075,B$2:B2075,B2075,C$2:C2075,"SALIDA")</f>
        <v>10275.345999999998</v>
      </c>
    </row>
    <row r="2076" spans="1:5" x14ac:dyDescent="0.3">
      <c r="A2076" s="9">
        <f>'Volúmenes DIstribuidos '!B1317</f>
        <v>44813</v>
      </c>
      <c r="B2076" s="10" t="str">
        <f>IF(OR('Volúmenes DIstribuidos '!C1320="Azúcar",'Volúmenes DIstribuidos '!C1320="azúcar"),"Azúcar o dulce",IF('Volúmenes DIstribuidos '!C1320="Aceite","Aceite o grasas",IF('Volúmenes DIstribuidos '!C1320="Avena","Otros almidones",'Volúmenes DIstribuidos '!C1320)))</f>
        <v>Carnes rojas</v>
      </c>
      <c r="C2076" s="10" t="s">
        <v>29</v>
      </c>
      <c r="D2076" s="12">
        <f>'Volúmenes DIstribuidos '!D1320</f>
        <v>19.829999999999998</v>
      </c>
      <c r="E2076" s="12">
        <f>SUMIF('Parametros Inventario'!$A:$A,B2076,'Parametros Inventario'!$B:$B)+SUMIFS(D$2:D2076,B$2:B2076,B2076,C$2:C2076,"ENTRADA")-SUMIFS(D$2:D2076,B$2:B2076,B2076,C$2:C2076,"SALIDA")</f>
        <v>9607.5700000000033</v>
      </c>
    </row>
    <row r="2077" spans="1:5" x14ac:dyDescent="0.3">
      <c r="A2077" s="9">
        <f>'Volúmenes DIstribuidos '!B1317</f>
        <v>44813</v>
      </c>
      <c r="B2077" s="10" t="str">
        <f>IF(OR('Volúmenes DIstribuidos '!C1321="Azúcar",'Volúmenes DIstribuidos '!C1321="azúcar"),"Azúcar o dulce",IF('Volúmenes DIstribuidos '!C1321="Aceite","Aceite o grasas",IF('Volúmenes DIstribuidos '!C1321="Avena","Otros almidones",'Volúmenes DIstribuidos '!C1321)))</f>
        <v>Lácteos</v>
      </c>
      <c r="C2077" s="10" t="s">
        <v>29</v>
      </c>
      <c r="D2077" s="12">
        <f>'Volúmenes DIstribuidos '!D1321</f>
        <v>14.58</v>
      </c>
      <c r="E2077" s="12">
        <f>SUMIF('Parametros Inventario'!$A:$A,B2077,'Parametros Inventario'!$B:$B)+SUMIFS(D$2:D2077,B$2:B2077,B2077,C$2:C2077,"ENTRADA")-SUMIFS(D$2:D2077,B$2:B2077,B2077,C$2:C2077,"SALIDA")</f>
        <v>8071.8500000000031</v>
      </c>
    </row>
    <row r="2078" spans="1:5" x14ac:dyDescent="0.3">
      <c r="A2078" s="9">
        <f>'Volúmenes DIstribuidos '!B1317</f>
        <v>44813</v>
      </c>
      <c r="B2078" s="10" t="str">
        <f>IF(OR('Volúmenes DIstribuidos '!C1322="Azúcar",'Volúmenes DIstribuidos '!C1322="azúcar"),"Azúcar o dulce",IF('Volúmenes DIstribuidos '!C1322="Aceite","Aceite o grasas",IF('Volúmenes DIstribuidos '!C1322="Avena","Otros almidones",'Volúmenes DIstribuidos '!C1322)))</f>
        <v>Menestras</v>
      </c>
      <c r="C2078" s="10" t="s">
        <v>29</v>
      </c>
      <c r="D2078" s="12">
        <f>'Volúmenes DIstribuidos '!D1322</f>
        <v>10.26</v>
      </c>
      <c r="E2078" s="12">
        <f>SUMIF('Parametros Inventario'!$A:$A,B2078,'Parametros Inventario'!$B:$B)+SUMIFS(D$2:D2078,B$2:B2078,B2078,C$2:C2078,"ENTRADA")-SUMIFS(D$2:D2078,B$2:B2078,B2078,C$2:C2078,"SALIDA")</f>
        <v>9741.2690000000021</v>
      </c>
    </row>
    <row r="2079" spans="1:5" x14ac:dyDescent="0.3">
      <c r="A2079" s="9">
        <f>'Volúmenes DIstribuidos '!B1323</f>
        <v>44817</v>
      </c>
      <c r="B2079" s="10" t="str">
        <f>IF(OR('Volúmenes DIstribuidos '!C1323="Azúcar",'Volúmenes DIstribuidos '!C1323="azúcar"),"Azúcar o dulce",IF('Volúmenes DIstribuidos '!C1323="Aceite","Aceite o grasas",IF('Volúmenes DIstribuidos '!C1323="Avena","Otros almidones",'Volúmenes DIstribuidos '!C1323)))</f>
        <v>Carnes blancas</v>
      </c>
      <c r="C2079" s="10" t="s">
        <v>29</v>
      </c>
      <c r="D2079" s="12">
        <f>'Volúmenes DIstribuidos '!D1323</f>
        <v>60.268999999999998</v>
      </c>
      <c r="E2079" s="12">
        <f>SUMIF('Parametros Inventario'!$A:$A,B2079,'Parametros Inventario'!$B:$B)+SUMIFS(D$2:D2079,B$2:B2079,B2079,C$2:C2079,"ENTRADA")-SUMIFS(D$2:D2079,B$2:B2079,B2079,C$2:C2079,"SALIDA")</f>
        <v>10248.957000000002</v>
      </c>
    </row>
    <row r="2080" spans="1:5" x14ac:dyDescent="0.3">
      <c r="A2080" s="9">
        <f>'Volúmenes DIstribuidos '!B1323</f>
        <v>44817</v>
      </c>
      <c r="B2080" s="10" t="str">
        <f>IF(OR('Volúmenes DIstribuidos '!C1324="Azúcar",'Volúmenes DIstribuidos '!C1324="azúcar"),"Azúcar o dulce",IF('Volúmenes DIstribuidos '!C1324="Aceite","Aceite o grasas",IF('Volúmenes DIstribuidos '!C1324="Avena","Otros almidones",'Volúmenes DIstribuidos '!C1324)))</f>
        <v>Otros almidones</v>
      </c>
      <c r="C2080" s="10" t="s">
        <v>29</v>
      </c>
      <c r="D2080" s="12">
        <f>'Volúmenes DIstribuidos '!D1324</f>
        <v>43.57</v>
      </c>
      <c r="E2080" s="12">
        <f>SUMIF('Parametros Inventario'!$A:$A,B2080,'Parametros Inventario'!$B:$B)+SUMIFS(D$2:D2080,B$2:B2080,B2080,C$2:C2080,"ENTRADA")-SUMIFS(D$2:D2080,B$2:B2080,B2080,C$2:C2080,"SALIDA")</f>
        <v>9257.7429999999986</v>
      </c>
    </row>
    <row r="2081" spans="1:5" x14ac:dyDescent="0.3">
      <c r="A2081" s="9">
        <f>'Volúmenes DIstribuidos '!B1323</f>
        <v>44817</v>
      </c>
      <c r="B2081" s="10" t="str">
        <f>IF(OR('Volúmenes DIstribuidos '!C1325="Azúcar",'Volúmenes DIstribuidos '!C1325="azúcar"),"Azúcar o dulce",IF('Volúmenes DIstribuidos '!C1325="Aceite","Aceite o grasas",IF('Volúmenes DIstribuidos '!C1325="Avena","Otros almidones",'Volúmenes DIstribuidos '!C1325)))</f>
        <v>Panadería</v>
      </c>
      <c r="C2081" s="10" t="s">
        <v>29</v>
      </c>
      <c r="D2081" s="12">
        <f>'Volúmenes DIstribuidos '!D1325</f>
        <v>30.07</v>
      </c>
      <c r="E2081" s="12">
        <f>SUMIF('Parametros Inventario'!$A:$A,B2081,'Parametros Inventario'!$B:$B)+SUMIFS(D$2:D2081,B$2:B2081,B2081,C$2:C2081,"ENTRADA")-SUMIFS(D$2:D2081,B$2:B2081,B2081,C$2:C2081,"SALIDA")</f>
        <v>7004.1260000000011</v>
      </c>
    </row>
    <row r="2082" spans="1:5" x14ac:dyDescent="0.3">
      <c r="A2082" s="9">
        <f>'Volúmenes DIstribuidos '!B1323</f>
        <v>44817</v>
      </c>
      <c r="B2082" s="10" t="str">
        <f>IF(OR('Volúmenes DIstribuidos '!C1326="Azúcar",'Volúmenes DIstribuidos '!C1326="azúcar"),"Azúcar o dulce",IF('Volúmenes DIstribuidos '!C1326="Aceite","Aceite o grasas",IF('Volúmenes DIstribuidos '!C1326="Avena","Otros almidones",'Volúmenes DIstribuidos '!C1326)))</f>
        <v>Vegetales y hojas</v>
      </c>
      <c r="C2082" s="10" t="s">
        <v>29</v>
      </c>
      <c r="D2082" s="12">
        <f>'Volúmenes DIstribuidos '!D1326</f>
        <v>51.9</v>
      </c>
      <c r="E2082" s="12">
        <f>SUMIF('Parametros Inventario'!$A:$A,B2082,'Parametros Inventario'!$B:$B)+SUMIFS(D$2:D2082,B$2:B2082,B2082,C$2:C2082,"ENTRADA")-SUMIFS(D$2:D2082,B$2:B2082,B2082,C$2:C2082,"SALIDA")</f>
        <v>10223.445999999996</v>
      </c>
    </row>
    <row r="2083" spans="1:5" x14ac:dyDescent="0.3">
      <c r="A2083" s="9">
        <f>'Volúmenes DIstribuidos '!B1323</f>
        <v>44817</v>
      </c>
      <c r="B2083" s="10" t="str">
        <f>IF(OR('Volúmenes DIstribuidos '!C1327="Azúcar",'Volúmenes DIstribuidos '!C1327="azúcar"),"Azúcar o dulce",IF('Volúmenes DIstribuidos '!C1327="Aceite","Aceite o grasas",IF('Volúmenes DIstribuidos '!C1327="Avena","Otros almidones",'Volúmenes DIstribuidos '!C1327)))</f>
        <v>Carnes blancas</v>
      </c>
      <c r="C2083" s="10" t="s">
        <v>29</v>
      </c>
      <c r="D2083" s="12">
        <f>'Volúmenes DIstribuidos '!D1327</f>
        <v>8.9320000000000004</v>
      </c>
      <c r="E2083" s="12">
        <f>SUMIF('Parametros Inventario'!$A:$A,B2083,'Parametros Inventario'!$B:$B)+SUMIFS(D$2:D2083,B$2:B2083,B2083,C$2:C2083,"ENTRADA")-SUMIFS(D$2:D2083,B$2:B2083,B2083,C$2:C2083,"SALIDA")</f>
        <v>10240.025000000001</v>
      </c>
    </row>
    <row r="2084" spans="1:5" x14ac:dyDescent="0.3">
      <c r="A2084" s="9">
        <f>'Volúmenes DIstribuidos '!B1323</f>
        <v>44817</v>
      </c>
      <c r="B2084" s="10" t="str">
        <f>IF(OR('Volúmenes DIstribuidos '!C1328="Azúcar",'Volúmenes DIstribuidos '!C1328="azúcar"),"Azúcar o dulce",IF('Volúmenes DIstribuidos '!C1328="Aceite","Aceite o grasas",IF('Volúmenes DIstribuidos '!C1328="Avena","Otros almidones",'Volúmenes DIstribuidos '!C1328)))</f>
        <v>Aceite o grasas</v>
      </c>
      <c r="C2084" s="10" t="s">
        <v>29</v>
      </c>
      <c r="D2084" s="12">
        <f>'Volúmenes DIstribuidos '!D1328</f>
        <v>5.16</v>
      </c>
      <c r="E2084" s="12">
        <f>SUMIF('Parametros Inventario'!$A:$A,B2084,'Parametros Inventario'!$B:$B)+SUMIFS(D$2:D2084,B$2:B2084,B2084,C$2:C2084,"ENTRADA")-SUMIFS(D$2:D2084,B$2:B2084,B2084,C$2:C2084,"SALIDA")</f>
        <v>8732.1320000000014</v>
      </c>
    </row>
    <row r="2085" spans="1:5" x14ac:dyDescent="0.3">
      <c r="A2085" s="9">
        <v>44820</v>
      </c>
      <c r="B2085" s="10" t="s">
        <v>10</v>
      </c>
      <c r="C2085" s="10" t="s">
        <v>28</v>
      </c>
      <c r="D2085" s="12">
        <v>253.91</v>
      </c>
      <c r="E2085" s="12">
        <f>SUMIF('Parametros Inventario'!$A:$A,B2085,'Parametros Inventario'!$B:$B)+SUMIFS(D$2:D2085,B$2:B2085,B2085,C$2:C2085,"ENTRADA")-SUMIFS(D$2:D2085,B$2:B2085,B2085,C$2:C2085,"SALIDA")</f>
        <v>10477.355999999996</v>
      </c>
    </row>
    <row r="2086" spans="1:5" x14ac:dyDescent="0.3">
      <c r="A2086" s="9">
        <v>44820</v>
      </c>
      <c r="B2086" s="10" t="s">
        <v>8</v>
      </c>
      <c r="C2086" s="10" t="s">
        <v>28</v>
      </c>
      <c r="D2086" s="12">
        <v>130.66999999999999</v>
      </c>
      <c r="E2086" s="12">
        <f>SUMIF('Parametros Inventario'!$A:$A,B2086,'Parametros Inventario'!$B:$B)+SUMIFS(D$2:D2086,B$2:B2086,B2086,C$2:C2086,"ENTRADA")-SUMIFS(D$2:D2086,B$2:B2086,B2086,C$2:C2086,"SALIDA")</f>
        <v>8862.8020000000015</v>
      </c>
    </row>
    <row r="2087" spans="1:5" x14ac:dyDescent="0.3">
      <c r="A2087" s="9">
        <v>44820</v>
      </c>
      <c r="B2087" s="10" t="s">
        <v>13</v>
      </c>
      <c r="C2087" s="10" t="s">
        <v>28</v>
      </c>
      <c r="D2087" s="12">
        <v>206.7</v>
      </c>
      <c r="E2087" s="12">
        <f>SUMIF('Parametros Inventario'!$A:$A,B2087,'Parametros Inventario'!$B:$B)+SUMIFS(D$2:D2087,B$2:B2087,B2087,C$2:C2087,"ENTRADA")-SUMIFS(D$2:D2087,B$2:B2087,B2087,C$2:C2087,"SALIDA")</f>
        <v>10199.383000000002</v>
      </c>
    </row>
    <row r="2088" spans="1:5" x14ac:dyDescent="0.3">
      <c r="A2088" s="9">
        <v>44820</v>
      </c>
      <c r="B2088" s="10" t="s">
        <v>15</v>
      </c>
      <c r="C2088" s="10" t="s">
        <v>28</v>
      </c>
      <c r="D2088" s="12">
        <v>206.17</v>
      </c>
      <c r="E2088" s="12">
        <f>SUMIF('Parametros Inventario'!$A:$A,B2088,'Parametros Inventario'!$B:$B)+SUMIFS(D$2:D2088,B$2:B2088,B2088,C$2:C2088,"ENTRADA")-SUMIFS(D$2:D2088,B$2:B2088,B2088,C$2:C2088,"SALIDA")</f>
        <v>9463.9129999999986</v>
      </c>
    </row>
    <row r="2089" spans="1:5" x14ac:dyDescent="0.3">
      <c r="A2089" s="9">
        <v>44820</v>
      </c>
      <c r="B2089" s="10" t="s">
        <v>11</v>
      </c>
      <c r="C2089" s="10" t="s">
        <v>28</v>
      </c>
      <c r="D2089" s="12">
        <v>283.58</v>
      </c>
      <c r="E2089" s="12">
        <f>SUMIF('Parametros Inventario'!$A:$A,B2089,'Parametros Inventario'!$B:$B)+SUMIFS(D$2:D2089,B$2:B2089,B2089,C$2:C2089,"ENTRADA")-SUMIFS(D$2:D2089,B$2:B2089,B2089,C$2:C2089,"SALIDA")</f>
        <v>10766.281000000003</v>
      </c>
    </row>
    <row r="2090" spans="1:5" x14ac:dyDescent="0.3">
      <c r="A2090" s="9">
        <v>44820</v>
      </c>
      <c r="B2090" s="10" t="s">
        <v>9</v>
      </c>
      <c r="C2090" s="10" t="s">
        <v>28</v>
      </c>
      <c r="D2090" s="12">
        <v>148.77000000000001</v>
      </c>
      <c r="E2090" s="12">
        <f>SUMIF('Parametros Inventario'!$A:$A,B2090,'Parametros Inventario'!$B:$B)+SUMIFS(D$2:D2090,B$2:B2090,B2090,C$2:C2090,"ENTRADA")-SUMIFS(D$2:D2090,B$2:B2090,B2090,C$2:C2090,"SALIDA")</f>
        <v>7152.8960000000015</v>
      </c>
    </row>
    <row r="2091" spans="1:5" x14ac:dyDescent="0.3">
      <c r="A2091" s="9">
        <v>44820</v>
      </c>
      <c r="B2091" s="10" t="s">
        <v>14</v>
      </c>
      <c r="C2091" s="10" t="s">
        <v>28</v>
      </c>
      <c r="D2091" s="12">
        <v>156.97</v>
      </c>
      <c r="E2091" s="12">
        <f>SUMIF('Parametros Inventario'!$A:$A,B2091,'Parametros Inventario'!$B:$B)+SUMIFS(D$2:D2091,B$2:B2091,B2091,C$2:C2091,"ENTRADA")-SUMIFS(D$2:D2091,B$2:B2091,B2091,C$2:C2091,"SALIDA")</f>
        <v>9898.2390000000014</v>
      </c>
    </row>
    <row r="2092" spans="1:5" x14ac:dyDescent="0.3">
      <c r="A2092" s="9">
        <v>44820</v>
      </c>
      <c r="B2092" s="10" t="s">
        <v>12</v>
      </c>
      <c r="C2092" s="10" t="s">
        <v>28</v>
      </c>
      <c r="D2092" s="12">
        <v>108.1</v>
      </c>
      <c r="E2092" s="12">
        <f>SUMIF('Parametros Inventario'!$A:$A,B2092,'Parametros Inventario'!$B:$B)+SUMIFS(D$2:D2092,B$2:B2092,B2092,C$2:C2092,"ENTRADA")-SUMIFS(D$2:D2092,B$2:B2092,B2092,C$2:C2092,"SALIDA")</f>
        <v>9715.6700000000037</v>
      </c>
    </row>
    <row r="2093" spans="1:5" x14ac:dyDescent="0.3">
      <c r="A2093" s="9">
        <v>44820</v>
      </c>
      <c r="B2093" s="10" t="s">
        <v>16</v>
      </c>
      <c r="C2093" s="10" t="s">
        <v>28</v>
      </c>
      <c r="D2093" s="12">
        <v>76.47</v>
      </c>
      <c r="E2093" s="12">
        <f>SUMIF('Parametros Inventario'!$A:$A,B2093,'Parametros Inventario'!$B:$B)+SUMIFS(D$2:D2093,B$2:B2093,B2093,C$2:C2093,"ENTRADA")-SUMIFS(D$2:D2093,B$2:B2093,B2093,C$2:C2093,"SALIDA")</f>
        <v>10316.495000000003</v>
      </c>
    </row>
    <row r="2094" spans="1:5" x14ac:dyDescent="0.3">
      <c r="A2094" s="9">
        <v>44820</v>
      </c>
      <c r="B2094" s="10" t="s">
        <v>17</v>
      </c>
      <c r="C2094" s="10" t="s">
        <v>28</v>
      </c>
      <c r="D2094" s="12">
        <v>130.84</v>
      </c>
      <c r="E2094" s="12">
        <f>SUMIF('Parametros Inventario'!$A:$A,B2094,'Parametros Inventario'!$B:$B)+SUMIFS(D$2:D2094,B$2:B2094,B2094,C$2:C2094,"ENTRADA")-SUMIFS(D$2:D2094,B$2:B2094,B2094,C$2:C2094,"SALIDA")</f>
        <v>8202.6900000000023</v>
      </c>
    </row>
    <row r="2095" spans="1:5" x14ac:dyDescent="0.3">
      <c r="A2095" s="9">
        <v>44820</v>
      </c>
      <c r="B2095" s="10" t="s">
        <v>18</v>
      </c>
      <c r="C2095" s="10" t="s">
        <v>28</v>
      </c>
      <c r="D2095" s="12">
        <v>53.75</v>
      </c>
      <c r="E2095" s="12">
        <f>SUMIF('Parametros Inventario'!$A:$A,B2095,'Parametros Inventario'!$B:$B)+SUMIFS(D$2:D2095,B$2:B2095,B2095,C$2:C2095,"ENTRADA")-SUMIFS(D$2:D2095,B$2:B2095,B2095,C$2:C2095,"SALIDA")</f>
        <v>9283.5099999999966</v>
      </c>
    </row>
    <row r="2096" spans="1:5" x14ac:dyDescent="0.3">
      <c r="A2096" s="9">
        <f>'Volúmenes DIstribuidos '!B1329</f>
        <v>44820</v>
      </c>
      <c r="B2096" s="10" t="str">
        <f>IF(OR('Volúmenes DIstribuidos '!C1329="Azúcar",'Volúmenes DIstribuidos '!C1329="azúcar"),"Azúcar o dulce",IF('Volúmenes DIstribuidos '!C1329="Aceite","Aceite o grasas",IF('Volúmenes DIstribuidos '!C1329="Avena","Otros almidones",'Volúmenes DIstribuidos '!C1329)))</f>
        <v>Carnes blancas</v>
      </c>
      <c r="C2096" s="10" t="s">
        <v>29</v>
      </c>
      <c r="D2096" s="12">
        <f>'Volúmenes DIstribuidos '!D1329</f>
        <v>13.69</v>
      </c>
      <c r="E2096" s="12">
        <f>SUMIF('Parametros Inventario'!$A:$A,B2096,'Parametros Inventario'!$B:$B)+SUMIFS(D$2:D2096,B$2:B2096,B2096,C$2:C2096,"ENTRADA")-SUMIFS(D$2:D2096,B$2:B2096,B2096,C$2:C2096,"SALIDA")</f>
        <v>10302.805000000002</v>
      </c>
    </row>
    <row r="2097" spans="1:5" x14ac:dyDescent="0.3">
      <c r="A2097" s="9">
        <f>'Volúmenes DIstribuidos '!B1329</f>
        <v>44820</v>
      </c>
      <c r="B2097" s="10" t="str">
        <f>IF(OR('Volúmenes DIstribuidos '!C1330="Azúcar",'Volúmenes DIstribuidos '!C1330="azúcar"),"Azúcar o dulce",IF('Volúmenes DIstribuidos '!C1330="Aceite","Aceite o grasas",IF('Volúmenes DIstribuidos '!C1330="Avena","Otros almidones",'Volúmenes DIstribuidos '!C1330)))</f>
        <v>Panadería</v>
      </c>
      <c r="C2097" s="10" t="s">
        <v>29</v>
      </c>
      <c r="D2097" s="12">
        <f>'Volúmenes DIstribuidos '!D1330</f>
        <v>21.33</v>
      </c>
      <c r="E2097" s="12">
        <f>SUMIF('Parametros Inventario'!$A:$A,B2097,'Parametros Inventario'!$B:$B)+SUMIFS(D$2:D2097,B$2:B2097,B2097,C$2:C2097,"ENTRADA")-SUMIFS(D$2:D2097,B$2:B2097,B2097,C$2:C2097,"SALIDA")</f>
        <v>7131.5660000000016</v>
      </c>
    </row>
    <row r="2098" spans="1:5" x14ac:dyDescent="0.3">
      <c r="A2098" s="9">
        <f>'Volúmenes DIstribuidos '!B1329</f>
        <v>44820</v>
      </c>
      <c r="B2098" s="10" t="str">
        <f>IF(OR('Volúmenes DIstribuidos '!C1331="Azúcar",'Volúmenes DIstribuidos '!C1331="azúcar"),"Azúcar o dulce",IF('Volúmenes DIstribuidos '!C1331="Aceite","Aceite o grasas",IF('Volúmenes DIstribuidos '!C1331="Avena","Otros almidones",'Volúmenes DIstribuidos '!C1331)))</f>
        <v>Azúcar o dulce</v>
      </c>
      <c r="C2098" s="10" t="s">
        <v>29</v>
      </c>
      <c r="D2098" s="12">
        <f>'Volúmenes DIstribuidos '!D1331</f>
        <v>19.68</v>
      </c>
      <c r="E2098" s="12">
        <f>SUMIF('Parametros Inventario'!$A:$A,B2098,'Parametros Inventario'!$B:$B)+SUMIFS(D$2:D2098,B$2:B2098,B2098,C$2:C2098,"ENTRADA")-SUMIFS(D$2:D2098,B$2:B2098,B2098,C$2:C2098,"SALIDA")</f>
        <v>10179.703000000001</v>
      </c>
    </row>
    <row r="2099" spans="1:5" x14ac:dyDescent="0.3">
      <c r="A2099" s="9">
        <f>'Volúmenes DIstribuidos '!B1329</f>
        <v>44820</v>
      </c>
      <c r="B2099" s="10" t="str">
        <f>IF(OR('Volúmenes DIstribuidos '!C1332="Azúcar",'Volúmenes DIstribuidos '!C1332="azúcar"),"Azúcar o dulce",IF('Volúmenes DIstribuidos '!C1332="Aceite","Aceite o grasas",IF('Volúmenes DIstribuidos '!C1332="Avena","Otros almidones",'Volúmenes DIstribuidos '!C1332)))</f>
        <v>Otros almidones</v>
      </c>
      <c r="C2099" s="10" t="s">
        <v>29</v>
      </c>
      <c r="D2099" s="12">
        <f>'Volúmenes DIstribuidos '!D1332</f>
        <v>29.981999999999999</v>
      </c>
      <c r="E2099" s="12">
        <f>SUMIF('Parametros Inventario'!$A:$A,B2099,'Parametros Inventario'!$B:$B)+SUMIFS(D$2:D2099,B$2:B2099,B2099,C$2:C2099,"ENTRADA")-SUMIFS(D$2:D2099,B$2:B2099,B2099,C$2:C2099,"SALIDA")</f>
        <v>9433.9309999999987</v>
      </c>
    </row>
    <row r="2100" spans="1:5" x14ac:dyDescent="0.3">
      <c r="A2100" s="9">
        <f>'Volúmenes DIstribuidos '!B1329</f>
        <v>44820</v>
      </c>
      <c r="B2100" s="10" t="str">
        <f>IF(OR('Volúmenes DIstribuidos '!C1333="Azúcar",'Volúmenes DIstribuidos '!C1333="azúcar"),"Azúcar o dulce",IF('Volúmenes DIstribuidos '!C1333="Aceite","Aceite o grasas",IF('Volúmenes DIstribuidos '!C1333="Avena","Otros almidones",'Volúmenes DIstribuidos '!C1333)))</f>
        <v>Menestras</v>
      </c>
      <c r="C2100" s="10" t="s">
        <v>29</v>
      </c>
      <c r="D2100" s="12">
        <f>'Volúmenes DIstribuidos '!D1333</f>
        <v>43.06</v>
      </c>
      <c r="E2100" s="12">
        <f>SUMIF('Parametros Inventario'!$A:$A,B2100,'Parametros Inventario'!$B:$B)+SUMIFS(D$2:D2100,B$2:B2100,B2100,C$2:C2100,"ENTRADA")-SUMIFS(D$2:D2100,B$2:B2100,B2100,C$2:C2100,"SALIDA")</f>
        <v>9855.1790000000019</v>
      </c>
    </row>
    <row r="2101" spans="1:5" x14ac:dyDescent="0.3">
      <c r="A2101" s="9">
        <f>'Volúmenes DIstribuidos '!B1329</f>
        <v>44820</v>
      </c>
      <c r="B2101" s="10" t="str">
        <f>IF(OR('Volúmenes DIstribuidos '!C1334="Azúcar",'Volúmenes DIstribuidos '!C1334="azúcar"),"Azúcar o dulce",IF('Volúmenes DIstribuidos '!C1334="Aceite","Aceite o grasas",IF('Volúmenes DIstribuidos '!C1334="Avena","Otros almidones",'Volúmenes DIstribuidos '!C1334)))</f>
        <v>Otros almidones</v>
      </c>
      <c r="C2101" s="10" t="s">
        <v>29</v>
      </c>
      <c r="D2101" s="12">
        <f>'Volúmenes DIstribuidos '!D1334</f>
        <v>28.19</v>
      </c>
      <c r="E2101" s="12">
        <f>SUMIF('Parametros Inventario'!$A:$A,B2101,'Parametros Inventario'!$B:$B)+SUMIFS(D$2:D2101,B$2:B2101,B2101,C$2:C2101,"ENTRADA")-SUMIFS(D$2:D2101,B$2:B2101,B2101,C$2:C2101,"SALIDA")</f>
        <v>9405.7409999999982</v>
      </c>
    </row>
    <row r="2102" spans="1:5" x14ac:dyDescent="0.3">
      <c r="A2102" s="9">
        <f>'Volúmenes DIstribuidos '!B1335</f>
        <v>44824</v>
      </c>
      <c r="B2102" s="10" t="str">
        <f>IF(OR('Volúmenes DIstribuidos '!C1335="Azúcar",'Volúmenes DIstribuidos '!C1335="azúcar"),"Azúcar o dulce",IF('Volúmenes DIstribuidos '!C1335="Aceite","Aceite o grasas",IF('Volúmenes DIstribuidos '!C1335="Avena","Otros almidones",'Volúmenes DIstribuidos '!C1335)))</f>
        <v>Azúcar o dulce</v>
      </c>
      <c r="C2102" s="10" t="s">
        <v>29</v>
      </c>
      <c r="D2102" s="12">
        <f>'Volúmenes DIstribuidos '!D1335</f>
        <v>96.24</v>
      </c>
      <c r="E2102" s="12">
        <f>SUMIF('Parametros Inventario'!$A:$A,B2102,'Parametros Inventario'!$B:$B)+SUMIFS(D$2:D2102,B$2:B2102,B2102,C$2:C2102,"ENTRADA")-SUMIFS(D$2:D2102,B$2:B2102,B2102,C$2:C2102,"SALIDA")</f>
        <v>10083.463</v>
      </c>
    </row>
    <row r="2103" spans="1:5" x14ac:dyDescent="0.3">
      <c r="A2103" s="9">
        <f>'Volúmenes DIstribuidos '!B1335</f>
        <v>44824</v>
      </c>
      <c r="B2103" s="10" t="str">
        <f>IF(OR('Volúmenes DIstribuidos '!C1336="Azúcar",'Volúmenes DIstribuidos '!C1336="azúcar"),"Azúcar o dulce",IF('Volúmenes DIstribuidos '!C1336="Aceite","Aceite o grasas",IF('Volúmenes DIstribuidos '!C1336="Avena","Otros almidones",'Volúmenes DIstribuidos '!C1336)))</f>
        <v>Fideo</v>
      </c>
      <c r="C2103" s="10" t="s">
        <v>29</v>
      </c>
      <c r="D2103" s="12">
        <f>'Volúmenes DIstribuidos '!D1336</f>
        <v>14.034000000000001</v>
      </c>
      <c r="E2103" s="12">
        <f>SUMIF('Parametros Inventario'!$A:$A,B2103,'Parametros Inventario'!$B:$B)+SUMIFS(D$2:D2103,B$2:B2103,B2103,C$2:C2103,"ENTRADA")-SUMIFS(D$2:D2103,B$2:B2103,B2103,C$2:C2103,"SALIDA")</f>
        <v>10752.247000000001</v>
      </c>
    </row>
    <row r="2104" spans="1:5" x14ac:dyDescent="0.3">
      <c r="A2104" s="9">
        <f>'Volúmenes DIstribuidos '!B1335</f>
        <v>44824</v>
      </c>
      <c r="B2104" s="10" t="str">
        <f>IF(OR('Volúmenes DIstribuidos '!C1337="Azúcar",'Volúmenes DIstribuidos '!C1337="azúcar"),"Azúcar o dulce",IF('Volúmenes DIstribuidos '!C1337="Aceite","Aceite o grasas",IF('Volúmenes DIstribuidos '!C1337="Avena","Otros almidones",'Volúmenes DIstribuidos '!C1337)))</f>
        <v>Salsas</v>
      </c>
      <c r="C2104" s="10" t="s">
        <v>29</v>
      </c>
      <c r="D2104" s="12">
        <f>'Volúmenes DIstribuidos '!D1337</f>
        <v>90.74</v>
      </c>
      <c r="E2104" s="12">
        <f>SUMIF('Parametros Inventario'!$A:$A,B2104,'Parametros Inventario'!$B:$B)+SUMIFS(D$2:D2104,B$2:B2104,B2104,C$2:C2104,"ENTRADA")-SUMIFS(D$2:D2104,B$2:B2104,B2104,C$2:C2104,"SALIDA")</f>
        <v>9192.7699999999968</v>
      </c>
    </row>
    <row r="2105" spans="1:5" x14ac:dyDescent="0.3">
      <c r="A2105" s="9">
        <f>'Volúmenes DIstribuidos '!B1335</f>
        <v>44824</v>
      </c>
      <c r="B2105" s="10" t="str">
        <f>IF(OR('Volúmenes DIstribuidos '!C1338="Azúcar",'Volúmenes DIstribuidos '!C1338="azúcar"),"Azúcar o dulce",IF('Volúmenes DIstribuidos '!C1338="Aceite","Aceite o grasas",IF('Volúmenes DIstribuidos '!C1338="Avena","Otros almidones",'Volúmenes DIstribuidos '!C1338)))</f>
        <v>Fideo</v>
      </c>
      <c r="C2105" s="10" t="s">
        <v>29</v>
      </c>
      <c r="D2105" s="12">
        <f>'Volúmenes DIstribuidos '!D1338</f>
        <v>16.78</v>
      </c>
      <c r="E2105" s="12">
        <f>SUMIF('Parametros Inventario'!$A:$A,B2105,'Parametros Inventario'!$B:$B)+SUMIFS(D$2:D2105,B$2:B2105,B2105,C$2:C2105,"ENTRADA")-SUMIFS(D$2:D2105,B$2:B2105,B2105,C$2:C2105,"SALIDA")</f>
        <v>10735.467000000001</v>
      </c>
    </row>
    <row r="2106" spans="1:5" x14ac:dyDescent="0.3">
      <c r="A2106" s="9">
        <f>'Volúmenes DIstribuidos '!B1335</f>
        <v>44824</v>
      </c>
      <c r="B2106" s="10" t="str">
        <f>IF(OR('Volúmenes DIstribuidos '!C1339="Azúcar",'Volúmenes DIstribuidos '!C1339="azúcar"),"Azúcar o dulce",IF('Volúmenes DIstribuidos '!C1339="Aceite","Aceite o grasas",IF('Volúmenes DIstribuidos '!C1339="Avena","Otros almidones",'Volúmenes DIstribuidos '!C1339)))</f>
        <v>Carnes rojas</v>
      </c>
      <c r="C2106" s="10" t="s">
        <v>29</v>
      </c>
      <c r="D2106" s="12">
        <f>'Volúmenes DIstribuidos '!D1339</f>
        <v>25</v>
      </c>
      <c r="E2106" s="12">
        <f>SUMIF('Parametros Inventario'!$A:$A,B2106,'Parametros Inventario'!$B:$B)+SUMIFS(D$2:D2106,B$2:B2106,B2106,C$2:C2106,"ENTRADA")-SUMIFS(D$2:D2106,B$2:B2106,B2106,C$2:C2106,"SALIDA")</f>
        <v>9690.6700000000037</v>
      </c>
    </row>
    <row r="2107" spans="1:5" x14ac:dyDescent="0.3">
      <c r="A2107" s="9">
        <f>'Volúmenes DIstribuidos '!B1335</f>
        <v>44824</v>
      </c>
      <c r="B2107" s="10" t="str">
        <f>IF(OR('Volúmenes DIstribuidos '!C1340="Azúcar",'Volúmenes DIstribuidos '!C1340="azúcar"),"Azúcar o dulce",IF('Volúmenes DIstribuidos '!C1340="Aceite","Aceite o grasas",IF('Volúmenes DIstribuidos '!C1340="Avena","Otros almidones",'Volúmenes DIstribuidos '!C1340)))</f>
        <v>Aceite o grasas</v>
      </c>
      <c r="C2107" s="10" t="s">
        <v>29</v>
      </c>
      <c r="D2107" s="12">
        <f>'Volúmenes DIstribuidos '!D1340</f>
        <v>22.47</v>
      </c>
      <c r="E2107" s="12">
        <f>SUMIF('Parametros Inventario'!$A:$A,B2107,'Parametros Inventario'!$B:$B)+SUMIFS(D$2:D2107,B$2:B2107,B2107,C$2:C2107,"ENTRADA")-SUMIFS(D$2:D2107,B$2:B2107,B2107,C$2:C2107,"SALIDA")</f>
        <v>8840.3320000000022</v>
      </c>
    </row>
    <row r="2108" spans="1:5" x14ac:dyDescent="0.3">
      <c r="A2108" s="9">
        <f>'Volúmenes DIstribuidos '!B1341</f>
        <v>44827</v>
      </c>
      <c r="B2108" s="10" t="str">
        <f>IF(OR('Volúmenes DIstribuidos '!C1341="Azúcar",'Volúmenes DIstribuidos '!C1341="azúcar"),"Azúcar o dulce",IF('Volúmenes DIstribuidos '!C1341="Aceite","Aceite o grasas",IF('Volúmenes DIstribuidos '!C1341="Avena","Otros almidones",'Volúmenes DIstribuidos '!C1341)))</f>
        <v>Vegetales y hojas</v>
      </c>
      <c r="C2108" s="10" t="s">
        <v>29</v>
      </c>
      <c r="D2108" s="12">
        <f>'Volúmenes DIstribuidos '!D1341</f>
        <v>62.475999999999999</v>
      </c>
      <c r="E2108" s="12">
        <f>SUMIF('Parametros Inventario'!$A:$A,B2108,'Parametros Inventario'!$B:$B)+SUMIFS(D$2:D2108,B$2:B2108,B2108,C$2:C2108,"ENTRADA")-SUMIFS(D$2:D2108,B$2:B2108,B2108,C$2:C2108,"SALIDA")</f>
        <v>10414.879999999997</v>
      </c>
    </row>
    <row r="2109" spans="1:5" x14ac:dyDescent="0.3">
      <c r="A2109" s="9">
        <f>'Volúmenes DIstribuidos '!B1341</f>
        <v>44827</v>
      </c>
      <c r="B2109" s="10" t="str">
        <f>IF(OR('Volúmenes DIstribuidos '!C1342="Azúcar",'Volúmenes DIstribuidos '!C1342="azúcar"),"Azúcar o dulce",IF('Volúmenes DIstribuidos '!C1342="Aceite","Aceite o grasas",IF('Volúmenes DIstribuidos '!C1342="Avena","Otros almidones",'Volúmenes DIstribuidos '!C1342)))</f>
        <v>Azúcar o dulce</v>
      </c>
      <c r="C2109" s="10" t="s">
        <v>29</v>
      </c>
      <c r="D2109" s="12">
        <f>'Volúmenes DIstribuidos '!D1342</f>
        <v>58.35</v>
      </c>
      <c r="E2109" s="12">
        <f>SUMIF('Parametros Inventario'!$A:$A,B2109,'Parametros Inventario'!$B:$B)+SUMIFS(D$2:D2109,B$2:B2109,B2109,C$2:C2109,"ENTRADA")-SUMIFS(D$2:D2109,B$2:B2109,B2109,C$2:C2109,"SALIDA")</f>
        <v>10025.113000000001</v>
      </c>
    </row>
    <row r="2110" spans="1:5" x14ac:dyDescent="0.3">
      <c r="A2110" s="9">
        <f>'Volúmenes DIstribuidos '!B1341</f>
        <v>44827</v>
      </c>
      <c r="B2110" s="10" t="str">
        <f>IF(OR('Volúmenes DIstribuidos '!C1343="Azúcar",'Volúmenes DIstribuidos '!C1343="azúcar"),"Azúcar o dulce",IF('Volúmenes DIstribuidos '!C1343="Aceite","Aceite o grasas",IF('Volúmenes DIstribuidos '!C1343="Avena","Otros almidones",'Volúmenes DIstribuidos '!C1343)))</f>
        <v>Carnes rojas</v>
      </c>
      <c r="C2110" s="10" t="s">
        <v>29</v>
      </c>
      <c r="D2110" s="12">
        <f>'Volúmenes DIstribuidos '!D1343</f>
        <v>29.84</v>
      </c>
      <c r="E2110" s="12">
        <f>SUMIF('Parametros Inventario'!$A:$A,B2110,'Parametros Inventario'!$B:$B)+SUMIFS(D$2:D2110,B$2:B2110,B2110,C$2:C2110,"ENTRADA")-SUMIFS(D$2:D2110,B$2:B2110,B2110,C$2:C2110,"SALIDA")</f>
        <v>9660.8300000000036</v>
      </c>
    </row>
    <row r="2111" spans="1:5" x14ac:dyDescent="0.3">
      <c r="A2111" s="9">
        <f>'Volúmenes DIstribuidos '!B1341</f>
        <v>44827</v>
      </c>
      <c r="B2111" s="10" t="str">
        <f>IF(OR('Volúmenes DIstribuidos '!C1344="Azúcar",'Volúmenes DIstribuidos '!C1344="azúcar"),"Azúcar o dulce",IF('Volúmenes DIstribuidos '!C1344="Aceite","Aceite o grasas",IF('Volúmenes DIstribuidos '!C1344="Avena","Otros almidones",'Volúmenes DIstribuidos '!C1344)))</f>
        <v>Vegetales y hojas</v>
      </c>
      <c r="C2111" s="10" t="s">
        <v>29</v>
      </c>
      <c r="D2111" s="12">
        <f>'Volúmenes DIstribuidos '!D1344</f>
        <v>101.48</v>
      </c>
      <c r="E2111" s="12">
        <f>SUMIF('Parametros Inventario'!$A:$A,B2111,'Parametros Inventario'!$B:$B)+SUMIFS(D$2:D2111,B$2:B2111,B2111,C$2:C2111,"ENTRADA")-SUMIFS(D$2:D2111,B$2:B2111,B2111,C$2:C2111,"SALIDA")</f>
        <v>10313.399999999996</v>
      </c>
    </row>
    <row r="2112" spans="1:5" x14ac:dyDescent="0.3">
      <c r="A2112" s="9">
        <f>'Volúmenes DIstribuidos '!B1341</f>
        <v>44827</v>
      </c>
      <c r="B2112" s="10" t="str">
        <f>IF(OR('Volúmenes DIstribuidos '!C1345="Azúcar",'Volúmenes DIstribuidos '!C1345="azúcar"),"Azúcar o dulce",IF('Volúmenes DIstribuidos '!C1345="Aceite","Aceite o grasas",IF('Volúmenes DIstribuidos '!C1345="Avena","Otros almidones",'Volúmenes DIstribuidos '!C1345)))</f>
        <v>Fideo</v>
      </c>
      <c r="C2112" s="10" t="s">
        <v>29</v>
      </c>
      <c r="D2112" s="12">
        <f>'Volúmenes DIstribuidos '!D1345</f>
        <v>51.73</v>
      </c>
      <c r="E2112" s="12">
        <f>SUMIF('Parametros Inventario'!$A:$A,B2112,'Parametros Inventario'!$B:$B)+SUMIFS(D$2:D2112,B$2:B2112,B2112,C$2:C2112,"ENTRADA")-SUMIFS(D$2:D2112,B$2:B2112,B2112,C$2:C2112,"SALIDA")</f>
        <v>10683.737000000001</v>
      </c>
    </row>
    <row r="2113" spans="1:5" x14ac:dyDescent="0.3">
      <c r="A2113" s="9">
        <f>'Volúmenes DIstribuidos '!B1341</f>
        <v>44827</v>
      </c>
      <c r="B2113" s="10" t="str">
        <f>IF(OR('Volúmenes DIstribuidos '!C1346="Azúcar",'Volúmenes DIstribuidos '!C1346="azúcar"),"Azúcar o dulce",IF('Volúmenes DIstribuidos '!C1346="Aceite","Aceite o grasas",IF('Volúmenes DIstribuidos '!C1346="Avena","Otros almidones",'Volúmenes DIstribuidos '!C1346)))</f>
        <v>Panadería</v>
      </c>
      <c r="C2113" s="10" t="s">
        <v>29</v>
      </c>
      <c r="D2113" s="12">
        <f>'Volúmenes DIstribuidos '!D1346</f>
        <v>16.14</v>
      </c>
      <c r="E2113" s="12">
        <f>SUMIF('Parametros Inventario'!$A:$A,B2113,'Parametros Inventario'!$B:$B)+SUMIFS(D$2:D2113,B$2:B2113,B2113,C$2:C2113,"ENTRADA")-SUMIFS(D$2:D2113,B$2:B2113,B2113,C$2:C2113,"SALIDA")</f>
        <v>7115.4260000000013</v>
      </c>
    </row>
    <row r="2114" spans="1:5" x14ac:dyDescent="0.3">
      <c r="A2114" s="9">
        <f>'Volúmenes DIstribuidos '!B1347</f>
        <v>44831</v>
      </c>
      <c r="B2114" s="10" t="str">
        <f>IF(OR('Volúmenes DIstribuidos '!C1347="Azúcar",'Volúmenes DIstribuidos '!C1347="azúcar"),"Azúcar o dulce",IF('Volúmenes DIstribuidos '!C1347="Aceite","Aceite o grasas",IF('Volúmenes DIstribuidos '!C1347="Avena","Otros almidones",'Volúmenes DIstribuidos '!C1347)))</f>
        <v>Carnes blancas</v>
      </c>
      <c r="C2114" s="10" t="s">
        <v>29</v>
      </c>
      <c r="D2114" s="12">
        <f>'Volúmenes DIstribuidos '!D1347</f>
        <v>4.1689999999999996</v>
      </c>
      <c r="E2114" s="12">
        <f>SUMIF('Parametros Inventario'!$A:$A,B2114,'Parametros Inventario'!$B:$B)+SUMIFS(D$2:D2114,B$2:B2114,B2114,C$2:C2114,"ENTRADA")-SUMIFS(D$2:D2114,B$2:B2114,B2114,C$2:C2114,"SALIDA")</f>
        <v>10298.636000000002</v>
      </c>
    </row>
    <row r="2115" spans="1:5" x14ac:dyDescent="0.3">
      <c r="A2115" s="9">
        <f>'Volúmenes DIstribuidos '!B1347</f>
        <v>44831</v>
      </c>
      <c r="B2115" s="10" t="str">
        <f>IF(OR('Volúmenes DIstribuidos '!C1348="Azúcar",'Volúmenes DIstribuidos '!C1348="azúcar"),"Azúcar o dulce",IF('Volúmenes DIstribuidos '!C1348="Aceite","Aceite o grasas",IF('Volúmenes DIstribuidos '!C1348="Avena","Otros almidones",'Volúmenes DIstribuidos '!C1348)))</f>
        <v>Vegetales y hojas</v>
      </c>
      <c r="C2115" s="10" t="s">
        <v>29</v>
      </c>
      <c r="D2115" s="12">
        <f>'Volúmenes DIstribuidos '!D1348</f>
        <v>8.43</v>
      </c>
      <c r="E2115" s="12">
        <f>SUMIF('Parametros Inventario'!$A:$A,B2115,'Parametros Inventario'!$B:$B)+SUMIFS(D$2:D2115,B$2:B2115,B2115,C$2:C2115,"ENTRADA")-SUMIFS(D$2:D2115,B$2:B2115,B2115,C$2:C2115,"SALIDA")</f>
        <v>10304.969999999998</v>
      </c>
    </row>
    <row r="2116" spans="1:5" x14ac:dyDescent="0.3">
      <c r="A2116" s="9">
        <f>'Volúmenes DIstribuidos '!B1347</f>
        <v>44831</v>
      </c>
      <c r="B2116" s="10" t="str">
        <f>IF(OR('Volúmenes DIstribuidos '!C1349="Azúcar",'Volúmenes DIstribuidos '!C1349="azúcar"),"Azúcar o dulce",IF('Volúmenes DIstribuidos '!C1349="Aceite","Aceite o grasas",IF('Volúmenes DIstribuidos '!C1349="Avena","Otros almidones",'Volúmenes DIstribuidos '!C1349)))</f>
        <v>Menestras</v>
      </c>
      <c r="C2116" s="10" t="s">
        <v>29</v>
      </c>
      <c r="D2116" s="12">
        <f>'Volúmenes DIstribuidos '!D1349</f>
        <v>17.68</v>
      </c>
      <c r="E2116" s="12">
        <f>SUMIF('Parametros Inventario'!$A:$A,B2116,'Parametros Inventario'!$B:$B)+SUMIFS(D$2:D2116,B$2:B2116,B2116,C$2:C2116,"ENTRADA")-SUMIFS(D$2:D2116,B$2:B2116,B2116,C$2:C2116,"SALIDA")</f>
        <v>9837.4990000000016</v>
      </c>
    </row>
    <row r="2117" spans="1:5" x14ac:dyDescent="0.3">
      <c r="A2117" s="9">
        <f>'Volúmenes DIstribuidos '!B1347</f>
        <v>44831</v>
      </c>
      <c r="B2117" s="10" t="str">
        <f>IF(OR('Volúmenes DIstribuidos '!C1350="Azúcar",'Volúmenes DIstribuidos '!C1350="azúcar"),"Azúcar o dulce",IF('Volúmenes DIstribuidos '!C1350="Aceite","Aceite o grasas",IF('Volúmenes DIstribuidos '!C1350="Avena","Otros almidones",'Volúmenes DIstribuidos '!C1350)))</f>
        <v>Otros almidones</v>
      </c>
      <c r="C2117" s="10" t="s">
        <v>29</v>
      </c>
      <c r="D2117" s="12">
        <f>'Volúmenes DIstribuidos '!D1350</f>
        <v>2.83</v>
      </c>
      <c r="E2117" s="12">
        <f>SUMIF('Parametros Inventario'!$A:$A,B2117,'Parametros Inventario'!$B:$B)+SUMIFS(D$2:D2117,B$2:B2117,B2117,C$2:C2117,"ENTRADA")-SUMIFS(D$2:D2117,B$2:B2117,B2117,C$2:C2117,"SALIDA")</f>
        <v>9402.9109999999982</v>
      </c>
    </row>
    <row r="2118" spans="1:5" x14ac:dyDescent="0.3">
      <c r="A2118" s="9">
        <f>'Volúmenes DIstribuidos '!B1347</f>
        <v>44831</v>
      </c>
      <c r="B2118" s="10" t="str">
        <f>IF(OR('Volúmenes DIstribuidos '!C1351="Azúcar",'Volúmenes DIstribuidos '!C1351="azúcar"),"Azúcar o dulce",IF('Volúmenes DIstribuidos '!C1351="Aceite","Aceite o grasas",IF('Volúmenes DIstribuidos '!C1351="Avena","Otros almidones",'Volúmenes DIstribuidos '!C1351)))</f>
        <v>Salsas</v>
      </c>
      <c r="C2118" s="10" t="s">
        <v>29</v>
      </c>
      <c r="D2118" s="12">
        <f>'Volúmenes DIstribuidos '!D1351</f>
        <v>74.123000000000005</v>
      </c>
      <c r="E2118" s="12">
        <f>SUMIF('Parametros Inventario'!$A:$A,B2118,'Parametros Inventario'!$B:$B)+SUMIFS(D$2:D2118,B$2:B2118,B2118,C$2:C2118,"ENTRADA")-SUMIFS(D$2:D2118,B$2:B2118,B2118,C$2:C2118,"SALIDA")</f>
        <v>9118.6469999999972</v>
      </c>
    </row>
    <row r="2119" spans="1:5" x14ac:dyDescent="0.3">
      <c r="A2119" s="9">
        <f>'Volúmenes DIstribuidos '!B1347</f>
        <v>44831</v>
      </c>
      <c r="B2119" s="10" t="str">
        <f>IF(OR('Volúmenes DIstribuidos '!C1352="Azúcar",'Volúmenes DIstribuidos '!C1352="azúcar"),"Azúcar o dulce",IF('Volúmenes DIstribuidos '!C1352="Aceite","Aceite o grasas",IF('Volúmenes DIstribuidos '!C1352="Avena","Otros almidones",'Volúmenes DIstribuidos '!C1352)))</f>
        <v>Azúcar o dulce</v>
      </c>
      <c r="C2119" s="10" t="s">
        <v>29</v>
      </c>
      <c r="D2119" s="12">
        <f>'Volúmenes DIstribuidos '!D1352</f>
        <v>52.73</v>
      </c>
      <c r="E2119" s="12">
        <f>SUMIF('Parametros Inventario'!$A:$A,B2119,'Parametros Inventario'!$B:$B)+SUMIFS(D$2:D2119,B$2:B2119,B2119,C$2:C2119,"ENTRADA")-SUMIFS(D$2:D2119,B$2:B2119,B2119,C$2:C2119,"SALIDA")</f>
        <v>9972.3830000000016</v>
      </c>
    </row>
    <row r="2120" spans="1:5" x14ac:dyDescent="0.3">
      <c r="A2120" s="9">
        <v>44834</v>
      </c>
      <c r="B2120" s="10" t="s">
        <v>10</v>
      </c>
      <c r="C2120" s="10" t="s">
        <v>28</v>
      </c>
      <c r="D2120" s="12">
        <v>213.5</v>
      </c>
      <c r="E2120" s="12">
        <f>SUMIF('Parametros Inventario'!$A:$A,B2120,'Parametros Inventario'!$B:$B)+SUMIFS(D$2:D2120,B$2:B2120,B2120,C$2:C2120,"ENTRADA")-SUMIFS(D$2:D2120,B$2:B2120,B2120,C$2:C2120,"SALIDA")</f>
        <v>10518.469999999998</v>
      </c>
    </row>
    <row r="2121" spans="1:5" x14ac:dyDescent="0.3">
      <c r="A2121" s="9">
        <v>44834</v>
      </c>
      <c r="B2121" s="10" t="s">
        <v>8</v>
      </c>
      <c r="C2121" s="10" t="s">
        <v>28</v>
      </c>
      <c r="D2121" s="12">
        <v>53</v>
      </c>
      <c r="E2121" s="12">
        <f>SUMIF('Parametros Inventario'!$A:$A,B2121,'Parametros Inventario'!$B:$B)+SUMIFS(D$2:D2121,B$2:B2121,B2121,C$2:C2121,"ENTRADA")-SUMIFS(D$2:D2121,B$2:B2121,B2121,C$2:C2121,"SALIDA")</f>
        <v>8893.3320000000022</v>
      </c>
    </row>
    <row r="2122" spans="1:5" x14ac:dyDescent="0.3">
      <c r="A2122" s="9">
        <v>44834</v>
      </c>
      <c r="B2122" s="10" t="s">
        <v>13</v>
      </c>
      <c r="C2122" s="10" t="s">
        <v>28</v>
      </c>
      <c r="D2122" s="12">
        <v>103.19</v>
      </c>
      <c r="E2122" s="12">
        <f>SUMIF('Parametros Inventario'!$A:$A,B2122,'Parametros Inventario'!$B:$B)+SUMIFS(D$2:D2122,B$2:B2122,B2122,C$2:C2122,"ENTRADA")-SUMIFS(D$2:D2122,B$2:B2122,B2122,C$2:C2122,"SALIDA")</f>
        <v>10075.573</v>
      </c>
    </row>
    <row r="2123" spans="1:5" x14ac:dyDescent="0.3">
      <c r="A2123" s="9">
        <v>44834</v>
      </c>
      <c r="B2123" s="10" t="s">
        <v>15</v>
      </c>
      <c r="C2123" s="10" t="s">
        <v>28</v>
      </c>
      <c r="D2123" s="12">
        <v>105.02</v>
      </c>
      <c r="E2123" s="12">
        <f>SUMIF('Parametros Inventario'!$A:$A,B2123,'Parametros Inventario'!$B:$B)+SUMIFS(D$2:D2123,B$2:B2123,B2123,C$2:C2123,"ENTRADA")-SUMIFS(D$2:D2123,B$2:B2123,B2123,C$2:C2123,"SALIDA")</f>
        <v>9507.9309999999987</v>
      </c>
    </row>
    <row r="2124" spans="1:5" x14ac:dyDescent="0.3">
      <c r="A2124" s="9">
        <v>44834</v>
      </c>
      <c r="B2124" s="10" t="s">
        <v>11</v>
      </c>
      <c r="C2124" s="10" t="s">
        <v>28</v>
      </c>
      <c r="D2124" s="12">
        <v>214.49</v>
      </c>
      <c r="E2124" s="12">
        <f>SUMIF('Parametros Inventario'!$A:$A,B2124,'Parametros Inventario'!$B:$B)+SUMIFS(D$2:D2124,B$2:B2124,B2124,C$2:C2124,"ENTRADA")-SUMIFS(D$2:D2124,B$2:B2124,B2124,C$2:C2124,"SALIDA")</f>
        <v>10898.227000000001</v>
      </c>
    </row>
    <row r="2125" spans="1:5" x14ac:dyDescent="0.3">
      <c r="A2125" s="9">
        <v>44834</v>
      </c>
      <c r="B2125" s="10" t="s">
        <v>9</v>
      </c>
      <c r="C2125" s="10" t="s">
        <v>28</v>
      </c>
      <c r="D2125" s="12">
        <v>119.61</v>
      </c>
      <c r="E2125" s="12">
        <f>SUMIF('Parametros Inventario'!$A:$A,B2125,'Parametros Inventario'!$B:$B)+SUMIFS(D$2:D2125,B$2:B2125,B2125,C$2:C2125,"ENTRADA")-SUMIFS(D$2:D2125,B$2:B2125,B2125,C$2:C2125,"SALIDA")</f>
        <v>7235.0360000000019</v>
      </c>
    </row>
    <row r="2126" spans="1:5" x14ac:dyDescent="0.3">
      <c r="A2126" s="9">
        <v>44834</v>
      </c>
      <c r="B2126" s="10" t="s">
        <v>14</v>
      </c>
      <c r="C2126" s="10" t="s">
        <v>28</v>
      </c>
      <c r="D2126" s="12">
        <v>205.98</v>
      </c>
      <c r="E2126" s="12">
        <f>SUMIF('Parametros Inventario'!$A:$A,B2126,'Parametros Inventario'!$B:$B)+SUMIFS(D$2:D2126,B$2:B2126,B2126,C$2:C2126,"ENTRADA")-SUMIFS(D$2:D2126,B$2:B2126,B2126,C$2:C2126,"SALIDA")</f>
        <v>10043.479000000001</v>
      </c>
    </row>
    <row r="2127" spans="1:5" x14ac:dyDescent="0.3">
      <c r="A2127" s="9">
        <v>44834</v>
      </c>
      <c r="B2127" s="10" t="s">
        <v>12</v>
      </c>
      <c r="C2127" s="10" t="s">
        <v>28</v>
      </c>
      <c r="D2127" s="12">
        <v>60.98</v>
      </c>
      <c r="E2127" s="12">
        <f>SUMIF('Parametros Inventario'!$A:$A,B2127,'Parametros Inventario'!$B:$B)+SUMIFS(D$2:D2127,B$2:B2127,B2127,C$2:C2127,"ENTRADA")-SUMIFS(D$2:D2127,B$2:B2127,B2127,C$2:C2127,"SALIDA")</f>
        <v>9721.8100000000031</v>
      </c>
    </row>
    <row r="2128" spans="1:5" x14ac:dyDescent="0.3">
      <c r="A2128" s="9">
        <v>44834</v>
      </c>
      <c r="B2128" s="10" t="s">
        <v>16</v>
      </c>
      <c r="C2128" s="10" t="s">
        <v>28</v>
      </c>
      <c r="D2128" s="12">
        <v>271.37</v>
      </c>
      <c r="E2128" s="12">
        <f>SUMIF('Parametros Inventario'!$A:$A,B2128,'Parametros Inventario'!$B:$B)+SUMIFS(D$2:D2128,B$2:B2128,B2128,C$2:C2128,"ENTRADA")-SUMIFS(D$2:D2128,B$2:B2128,B2128,C$2:C2128,"SALIDA")</f>
        <v>10570.006000000003</v>
      </c>
    </row>
    <row r="2129" spans="1:5" x14ac:dyDescent="0.3">
      <c r="A2129" s="9">
        <v>44834</v>
      </c>
      <c r="B2129" s="10" t="s">
        <v>17</v>
      </c>
      <c r="C2129" s="10" t="s">
        <v>28</v>
      </c>
      <c r="D2129" s="12">
        <v>152.77000000000001</v>
      </c>
      <c r="E2129" s="12">
        <f>SUMIF('Parametros Inventario'!$A:$A,B2129,'Parametros Inventario'!$B:$B)+SUMIFS(D$2:D2129,B$2:B2129,B2129,C$2:C2129,"ENTRADA")-SUMIFS(D$2:D2129,B$2:B2129,B2129,C$2:C2129,"SALIDA")</f>
        <v>8355.4600000000028</v>
      </c>
    </row>
    <row r="2130" spans="1:5" x14ac:dyDescent="0.3">
      <c r="A2130" s="9">
        <f>'Volúmenes DIstribuidos '!B1353</f>
        <v>44834</v>
      </c>
      <c r="B2130" s="10" t="str">
        <f>IF(OR('Volúmenes DIstribuidos '!C1353="Azúcar",'Volúmenes DIstribuidos '!C1353="azúcar"),"Azúcar o dulce",IF('Volúmenes DIstribuidos '!C1353="Aceite","Aceite o grasas",IF('Volúmenes DIstribuidos '!C1353="Avena","Otros almidones",'Volúmenes DIstribuidos '!C1353)))</f>
        <v>Carnes blancas</v>
      </c>
      <c r="C2130" s="10" t="s">
        <v>29</v>
      </c>
      <c r="D2130" s="12">
        <f>'Volúmenes DIstribuidos '!D1353</f>
        <v>60</v>
      </c>
      <c r="E2130" s="12">
        <f>SUMIF('Parametros Inventario'!$A:$A,B2130,'Parametros Inventario'!$B:$B)+SUMIFS(D$2:D2130,B$2:B2130,B2130,C$2:C2130,"ENTRADA")-SUMIFS(D$2:D2130,B$2:B2130,B2130,C$2:C2130,"SALIDA")</f>
        <v>10510.006000000003</v>
      </c>
    </row>
    <row r="2131" spans="1:5" x14ac:dyDescent="0.3">
      <c r="A2131" s="9">
        <f>'Volúmenes DIstribuidos '!B1353</f>
        <v>44834</v>
      </c>
      <c r="B2131" s="10" t="str">
        <f>IF(OR('Volúmenes DIstribuidos '!C1354="Azúcar",'Volúmenes DIstribuidos '!C1354="azúcar"),"Azúcar o dulce",IF('Volúmenes DIstribuidos '!C1354="Aceite","Aceite o grasas",IF('Volúmenes DIstribuidos '!C1354="Avena","Otros almidones",'Volúmenes DIstribuidos '!C1354)))</f>
        <v>Lácteos</v>
      </c>
      <c r="C2131" s="10" t="s">
        <v>29</v>
      </c>
      <c r="D2131" s="12">
        <f>'Volúmenes DIstribuidos '!D1354</f>
        <v>91.14</v>
      </c>
      <c r="E2131" s="12">
        <f>SUMIF('Parametros Inventario'!$A:$A,B2131,'Parametros Inventario'!$B:$B)+SUMIFS(D$2:D2131,B$2:B2131,B2131,C$2:C2131,"ENTRADA")-SUMIFS(D$2:D2131,B$2:B2131,B2131,C$2:C2131,"SALIDA")</f>
        <v>8264.3200000000033</v>
      </c>
    </row>
    <row r="2132" spans="1:5" x14ac:dyDescent="0.3">
      <c r="A2132" s="9">
        <f>'Volúmenes DIstribuidos '!B1353</f>
        <v>44834</v>
      </c>
      <c r="B2132" s="10" t="str">
        <f>IF(OR('Volúmenes DIstribuidos '!C1355="Azúcar",'Volúmenes DIstribuidos '!C1355="azúcar"),"Azúcar o dulce",IF('Volúmenes DIstribuidos '!C1355="Aceite","Aceite o grasas",IF('Volúmenes DIstribuidos '!C1355="Avena","Otros almidones",'Volúmenes DIstribuidos '!C1355)))</f>
        <v>Panadería</v>
      </c>
      <c r="C2132" s="10" t="s">
        <v>29</v>
      </c>
      <c r="D2132" s="12">
        <f>'Volúmenes DIstribuidos '!D1355</f>
        <v>123.16</v>
      </c>
      <c r="E2132" s="12">
        <f>SUMIF('Parametros Inventario'!$A:$A,B2132,'Parametros Inventario'!$B:$B)+SUMIFS(D$2:D2132,B$2:B2132,B2132,C$2:C2132,"ENTRADA")-SUMIFS(D$2:D2132,B$2:B2132,B2132,C$2:C2132,"SALIDA")</f>
        <v>7111.876000000002</v>
      </c>
    </row>
    <row r="2133" spans="1:5" x14ac:dyDescent="0.3">
      <c r="A2133" s="9">
        <f>'Volúmenes DIstribuidos '!B1353</f>
        <v>44834</v>
      </c>
      <c r="B2133" s="10" t="str">
        <f>IF(OR('Volúmenes DIstribuidos '!C1356="Azúcar",'Volúmenes DIstribuidos '!C1356="azúcar"),"Azúcar o dulce",IF('Volúmenes DIstribuidos '!C1356="Aceite","Aceite o grasas",IF('Volúmenes DIstribuidos '!C1356="Avena","Otros almidones",'Volúmenes DIstribuidos '!C1356)))</f>
        <v>Fideo</v>
      </c>
      <c r="C2133" s="10" t="s">
        <v>29</v>
      </c>
      <c r="D2133" s="12">
        <f>'Volúmenes DIstribuidos '!D1356</f>
        <v>64.11</v>
      </c>
      <c r="E2133" s="12">
        <f>SUMIF('Parametros Inventario'!$A:$A,B2133,'Parametros Inventario'!$B:$B)+SUMIFS(D$2:D2133,B$2:B2133,B2133,C$2:C2133,"ENTRADA")-SUMIFS(D$2:D2133,B$2:B2133,B2133,C$2:C2133,"SALIDA")</f>
        <v>10834.117000000002</v>
      </c>
    </row>
    <row r="2134" spans="1:5" x14ac:dyDescent="0.3">
      <c r="A2134" s="9">
        <f>'Volúmenes DIstribuidos '!B1353</f>
        <v>44834</v>
      </c>
      <c r="B2134" s="10" t="str">
        <f>IF(OR('Volúmenes DIstribuidos '!C1357="Azúcar",'Volúmenes DIstribuidos '!C1357="azúcar"),"Azúcar o dulce",IF('Volúmenes DIstribuidos '!C1357="Aceite","Aceite o grasas",IF('Volúmenes DIstribuidos '!C1357="Avena","Otros almidones",'Volúmenes DIstribuidos '!C1357)))</f>
        <v>Otros almidones</v>
      </c>
      <c r="C2134" s="10" t="s">
        <v>29</v>
      </c>
      <c r="D2134" s="12">
        <f>'Volúmenes DIstribuidos '!D1357</f>
        <v>39.274000000000001</v>
      </c>
      <c r="E2134" s="12">
        <f>SUMIF('Parametros Inventario'!$A:$A,B2134,'Parametros Inventario'!$B:$B)+SUMIFS(D$2:D2134,B$2:B2134,B2134,C$2:C2134,"ENTRADA")-SUMIFS(D$2:D2134,B$2:B2134,B2134,C$2:C2134,"SALIDA")</f>
        <v>9468.6569999999992</v>
      </c>
    </row>
    <row r="2135" spans="1:5" x14ac:dyDescent="0.3">
      <c r="A2135" s="9">
        <f>'Volúmenes DIstribuidos '!B1353</f>
        <v>44834</v>
      </c>
      <c r="B2135" s="10" t="str">
        <f>IF(OR('Volúmenes DIstribuidos '!C1358="Azúcar",'Volúmenes DIstribuidos '!C1358="azúcar"),"Azúcar o dulce",IF('Volúmenes DIstribuidos '!C1358="Aceite","Aceite o grasas",IF('Volúmenes DIstribuidos '!C1358="Avena","Otros almidones",'Volúmenes DIstribuidos '!C1358)))</f>
        <v>Carnes blancas</v>
      </c>
      <c r="C2135" s="10" t="s">
        <v>29</v>
      </c>
      <c r="D2135" s="12">
        <f>'Volúmenes DIstribuidos '!D1358</f>
        <v>30.07</v>
      </c>
      <c r="E2135" s="12">
        <f>SUMIF('Parametros Inventario'!$A:$A,B2135,'Parametros Inventario'!$B:$B)+SUMIFS(D$2:D2135,B$2:B2135,B2135,C$2:C2135,"ENTRADA")-SUMIFS(D$2:D2135,B$2:B2135,B2135,C$2:C2135,"SALIDA")</f>
        <v>10479.936000000002</v>
      </c>
    </row>
    <row r="2136" spans="1:5" x14ac:dyDescent="0.3">
      <c r="A2136" s="9">
        <f>'Volúmenes DIstribuidos '!B1359</f>
        <v>44838</v>
      </c>
      <c r="B2136" s="10" t="str">
        <f>IF(OR('Volúmenes DIstribuidos '!C1359="Azúcar",'Volúmenes DIstribuidos '!C1359="azúcar"),"Azúcar o dulce",IF('Volúmenes DIstribuidos '!C1359="Aceite","Aceite o grasas",IF('Volúmenes DIstribuidos '!C1359="Avena","Otros almidones",'Volúmenes DIstribuidos '!C1359)))</f>
        <v>Menestras</v>
      </c>
      <c r="C2136" s="10" t="s">
        <v>29</v>
      </c>
      <c r="D2136" s="12">
        <f>'Volúmenes DIstribuidos '!D1359</f>
        <v>61.29</v>
      </c>
      <c r="E2136" s="12">
        <f>SUMIF('Parametros Inventario'!$A:$A,B2136,'Parametros Inventario'!$B:$B)+SUMIFS(D$2:D2136,B$2:B2136,B2136,C$2:C2136,"ENTRADA")-SUMIFS(D$2:D2136,B$2:B2136,B2136,C$2:C2136,"SALIDA")</f>
        <v>9982.1890000000021</v>
      </c>
    </row>
    <row r="2137" spans="1:5" x14ac:dyDescent="0.3">
      <c r="A2137" s="9">
        <f>'Volúmenes DIstribuidos '!B1359</f>
        <v>44838</v>
      </c>
      <c r="B2137" s="10" t="str">
        <f>IF(OR('Volúmenes DIstribuidos '!C1360="Azúcar",'Volúmenes DIstribuidos '!C1360="azúcar"),"Azúcar o dulce",IF('Volúmenes DIstribuidos '!C1360="Aceite","Aceite o grasas",IF('Volúmenes DIstribuidos '!C1360="Avena","Otros almidones",'Volúmenes DIstribuidos '!C1360)))</f>
        <v>Otros almidones</v>
      </c>
      <c r="C2137" s="10" t="s">
        <v>29</v>
      </c>
      <c r="D2137" s="12">
        <f>'Volúmenes DIstribuidos '!D1360</f>
        <v>15.41</v>
      </c>
      <c r="E2137" s="12">
        <f>SUMIF('Parametros Inventario'!$A:$A,B2137,'Parametros Inventario'!$B:$B)+SUMIFS(D$2:D2137,B$2:B2137,B2137,C$2:C2137,"ENTRADA")-SUMIFS(D$2:D2137,B$2:B2137,B2137,C$2:C2137,"SALIDA")</f>
        <v>9453.2469999999994</v>
      </c>
    </row>
    <row r="2138" spans="1:5" x14ac:dyDescent="0.3">
      <c r="A2138" s="9">
        <f>'Volúmenes DIstribuidos '!B1359</f>
        <v>44838</v>
      </c>
      <c r="B2138" s="10" t="str">
        <f>IF(OR('Volúmenes DIstribuidos '!C1361="Azúcar",'Volúmenes DIstribuidos '!C1361="azúcar"),"Azúcar o dulce",IF('Volúmenes DIstribuidos '!C1361="Aceite","Aceite o grasas",IF('Volúmenes DIstribuidos '!C1361="Avena","Otros almidones",'Volúmenes DIstribuidos '!C1361)))</f>
        <v>Carnes rojas</v>
      </c>
      <c r="C2138" s="10" t="s">
        <v>29</v>
      </c>
      <c r="D2138" s="12">
        <f>'Volúmenes DIstribuidos '!D1361</f>
        <v>72.260000000000005</v>
      </c>
      <c r="E2138" s="12">
        <f>SUMIF('Parametros Inventario'!$A:$A,B2138,'Parametros Inventario'!$B:$B)+SUMIFS(D$2:D2138,B$2:B2138,B2138,C$2:C2138,"ENTRADA")-SUMIFS(D$2:D2138,B$2:B2138,B2138,C$2:C2138,"SALIDA")</f>
        <v>9649.5500000000029</v>
      </c>
    </row>
    <row r="2139" spans="1:5" x14ac:dyDescent="0.3">
      <c r="A2139" s="9">
        <f>'Volúmenes DIstribuidos '!B1359</f>
        <v>44838</v>
      </c>
      <c r="B2139" s="10" t="str">
        <f>IF(OR('Volúmenes DIstribuidos '!C1362="Azúcar",'Volúmenes DIstribuidos '!C1362="azúcar"),"Azúcar o dulce",IF('Volúmenes DIstribuidos '!C1362="Aceite","Aceite o grasas",IF('Volúmenes DIstribuidos '!C1362="Avena","Otros almidones",'Volúmenes DIstribuidos '!C1362)))</f>
        <v>Azúcar o dulce</v>
      </c>
      <c r="C2139" s="10" t="s">
        <v>29</v>
      </c>
      <c r="D2139" s="12">
        <f>'Volúmenes DIstribuidos '!D1362</f>
        <v>81.245000000000005</v>
      </c>
      <c r="E2139" s="12">
        <f>SUMIF('Parametros Inventario'!$A:$A,B2139,'Parametros Inventario'!$B:$B)+SUMIFS(D$2:D2139,B$2:B2139,B2139,C$2:C2139,"ENTRADA")-SUMIFS(D$2:D2139,B$2:B2139,B2139,C$2:C2139,"SALIDA")</f>
        <v>9994.3280000000013</v>
      </c>
    </row>
    <row r="2140" spans="1:5" x14ac:dyDescent="0.3">
      <c r="A2140" s="9">
        <f>'Volúmenes DIstribuidos '!B1359</f>
        <v>44838</v>
      </c>
      <c r="B2140" s="10" t="str">
        <f>IF(OR('Volúmenes DIstribuidos '!C1363="Azúcar",'Volúmenes DIstribuidos '!C1363="azúcar"),"Azúcar o dulce",IF('Volúmenes DIstribuidos '!C1363="Aceite","Aceite o grasas",IF('Volúmenes DIstribuidos '!C1363="Avena","Otros almidones",'Volúmenes DIstribuidos '!C1363)))</f>
        <v>Azúcar o dulce</v>
      </c>
      <c r="C2140" s="10" t="s">
        <v>29</v>
      </c>
      <c r="D2140" s="12">
        <f>'Volúmenes DIstribuidos '!D1363</f>
        <v>19.920000000000002</v>
      </c>
      <c r="E2140" s="12">
        <f>SUMIF('Parametros Inventario'!$A:$A,B2140,'Parametros Inventario'!$B:$B)+SUMIFS(D$2:D2140,B$2:B2140,B2140,C$2:C2140,"ENTRADA")-SUMIFS(D$2:D2140,B$2:B2140,B2140,C$2:C2140,"SALIDA")</f>
        <v>9974.4080000000013</v>
      </c>
    </row>
    <row r="2141" spans="1:5" x14ac:dyDescent="0.3">
      <c r="A2141" s="9">
        <f>'Volúmenes DIstribuidos '!B1359</f>
        <v>44838</v>
      </c>
      <c r="B2141" s="10" t="str">
        <f>IF(OR('Volúmenes DIstribuidos '!C1364="Azúcar",'Volúmenes DIstribuidos '!C1364="azúcar"),"Azúcar o dulce",IF('Volúmenes DIstribuidos '!C1364="Aceite","Aceite o grasas",IF('Volúmenes DIstribuidos '!C1364="Avena","Otros almidones",'Volúmenes DIstribuidos '!C1364)))</f>
        <v>Salsas</v>
      </c>
      <c r="C2141" s="10" t="s">
        <v>29</v>
      </c>
      <c r="D2141" s="12">
        <f>'Volúmenes DIstribuidos '!D1364</f>
        <v>19.670000000000002</v>
      </c>
      <c r="E2141" s="12">
        <f>SUMIF('Parametros Inventario'!$A:$A,B2141,'Parametros Inventario'!$B:$B)+SUMIFS(D$2:D2141,B$2:B2141,B2141,C$2:C2141,"ENTRADA")-SUMIFS(D$2:D2141,B$2:B2141,B2141,C$2:C2141,"SALIDA")</f>
        <v>9098.9769999999953</v>
      </c>
    </row>
    <row r="2142" spans="1:5" x14ac:dyDescent="0.3">
      <c r="A2142" s="9">
        <v>44841</v>
      </c>
      <c r="B2142" s="10" t="s">
        <v>18</v>
      </c>
      <c r="C2142" s="10" t="s">
        <v>28</v>
      </c>
      <c r="D2142" s="12">
        <v>241.89</v>
      </c>
      <c r="E2142" s="12">
        <f>SUMIF('Parametros Inventario'!$A:$A,B2142,'Parametros Inventario'!$B:$B)+SUMIFS(D$2:D2142,B$2:B2142,B2142,C$2:C2142,"ENTRADA")-SUMIFS(D$2:D2142,B$2:B2142,B2142,C$2:C2142,"SALIDA")</f>
        <v>9340.8669999999947</v>
      </c>
    </row>
    <row r="2143" spans="1:5" x14ac:dyDescent="0.3">
      <c r="A2143" s="9">
        <v>44841</v>
      </c>
      <c r="B2143" s="10" t="s">
        <v>10</v>
      </c>
      <c r="C2143" s="10" t="s">
        <v>28</v>
      </c>
      <c r="D2143" s="12">
        <v>174.89</v>
      </c>
      <c r="E2143" s="12">
        <f>SUMIF('Parametros Inventario'!$A:$A,B2143,'Parametros Inventario'!$B:$B)+SUMIFS(D$2:D2143,B$2:B2143,B2143,C$2:C2143,"ENTRADA")-SUMIFS(D$2:D2143,B$2:B2143,B2143,C$2:C2143,"SALIDA")</f>
        <v>10693.359999999997</v>
      </c>
    </row>
    <row r="2144" spans="1:5" x14ac:dyDescent="0.3">
      <c r="A2144" s="9">
        <v>44841</v>
      </c>
      <c r="B2144" s="10" t="s">
        <v>8</v>
      </c>
      <c r="C2144" s="10" t="s">
        <v>28</v>
      </c>
      <c r="D2144" s="12">
        <v>297.62</v>
      </c>
      <c r="E2144" s="12">
        <f>SUMIF('Parametros Inventario'!$A:$A,B2144,'Parametros Inventario'!$B:$B)+SUMIFS(D$2:D2144,B$2:B2144,B2144,C$2:C2144,"ENTRADA")-SUMIFS(D$2:D2144,B$2:B2144,B2144,C$2:C2144,"SALIDA")</f>
        <v>9190.9520000000011</v>
      </c>
    </row>
    <row r="2145" spans="1:5" x14ac:dyDescent="0.3">
      <c r="A2145" s="9">
        <v>44841</v>
      </c>
      <c r="B2145" s="10" t="s">
        <v>13</v>
      </c>
      <c r="C2145" s="10" t="s">
        <v>28</v>
      </c>
      <c r="D2145" s="12">
        <v>228.13</v>
      </c>
      <c r="E2145" s="12">
        <f>SUMIF('Parametros Inventario'!$A:$A,B2145,'Parametros Inventario'!$B:$B)+SUMIFS(D$2:D2145,B$2:B2145,B2145,C$2:C2145,"ENTRADA")-SUMIFS(D$2:D2145,B$2:B2145,B2145,C$2:C2145,"SALIDA")</f>
        <v>10202.538</v>
      </c>
    </row>
    <row r="2146" spans="1:5" x14ac:dyDescent="0.3">
      <c r="A2146" s="9">
        <v>44841</v>
      </c>
      <c r="B2146" s="10" t="s">
        <v>15</v>
      </c>
      <c r="C2146" s="10" t="s">
        <v>28</v>
      </c>
      <c r="D2146" s="12">
        <v>247.81</v>
      </c>
      <c r="E2146" s="12">
        <f>SUMIF('Parametros Inventario'!$A:$A,B2146,'Parametros Inventario'!$B:$B)+SUMIFS(D$2:D2146,B$2:B2146,B2146,C$2:C2146,"ENTRADA")-SUMIFS(D$2:D2146,B$2:B2146,B2146,C$2:C2146,"SALIDA")</f>
        <v>9701.0569999999989</v>
      </c>
    </row>
    <row r="2147" spans="1:5" x14ac:dyDescent="0.3">
      <c r="A2147" s="9">
        <v>44841</v>
      </c>
      <c r="B2147" s="10" t="s">
        <v>11</v>
      </c>
      <c r="C2147" s="10" t="s">
        <v>28</v>
      </c>
      <c r="D2147" s="12">
        <v>280.56</v>
      </c>
      <c r="E2147" s="12">
        <f>SUMIF('Parametros Inventario'!$A:$A,B2147,'Parametros Inventario'!$B:$B)+SUMIFS(D$2:D2147,B$2:B2147,B2147,C$2:C2147,"ENTRADA")-SUMIFS(D$2:D2147,B$2:B2147,B2147,C$2:C2147,"SALIDA")</f>
        <v>11114.677</v>
      </c>
    </row>
    <row r="2148" spans="1:5" x14ac:dyDescent="0.3">
      <c r="A2148" s="9">
        <v>44841</v>
      </c>
      <c r="B2148" s="10" t="s">
        <v>9</v>
      </c>
      <c r="C2148" s="10" t="s">
        <v>28</v>
      </c>
      <c r="D2148" s="12">
        <v>192.3</v>
      </c>
      <c r="E2148" s="12">
        <f>SUMIF('Parametros Inventario'!$A:$A,B2148,'Parametros Inventario'!$B:$B)+SUMIFS(D$2:D2148,B$2:B2148,B2148,C$2:C2148,"ENTRADA")-SUMIFS(D$2:D2148,B$2:B2148,B2148,C$2:C2148,"SALIDA")</f>
        <v>7304.1760000000013</v>
      </c>
    </row>
    <row r="2149" spans="1:5" x14ac:dyDescent="0.3">
      <c r="A2149" s="9">
        <v>44841</v>
      </c>
      <c r="B2149" s="10" t="s">
        <v>14</v>
      </c>
      <c r="C2149" s="10" t="s">
        <v>28</v>
      </c>
      <c r="D2149" s="12">
        <v>112.99</v>
      </c>
      <c r="E2149" s="12">
        <f>SUMIF('Parametros Inventario'!$A:$A,B2149,'Parametros Inventario'!$B:$B)+SUMIFS(D$2:D2149,B$2:B2149,B2149,C$2:C2149,"ENTRADA")-SUMIFS(D$2:D2149,B$2:B2149,B2149,C$2:C2149,"SALIDA")</f>
        <v>10095.179</v>
      </c>
    </row>
    <row r="2150" spans="1:5" x14ac:dyDescent="0.3">
      <c r="A2150" s="9">
        <v>44841</v>
      </c>
      <c r="B2150" s="10" t="s">
        <v>12</v>
      </c>
      <c r="C2150" s="10" t="s">
        <v>28</v>
      </c>
      <c r="D2150" s="12">
        <v>73.69</v>
      </c>
      <c r="E2150" s="12">
        <f>SUMIF('Parametros Inventario'!$A:$A,B2150,'Parametros Inventario'!$B:$B)+SUMIFS(D$2:D2150,B$2:B2150,B2150,C$2:C2150,"ENTRADA")-SUMIFS(D$2:D2150,B$2:B2150,B2150,C$2:C2150,"SALIDA")</f>
        <v>9723.2400000000034</v>
      </c>
    </row>
    <row r="2151" spans="1:5" x14ac:dyDescent="0.3">
      <c r="A2151" s="9">
        <v>44841</v>
      </c>
      <c r="B2151" s="10" t="s">
        <v>16</v>
      </c>
      <c r="C2151" s="10" t="s">
        <v>28</v>
      </c>
      <c r="D2151" s="12">
        <v>131.09</v>
      </c>
      <c r="E2151" s="12">
        <f>SUMIF('Parametros Inventario'!$A:$A,B2151,'Parametros Inventario'!$B:$B)+SUMIFS(D$2:D2151,B$2:B2151,B2151,C$2:C2151,"ENTRADA")-SUMIFS(D$2:D2151,B$2:B2151,B2151,C$2:C2151,"SALIDA")</f>
        <v>10611.026000000002</v>
      </c>
    </row>
    <row r="2152" spans="1:5" x14ac:dyDescent="0.3">
      <c r="A2152" s="9">
        <f>'Volúmenes DIstribuidos '!B1365</f>
        <v>44841</v>
      </c>
      <c r="B2152" s="10" t="str">
        <f>IF(OR('Volúmenes DIstribuidos '!C1365="Azúcar",'Volúmenes DIstribuidos '!C1365="azúcar"),"Azúcar o dulce",IF('Volúmenes DIstribuidos '!C1365="Aceite","Aceite o grasas",IF('Volúmenes DIstribuidos '!C1365="Avena","Otros almidones",'Volúmenes DIstribuidos '!C1365)))</f>
        <v>Carnes rojas</v>
      </c>
      <c r="C2152" s="10" t="s">
        <v>29</v>
      </c>
      <c r="D2152" s="12">
        <f>'Volúmenes DIstribuidos '!D1365</f>
        <v>22.274000000000001</v>
      </c>
      <c r="E2152" s="12">
        <f>SUMIF('Parametros Inventario'!$A:$A,B2152,'Parametros Inventario'!$B:$B)+SUMIFS(D$2:D2152,B$2:B2152,B2152,C$2:C2152,"ENTRADA")-SUMIFS(D$2:D2152,B$2:B2152,B2152,C$2:C2152,"SALIDA")</f>
        <v>9700.966000000004</v>
      </c>
    </row>
    <row r="2153" spans="1:5" x14ac:dyDescent="0.3">
      <c r="A2153" s="9">
        <f>'Volúmenes DIstribuidos '!B1365</f>
        <v>44841</v>
      </c>
      <c r="B2153" s="10" t="str">
        <f>IF(OR('Volúmenes DIstribuidos '!C1366="Azúcar",'Volúmenes DIstribuidos '!C1366="azúcar"),"Azúcar o dulce",IF('Volúmenes DIstribuidos '!C1366="Aceite","Aceite o grasas",IF('Volúmenes DIstribuidos '!C1366="Avena","Otros almidones",'Volúmenes DIstribuidos '!C1366)))</f>
        <v>Otros almidones</v>
      </c>
      <c r="C2153" s="10" t="s">
        <v>29</v>
      </c>
      <c r="D2153" s="12">
        <f>'Volúmenes DIstribuidos '!D1366</f>
        <v>9.52</v>
      </c>
      <c r="E2153" s="12">
        <f>SUMIF('Parametros Inventario'!$A:$A,B2153,'Parametros Inventario'!$B:$B)+SUMIFS(D$2:D2153,B$2:B2153,B2153,C$2:C2153,"ENTRADA")-SUMIFS(D$2:D2153,B$2:B2153,B2153,C$2:C2153,"SALIDA")</f>
        <v>9691.5369999999984</v>
      </c>
    </row>
    <row r="2154" spans="1:5" x14ac:dyDescent="0.3">
      <c r="A2154" s="9">
        <f>'Volúmenes DIstribuidos '!B1365</f>
        <v>44841</v>
      </c>
      <c r="B2154" s="10" t="str">
        <f>IF(OR('Volúmenes DIstribuidos '!C1367="Azúcar",'Volúmenes DIstribuidos '!C1367="azúcar"),"Azúcar o dulce",IF('Volúmenes DIstribuidos '!C1367="Aceite","Aceite o grasas",IF('Volúmenes DIstribuidos '!C1367="Avena","Otros almidones",'Volúmenes DIstribuidos '!C1367)))</f>
        <v>Carnes blancas</v>
      </c>
      <c r="C2154" s="10" t="s">
        <v>29</v>
      </c>
      <c r="D2154" s="12">
        <f>'Volúmenes DIstribuidos '!D1367</f>
        <v>20.12</v>
      </c>
      <c r="E2154" s="12">
        <f>SUMIF('Parametros Inventario'!$A:$A,B2154,'Parametros Inventario'!$B:$B)+SUMIFS(D$2:D2154,B$2:B2154,B2154,C$2:C2154,"ENTRADA")-SUMIFS(D$2:D2154,B$2:B2154,B2154,C$2:C2154,"SALIDA")</f>
        <v>10590.906000000003</v>
      </c>
    </row>
    <row r="2155" spans="1:5" x14ac:dyDescent="0.3">
      <c r="A2155" s="9">
        <f>'Volúmenes DIstribuidos '!B1365</f>
        <v>44841</v>
      </c>
      <c r="B2155" s="10" t="str">
        <f>IF(OR('Volúmenes DIstribuidos '!C1368="Azúcar",'Volúmenes DIstribuidos '!C1368="azúcar"),"Azúcar o dulce",IF('Volúmenes DIstribuidos '!C1368="Aceite","Aceite o grasas",IF('Volúmenes DIstribuidos '!C1368="Avena","Otros almidones",'Volúmenes DIstribuidos '!C1368)))</f>
        <v>Menestras</v>
      </c>
      <c r="C2155" s="10" t="s">
        <v>29</v>
      </c>
      <c r="D2155" s="12">
        <f>'Volúmenes DIstribuidos '!D1368</f>
        <v>14.778</v>
      </c>
      <c r="E2155" s="12">
        <f>SUMIF('Parametros Inventario'!$A:$A,B2155,'Parametros Inventario'!$B:$B)+SUMIFS(D$2:D2155,B$2:B2155,B2155,C$2:C2155,"ENTRADA")-SUMIFS(D$2:D2155,B$2:B2155,B2155,C$2:C2155,"SALIDA")</f>
        <v>10080.401000000002</v>
      </c>
    </row>
    <row r="2156" spans="1:5" x14ac:dyDescent="0.3">
      <c r="A2156" s="9">
        <f>'Volúmenes DIstribuidos '!B1365</f>
        <v>44841</v>
      </c>
      <c r="B2156" s="10" t="str">
        <f>IF(OR('Volúmenes DIstribuidos '!C1369="Azúcar",'Volúmenes DIstribuidos '!C1369="azúcar"),"Azúcar o dulce",IF('Volúmenes DIstribuidos '!C1369="Aceite","Aceite o grasas",IF('Volúmenes DIstribuidos '!C1369="Avena","Otros almidones",'Volúmenes DIstribuidos '!C1369)))</f>
        <v>Vegetales y hojas</v>
      </c>
      <c r="C2156" s="10" t="s">
        <v>29</v>
      </c>
      <c r="D2156" s="12">
        <f>'Volúmenes DIstribuidos '!D1369</f>
        <v>34.51</v>
      </c>
      <c r="E2156" s="12">
        <f>SUMIF('Parametros Inventario'!$A:$A,B2156,'Parametros Inventario'!$B:$B)+SUMIFS(D$2:D2156,B$2:B2156,B2156,C$2:C2156,"ENTRADA")-SUMIFS(D$2:D2156,B$2:B2156,B2156,C$2:C2156,"SALIDA")</f>
        <v>10658.849999999995</v>
      </c>
    </row>
    <row r="2157" spans="1:5" x14ac:dyDescent="0.3">
      <c r="A2157" s="9">
        <f>'Volúmenes DIstribuidos '!B1365</f>
        <v>44841</v>
      </c>
      <c r="B2157" s="10" t="str">
        <f>IF(OR('Volúmenes DIstribuidos '!C1370="Azúcar",'Volúmenes DIstribuidos '!C1370="azúcar"),"Azúcar o dulce",IF('Volúmenes DIstribuidos '!C1370="Aceite","Aceite o grasas",IF('Volúmenes DIstribuidos '!C1370="Avena","Otros almidones",'Volúmenes DIstribuidos '!C1370)))</f>
        <v>Aceite o grasas</v>
      </c>
      <c r="C2157" s="10" t="s">
        <v>29</v>
      </c>
      <c r="D2157" s="12">
        <f>'Volúmenes DIstribuidos '!D1370</f>
        <v>37.1</v>
      </c>
      <c r="E2157" s="12">
        <f>SUMIF('Parametros Inventario'!$A:$A,B2157,'Parametros Inventario'!$B:$B)+SUMIFS(D$2:D2157,B$2:B2157,B2157,C$2:C2157,"ENTRADA")-SUMIFS(D$2:D2157,B$2:B2157,B2157,C$2:C2157,"SALIDA")</f>
        <v>9153.8520000000026</v>
      </c>
    </row>
    <row r="2158" spans="1:5" x14ac:dyDescent="0.3">
      <c r="A2158" s="9">
        <f>'Volúmenes DIstribuidos '!B1371</f>
        <v>44845</v>
      </c>
      <c r="B2158" s="10" t="str">
        <f>IF(OR('Volúmenes DIstribuidos '!C1371="Azúcar",'Volúmenes DIstribuidos '!C1371="azúcar"),"Azúcar o dulce",IF('Volúmenes DIstribuidos '!C1371="Aceite","Aceite o grasas",IF('Volúmenes DIstribuidos '!C1371="Avena","Otros almidones",'Volúmenes DIstribuidos '!C1371)))</f>
        <v>Lácteos</v>
      </c>
      <c r="C2158" s="10" t="s">
        <v>29</v>
      </c>
      <c r="D2158" s="12">
        <f>'Volúmenes DIstribuidos '!D1371</f>
        <v>29.71</v>
      </c>
      <c r="E2158" s="12">
        <f>SUMIF('Parametros Inventario'!$A:$A,B2158,'Parametros Inventario'!$B:$B)+SUMIFS(D$2:D2158,B$2:B2158,B2158,C$2:C2158,"ENTRADA")-SUMIFS(D$2:D2158,B$2:B2158,B2158,C$2:C2158,"SALIDA")</f>
        <v>8234.6100000000042</v>
      </c>
    </row>
    <row r="2159" spans="1:5" x14ac:dyDescent="0.3">
      <c r="A2159" s="9">
        <f>'Volúmenes DIstribuidos '!B1371</f>
        <v>44845</v>
      </c>
      <c r="B2159" s="10" t="str">
        <f>IF(OR('Volúmenes DIstribuidos '!C1372="Azúcar",'Volúmenes DIstribuidos '!C1372="azúcar"),"Azúcar o dulce",IF('Volúmenes DIstribuidos '!C1372="Aceite","Aceite o grasas",IF('Volúmenes DIstribuidos '!C1372="Avena","Otros almidones",'Volúmenes DIstribuidos '!C1372)))</f>
        <v>Panadería</v>
      </c>
      <c r="C2159" s="10" t="s">
        <v>29</v>
      </c>
      <c r="D2159" s="12">
        <f>'Volúmenes DIstribuidos '!D1372</f>
        <v>12.26</v>
      </c>
      <c r="E2159" s="12">
        <f>SUMIF('Parametros Inventario'!$A:$A,B2159,'Parametros Inventario'!$B:$B)+SUMIFS(D$2:D2159,B$2:B2159,B2159,C$2:C2159,"ENTRADA")-SUMIFS(D$2:D2159,B$2:B2159,B2159,C$2:C2159,"SALIDA")</f>
        <v>7291.9160000000011</v>
      </c>
    </row>
    <row r="2160" spans="1:5" x14ac:dyDescent="0.3">
      <c r="A2160" s="9">
        <f>'Volúmenes DIstribuidos '!B1371</f>
        <v>44845</v>
      </c>
      <c r="B2160" s="10" t="str">
        <f>IF(OR('Volúmenes DIstribuidos '!C1373="Azúcar",'Volúmenes DIstribuidos '!C1373="azúcar"),"Azúcar o dulce",IF('Volúmenes DIstribuidos '!C1373="Aceite","Aceite o grasas",IF('Volúmenes DIstribuidos '!C1373="Avena","Otros almidones",'Volúmenes DIstribuidos '!C1373)))</f>
        <v>Carnes rojas</v>
      </c>
      <c r="C2160" s="10" t="s">
        <v>29</v>
      </c>
      <c r="D2160" s="12">
        <f>'Volúmenes DIstribuidos '!D1373</f>
        <v>8.6460000000000008</v>
      </c>
      <c r="E2160" s="12">
        <f>SUMIF('Parametros Inventario'!$A:$A,B2160,'Parametros Inventario'!$B:$B)+SUMIFS(D$2:D2160,B$2:B2160,B2160,C$2:C2160,"ENTRADA")-SUMIFS(D$2:D2160,B$2:B2160,B2160,C$2:C2160,"SALIDA")</f>
        <v>9692.3200000000033</v>
      </c>
    </row>
    <row r="2161" spans="1:5" x14ac:dyDescent="0.3">
      <c r="A2161" s="9">
        <f>'Volúmenes DIstribuidos '!B1371</f>
        <v>44845</v>
      </c>
      <c r="B2161" s="10" t="str">
        <f>IF(OR('Volúmenes DIstribuidos '!C1374="Azúcar",'Volúmenes DIstribuidos '!C1374="azúcar"),"Azúcar o dulce",IF('Volúmenes DIstribuidos '!C1374="Aceite","Aceite o grasas",IF('Volúmenes DIstribuidos '!C1374="Avena","Otros almidones",'Volúmenes DIstribuidos '!C1374)))</f>
        <v>Carnes blancas</v>
      </c>
      <c r="C2161" s="10" t="s">
        <v>29</v>
      </c>
      <c r="D2161" s="12">
        <f>'Volúmenes DIstribuidos '!D1374</f>
        <v>52.87</v>
      </c>
      <c r="E2161" s="12">
        <f>SUMIF('Parametros Inventario'!$A:$A,B2161,'Parametros Inventario'!$B:$B)+SUMIFS(D$2:D2161,B$2:B2161,B2161,C$2:C2161,"ENTRADA")-SUMIFS(D$2:D2161,B$2:B2161,B2161,C$2:C2161,"SALIDA")</f>
        <v>10538.036000000004</v>
      </c>
    </row>
    <row r="2162" spans="1:5" x14ac:dyDescent="0.3">
      <c r="A2162" s="9">
        <f>'Volúmenes DIstribuidos '!B1371</f>
        <v>44845</v>
      </c>
      <c r="B2162" s="10" t="str">
        <f>IF(OR('Volúmenes DIstribuidos '!C1375="Azúcar",'Volúmenes DIstribuidos '!C1375="azúcar"),"Azúcar o dulce",IF('Volúmenes DIstribuidos '!C1375="Aceite","Aceite o grasas",IF('Volúmenes DIstribuidos '!C1375="Avena","Otros almidones",'Volúmenes DIstribuidos '!C1375)))</f>
        <v>Azúcar o dulce</v>
      </c>
      <c r="C2162" s="10" t="s">
        <v>29</v>
      </c>
      <c r="D2162" s="12">
        <f>'Volúmenes DIstribuidos '!D1375</f>
        <v>30.92</v>
      </c>
      <c r="E2162" s="12">
        <f>SUMIF('Parametros Inventario'!$A:$A,B2162,'Parametros Inventario'!$B:$B)+SUMIFS(D$2:D2162,B$2:B2162,B2162,C$2:C2162,"ENTRADA")-SUMIFS(D$2:D2162,B$2:B2162,B2162,C$2:C2162,"SALIDA")</f>
        <v>10171.618</v>
      </c>
    </row>
    <row r="2163" spans="1:5" x14ac:dyDescent="0.3">
      <c r="A2163" s="9">
        <f>'Volúmenes DIstribuidos '!B1371</f>
        <v>44845</v>
      </c>
      <c r="B2163" s="10" t="str">
        <f>IF(OR('Volúmenes DIstribuidos '!C1376="Azúcar",'Volúmenes DIstribuidos '!C1376="azúcar"),"Azúcar o dulce",IF('Volúmenes DIstribuidos '!C1376="Aceite","Aceite o grasas",IF('Volúmenes DIstribuidos '!C1376="Avena","Otros almidones",'Volúmenes DIstribuidos '!C1376)))</f>
        <v>Carnes rojas</v>
      </c>
      <c r="C2163" s="10" t="s">
        <v>29</v>
      </c>
      <c r="D2163" s="12">
        <f>'Volúmenes DIstribuidos '!D1376</f>
        <v>19.54</v>
      </c>
      <c r="E2163" s="12">
        <f>SUMIF('Parametros Inventario'!$A:$A,B2163,'Parametros Inventario'!$B:$B)+SUMIFS(D$2:D2163,B$2:B2163,B2163,C$2:C2163,"ENTRADA")-SUMIFS(D$2:D2163,B$2:B2163,B2163,C$2:C2163,"SALIDA")</f>
        <v>9672.7800000000043</v>
      </c>
    </row>
    <row r="2164" spans="1:5" x14ac:dyDescent="0.3">
      <c r="A2164" s="9">
        <v>44848</v>
      </c>
      <c r="B2164" s="10" t="s">
        <v>17</v>
      </c>
      <c r="C2164" s="10" t="s">
        <v>28</v>
      </c>
      <c r="D2164" s="12">
        <v>207.72</v>
      </c>
      <c r="E2164" s="12">
        <f>SUMIF('Parametros Inventario'!$A:$A,B2164,'Parametros Inventario'!$B:$B)+SUMIFS(D$2:D2164,B$2:B2164,B2164,C$2:C2164,"ENTRADA")-SUMIFS(D$2:D2164,B$2:B2164,B2164,C$2:C2164,"SALIDA")</f>
        <v>8442.3300000000017</v>
      </c>
    </row>
    <row r="2165" spans="1:5" x14ac:dyDescent="0.3">
      <c r="A2165" s="9">
        <v>44848</v>
      </c>
      <c r="B2165" s="10" t="s">
        <v>18</v>
      </c>
      <c r="C2165" s="10" t="s">
        <v>28</v>
      </c>
      <c r="D2165" s="12">
        <v>147.13999999999999</v>
      </c>
      <c r="E2165" s="12">
        <f>SUMIF('Parametros Inventario'!$A:$A,B2165,'Parametros Inventario'!$B:$B)+SUMIFS(D$2:D2165,B$2:B2165,B2165,C$2:C2165,"ENTRADA")-SUMIFS(D$2:D2165,B$2:B2165,B2165,C$2:C2165,"SALIDA")</f>
        <v>9488.0069999999942</v>
      </c>
    </row>
    <row r="2166" spans="1:5" x14ac:dyDescent="0.3">
      <c r="A2166" s="9">
        <v>44848</v>
      </c>
      <c r="B2166" s="10" t="s">
        <v>10</v>
      </c>
      <c r="C2166" s="10" t="s">
        <v>28</v>
      </c>
      <c r="D2166" s="12">
        <v>281.14</v>
      </c>
      <c r="E2166" s="12">
        <f>SUMIF('Parametros Inventario'!$A:$A,B2166,'Parametros Inventario'!$B:$B)+SUMIFS(D$2:D2166,B$2:B2166,B2166,C$2:C2166,"ENTRADA")-SUMIFS(D$2:D2166,B$2:B2166,B2166,C$2:C2166,"SALIDA")</f>
        <v>10939.989999999994</v>
      </c>
    </row>
    <row r="2167" spans="1:5" x14ac:dyDescent="0.3">
      <c r="A2167" s="9">
        <v>44848</v>
      </c>
      <c r="B2167" s="10" t="s">
        <v>8</v>
      </c>
      <c r="C2167" s="10" t="s">
        <v>28</v>
      </c>
      <c r="D2167" s="12">
        <v>242.85</v>
      </c>
      <c r="E2167" s="12">
        <f>SUMIF('Parametros Inventario'!$A:$A,B2167,'Parametros Inventario'!$B:$B)+SUMIFS(D$2:D2167,B$2:B2167,B2167,C$2:C2167,"ENTRADA")-SUMIFS(D$2:D2167,B$2:B2167,B2167,C$2:C2167,"SALIDA")</f>
        <v>9396.7020000000011</v>
      </c>
    </row>
    <row r="2168" spans="1:5" x14ac:dyDescent="0.3">
      <c r="A2168" s="9">
        <v>44848</v>
      </c>
      <c r="B2168" s="10" t="s">
        <v>13</v>
      </c>
      <c r="C2168" s="10" t="s">
        <v>28</v>
      </c>
      <c r="D2168" s="12">
        <v>83.23</v>
      </c>
      <c r="E2168" s="12">
        <f>SUMIF('Parametros Inventario'!$A:$A,B2168,'Parametros Inventario'!$B:$B)+SUMIFS(D$2:D2168,B$2:B2168,B2168,C$2:C2168,"ENTRADA")-SUMIFS(D$2:D2168,B$2:B2168,B2168,C$2:C2168,"SALIDA")</f>
        <v>10254.848</v>
      </c>
    </row>
    <row r="2169" spans="1:5" x14ac:dyDescent="0.3">
      <c r="A2169" s="9">
        <v>44848</v>
      </c>
      <c r="B2169" s="10" t="s">
        <v>15</v>
      </c>
      <c r="C2169" s="10" t="s">
        <v>28</v>
      </c>
      <c r="D2169" s="12">
        <v>93.83</v>
      </c>
      <c r="E2169" s="12">
        <f>SUMIF('Parametros Inventario'!$A:$A,B2169,'Parametros Inventario'!$B:$B)+SUMIFS(D$2:D2169,B$2:B2169,B2169,C$2:C2169,"ENTRADA")-SUMIFS(D$2:D2169,B$2:B2169,B2169,C$2:C2169,"SALIDA")</f>
        <v>9785.3669999999984</v>
      </c>
    </row>
    <row r="2170" spans="1:5" x14ac:dyDescent="0.3">
      <c r="A2170" s="9">
        <v>44848</v>
      </c>
      <c r="B2170" s="10" t="s">
        <v>11</v>
      </c>
      <c r="C2170" s="10" t="s">
        <v>28</v>
      </c>
      <c r="D2170" s="12">
        <v>240.43</v>
      </c>
      <c r="E2170" s="12">
        <f>SUMIF('Parametros Inventario'!$A:$A,B2170,'Parametros Inventario'!$B:$B)+SUMIFS(D$2:D2170,B$2:B2170,B2170,C$2:C2170,"ENTRADA")-SUMIFS(D$2:D2170,B$2:B2170,B2170,C$2:C2170,"SALIDA")</f>
        <v>11355.107</v>
      </c>
    </row>
    <row r="2171" spans="1:5" x14ac:dyDescent="0.3">
      <c r="A2171" s="9">
        <v>44848</v>
      </c>
      <c r="B2171" s="10" t="s">
        <v>9</v>
      </c>
      <c r="C2171" s="10" t="s">
        <v>28</v>
      </c>
      <c r="D2171" s="12">
        <v>221.91</v>
      </c>
      <c r="E2171" s="12">
        <f>SUMIF('Parametros Inventario'!$A:$A,B2171,'Parametros Inventario'!$B:$B)+SUMIFS(D$2:D2171,B$2:B2171,B2171,C$2:C2171,"ENTRADA")-SUMIFS(D$2:D2171,B$2:B2171,B2171,C$2:C2171,"SALIDA")</f>
        <v>7513.8260000000009</v>
      </c>
    </row>
    <row r="2172" spans="1:5" x14ac:dyDescent="0.3">
      <c r="A2172" s="9">
        <f>'Volúmenes DIstribuidos '!B1377</f>
        <v>44848</v>
      </c>
      <c r="B2172" s="10" t="str">
        <f>IF(OR('Volúmenes DIstribuidos '!C1377="Azúcar",'Volúmenes DIstribuidos '!C1377="azúcar"),"Azúcar o dulce",IF('Volúmenes DIstribuidos '!C1377="Aceite","Aceite o grasas",IF('Volúmenes DIstribuidos '!C1377="Avena","Otros almidones",'Volúmenes DIstribuidos '!C1377)))</f>
        <v>Aceite o grasas</v>
      </c>
      <c r="C2172" s="10" t="s">
        <v>29</v>
      </c>
      <c r="D2172" s="12">
        <f>'Volúmenes DIstribuidos '!D1377</f>
        <v>10.29</v>
      </c>
      <c r="E2172" s="12">
        <f>SUMIF('Parametros Inventario'!$A:$A,B2172,'Parametros Inventario'!$B:$B)+SUMIFS(D$2:D2172,B$2:B2172,B2172,C$2:C2172,"ENTRADA")-SUMIFS(D$2:D2172,B$2:B2172,B2172,C$2:C2172,"SALIDA")</f>
        <v>9386.4120000000021</v>
      </c>
    </row>
    <row r="2173" spans="1:5" x14ac:dyDescent="0.3">
      <c r="A2173" s="9">
        <f>'Volúmenes DIstribuidos '!B1377</f>
        <v>44848</v>
      </c>
      <c r="B2173" s="10" t="str">
        <f>IF(OR('Volúmenes DIstribuidos '!C1378="Azúcar",'Volúmenes DIstribuidos '!C1378="azúcar"),"Azúcar o dulce",IF('Volúmenes DIstribuidos '!C1378="Aceite","Aceite o grasas",IF('Volúmenes DIstribuidos '!C1378="Avena","Otros almidones",'Volúmenes DIstribuidos '!C1378)))</f>
        <v>Lácteos</v>
      </c>
      <c r="C2173" s="10" t="s">
        <v>29</v>
      </c>
      <c r="D2173" s="12">
        <f>'Volúmenes DIstribuidos '!D1378</f>
        <v>41.468000000000004</v>
      </c>
      <c r="E2173" s="12">
        <f>SUMIF('Parametros Inventario'!$A:$A,B2173,'Parametros Inventario'!$B:$B)+SUMIFS(D$2:D2173,B$2:B2173,B2173,C$2:C2173,"ENTRADA")-SUMIFS(D$2:D2173,B$2:B2173,B2173,C$2:C2173,"SALIDA")</f>
        <v>8400.8620000000028</v>
      </c>
    </row>
    <row r="2174" spans="1:5" x14ac:dyDescent="0.3">
      <c r="A2174" s="9">
        <f>'Volúmenes DIstribuidos '!B1377</f>
        <v>44848</v>
      </c>
      <c r="B2174" s="10" t="str">
        <f>IF(OR('Volúmenes DIstribuidos '!C1379="Azúcar",'Volúmenes DIstribuidos '!C1379="azúcar"),"Azúcar o dulce",IF('Volúmenes DIstribuidos '!C1379="Aceite","Aceite o grasas",IF('Volúmenes DIstribuidos '!C1379="Avena","Otros almidones",'Volúmenes DIstribuidos '!C1379)))</f>
        <v>Salsas</v>
      </c>
      <c r="C2174" s="10" t="s">
        <v>29</v>
      </c>
      <c r="D2174" s="12">
        <f>'Volúmenes DIstribuidos '!D1379</f>
        <v>21.1</v>
      </c>
      <c r="E2174" s="12">
        <f>SUMIF('Parametros Inventario'!$A:$A,B2174,'Parametros Inventario'!$B:$B)+SUMIFS(D$2:D2174,B$2:B2174,B2174,C$2:C2174,"ENTRADA")-SUMIFS(D$2:D2174,B$2:B2174,B2174,C$2:C2174,"SALIDA")</f>
        <v>9466.9069999999956</v>
      </c>
    </row>
    <row r="2175" spans="1:5" x14ac:dyDescent="0.3">
      <c r="A2175" s="9">
        <f>'Volúmenes DIstribuidos '!B1377</f>
        <v>44848</v>
      </c>
      <c r="B2175" s="10" t="str">
        <f>IF(OR('Volúmenes DIstribuidos '!C1380="Azúcar",'Volúmenes DIstribuidos '!C1380="azúcar"),"Azúcar o dulce",IF('Volúmenes DIstribuidos '!C1380="Aceite","Aceite o grasas",IF('Volúmenes DIstribuidos '!C1380="Avena","Otros almidones",'Volúmenes DIstribuidos '!C1380)))</f>
        <v>Lácteos</v>
      </c>
      <c r="C2175" s="10" t="s">
        <v>29</v>
      </c>
      <c r="D2175" s="12">
        <f>'Volúmenes DIstribuidos '!D1380</f>
        <v>138.72999999999999</v>
      </c>
      <c r="E2175" s="12">
        <f>SUMIF('Parametros Inventario'!$A:$A,B2175,'Parametros Inventario'!$B:$B)+SUMIFS(D$2:D2175,B$2:B2175,B2175,C$2:C2175,"ENTRADA")-SUMIFS(D$2:D2175,B$2:B2175,B2175,C$2:C2175,"SALIDA")</f>
        <v>8262.1320000000032</v>
      </c>
    </row>
    <row r="2176" spans="1:5" x14ac:dyDescent="0.3">
      <c r="A2176" s="9">
        <f>'Volúmenes DIstribuidos '!B1377</f>
        <v>44848</v>
      </c>
      <c r="B2176" s="10" t="str">
        <f>IF(OR('Volúmenes DIstribuidos '!C1381="Azúcar",'Volúmenes DIstribuidos '!C1381="azúcar"),"Azúcar o dulce",IF('Volúmenes DIstribuidos '!C1381="Aceite","Aceite o grasas",IF('Volúmenes DIstribuidos '!C1381="Avena","Otros almidones",'Volúmenes DIstribuidos '!C1381)))</f>
        <v>Azúcar o dulce</v>
      </c>
      <c r="C2176" s="10" t="s">
        <v>29</v>
      </c>
      <c r="D2176" s="12">
        <f>'Volúmenes DIstribuidos '!D1381</f>
        <v>192.74</v>
      </c>
      <c r="E2176" s="12">
        <f>SUMIF('Parametros Inventario'!$A:$A,B2176,'Parametros Inventario'!$B:$B)+SUMIFS(D$2:D2176,B$2:B2176,B2176,C$2:C2176,"ENTRADA")-SUMIFS(D$2:D2176,B$2:B2176,B2176,C$2:C2176,"SALIDA")</f>
        <v>10062.108</v>
      </c>
    </row>
    <row r="2177" spans="1:5" x14ac:dyDescent="0.3">
      <c r="A2177" s="9">
        <f>'Volúmenes DIstribuidos '!B1377</f>
        <v>44848</v>
      </c>
      <c r="B2177" s="10" t="str">
        <f>IF(OR('Volúmenes DIstribuidos '!C1382="Azúcar",'Volúmenes DIstribuidos '!C1382="azúcar"),"Azúcar o dulce",IF('Volúmenes DIstribuidos '!C1382="Aceite","Aceite o grasas",IF('Volúmenes DIstribuidos '!C1382="Avena","Otros almidones",'Volúmenes DIstribuidos '!C1382)))</f>
        <v>Fideo</v>
      </c>
      <c r="C2177" s="10" t="s">
        <v>29</v>
      </c>
      <c r="D2177" s="12">
        <f>'Volúmenes DIstribuidos '!D1382</f>
        <v>46.27</v>
      </c>
      <c r="E2177" s="12">
        <f>SUMIF('Parametros Inventario'!$A:$A,B2177,'Parametros Inventario'!$B:$B)+SUMIFS(D$2:D2177,B$2:B2177,B2177,C$2:C2177,"ENTRADA")-SUMIFS(D$2:D2177,B$2:B2177,B2177,C$2:C2177,"SALIDA")</f>
        <v>11308.837000000001</v>
      </c>
    </row>
    <row r="2178" spans="1:5" x14ac:dyDescent="0.3">
      <c r="A2178" s="9">
        <f>'Volúmenes DIstribuidos '!B1383</f>
        <v>44852</v>
      </c>
      <c r="B2178" s="10" t="str">
        <f>IF(OR('Volúmenes DIstribuidos '!C1383="Azúcar",'Volúmenes DIstribuidos '!C1383="azúcar"),"Azúcar o dulce",IF('Volúmenes DIstribuidos '!C1383="Aceite","Aceite o grasas",IF('Volúmenes DIstribuidos '!C1383="Avena","Otros almidones",'Volúmenes DIstribuidos '!C1383)))</f>
        <v>Carnes rojas</v>
      </c>
      <c r="C2178" s="10" t="s">
        <v>29</v>
      </c>
      <c r="D2178" s="12">
        <f>'Volúmenes DIstribuidos '!D1383</f>
        <v>39.94</v>
      </c>
      <c r="E2178" s="12">
        <f>SUMIF('Parametros Inventario'!$A:$A,B2178,'Parametros Inventario'!$B:$B)+SUMIFS(D$2:D2178,B$2:B2178,B2178,C$2:C2178,"ENTRADA")-SUMIFS(D$2:D2178,B$2:B2178,B2178,C$2:C2178,"SALIDA")</f>
        <v>9632.8400000000038</v>
      </c>
    </row>
    <row r="2179" spans="1:5" x14ac:dyDescent="0.3">
      <c r="A2179" s="9">
        <f>'Volúmenes DIstribuidos '!B1383</f>
        <v>44852</v>
      </c>
      <c r="B2179" s="10" t="str">
        <f>IF(OR('Volúmenes DIstribuidos '!C1384="Azúcar",'Volúmenes DIstribuidos '!C1384="azúcar"),"Azúcar o dulce",IF('Volúmenes DIstribuidos '!C1384="Aceite","Aceite o grasas",IF('Volúmenes DIstribuidos '!C1384="Avena","Otros almidones",'Volúmenes DIstribuidos '!C1384)))</f>
        <v>Aceite o grasas</v>
      </c>
      <c r="C2179" s="10" t="s">
        <v>29</v>
      </c>
      <c r="D2179" s="12">
        <f>'Volúmenes DIstribuidos '!D1384</f>
        <v>10.189</v>
      </c>
      <c r="E2179" s="12">
        <f>SUMIF('Parametros Inventario'!$A:$A,B2179,'Parametros Inventario'!$B:$B)+SUMIFS(D$2:D2179,B$2:B2179,B2179,C$2:C2179,"ENTRADA")-SUMIFS(D$2:D2179,B$2:B2179,B2179,C$2:C2179,"SALIDA")</f>
        <v>9376.2230000000018</v>
      </c>
    </row>
    <row r="2180" spans="1:5" x14ac:dyDescent="0.3">
      <c r="A2180" s="9">
        <f>'Volúmenes DIstribuidos '!B1383</f>
        <v>44852</v>
      </c>
      <c r="B2180" s="10" t="str">
        <f>IF(OR('Volúmenes DIstribuidos '!C1385="Azúcar",'Volúmenes DIstribuidos '!C1385="azúcar"),"Azúcar o dulce",IF('Volúmenes DIstribuidos '!C1385="Aceite","Aceite o grasas",IF('Volúmenes DIstribuidos '!C1385="Avena","Otros almidones",'Volúmenes DIstribuidos '!C1385)))</f>
        <v>Carnes rojas</v>
      </c>
      <c r="C2180" s="10" t="s">
        <v>29</v>
      </c>
      <c r="D2180" s="12">
        <f>'Volúmenes DIstribuidos '!D1385</f>
        <v>7.55</v>
      </c>
      <c r="E2180" s="12">
        <f>SUMIF('Parametros Inventario'!$A:$A,B2180,'Parametros Inventario'!$B:$B)+SUMIFS(D$2:D2180,B$2:B2180,B2180,C$2:C2180,"ENTRADA")-SUMIFS(D$2:D2180,B$2:B2180,B2180,C$2:C2180,"SALIDA")</f>
        <v>9625.2900000000045</v>
      </c>
    </row>
    <row r="2181" spans="1:5" x14ac:dyDescent="0.3">
      <c r="A2181" s="9">
        <f>'Volúmenes DIstribuidos '!B1383</f>
        <v>44852</v>
      </c>
      <c r="B2181" s="10" t="str">
        <f>IF(OR('Volúmenes DIstribuidos '!C1386="Azúcar",'Volúmenes DIstribuidos '!C1386="azúcar"),"Azúcar o dulce",IF('Volúmenes DIstribuidos '!C1386="Aceite","Aceite o grasas",IF('Volúmenes DIstribuidos '!C1386="Avena","Otros almidones",'Volúmenes DIstribuidos '!C1386)))</f>
        <v>Aceite o grasas</v>
      </c>
      <c r="C2181" s="10" t="s">
        <v>29</v>
      </c>
      <c r="D2181" s="12">
        <f>'Volúmenes DIstribuidos '!D1386</f>
        <v>20.239999999999998</v>
      </c>
      <c r="E2181" s="12">
        <f>SUMIF('Parametros Inventario'!$A:$A,B2181,'Parametros Inventario'!$B:$B)+SUMIFS(D$2:D2181,B$2:B2181,B2181,C$2:C2181,"ENTRADA")-SUMIFS(D$2:D2181,B$2:B2181,B2181,C$2:C2181,"SALIDA")</f>
        <v>9355.983000000002</v>
      </c>
    </row>
    <row r="2182" spans="1:5" x14ac:dyDescent="0.3">
      <c r="A2182" s="9">
        <f>'Volúmenes DIstribuidos '!B1383</f>
        <v>44852</v>
      </c>
      <c r="B2182" s="10" t="str">
        <f>IF(OR('Volúmenes DIstribuidos '!C1387="Azúcar",'Volúmenes DIstribuidos '!C1387="azúcar"),"Azúcar o dulce",IF('Volúmenes DIstribuidos '!C1387="Aceite","Aceite o grasas",IF('Volúmenes DIstribuidos '!C1387="Avena","Otros almidones",'Volúmenes DIstribuidos '!C1387)))</f>
        <v>Otros almidones</v>
      </c>
      <c r="C2182" s="10" t="s">
        <v>29</v>
      </c>
      <c r="D2182" s="12">
        <f>'Volúmenes DIstribuidos '!D1387</f>
        <v>11.022</v>
      </c>
      <c r="E2182" s="12">
        <f>SUMIF('Parametros Inventario'!$A:$A,B2182,'Parametros Inventario'!$B:$B)+SUMIFS(D$2:D2182,B$2:B2182,B2182,C$2:C2182,"ENTRADA")-SUMIFS(D$2:D2182,B$2:B2182,B2182,C$2:C2182,"SALIDA")</f>
        <v>9774.3449999999975</v>
      </c>
    </row>
    <row r="2183" spans="1:5" x14ac:dyDescent="0.3">
      <c r="A2183" s="9">
        <f>'Volúmenes DIstribuidos '!B1383</f>
        <v>44852</v>
      </c>
      <c r="B2183" s="10" t="str">
        <f>IF(OR('Volúmenes DIstribuidos '!C1388="Azúcar",'Volúmenes DIstribuidos '!C1388="azúcar"),"Azúcar o dulce",IF('Volúmenes DIstribuidos '!C1388="Aceite","Aceite o grasas",IF('Volúmenes DIstribuidos '!C1388="Avena","Otros almidones",'Volúmenes DIstribuidos '!C1388)))</f>
        <v>Carnes blancas</v>
      </c>
      <c r="C2183" s="10" t="s">
        <v>29</v>
      </c>
      <c r="D2183" s="12">
        <f>'Volúmenes DIstribuidos '!D1388</f>
        <v>14.53</v>
      </c>
      <c r="E2183" s="12">
        <f>SUMIF('Parametros Inventario'!$A:$A,B2183,'Parametros Inventario'!$B:$B)+SUMIFS(D$2:D2183,B$2:B2183,B2183,C$2:C2183,"ENTRADA")-SUMIFS(D$2:D2183,B$2:B2183,B2183,C$2:C2183,"SALIDA")</f>
        <v>10523.506000000003</v>
      </c>
    </row>
    <row r="2184" spans="1:5" x14ac:dyDescent="0.3">
      <c r="A2184" s="9">
        <f>'Volúmenes DIstribuidos '!B1389</f>
        <v>44855</v>
      </c>
      <c r="B2184" s="10" t="str">
        <f>IF(OR('Volúmenes DIstribuidos '!C1389="Azúcar",'Volúmenes DIstribuidos '!C1389="azúcar"),"Azúcar o dulce",IF('Volúmenes DIstribuidos '!C1389="Aceite","Aceite o grasas",IF('Volúmenes DIstribuidos '!C1389="Avena","Otros almidones",'Volúmenes DIstribuidos '!C1389)))</f>
        <v>Lácteos</v>
      </c>
      <c r="C2184" s="10" t="s">
        <v>29</v>
      </c>
      <c r="D2184" s="12">
        <f>'Volúmenes DIstribuidos '!D1389</f>
        <v>44.97</v>
      </c>
      <c r="E2184" s="12">
        <f>SUMIF('Parametros Inventario'!$A:$A,B2184,'Parametros Inventario'!$B:$B)+SUMIFS(D$2:D2184,B$2:B2184,B2184,C$2:C2184,"ENTRADA")-SUMIFS(D$2:D2184,B$2:B2184,B2184,C$2:C2184,"SALIDA")</f>
        <v>8217.1620000000039</v>
      </c>
    </row>
    <row r="2185" spans="1:5" x14ac:dyDescent="0.3">
      <c r="A2185" s="9">
        <f>'Volúmenes DIstribuidos '!B1389</f>
        <v>44855</v>
      </c>
      <c r="B2185" s="10" t="str">
        <f>IF(OR('Volúmenes DIstribuidos '!C1390="Azúcar",'Volúmenes DIstribuidos '!C1390="azúcar"),"Azúcar o dulce",IF('Volúmenes DIstribuidos '!C1390="Aceite","Aceite o grasas",IF('Volúmenes DIstribuidos '!C1390="Avena","Otros almidones",'Volúmenes DIstribuidos '!C1390)))</f>
        <v>Fideo</v>
      </c>
      <c r="C2185" s="10" t="s">
        <v>29</v>
      </c>
      <c r="D2185" s="12">
        <f>'Volúmenes DIstribuidos '!D1390</f>
        <v>46.204000000000001</v>
      </c>
      <c r="E2185" s="12">
        <f>SUMIF('Parametros Inventario'!$A:$A,B2185,'Parametros Inventario'!$B:$B)+SUMIFS(D$2:D2185,B$2:B2185,B2185,C$2:C2185,"ENTRADA")-SUMIFS(D$2:D2185,B$2:B2185,B2185,C$2:C2185,"SALIDA")</f>
        <v>11262.633000000002</v>
      </c>
    </row>
    <row r="2186" spans="1:5" x14ac:dyDescent="0.3">
      <c r="A2186" s="9">
        <f>'Volúmenes DIstribuidos '!B1389</f>
        <v>44855</v>
      </c>
      <c r="B2186" s="10" t="str">
        <f>IF(OR('Volúmenes DIstribuidos '!C1391="Azúcar",'Volúmenes DIstribuidos '!C1391="azúcar"),"Azúcar o dulce",IF('Volúmenes DIstribuidos '!C1391="Aceite","Aceite o grasas",IF('Volúmenes DIstribuidos '!C1391="Avena","Otros almidones",'Volúmenes DIstribuidos '!C1391)))</f>
        <v>Carnes rojas</v>
      </c>
      <c r="C2186" s="10" t="s">
        <v>29</v>
      </c>
      <c r="D2186" s="12">
        <f>'Volúmenes DIstribuidos '!D1391</f>
        <v>14.02</v>
      </c>
      <c r="E2186" s="12">
        <f>SUMIF('Parametros Inventario'!$A:$A,B2186,'Parametros Inventario'!$B:$B)+SUMIFS(D$2:D2186,B$2:B2186,B2186,C$2:C2186,"ENTRADA")-SUMIFS(D$2:D2186,B$2:B2186,B2186,C$2:C2186,"SALIDA")</f>
        <v>9611.2700000000041</v>
      </c>
    </row>
    <row r="2187" spans="1:5" x14ac:dyDescent="0.3">
      <c r="A2187" s="9">
        <f>'Volúmenes DIstribuidos '!B1389</f>
        <v>44855</v>
      </c>
      <c r="B2187" s="10" t="str">
        <f>IF(OR('Volúmenes DIstribuidos '!C1392="Azúcar",'Volúmenes DIstribuidos '!C1392="azúcar"),"Azúcar o dulce",IF('Volúmenes DIstribuidos '!C1392="Aceite","Aceite o grasas",IF('Volúmenes DIstribuidos '!C1392="Avena","Otros almidones",'Volúmenes DIstribuidos '!C1392)))</f>
        <v>Carnes blancas</v>
      </c>
      <c r="C2187" s="10" t="s">
        <v>29</v>
      </c>
      <c r="D2187" s="12">
        <f>'Volúmenes DIstribuidos '!D1392</f>
        <v>12.68</v>
      </c>
      <c r="E2187" s="12">
        <f>SUMIF('Parametros Inventario'!$A:$A,B2187,'Parametros Inventario'!$B:$B)+SUMIFS(D$2:D2187,B$2:B2187,B2187,C$2:C2187,"ENTRADA")-SUMIFS(D$2:D2187,B$2:B2187,B2187,C$2:C2187,"SALIDA")</f>
        <v>10510.826000000003</v>
      </c>
    </row>
    <row r="2188" spans="1:5" x14ac:dyDescent="0.3">
      <c r="A2188" s="9">
        <f>'Volúmenes DIstribuidos '!B1389</f>
        <v>44855</v>
      </c>
      <c r="B2188" s="10" t="str">
        <f>IF(OR('Volúmenes DIstribuidos '!C1393="Azúcar",'Volúmenes DIstribuidos '!C1393="azúcar"),"Azúcar o dulce",IF('Volúmenes DIstribuidos '!C1393="Aceite","Aceite o grasas",IF('Volúmenes DIstribuidos '!C1393="Avena","Otros almidones",'Volúmenes DIstribuidos '!C1393)))</f>
        <v>Aceite o grasas</v>
      </c>
      <c r="C2188" s="10" t="s">
        <v>29</v>
      </c>
      <c r="D2188" s="12">
        <f>'Volúmenes DIstribuidos '!D1393</f>
        <v>23.38</v>
      </c>
      <c r="E2188" s="12">
        <f>SUMIF('Parametros Inventario'!$A:$A,B2188,'Parametros Inventario'!$B:$B)+SUMIFS(D$2:D2188,B$2:B2188,B2188,C$2:C2188,"ENTRADA")-SUMIFS(D$2:D2188,B$2:B2188,B2188,C$2:C2188,"SALIDA")</f>
        <v>9332.6030000000028</v>
      </c>
    </row>
    <row r="2189" spans="1:5" x14ac:dyDescent="0.3">
      <c r="A2189" s="9">
        <f>'Volúmenes DIstribuidos '!B1389</f>
        <v>44855</v>
      </c>
      <c r="B2189" s="10" t="str">
        <f>IF(OR('Volúmenes DIstribuidos '!C1394="Azúcar",'Volúmenes DIstribuidos '!C1394="azúcar"),"Azúcar o dulce",IF('Volúmenes DIstribuidos '!C1394="Aceite","Aceite o grasas",IF('Volúmenes DIstribuidos '!C1394="Avena","Otros almidones",'Volúmenes DIstribuidos '!C1394)))</f>
        <v>Salsas</v>
      </c>
      <c r="C2189" s="10" t="s">
        <v>29</v>
      </c>
      <c r="D2189" s="12">
        <f>'Volúmenes DIstribuidos '!D1394</f>
        <v>93.49</v>
      </c>
      <c r="E2189" s="12">
        <f>SUMIF('Parametros Inventario'!$A:$A,B2189,'Parametros Inventario'!$B:$B)+SUMIFS(D$2:D2189,B$2:B2189,B2189,C$2:C2189,"ENTRADA")-SUMIFS(D$2:D2189,B$2:B2189,B2189,C$2:C2189,"SALIDA")</f>
        <v>9373.4169999999958</v>
      </c>
    </row>
    <row r="2190" spans="1:5" x14ac:dyDescent="0.3">
      <c r="A2190" s="9">
        <f>'Volúmenes DIstribuidos '!B1395</f>
        <v>44859</v>
      </c>
      <c r="B2190" s="10" t="str">
        <f>IF(OR('Volúmenes DIstribuidos '!C1395="Azúcar",'Volúmenes DIstribuidos '!C1395="azúcar"),"Azúcar o dulce",IF('Volúmenes DIstribuidos '!C1395="Aceite","Aceite o grasas",IF('Volúmenes DIstribuidos '!C1395="Avena","Otros almidones",'Volúmenes DIstribuidos '!C1395)))</f>
        <v>Fideo</v>
      </c>
      <c r="C2190" s="10" t="s">
        <v>29</v>
      </c>
      <c r="D2190" s="12">
        <f>'Volúmenes DIstribuidos '!D1395</f>
        <v>29.7</v>
      </c>
      <c r="E2190" s="12">
        <f>SUMIF('Parametros Inventario'!$A:$A,B2190,'Parametros Inventario'!$B:$B)+SUMIFS(D$2:D2190,B$2:B2190,B2190,C$2:C2190,"ENTRADA")-SUMIFS(D$2:D2190,B$2:B2190,B2190,C$2:C2190,"SALIDA")</f>
        <v>11232.933000000001</v>
      </c>
    </row>
    <row r="2191" spans="1:5" x14ac:dyDescent="0.3">
      <c r="A2191" s="9">
        <f>'Volúmenes DIstribuidos '!B1395</f>
        <v>44859</v>
      </c>
      <c r="B2191" s="10" t="str">
        <f>IF(OR('Volúmenes DIstribuidos '!C1396="Azúcar",'Volúmenes DIstribuidos '!C1396="azúcar"),"Azúcar o dulce",IF('Volúmenes DIstribuidos '!C1396="Aceite","Aceite o grasas",IF('Volúmenes DIstribuidos '!C1396="Avena","Otros almidones",'Volúmenes DIstribuidos '!C1396)))</f>
        <v>Otros almidones</v>
      </c>
      <c r="C2191" s="10" t="s">
        <v>29</v>
      </c>
      <c r="D2191" s="12">
        <f>'Volúmenes DIstribuidos '!D1396</f>
        <v>44.771999999999998</v>
      </c>
      <c r="E2191" s="12">
        <f>SUMIF('Parametros Inventario'!$A:$A,B2191,'Parametros Inventario'!$B:$B)+SUMIFS(D$2:D2191,B$2:B2191,B2191,C$2:C2191,"ENTRADA")-SUMIFS(D$2:D2191,B$2:B2191,B2191,C$2:C2191,"SALIDA")</f>
        <v>9729.5729999999985</v>
      </c>
    </row>
    <row r="2192" spans="1:5" x14ac:dyDescent="0.3">
      <c r="A2192" s="9">
        <f>'Volúmenes DIstribuidos '!B1395</f>
        <v>44859</v>
      </c>
      <c r="B2192" s="10" t="str">
        <f>IF(OR('Volúmenes DIstribuidos '!C1397="Azúcar",'Volúmenes DIstribuidos '!C1397="azúcar"),"Azúcar o dulce",IF('Volúmenes DIstribuidos '!C1397="Aceite","Aceite o grasas",IF('Volúmenes DIstribuidos '!C1397="Avena","Otros almidones",'Volúmenes DIstribuidos '!C1397)))</f>
        <v>Fideo</v>
      </c>
      <c r="C2192" s="10" t="s">
        <v>29</v>
      </c>
      <c r="D2192" s="12">
        <f>'Volúmenes DIstribuidos '!D1397</f>
        <v>10.050000000000001</v>
      </c>
      <c r="E2192" s="12">
        <f>SUMIF('Parametros Inventario'!$A:$A,B2192,'Parametros Inventario'!$B:$B)+SUMIFS(D$2:D2192,B$2:B2192,B2192,C$2:C2192,"ENTRADA")-SUMIFS(D$2:D2192,B$2:B2192,B2192,C$2:C2192,"SALIDA")</f>
        <v>11222.883000000002</v>
      </c>
    </row>
    <row r="2193" spans="1:5" x14ac:dyDescent="0.3">
      <c r="A2193" s="9">
        <f>'Volúmenes DIstribuidos '!B1395</f>
        <v>44859</v>
      </c>
      <c r="B2193" s="10" t="str">
        <f>IF(OR('Volúmenes DIstribuidos '!C1398="Azúcar",'Volúmenes DIstribuidos '!C1398="azúcar"),"Azúcar o dulce",IF('Volúmenes DIstribuidos '!C1398="Aceite","Aceite o grasas",IF('Volúmenes DIstribuidos '!C1398="Avena","Otros almidones",'Volúmenes DIstribuidos '!C1398)))</f>
        <v>Lácteos</v>
      </c>
      <c r="C2193" s="10" t="s">
        <v>29</v>
      </c>
      <c r="D2193" s="12">
        <f>'Volúmenes DIstribuidos '!D1398</f>
        <v>21.87</v>
      </c>
      <c r="E2193" s="12">
        <f>SUMIF('Parametros Inventario'!$A:$A,B2193,'Parametros Inventario'!$B:$B)+SUMIFS(D$2:D2193,B$2:B2193,B2193,C$2:C2193,"ENTRADA")-SUMIFS(D$2:D2193,B$2:B2193,B2193,C$2:C2193,"SALIDA")</f>
        <v>8195.2920000000031</v>
      </c>
    </row>
    <row r="2194" spans="1:5" x14ac:dyDescent="0.3">
      <c r="A2194" s="9">
        <f>'Volúmenes DIstribuidos '!B1395</f>
        <v>44859</v>
      </c>
      <c r="B2194" s="10" t="str">
        <f>IF(OR('Volúmenes DIstribuidos '!C1399="Azúcar",'Volúmenes DIstribuidos '!C1399="azúcar"),"Azúcar o dulce",IF('Volúmenes DIstribuidos '!C1399="Aceite","Aceite o grasas",IF('Volúmenes DIstribuidos '!C1399="Avena","Otros almidones",'Volúmenes DIstribuidos '!C1399)))</f>
        <v>Otros almidones</v>
      </c>
      <c r="C2194" s="10" t="s">
        <v>29</v>
      </c>
      <c r="D2194" s="12">
        <f>'Volúmenes DIstribuidos '!D1399</f>
        <v>12.12</v>
      </c>
      <c r="E2194" s="12">
        <f>SUMIF('Parametros Inventario'!$A:$A,B2194,'Parametros Inventario'!$B:$B)+SUMIFS(D$2:D2194,B$2:B2194,B2194,C$2:C2194,"ENTRADA")-SUMIFS(D$2:D2194,B$2:B2194,B2194,C$2:C2194,"SALIDA")</f>
        <v>9717.4529999999977</v>
      </c>
    </row>
    <row r="2195" spans="1:5" x14ac:dyDescent="0.3">
      <c r="A2195" s="9">
        <f>'Volúmenes DIstribuidos '!B1395</f>
        <v>44859</v>
      </c>
      <c r="B2195" s="10" t="str">
        <f>IF(OR('Volúmenes DIstribuidos '!C1400="Azúcar",'Volúmenes DIstribuidos '!C1400="azúcar"),"Azúcar o dulce",IF('Volúmenes DIstribuidos '!C1400="Aceite","Aceite o grasas",IF('Volúmenes DIstribuidos '!C1400="Avena","Otros almidones",'Volúmenes DIstribuidos '!C1400)))</f>
        <v>Carnes blancas</v>
      </c>
      <c r="C2195" s="10" t="s">
        <v>29</v>
      </c>
      <c r="D2195" s="12">
        <f>'Volúmenes DIstribuidos '!D1400</f>
        <v>5.92</v>
      </c>
      <c r="E2195" s="12">
        <f>SUMIF('Parametros Inventario'!$A:$A,B2195,'Parametros Inventario'!$B:$B)+SUMIFS(D$2:D2195,B$2:B2195,B2195,C$2:C2195,"ENTRADA")-SUMIFS(D$2:D2195,B$2:B2195,B2195,C$2:C2195,"SALIDA")</f>
        <v>10504.906000000003</v>
      </c>
    </row>
    <row r="2196" spans="1:5" x14ac:dyDescent="0.3">
      <c r="A2196" s="9">
        <f>'Volúmenes DIstribuidos '!B1401</f>
        <v>44862</v>
      </c>
      <c r="B2196" s="10" t="str">
        <f>IF(OR('Volúmenes DIstribuidos '!C1401="Azúcar",'Volúmenes DIstribuidos '!C1401="azúcar"),"Azúcar o dulce",IF('Volúmenes DIstribuidos '!C1401="Aceite","Aceite o grasas",IF('Volúmenes DIstribuidos '!C1401="Avena","Otros almidones",'Volúmenes DIstribuidos '!C1401)))</f>
        <v>Aceite o grasas</v>
      </c>
      <c r="C2196" s="10" t="s">
        <v>29</v>
      </c>
      <c r="D2196" s="12">
        <f>'Volúmenes DIstribuidos '!D1401</f>
        <v>50.765000000000001</v>
      </c>
      <c r="E2196" s="12">
        <f>SUMIF('Parametros Inventario'!$A:$A,B2196,'Parametros Inventario'!$B:$B)+SUMIFS(D$2:D2196,B$2:B2196,B2196,C$2:C2196,"ENTRADA")-SUMIFS(D$2:D2196,B$2:B2196,B2196,C$2:C2196,"SALIDA")</f>
        <v>9281.8380000000016</v>
      </c>
    </row>
    <row r="2197" spans="1:5" x14ac:dyDescent="0.3">
      <c r="A2197" s="9">
        <f>'Volúmenes DIstribuidos '!B1401</f>
        <v>44862</v>
      </c>
      <c r="B2197" s="10" t="str">
        <f>IF(OR('Volúmenes DIstribuidos '!C1402="Azúcar",'Volúmenes DIstribuidos '!C1402="azúcar"),"Azúcar o dulce",IF('Volúmenes DIstribuidos '!C1402="Aceite","Aceite o grasas",IF('Volúmenes DIstribuidos '!C1402="Avena","Otros almidones",'Volúmenes DIstribuidos '!C1402)))</f>
        <v>Fideo</v>
      </c>
      <c r="C2197" s="10" t="s">
        <v>29</v>
      </c>
      <c r="D2197" s="12">
        <f>'Volúmenes DIstribuidos '!D1402</f>
        <v>13.28</v>
      </c>
      <c r="E2197" s="12">
        <f>SUMIF('Parametros Inventario'!$A:$A,B2197,'Parametros Inventario'!$B:$B)+SUMIFS(D$2:D2197,B$2:B2197,B2197,C$2:C2197,"ENTRADA")-SUMIFS(D$2:D2197,B$2:B2197,B2197,C$2:C2197,"SALIDA")</f>
        <v>11209.603000000001</v>
      </c>
    </row>
    <row r="2198" spans="1:5" x14ac:dyDescent="0.3">
      <c r="A2198" s="9">
        <f>'Volúmenes DIstribuidos '!B1401</f>
        <v>44862</v>
      </c>
      <c r="B2198" s="10" t="str">
        <f>IF(OR('Volúmenes DIstribuidos '!C1403="Azúcar",'Volúmenes DIstribuidos '!C1403="azúcar"),"Azúcar o dulce",IF('Volúmenes DIstribuidos '!C1403="Aceite","Aceite o grasas",IF('Volúmenes DIstribuidos '!C1403="Avena","Otros almidones",'Volúmenes DIstribuidos '!C1403)))</f>
        <v>Aceite o grasas</v>
      </c>
      <c r="C2198" s="10" t="s">
        <v>29</v>
      </c>
      <c r="D2198" s="12">
        <f>'Volúmenes DIstribuidos '!D1403</f>
        <v>16.45</v>
      </c>
      <c r="E2198" s="12">
        <f>SUMIF('Parametros Inventario'!$A:$A,B2198,'Parametros Inventario'!$B:$B)+SUMIFS(D$2:D2198,B$2:B2198,B2198,C$2:C2198,"ENTRADA")-SUMIFS(D$2:D2198,B$2:B2198,B2198,C$2:C2198,"SALIDA")</f>
        <v>9265.3880000000026</v>
      </c>
    </row>
    <row r="2199" spans="1:5" x14ac:dyDescent="0.3">
      <c r="A2199" s="9">
        <f>'Volúmenes DIstribuidos '!B1401</f>
        <v>44862</v>
      </c>
      <c r="B2199" s="10" t="str">
        <f>IF(OR('Volúmenes DIstribuidos '!C1404="Azúcar",'Volúmenes DIstribuidos '!C1404="azúcar"),"Azúcar o dulce",IF('Volúmenes DIstribuidos '!C1404="Aceite","Aceite o grasas",IF('Volúmenes DIstribuidos '!C1404="Avena","Otros almidones",'Volúmenes DIstribuidos '!C1404)))</f>
        <v>Azúcar o dulce</v>
      </c>
      <c r="C2199" s="10" t="s">
        <v>29</v>
      </c>
      <c r="D2199" s="12">
        <f>'Volúmenes DIstribuidos '!D1404</f>
        <v>18.8</v>
      </c>
      <c r="E2199" s="12">
        <f>SUMIF('Parametros Inventario'!$A:$A,B2199,'Parametros Inventario'!$B:$B)+SUMIFS(D$2:D2199,B$2:B2199,B2199,C$2:C2199,"ENTRADA")-SUMIFS(D$2:D2199,B$2:B2199,B2199,C$2:C2199,"SALIDA")</f>
        <v>10043.308000000001</v>
      </c>
    </row>
    <row r="2200" spans="1:5" x14ac:dyDescent="0.3">
      <c r="A2200" s="9">
        <f>'Volúmenes DIstribuidos '!B1401</f>
        <v>44862</v>
      </c>
      <c r="B2200" s="10" t="str">
        <f>IF(OR('Volúmenes DIstribuidos '!C1405="Azúcar",'Volúmenes DIstribuidos '!C1405="azúcar"),"Azúcar o dulce",IF('Volúmenes DIstribuidos '!C1405="Aceite","Aceite o grasas",IF('Volúmenes DIstribuidos '!C1405="Avena","Otros almidones",'Volúmenes DIstribuidos '!C1405)))</f>
        <v>Menestras</v>
      </c>
      <c r="C2200" s="10" t="s">
        <v>29</v>
      </c>
      <c r="D2200" s="12">
        <f>'Volúmenes DIstribuidos '!D1405</f>
        <v>17.579999999999998</v>
      </c>
      <c r="E2200" s="12">
        <f>SUMIF('Parametros Inventario'!$A:$A,B2200,'Parametros Inventario'!$B:$B)+SUMIFS(D$2:D2200,B$2:B2200,B2200,C$2:C2200,"ENTRADA")-SUMIFS(D$2:D2200,B$2:B2200,B2200,C$2:C2200,"SALIDA")</f>
        <v>10062.821000000002</v>
      </c>
    </row>
    <row r="2201" spans="1:5" x14ac:dyDescent="0.3">
      <c r="A2201" s="9">
        <f>'Volúmenes DIstribuidos '!B1401</f>
        <v>44862</v>
      </c>
      <c r="B2201" s="10" t="str">
        <f>IF(OR('Volúmenes DIstribuidos '!C1406="Azúcar",'Volúmenes DIstribuidos '!C1406="azúcar"),"Azúcar o dulce",IF('Volúmenes DIstribuidos '!C1406="Aceite","Aceite o grasas",IF('Volúmenes DIstribuidos '!C1406="Avena","Otros almidones",'Volúmenes DIstribuidos '!C1406)))</f>
        <v>Lácteos</v>
      </c>
      <c r="C2201" s="10" t="s">
        <v>29</v>
      </c>
      <c r="D2201" s="12">
        <f>'Volúmenes DIstribuidos '!D1406</f>
        <v>15.304</v>
      </c>
      <c r="E2201" s="12">
        <f>SUMIF('Parametros Inventario'!$A:$A,B2201,'Parametros Inventario'!$B:$B)+SUMIFS(D$2:D2201,B$2:B2201,B2201,C$2:C2201,"ENTRADA")-SUMIFS(D$2:D2201,B$2:B2201,B2201,C$2:C2201,"SALIDA")</f>
        <v>8179.988000000003</v>
      </c>
    </row>
    <row r="2202" spans="1:5" x14ac:dyDescent="0.3">
      <c r="A2202" s="9">
        <f>'Volúmenes DIstribuidos '!B1407</f>
        <v>44866</v>
      </c>
      <c r="B2202" s="10" t="str">
        <f>IF(OR('Volúmenes DIstribuidos '!C1407="Azúcar",'Volúmenes DIstribuidos '!C1407="azúcar"),"Azúcar o dulce",IF('Volúmenes DIstribuidos '!C1407="Aceite","Aceite o grasas",IF('Volúmenes DIstribuidos '!C1407="Avena","Otros almidones",'Volúmenes DIstribuidos '!C1407)))</f>
        <v>Carnes blancas</v>
      </c>
      <c r="C2202" s="10" t="s">
        <v>29</v>
      </c>
      <c r="D2202" s="12">
        <f>'Volúmenes DIstribuidos '!D1407</f>
        <v>24.95</v>
      </c>
      <c r="E2202" s="12">
        <f>SUMIF('Parametros Inventario'!$A:$A,B2202,'Parametros Inventario'!$B:$B)+SUMIFS(D$2:D2202,B$2:B2202,B2202,C$2:C2202,"ENTRADA")-SUMIFS(D$2:D2202,B$2:B2202,B2202,C$2:C2202,"SALIDA")</f>
        <v>10479.956000000002</v>
      </c>
    </row>
    <row r="2203" spans="1:5" x14ac:dyDescent="0.3">
      <c r="A2203" s="9">
        <f>'Volúmenes DIstribuidos '!B1407</f>
        <v>44866</v>
      </c>
      <c r="B2203" s="10" t="str">
        <f>IF(OR('Volúmenes DIstribuidos '!C1408="Azúcar",'Volúmenes DIstribuidos '!C1408="azúcar"),"Azúcar o dulce",IF('Volúmenes DIstribuidos '!C1408="Aceite","Aceite o grasas",IF('Volúmenes DIstribuidos '!C1408="Avena","Otros almidones",'Volúmenes DIstribuidos '!C1408)))</f>
        <v>Menestras</v>
      </c>
      <c r="C2203" s="10" t="s">
        <v>29</v>
      </c>
      <c r="D2203" s="12">
        <f>'Volúmenes DIstribuidos '!D1408</f>
        <v>45.13</v>
      </c>
      <c r="E2203" s="12">
        <f>SUMIF('Parametros Inventario'!$A:$A,B2203,'Parametros Inventario'!$B:$B)+SUMIFS(D$2:D2203,B$2:B2203,B2203,C$2:C2203,"ENTRADA")-SUMIFS(D$2:D2203,B$2:B2203,B2203,C$2:C2203,"SALIDA")</f>
        <v>10017.691000000001</v>
      </c>
    </row>
    <row r="2204" spans="1:5" x14ac:dyDescent="0.3">
      <c r="A2204" s="9">
        <f>'Volúmenes DIstribuidos '!B1407</f>
        <v>44866</v>
      </c>
      <c r="B2204" s="10" t="str">
        <f>IF(OR('Volúmenes DIstribuidos '!C1409="Azúcar",'Volúmenes DIstribuidos '!C1409="azúcar"),"Azúcar o dulce",IF('Volúmenes DIstribuidos '!C1409="Aceite","Aceite o grasas",IF('Volúmenes DIstribuidos '!C1409="Avena","Otros almidones",'Volúmenes DIstribuidos '!C1409)))</f>
        <v>Fideo</v>
      </c>
      <c r="C2204" s="10" t="s">
        <v>29</v>
      </c>
      <c r="D2204" s="12">
        <f>'Volúmenes DIstribuidos '!D1409</f>
        <v>33.25</v>
      </c>
      <c r="E2204" s="12">
        <f>SUMIF('Parametros Inventario'!$A:$A,B2204,'Parametros Inventario'!$B:$B)+SUMIFS(D$2:D2204,B$2:B2204,B2204,C$2:C2204,"ENTRADA")-SUMIFS(D$2:D2204,B$2:B2204,B2204,C$2:C2204,"SALIDA")</f>
        <v>11176.353000000001</v>
      </c>
    </row>
    <row r="2205" spans="1:5" x14ac:dyDescent="0.3">
      <c r="A2205" s="9">
        <f>'Volúmenes DIstribuidos '!B1407</f>
        <v>44866</v>
      </c>
      <c r="B2205" s="10" t="str">
        <f>IF(OR('Volúmenes DIstribuidos '!C1410="Azúcar",'Volúmenes DIstribuidos '!C1410="azúcar"),"Azúcar o dulce",IF('Volúmenes DIstribuidos '!C1410="Aceite","Aceite o grasas",IF('Volúmenes DIstribuidos '!C1410="Avena","Otros almidones",'Volúmenes DIstribuidos '!C1410)))</f>
        <v>Azúcar o dulce</v>
      </c>
      <c r="C2205" s="10" t="s">
        <v>29</v>
      </c>
      <c r="D2205" s="12">
        <f>'Volúmenes DIstribuidos '!D1410</f>
        <v>9.65</v>
      </c>
      <c r="E2205" s="12">
        <f>SUMIF('Parametros Inventario'!$A:$A,B2205,'Parametros Inventario'!$B:$B)+SUMIFS(D$2:D2205,B$2:B2205,B2205,C$2:C2205,"ENTRADA")-SUMIFS(D$2:D2205,B$2:B2205,B2205,C$2:C2205,"SALIDA")</f>
        <v>10033.657999999999</v>
      </c>
    </row>
    <row r="2206" spans="1:5" x14ac:dyDescent="0.3">
      <c r="A2206" s="9">
        <f>'Volúmenes DIstribuidos '!B1407</f>
        <v>44866</v>
      </c>
      <c r="B2206" s="10" t="str">
        <f>IF(OR('Volúmenes DIstribuidos '!C1411="Azúcar",'Volúmenes DIstribuidos '!C1411="azúcar"),"Azúcar o dulce",IF('Volúmenes DIstribuidos '!C1411="Aceite","Aceite o grasas",IF('Volúmenes DIstribuidos '!C1411="Avena","Otros almidones",'Volúmenes DIstribuidos '!C1411)))</f>
        <v>Panadería</v>
      </c>
      <c r="C2206" s="10" t="s">
        <v>29</v>
      </c>
      <c r="D2206" s="12">
        <f>'Volúmenes DIstribuidos '!D1411</f>
        <v>51.871000000000002</v>
      </c>
      <c r="E2206" s="12">
        <f>SUMIF('Parametros Inventario'!$A:$A,B2206,'Parametros Inventario'!$B:$B)+SUMIFS(D$2:D2206,B$2:B2206,B2206,C$2:C2206,"ENTRADA")-SUMIFS(D$2:D2206,B$2:B2206,B2206,C$2:C2206,"SALIDA")</f>
        <v>7461.9550000000008</v>
      </c>
    </row>
    <row r="2207" spans="1:5" x14ac:dyDescent="0.3">
      <c r="A2207" s="9">
        <f>'Volúmenes DIstribuidos '!B1407</f>
        <v>44866</v>
      </c>
      <c r="B2207" s="10" t="str">
        <f>IF(OR('Volúmenes DIstribuidos '!C1412="Azúcar",'Volúmenes DIstribuidos '!C1412="azúcar"),"Azúcar o dulce",IF('Volúmenes DIstribuidos '!C1412="Aceite","Aceite o grasas",IF('Volúmenes DIstribuidos '!C1412="Avena","Otros almidones",'Volúmenes DIstribuidos '!C1412)))</f>
        <v>Otros almidones</v>
      </c>
      <c r="C2207" s="10" t="s">
        <v>29</v>
      </c>
      <c r="D2207" s="12">
        <f>'Volúmenes DIstribuidos '!D1412</f>
        <v>95.07</v>
      </c>
      <c r="E2207" s="12">
        <f>SUMIF('Parametros Inventario'!$A:$A,B2207,'Parametros Inventario'!$B:$B)+SUMIFS(D$2:D2207,B$2:B2207,B2207,C$2:C2207,"ENTRADA")-SUMIFS(D$2:D2207,B$2:B2207,B2207,C$2:C2207,"SALIDA")</f>
        <v>9622.382999999998</v>
      </c>
    </row>
    <row r="2208" spans="1:5" x14ac:dyDescent="0.3">
      <c r="A2208" s="9">
        <v>44869</v>
      </c>
      <c r="B2208" s="10" t="s">
        <v>14</v>
      </c>
      <c r="C2208" s="10" t="s">
        <v>28</v>
      </c>
      <c r="D2208" s="12">
        <v>294.51</v>
      </c>
      <c r="E2208" s="12">
        <f>SUMIF('Parametros Inventario'!$A:$A,B2208,'Parametros Inventario'!$B:$B)+SUMIFS(D$2:D2208,B$2:B2208,B2208,C$2:C2208,"ENTRADA")-SUMIFS(D$2:D2208,B$2:B2208,B2208,C$2:C2208,"SALIDA")</f>
        <v>10312.201000000001</v>
      </c>
    </row>
    <row r="2209" spans="1:5" x14ac:dyDescent="0.3">
      <c r="A2209" s="9">
        <v>44869</v>
      </c>
      <c r="B2209" s="10" t="s">
        <v>12</v>
      </c>
      <c r="C2209" s="10" t="s">
        <v>28</v>
      </c>
      <c r="D2209" s="12">
        <v>216.59</v>
      </c>
      <c r="E2209" s="12">
        <f>SUMIF('Parametros Inventario'!$A:$A,B2209,'Parametros Inventario'!$B:$B)+SUMIFS(D$2:D2209,B$2:B2209,B2209,C$2:C2209,"ENTRADA")-SUMIFS(D$2:D2209,B$2:B2209,B2209,C$2:C2209,"SALIDA")</f>
        <v>9827.8600000000042</v>
      </c>
    </row>
    <row r="2210" spans="1:5" x14ac:dyDescent="0.3">
      <c r="A2210" s="9">
        <v>44869</v>
      </c>
      <c r="B2210" s="10" t="s">
        <v>16</v>
      </c>
      <c r="C2210" s="10" t="s">
        <v>28</v>
      </c>
      <c r="D2210" s="12">
        <v>66.88</v>
      </c>
      <c r="E2210" s="12">
        <f>SUMIF('Parametros Inventario'!$A:$A,B2210,'Parametros Inventario'!$B:$B)+SUMIFS(D$2:D2210,B$2:B2210,B2210,C$2:C2210,"ENTRADA")-SUMIFS(D$2:D2210,B$2:B2210,B2210,C$2:C2210,"SALIDA")</f>
        <v>10546.836000000003</v>
      </c>
    </row>
    <row r="2211" spans="1:5" x14ac:dyDescent="0.3">
      <c r="A2211" s="9">
        <v>44869</v>
      </c>
      <c r="B2211" s="10" t="s">
        <v>17</v>
      </c>
      <c r="C2211" s="10" t="s">
        <v>28</v>
      </c>
      <c r="D2211" s="12">
        <v>54.41</v>
      </c>
      <c r="E2211" s="12">
        <f>SUMIF('Parametros Inventario'!$A:$A,B2211,'Parametros Inventario'!$B:$B)+SUMIFS(D$2:D2211,B$2:B2211,B2211,C$2:C2211,"ENTRADA")-SUMIFS(D$2:D2211,B$2:B2211,B2211,C$2:C2211,"SALIDA")</f>
        <v>8234.3980000000029</v>
      </c>
    </row>
    <row r="2212" spans="1:5" x14ac:dyDescent="0.3">
      <c r="A2212" s="9">
        <v>44869</v>
      </c>
      <c r="B2212" s="10" t="s">
        <v>18</v>
      </c>
      <c r="C2212" s="10" t="s">
        <v>28</v>
      </c>
      <c r="D2212" s="12">
        <v>278.02999999999997</v>
      </c>
      <c r="E2212" s="12">
        <f>SUMIF('Parametros Inventario'!$A:$A,B2212,'Parametros Inventario'!$B:$B)+SUMIFS(D$2:D2212,B$2:B2212,B2212,C$2:C2212,"ENTRADA")-SUMIFS(D$2:D2212,B$2:B2212,B2212,C$2:C2212,"SALIDA")</f>
        <v>9651.4469999999965</v>
      </c>
    </row>
    <row r="2213" spans="1:5" x14ac:dyDescent="0.3">
      <c r="A2213" s="9">
        <v>44869</v>
      </c>
      <c r="B2213" s="10" t="s">
        <v>10</v>
      </c>
      <c r="C2213" s="10" t="s">
        <v>28</v>
      </c>
      <c r="D2213" s="12">
        <v>162.22999999999999</v>
      </c>
      <c r="E2213" s="12">
        <f>SUMIF('Parametros Inventario'!$A:$A,B2213,'Parametros Inventario'!$B:$B)+SUMIFS(D$2:D2213,B$2:B2213,B2213,C$2:C2213,"ENTRADA")-SUMIFS(D$2:D2213,B$2:B2213,B2213,C$2:C2213,"SALIDA")</f>
        <v>11102.219999999994</v>
      </c>
    </row>
    <row r="2214" spans="1:5" x14ac:dyDescent="0.3">
      <c r="A2214" s="9">
        <v>44869</v>
      </c>
      <c r="B2214" s="10" t="s">
        <v>8</v>
      </c>
      <c r="C2214" s="10" t="s">
        <v>28</v>
      </c>
      <c r="D2214" s="12">
        <v>177.76</v>
      </c>
      <c r="E2214" s="12">
        <f>SUMIF('Parametros Inventario'!$A:$A,B2214,'Parametros Inventario'!$B:$B)+SUMIFS(D$2:D2214,B$2:B2214,B2214,C$2:C2214,"ENTRADA")-SUMIFS(D$2:D2214,B$2:B2214,B2214,C$2:C2214,"SALIDA")</f>
        <v>9443.148000000001</v>
      </c>
    </row>
    <row r="2215" spans="1:5" x14ac:dyDescent="0.3">
      <c r="A2215" s="9">
        <v>44869</v>
      </c>
      <c r="B2215" s="10" t="s">
        <v>13</v>
      </c>
      <c r="C2215" s="10" t="s">
        <v>28</v>
      </c>
      <c r="D2215" s="12">
        <v>235.45</v>
      </c>
      <c r="E2215" s="12">
        <f>SUMIF('Parametros Inventario'!$A:$A,B2215,'Parametros Inventario'!$B:$B)+SUMIFS(D$2:D2215,B$2:B2215,B2215,C$2:C2215,"ENTRADA")-SUMIFS(D$2:D2215,B$2:B2215,B2215,C$2:C2215,"SALIDA")</f>
        <v>10269.108</v>
      </c>
    </row>
    <row r="2216" spans="1:5" x14ac:dyDescent="0.3">
      <c r="A2216" s="9">
        <f>'Volúmenes DIstribuidos '!B1413</f>
        <v>44869</v>
      </c>
      <c r="B2216" s="10" t="str">
        <f>IF(OR('Volúmenes DIstribuidos '!C1413="Azúcar",'Volúmenes DIstribuidos '!C1413="azúcar"),"Azúcar o dulce",IF('Volúmenes DIstribuidos '!C1413="Aceite","Aceite o grasas",IF('Volúmenes DIstribuidos '!C1413="Avena","Otros almidones",'Volúmenes DIstribuidos '!C1413)))</f>
        <v>Fideo</v>
      </c>
      <c r="C2216" s="10" t="s">
        <v>29</v>
      </c>
      <c r="D2216" s="12">
        <f>'Volúmenes DIstribuidos '!D1413</f>
        <v>76.040000000000006</v>
      </c>
      <c r="E2216" s="12">
        <f>SUMIF('Parametros Inventario'!$A:$A,B2216,'Parametros Inventario'!$B:$B)+SUMIFS(D$2:D2216,B$2:B2216,B2216,C$2:C2216,"ENTRADA")-SUMIFS(D$2:D2216,B$2:B2216,B2216,C$2:C2216,"SALIDA")</f>
        <v>11100.313</v>
      </c>
    </row>
    <row r="2217" spans="1:5" x14ac:dyDescent="0.3">
      <c r="A2217" s="9">
        <f>'Volúmenes DIstribuidos '!B1413</f>
        <v>44869</v>
      </c>
      <c r="B2217" s="10" t="str">
        <f>IF(OR('Volúmenes DIstribuidos '!C1414="Azúcar",'Volúmenes DIstribuidos '!C1414="azúcar"),"Azúcar o dulce",IF('Volúmenes DIstribuidos '!C1414="Aceite","Aceite o grasas",IF('Volúmenes DIstribuidos '!C1414="Avena","Otros almidones",'Volúmenes DIstribuidos '!C1414)))</f>
        <v>Azúcar o dulce</v>
      </c>
      <c r="C2217" s="10" t="s">
        <v>29</v>
      </c>
      <c r="D2217" s="12">
        <f>'Volúmenes DIstribuidos '!D1414</f>
        <v>8.3800000000000008</v>
      </c>
      <c r="E2217" s="12">
        <f>SUMIF('Parametros Inventario'!$A:$A,B2217,'Parametros Inventario'!$B:$B)+SUMIFS(D$2:D2217,B$2:B2217,B2217,C$2:C2217,"ENTRADA")-SUMIFS(D$2:D2217,B$2:B2217,B2217,C$2:C2217,"SALIDA")</f>
        <v>10260.728000000001</v>
      </c>
    </row>
    <row r="2218" spans="1:5" x14ac:dyDescent="0.3">
      <c r="A2218" s="9">
        <f>'Volúmenes DIstribuidos '!B1413</f>
        <v>44869</v>
      </c>
      <c r="B2218" s="10" t="str">
        <f>IF(OR('Volúmenes DIstribuidos '!C1415="Azúcar",'Volúmenes DIstribuidos '!C1415="azúcar"),"Azúcar o dulce",IF('Volúmenes DIstribuidos '!C1415="Aceite","Aceite o grasas",IF('Volúmenes DIstribuidos '!C1415="Avena","Otros almidones",'Volúmenes DIstribuidos '!C1415)))</f>
        <v>Vegetales y hojas</v>
      </c>
      <c r="C2218" s="10" t="s">
        <v>29</v>
      </c>
      <c r="D2218" s="12">
        <f>'Volúmenes DIstribuidos '!D1415</f>
        <v>9.0250000000000004</v>
      </c>
      <c r="E2218" s="12">
        <f>SUMIF('Parametros Inventario'!$A:$A,B2218,'Parametros Inventario'!$B:$B)+SUMIFS(D$2:D2218,B$2:B2218,B2218,C$2:C2218,"ENTRADA")-SUMIFS(D$2:D2218,B$2:B2218,B2218,C$2:C2218,"SALIDA")</f>
        <v>11093.194999999994</v>
      </c>
    </row>
    <row r="2219" spans="1:5" x14ac:dyDescent="0.3">
      <c r="A2219" s="9">
        <f>'Volúmenes DIstribuidos '!B1413</f>
        <v>44869</v>
      </c>
      <c r="B2219" s="10" t="str">
        <f>IF(OR('Volúmenes DIstribuidos '!C1416="Azúcar",'Volúmenes DIstribuidos '!C1416="azúcar"),"Azúcar o dulce",IF('Volúmenes DIstribuidos '!C1416="Aceite","Aceite o grasas",IF('Volúmenes DIstribuidos '!C1416="Avena","Otros almidones",'Volúmenes DIstribuidos '!C1416)))</f>
        <v>Carnes blancas</v>
      </c>
      <c r="C2219" s="10" t="s">
        <v>29</v>
      </c>
      <c r="D2219" s="12">
        <f>'Volúmenes DIstribuidos '!D1416</f>
        <v>11.67</v>
      </c>
      <c r="E2219" s="12">
        <f>SUMIF('Parametros Inventario'!$A:$A,B2219,'Parametros Inventario'!$B:$B)+SUMIFS(D$2:D2219,B$2:B2219,B2219,C$2:C2219,"ENTRADA")-SUMIFS(D$2:D2219,B$2:B2219,B2219,C$2:C2219,"SALIDA")</f>
        <v>10535.166000000001</v>
      </c>
    </row>
    <row r="2220" spans="1:5" x14ac:dyDescent="0.3">
      <c r="A2220" s="9">
        <f>'Volúmenes DIstribuidos '!B1413</f>
        <v>44869</v>
      </c>
      <c r="B2220" s="10" t="str">
        <f>IF(OR('Volúmenes DIstribuidos '!C1417="Azúcar",'Volúmenes DIstribuidos '!C1417="azúcar"),"Azúcar o dulce",IF('Volúmenes DIstribuidos '!C1417="Aceite","Aceite o grasas",IF('Volúmenes DIstribuidos '!C1417="Avena","Otros almidones",'Volúmenes DIstribuidos '!C1417)))</f>
        <v>Aceite o grasas</v>
      </c>
      <c r="C2220" s="10" t="s">
        <v>29</v>
      </c>
      <c r="D2220" s="12">
        <f>'Volúmenes DIstribuidos '!D1417</f>
        <v>6.12</v>
      </c>
      <c r="E2220" s="12">
        <f>SUMIF('Parametros Inventario'!$A:$A,B2220,'Parametros Inventario'!$B:$B)+SUMIFS(D$2:D2220,B$2:B2220,B2220,C$2:C2220,"ENTRADA")-SUMIFS(D$2:D2220,B$2:B2220,B2220,C$2:C2220,"SALIDA")</f>
        <v>9437.0280000000021</v>
      </c>
    </row>
    <row r="2221" spans="1:5" x14ac:dyDescent="0.3">
      <c r="A2221" s="9">
        <f>'Volúmenes DIstribuidos '!B1413</f>
        <v>44869</v>
      </c>
      <c r="B2221" s="10" t="str">
        <f>IF(OR('Volúmenes DIstribuidos '!C1418="Azúcar",'Volúmenes DIstribuidos '!C1418="azúcar"),"Azúcar o dulce",IF('Volúmenes DIstribuidos '!C1418="Aceite","Aceite o grasas",IF('Volúmenes DIstribuidos '!C1418="Avena","Otros almidones",'Volúmenes DIstribuidos '!C1418)))</f>
        <v>Menestras</v>
      </c>
      <c r="C2221" s="10" t="s">
        <v>29</v>
      </c>
      <c r="D2221" s="12">
        <f>'Volúmenes DIstribuidos '!D1418</f>
        <v>43.529000000000003</v>
      </c>
      <c r="E2221" s="12">
        <f>SUMIF('Parametros Inventario'!$A:$A,B2221,'Parametros Inventario'!$B:$B)+SUMIFS(D$2:D2221,B$2:B2221,B2221,C$2:C2221,"ENTRADA")-SUMIFS(D$2:D2221,B$2:B2221,B2221,C$2:C2221,"SALIDA")</f>
        <v>10268.672000000002</v>
      </c>
    </row>
    <row r="2222" spans="1:5" x14ac:dyDescent="0.3">
      <c r="A2222" s="9">
        <f>'Volúmenes DIstribuidos '!B1419</f>
        <v>44873</v>
      </c>
      <c r="B2222" s="10" t="str">
        <f>IF(OR('Volúmenes DIstribuidos '!C1419="Azúcar",'Volúmenes DIstribuidos '!C1419="azúcar"),"Azúcar o dulce",IF('Volúmenes DIstribuidos '!C1419="Aceite","Aceite o grasas",IF('Volúmenes DIstribuidos '!C1419="Avena","Otros almidones",'Volúmenes DIstribuidos '!C1419)))</f>
        <v>Otros almidones</v>
      </c>
      <c r="C2222" s="10" t="s">
        <v>29</v>
      </c>
      <c r="D2222" s="12">
        <f>'Volúmenes DIstribuidos '!D1419</f>
        <v>90.61</v>
      </c>
      <c r="E2222" s="12">
        <f>SUMIF('Parametros Inventario'!$A:$A,B2222,'Parametros Inventario'!$B:$B)+SUMIFS(D$2:D2222,B$2:B2222,B2222,C$2:C2222,"ENTRADA")-SUMIFS(D$2:D2222,B$2:B2222,B2222,C$2:C2222,"SALIDA")</f>
        <v>9531.7729999999974</v>
      </c>
    </row>
    <row r="2223" spans="1:5" x14ac:dyDescent="0.3">
      <c r="A2223" s="9">
        <f>'Volúmenes DIstribuidos '!B1419</f>
        <v>44873</v>
      </c>
      <c r="B2223" s="10" t="str">
        <f>IF(OR('Volúmenes DIstribuidos '!C1420="Azúcar",'Volúmenes DIstribuidos '!C1420="azúcar"),"Azúcar o dulce",IF('Volúmenes DIstribuidos '!C1420="Aceite","Aceite o grasas",IF('Volúmenes DIstribuidos '!C1420="Avena","Otros almidones",'Volúmenes DIstribuidos '!C1420)))</f>
        <v>Panadería</v>
      </c>
      <c r="C2223" s="10" t="s">
        <v>29</v>
      </c>
      <c r="D2223" s="12">
        <f>'Volúmenes DIstribuidos '!D1420</f>
        <v>45.7</v>
      </c>
      <c r="E2223" s="12">
        <f>SUMIF('Parametros Inventario'!$A:$A,B2223,'Parametros Inventario'!$B:$B)+SUMIFS(D$2:D2223,B$2:B2223,B2223,C$2:C2223,"ENTRADA")-SUMIFS(D$2:D2223,B$2:B2223,B2223,C$2:C2223,"SALIDA")</f>
        <v>7416.255000000001</v>
      </c>
    </row>
    <row r="2224" spans="1:5" x14ac:dyDescent="0.3">
      <c r="A2224" s="9">
        <f>'Volúmenes DIstribuidos '!B1419</f>
        <v>44873</v>
      </c>
      <c r="B2224" s="10" t="str">
        <f>IF(OR('Volúmenes DIstribuidos '!C1421="Azúcar",'Volúmenes DIstribuidos '!C1421="azúcar"),"Azúcar o dulce",IF('Volúmenes DIstribuidos '!C1421="Aceite","Aceite o grasas",IF('Volúmenes DIstribuidos '!C1421="Avena","Otros almidones",'Volúmenes DIstribuidos '!C1421)))</f>
        <v>Fideo</v>
      </c>
      <c r="C2224" s="10" t="s">
        <v>29</v>
      </c>
      <c r="D2224" s="12">
        <f>'Volúmenes DIstribuidos '!D1421</f>
        <v>62.61</v>
      </c>
      <c r="E2224" s="12">
        <f>SUMIF('Parametros Inventario'!$A:$A,B2224,'Parametros Inventario'!$B:$B)+SUMIFS(D$2:D2224,B$2:B2224,B2224,C$2:C2224,"ENTRADA")-SUMIFS(D$2:D2224,B$2:B2224,B2224,C$2:C2224,"SALIDA")</f>
        <v>11037.703000000001</v>
      </c>
    </row>
    <row r="2225" spans="1:5" x14ac:dyDescent="0.3">
      <c r="A2225" s="9">
        <f>'Volúmenes DIstribuidos '!B1419</f>
        <v>44873</v>
      </c>
      <c r="B2225" s="10" t="str">
        <f>IF(OR('Volúmenes DIstribuidos '!C1422="Azúcar",'Volúmenes DIstribuidos '!C1422="azúcar"),"Azúcar o dulce",IF('Volúmenes DIstribuidos '!C1422="Aceite","Aceite o grasas",IF('Volúmenes DIstribuidos '!C1422="Avena","Otros almidones",'Volúmenes DIstribuidos '!C1422)))</f>
        <v>Carnes blancas</v>
      </c>
      <c r="C2225" s="10" t="s">
        <v>29</v>
      </c>
      <c r="D2225" s="12">
        <f>'Volúmenes DIstribuidos '!D1422</f>
        <v>79.150000000000006</v>
      </c>
      <c r="E2225" s="12">
        <f>SUMIF('Parametros Inventario'!$A:$A,B2225,'Parametros Inventario'!$B:$B)+SUMIFS(D$2:D2225,B$2:B2225,B2225,C$2:C2225,"ENTRADA")-SUMIFS(D$2:D2225,B$2:B2225,B2225,C$2:C2225,"SALIDA")</f>
        <v>10456.016000000001</v>
      </c>
    </row>
    <row r="2226" spans="1:5" x14ac:dyDescent="0.3">
      <c r="A2226" s="9">
        <f>'Volúmenes DIstribuidos '!B1419</f>
        <v>44873</v>
      </c>
      <c r="B2226" s="10" t="str">
        <f>IF(OR('Volúmenes DIstribuidos '!C1423="Azúcar",'Volúmenes DIstribuidos '!C1423="azúcar"),"Azúcar o dulce",IF('Volúmenes DIstribuidos '!C1423="Aceite","Aceite o grasas",IF('Volúmenes DIstribuidos '!C1423="Avena","Otros almidones",'Volúmenes DIstribuidos '!C1423)))</f>
        <v>Azúcar o dulce</v>
      </c>
      <c r="C2226" s="10" t="s">
        <v>29</v>
      </c>
      <c r="D2226" s="12">
        <f>'Volúmenes DIstribuidos '!D1423</f>
        <v>45.48</v>
      </c>
      <c r="E2226" s="12">
        <f>SUMIF('Parametros Inventario'!$A:$A,B2226,'Parametros Inventario'!$B:$B)+SUMIFS(D$2:D2226,B$2:B2226,B2226,C$2:C2226,"ENTRADA")-SUMIFS(D$2:D2226,B$2:B2226,B2226,C$2:C2226,"SALIDA")</f>
        <v>10215.248000000001</v>
      </c>
    </row>
    <row r="2227" spans="1:5" x14ac:dyDescent="0.3">
      <c r="A2227" s="9">
        <f>'Volúmenes DIstribuidos '!B1419</f>
        <v>44873</v>
      </c>
      <c r="B2227" s="10" t="str">
        <f>IF(OR('Volúmenes DIstribuidos '!C1424="Azúcar",'Volúmenes DIstribuidos '!C1424="azúcar"),"Azúcar o dulce",IF('Volúmenes DIstribuidos '!C1424="Aceite","Aceite o grasas",IF('Volúmenes DIstribuidos '!C1424="Avena","Otros almidones",'Volúmenes DIstribuidos '!C1424)))</f>
        <v>Lácteos</v>
      </c>
      <c r="C2227" s="10" t="s">
        <v>29</v>
      </c>
      <c r="D2227" s="12">
        <f>'Volúmenes DIstribuidos '!D1424</f>
        <v>5.1890000000000001</v>
      </c>
      <c r="E2227" s="12">
        <f>SUMIF('Parametros Inventario'!$A:$A,B2227,'Parametros Inventario'!$B:$B)+SUMIFS(D$2:D2227,B$2:B2227,B2227,C$2:C2227,"ENTRADA")-SUMIFS(D$2:D2227,B$2:B2227,B2227,C$2:C2227,"SALIDA")</f>
        <v>8229.2090000000026</v>
      </c>
    </row>
    <row r="2228" spans="1:5" x14ac:dyDescent="0.3">
      <c r="A2228" s="9">
        <v>44876</v>
      </c>
      <c r="B2228" s="10" t="s">
        <v>15</v>
      </c>
      <c r="C2228" s="10" t="s">
        <v>28</v>
      </c>
      <c r="D2228" s="12">
        <v>175.86</v>
      </c>
      <c r="E2228" s="12">
        <f>SUMIF('Parametros Inventario'!$A:$A,B2228,'Parametros Inventario'!$B:$B)+SUMIFS(D$2:D2228,B$2:B2228,B2228,C$2:C2228,"ENTRADA")-SUMIFS(D$2:D2228,B$2:B2228,B2228,C$2:C2228,"SALIDA")</f>
        <v>9707.632999999998</v>
      </c>
    </row>
    <row r="2229" spans="1:5" x14ac:dyDescent="0.3">
      <c r="A2229" s="9">
        <v>44876</v>
      </c>
      <c r="B2229" s="10" t="s">
        <v>11</v>
      </c>
      <c r="C2229" s="10" t="s">
        <v>28</v>
      </c>
      <c r="D2229" s="12">
        <v>226.16</v>
      </c>
      <c r="E2229" s="12">
        <f>SUMIF('Parametros Inventario'!$A:$A,B2229,'Parametros Inventario'!$B:$B)+SUMIFS(D$2:D2229,B$2:B2229,B2229,C$2:C2229,"ENTRADA")-SUMIFS(D$2:D2229,B$2:B2229,B2229,C$2:C2229,"SALIDA")</f>
        <v>11263.863000000001</v>
      </c>
    </row>
    <row r="2230" spans="1:5" x14ac:dyDescent="0.3">
      <c r="A2230" s="9">
        <v>44876</v>
      </c>
      <c r="B2230" s="10" t="s">
        <v>9</v>
      </c>
      <c r="C2230" s="10" t="s">
        <v>28</v>
      </c>
      <c r="D2230" s="12">
        <v>53.32</v>
      </c>
      <c r="E2230" s="12">
        <f>SUMIF('Parametros Inventario'!$A:$A,B2230,'Parametros Inventario'!$B:$B)+SUMIFS(D$2:D2230,B$2:B2230,B2230,C$2:C2230,"ENTRADA")-SUMIFS(D$2:D2230,B$2:B2230,B2230,C$2:C2230,"SALIDA")</f>
        <v>7469.5750000000007</v>
      </c>
    </row>
    <row r="2231" spans="1:5" x14ac:dyDescent="0.3">
      <c r="A2231" s="9">
        <v>44876</v>
      </c>
      <c r="B2231" s="10" t="s">
        <v>14</v>
      </c>
      <c r="C2231" s="10" t="s">
        <v>28</v>
      </c>
      <c r="D2231" s="12">
        <v>55.3</v>
      </c>
      <c r="E2231" s="12">
        <f>SUMIF('Parametros Inventario'!$A:$A,B2231,'Parametros Inventario'!$B:$B)+SUMIFS(D$2:D2231,B$2:B2231,B2231,C$2:C2231,"ENTRADA")-SUMIFS(D$2:D2231,B$2:B2231,B2231,C$2:C2231,"SALIDA")</f>
        <v>10323.972000000002</v>
      </c>
    </row>
    <row r="2232" spans="1:5" x14ac:dyDescent="0.3">
      <c r="A2232" s="9">
        <v>44876</v>
      </c>
      <c r="B2232" s="10" t="s">
        <v>12</v>
      </c>
      <c r="C2232" s="10" t="s">
        <v>28</v>
      </c>
      <c r="D2232" s="12">
        <v>239.74</v>
      </c>
      <c r="E2232" s="12">
        <f>SUMIF('Parametros Inventario'!$A:$A,B2232,'Parametros Inventario'!$B:$B)+SUMIFS(D$2:D2232,B$2:B2232,B2232,C$2:C2232,"ENTRADA")-SUMIFS(D$2:D2232,B$2:B2232,B2232,C$2:C2232,"SALIDA")</f>
        <v>10067.600000000004</v>
      </c>
    </row>
    <row r="2233" spans="1:5" x14ac:dyDescent="0.3">
      <c r="A2233" s="9">
        <v>44876</v>
      </c>
      <c r="B2233" s="10" t="s">
        <v>16</v>
      </c>
      <c r="C2233" s="10" t="s">
        <v>28</v>
      </c>
      <c r="D2233" s="12">
        <v>81.010000000000005</v>
      </c>
      <c r="E2233" s="12">
        <f>SUMIF('Parametros Inventario'!$A:$A,B2233,'Parametros Inventario'!$B:$B)+SUMIFS(D$2:D2233,B$2:B2233,B2233,C$2:C2233,"ENTRADA")-SUMIFS(D$2:D2233,B$2:B2233,B2233,C$2:C2233,"SALIDA")</f>
        <v>10537.026000000002</v>
      </c>
    </row>
    <row r="2234" spans="1:5" x14ac:dyDescent="0.3">
      <c r="A2234" s="9">
        <v>44876</v>
      </c>
      <c r="B2234" s="10" t="s">
        <v>17</v>
      </c>
      <c r="C2234" s="10" t="s">
        <v>28</v>
      </c>
      <c r="D2234" s="12">
        <v>109.1</v>
      </c>
      <c r="E2234" s="12">
        <f>SUMIF('Parametros Inventario'!$A:$A,B2234,'Parametros Inventario'!$B:$B)+SUMIFS(D$2:D2234,B$2:B2234,B2234,C$2:C2234,"ENTRADA")-SUMIFS(D$2:D2234,B$2:B2234,B2234,C$2:C2234,"SALIDA")</f>
        <v>8338.3090000000029</v>
      </c>
    </row>
    <row r="2235" spans="1:5" x14ac:dyDescent="0.3">
      <c r="A2235" s="9">
        <v>44876</v>
      </c>
      <c r="B2235" s="10" t="s">
        <v>18</v>
      </c>
      <c r="C2235" s="10" t="s">
        <v>28</v>
      </c>
      <c r="D2235" s="12">
        <v>157.12</v>
      </c>
      <c r="E2235" s="12">
        <f>SUMIF('Parametros Inventario'!$A:$A,B2235,'Parametros Inventario'!$B:$B)+SUMIFS(D$2:D2235,B$2:B2235,B2235,C$2:C2235,"ENTRADA")-SUMIFS(D$2:D2235,B$2:B2235,B2235,C$2:C2235,"SALIDA")</f>
        <v>9808.5669999999973</v>
      </c>
    </row>
    <row r="2236" spans="1:5" x14ac:dyDescent="0.3">
      <c r="A2236" s="9">
        <v>44876</v>
      </c>
      <c r="B2236" s="10" t="s">
        <v>10</v>
      </c>
      <c r="C2236" s="10" t="s">
        <v>28</v>
      </c>
      <c r="D2236" s="12">
        <v>110.89</v>
      </c>
      <c r="E2236" s="12">
        <f>SUMIF('Parametros Inventario'!$A:$A,B2236,'Parametros Inventario'!$B:$B)+SUMIFS(D$2:D2236,B$2:B2236,B2236,C$2:C2236,"ENTRADA")-SUMIFS(D$2:D2236,B$2:B2236,B2236,C$2:C2236,"SALIDA")</f>
        <v>11204.084999999994</v>
      </c>
    </row>
    <row r="2237" spans="1:5" x14ac:dyDescent="0.3">
      <c r="A2237" s="9">
        <v>44876</v>
      </c>
      <c r="B2237" s="10" t="s">
        <v>8</v>
      </c>
      <c r="C2237" s="10" t="s">
        <v>28</v>
      </c>
      <c r="D2237" s="12">
        <v>69.849999999999994</v>
      </c>
      <c r="E2237" s="12">
        <f>SUMIF('Parametros Inventario'!$A:$A,B2237,'Parametros Inventario'!$B:$B)+SUMIFS(D$2:D2237,B$2:B2237,B2237,C$2:C2237,"ENTRADA")-SUMIFS(D$2:D2237,B$2:B2237,B2237,C$2:C2237,"SALIDA")</f>
        <v>9506.8780000000024</v>
      </c>
    </row>
    <row r="2238" spans="1:5" x14ac:dyDescent="0.3">
      <c r="A2238" s="9">
        <f>'Volúmenes DIstribuidos '!B1425</f>
        <v>44876</v>
      </c>
      <c r="B2238" s="10" t="str">
        <f>IF(OR('Volúmenes DIstribuidos '!C1425="Azúcar",'Volúmenes DIstribuidos '!C1425="azúcar"),"Azúcar o dulce",IF('Volúmenes DIstribuidos '!C1425="Aceite","Aceite o grasas",IF('Volúmenes DIstribuidos '!C1425="Avena","Otros almidones",'Volúmenes DIstribuidos '!C1425)))</f>
        <v>Lácteos</v>
      </c>
      <c r="C2238" s="10" t="s">
        <v>29</v>
      </c>
      <c r="D2238" s="12">
        <f>'Volúmenes DIstribuidos '!D1425</f>
        <v>25.43</v>
      </c>
      <c r="E2238" s="12">
        <f>SUMIF('Parametros Inventario'!$A:$A,B2238,'Parametros Inventario'!$B:$B)+SUMIFS(D$2:D2238,B$2:B2238,B2238,C$2:C2238,"ENTRADA")-SUMIFS(D$2:D2238,B$2:B2238,B2238,C$2:C2238,"SALIDA")</f>
        <v>8312.8790000000026</v>
      </c>
    </row>
    <row r="2239" spans="1:5" x14ac:dyDescent="0.3">
      <c r="A2239" s="9">
        <f>'Volúmenes DIstribuidos '!B1425</f>
        <v>44876</v>
      </c>
      <c r="B2239" s="10" t="str">
        <f>IF(OR('Volúmenes DIstribuidos '!C1426="Azúcar",'Volúmenes DIstribuidos '!C1426="azúcar"),"Azúcar o dulce",IF('Volúmenes DIstribuidos '!C1426="Aceite","Aceite o grasas",IF('Volúmenes DIstribuidos '!C1426="Avena","Otros almidones",'Volúmenes DIstribuidos '!C1426)))</f>
        <v>Fideo</v>
      </c>
      <c r="C2239" s="10" t="s">
        <v>29</v>
      </c>
      <c r="D2239" s="12">
        <f>'Volúmenes DIstribuidos '!D1426</f>
        <v>19.11</v>
      </c>
      <c r="E2239" s="12">
        <f>SUMIF('Parametros Inventario'!$A:$A,B2239,'Parametros Inventario'!$B:$B)+SUMIFS(D$2:D2239,B$2:B2239,B2239,C$2:C2239,"ENTRADA")-SUMIFS(D$2:D2239,B$2:B2239,B2239,C$2:C2239,"SALIDA")</f>
        <v>11244.753000000001</v>
      </c>
    </row>
    <row r="2240" spans="1:5" x14ac:dyDescent="0.3">
      <c r="A2240" s="9">
        <f>'Volúmenes DIstribuidos '!B1425</f>
        <v>44876</v>
      </c>
      <c r="B2240" s="10" t="str">
        <f>IF(OR('Volúmenes DIstribuidos '!C1427="Azúcar",'Volúmenes DIstribuidos '!C1427="azúcar"),"Azúcar o dulce",IF('Volúmenes DIstribuidos '!C1427="Aceite","Aceite o grasas",IF('Volúmenes DIstribuidos '!C1427="Avena","Otros almidones",'Volúmenes DIstribuidos '!C1427)))</f>
        <v>Carnes rojas</v>
      </c>
      <c r="C2240" s="10" t="s">
        <v>29</v>
      </c>
      <c r="D2240" s="12">
        <f>'Volúmenes DIstribuidos '!D1427</f>
        <v>6.83</v>
      </c>
      <c r="E2240" s="12">
        <f>SUMIF('Parametros Inventario'!$A:$A,B2240,'Parametros Inventario'!$B:$B)+SUMIFS(D$2:D2240,B$2:B2240,B2240,C$2:C2240,"ENTRADA")-SUMIFS(D$2:D2240,B$2:B2240,B2240,C$2:C2240,"SALIDA")</f>
        <v>10060.770000000004</v>
      </c>
    </row>
    <row r="2241" spans="1:5" x14ac:dyDescent="0.3">
      <c r="A2241" s="9">
        <f>'Volúmenes DIstribuidos '!B1425</f>
        <v>44876</v>
      </c>
      <c r="B2241" s="10" t="str">
        <f>IF(OR('Volúmenes DIstribuidos '!C1428="Azúcar",'Volúmenes DIstribuidos '!C1428="azúcar"),"Azúcar o dulce",IF('Volúmenes DIstribuidos '!C1428="Aceite","Aceite o grasas",IF('Volúmenes DIstribuidos '!C1428="Avena","Otros almidones",'Volúmenes DIstribuidos '!C1428)))</f>
        <v>Panadería</v>
      </c>
      <c r="C2241" s="10" t="s">
        <v>29</v>
      </c>
      <c r="D2241" s="12">
        <f>'Volúmenes DIstribuidos '!D1428</f>
        <v>23.86</v>
      </c>
      <c r="E2241" s="12">
        <f>SUMIF('Parametros Inventario'!$A:$A,B2241,'Parametros Inventario'!$B:$B)+SUMIFS(D$2:D2241,B$2:B2241,B2241,C$2:C2241,"ENTRADA")-SUMIFS(D$2:D2241,B$2:B2241,B2241,C$2:C2241,"SALIDA")</f>
        <v>7445.7150000000011</v>
      </c>
    </row>
    <row r="2242" spans="1:5" x14ac:dyDescent="0.3">
      <c r="A2242" s="9">
        <f>'Volúmenes DIstribuidos '!B1425</f>
        <v>44876</v>
      </c>
      <c r="B2242" s="10" t="str">
        <f>IF(OR('Volúmenes DIstribuidos '!C1429="Azúcar",'Volúmenes DIstribuidos '!C1429="azúcar"),"Azúcar o dulce",IF('Volúmenes DIstribuidos '!C1429="Aceite","Aceite o grasas",IF('Volúmenes DIstribuidos '!C1429="Avena","Otros almidones",'Volúmenes DIstribuidos '!C1429)))</f>
        <v>Otros almidones</v>
      </c>
      <c r="C2242" s="10" t="s">
        <v>29</v>
      </c>
      <c r="D2242" s="12">
        <f>'Volúmenes DIstribuidos '!D1429</f>
        <v>5.95</v>
      </c>
      <c r="E2242" s="12">
        <f>SUMIF('Parametros Inventario'!$A:$A,B2242,'Parametros Inventario'!$B:$B)+SUMIFS(D$2:D2242,B$2:B2242,B2242,C$2:C2242,"ENTRADA")-SUMIFS(D$2:D2242,B$2:B2242,B2242,C$2:C2242,"SALIDA")</f>
        <v>9701.6829999999991</v>
      </c>
    </row>
    <row r="2243" spans="1:5" x14ac:dyDescent="0.3">
      <c r="A2243" s="9">
        <f>'Volúmenes DIstribuidos '!B1425</f>
        <v>44876</v>
      </c>
      <c r="B2243" s="10" t="str">
        <f>IF(OR('Volúmenes DIstribuidos '!C1430="Azúcar",'Volúmenes DIstribuidos '!C1430="azúcar"),"Azúcar o dulce",IF('Volúmenes DIstribuidos '!C1430="Aceite","Aceite o grasas",IF('Volúmenes DIstribuidos '!C1430="Avena","Otros almidones",'Volúmenes DIstribuidos '!C1430)))</f>
        <v>Aceite o grasas</v>
      </c>
      <c r="C2243" s="10" t="s">
        <v>29</v>
      </c>
      <c r="D2243" s="12">
        <f>'Volúmenes DIstribuidos '!D1430</f>
        <v>27.463000000000001</v>
      </c>
      <c r="E2243" s="12">
        <f>SUMIF('Parametros Inventario'!$A:$A,B2243,'Parametros Inventario'!$B:$B)+SUMIFS(D$2:D2243,B$2:B2243,B2243,C$2:C2243,"ENTRADA")-SUMIFS(D$2:D2243,B$2:B2243,B2243,C$2:C2243,"SALIDA")</f>
        <v>9479.4150000000027</v>
      </c>
    </row>
    <row r="2244" spans="1:5" x14ac:dyDescent="0.3">
      <c r="A2244" s="9">
        <v>44880</v>
      </c>
      <c r="B2244" s="10" t="s">
        <v>13</v>
      </c>
      <c r="C2244" s="10" t="s">
        <v>28</v>
      </c>
      <c r="D2244" s="12">
        <v>84.39</v>
      </c>
      <c r="E2244" s="12">
        <f>SUMIF('Parametros Inventario'!$A:$A,B2244,'Parametros Inventario'!$B:$B)+SUMIFS(D$2:D2244,B$2:B2244,B2244,C$2:C2244,"ENTRADA")-SUMIFS(D$2:D2244,B$2:B2244,B2244,C$2:C2244,"SALIDA")</f>
        <v>10299.638000000001</v>
      </c>
    </row>
    <row r="2245" spans="1:5" x14ac:dyDescent="0.3">
      <c r="A2245" s="9">
        <v>44880</v>
      </c>
      <c r="B2245" s="10" t="s">
        <v>15</v>
      </c>
      <c r="C2245" s="10" t="s">
        <v>28</v>
      </c>
      <c r="D2245" s="12">
        <v>174.68</v>
      </c>
      <c r="E2245" s="12">
        <f>SUMIF('Parametros Inventario'!$A:$A,B2245,'Parametros Inventario'!$B:$B)+SUMIFS(D$2:D2245,B$2:B2245,B2245,C$2:C2245,"ENTRADA")-SUMIFS(D$2:D2245,B$2:B2245,B2245,C$2:C2245,"SALIDA")</f>
        <v>9876.3629999999994</v>
      </c>
    </row>
    <row r="2246" spans="1:5" x14ac:dyDescent="0.3">
      <c r="A2246" s="9">
        <v>44880</v>
      </c>
      <c r="B2246" s="10" t="s">
        <v>11</v>
      </c>
      <c r="C2246" s="10" t="s">
        <v>28</v>
      </c>
      <c r="D2246" s="12">
        <v>100.5</v>
      </c>
      <c r="E2246" s="12">
        <f>SUMIF('Parametros Inventario'!$A:$A,B2246,'Parametros Inventario'!$B:$B)+SUMIFS(D$2:D2246,B$2:B2246,B2246,C$2:C2246,"ENTRADA")-SUMIFS(D$2:D2246,B$2:B2246,B2246,C$2:C2246,"SALIDA")</f>
        <v>11345.253000000001</v>
      </c>
    </row>
    <row r="2247" spans="1:5" x14ac:dyDescent="0.3">
      <c r="A2247" s="9">
        <v>44880</v>
      </c>
      <c r="B2247" s="10" t="s">
        <v>9</v>
      </c>
      <c r="C2247" s="10" t="s">
        <v>28</v>
      </c>
      <c r="D2247" s="12">
        <v>143.94</v>
      </c>
      <c r="E2247" s="12">
        <f>SUMIF('Parametros Inventario'!$A:$A,B2247,'Parametros Inventario'!$B:$B)+SUMIFS(D$2:D2247,B$2:B2247,B2247,C$2:C2247,"ENTRADA")-SUMIFS(D$2:D2247,B$2:B2247,B2247,C$2:C2247,"SALIDA")</f>
        <v>7589.6550000000016</v>
      </c>
    </row>
    <row r="2248" spans="1:5" x14ac:dyDescent="0.3">
      <c r="A2248" s="9">
        <v>44880</v>
      </c>
      <c r="B2248" s="10" t="s">
        <v>14</v>
      </c>
      <c r="C2248" s="10" t="s">
        <v>28</v>
      </c>
      <c r="D2248" s="12">
        <v>210.51</v>
      </c>
      <c r="E2248" s="12">
        <f>SUMIF('Parametros Inventario'!$A:$A,B2248,'Parametros Inventario'!$B:$B)+SUMIFS(D$2:D2248,B$2:B2248,B2248,C$2:C2248,"ENTRADA")-SUMIFS(D$2:D2248,B$2:B2248,B2248,C$2:C2248,"SALIDA")</f>
        <v>10534.482</v>
      </c>
    </row>
    <row r="2249" spans="1:5" x14ac:dyDescent="0.3">
      <c r="A2249" s="9">
        <v>44880</v>
      </c>
      <c r="B2249" s="10" t="s">
        <v>12</v>
      </c>
      <c r="C2249" s="10" t="s">
        <v>28</v>
      </c>
      <c r="D2249" s="12">
        <v>109.52</v>
      </c>
      <c r="E2249" s="12">
        <f>SUMIF('Parametros Inventario'!$A:$A,B2249,'Parametros Inventario'!$B:$B)+SUMIFS(D$2:D2249,B$2:B2249,B2249,C$2:C2249,"ENTRADA")-SUMIFS(D$2:D2249,B$2:B2249,B2249,C$2:C2249,"SALIDA")</f>
        <v>10170.290000000005</v>
      </c>
    </row>
    <row r="2250" spans="1:5" x14ac:dyDescent="0.3">
      <c r="A2250" s="9">
        <v>44880</v>
      </c>
      <c r="B2250" s="10" t="s">
        <v>16</v>
      </c>
      <c r="C2250" s="10" t="s">
        <v>28</v>
      </c>
      <c r="D2250" s="12">
        <v>231.33</v>
      </c>
      <c r="E2250" s="12">
        <f>SUMIF('Parametros Inventario'!$A:$A,B2250,'Parametros Inventario'!$B:$B)+SUMIFS(D$2:D2250,B$2:B2250,B2250,C$2:C2250,"ENTRADA")-SUMIFS(D$2:D2250,B$2:B2250,B2250,C$2:C2250,"SALIDA")</f>
        <v>10768.356000000002</v>
      </c>
    </row>
    <row r="2251" spans="1:5" x14ac:dyDescent="0.3">
      <c r="A2251" s="9">
        <v>44880</v>
      </c>
      <c r="B2251" s="10" t="s">
        <v>17</v>
      </c>
      <c r="C2251" s="10" t="s">
        <v>28</v>
      </c>
      <c r="D2251" s="12">
        <v>297.14</v>
      </c>
      <c r="E2251" s="12">
        <f>SUMIF('Parametros Inventario'!$A:$A,B2251,'Parametros Inventario'!$B:$B)+SUMIFS(D$2:D2251,B$2:B2251,B2251,C$2:C2251,"ENTRADA")-SUMIFS(D$2:D2251,B$2:B2251,B2251,C$2:C2251,"SALIDA")</f>
        <v>8610.0190000000021</v>
      </c>
    </row>
    <row r="2252" spans="1:5" x14ac:dyDescent="0.3">
      <c r="A2252" s="9">
        <v>44880</v>
      </c>
      <c r="B2252" s="10" t="s">
        <v>18</v>
      </c>
      <c r="C2252" s="10" t="s">
        <v>28</v>
      </c>
      <c r="D2252" s="12">
        <v>160.93</v>
      </c>
      <c r="E2252" s="12">
        <f>SUMIF('Parametros Inventario'!$A:$A,B2252,'Parametros Inventario'!$B:$B)+SUMIFS(D$2:D2252,B$2:B2252,B2252,C$2:C2252,"ENTRADA")-SUMIFS(D$2:D2252,B$2:B2252,B2252,C$2:C2252,"SALIDA")</f>
        <v>9969.4969999999976</v>
      </c>
    </row>
    <row r="2253" spans="1:5" x14ac:dyDescent="0.3">
      <c r="A2253" s="9">
        <f>'Volúmenes DIstribuidos '!B1431</f>
        <v>44880</v>
      </c>
      <c r="B2253" s="10" t="str">
        <f>IF(OR('Volúmenes DIstribuidos '!C1431="Azúcar",'Volúmenes DIstribuidos '!C1431="azúcar"),"Azúcar o dulce",IF('Volúmenes DIstribuidos '!C1431="Aceite","Aceite o grasas",IF('Volúmenes DIstribuidos '!C1431="Avena","Otros almidones",'Volúmenes DIstribuidos '!C1431)))</f>
        <v>Menestras</v>
      </c>
      <c r="C2253" s="10" t="s">
        <v>29</v>
      </c>
      <c r="D2253" s="12">
        <f>'Volúmenes DIstribuidos '!D1431</f>
        <v>45.06</v>
      </c>
      <c r="E2253" s="12">
        <f>SUMIF('Parametros Inventario'!$A:$A,B2253,'Parametros Inventario'!$B:$B)+SUMIFS(D$2:D2253,B$2:B2253,B2253,C$2:C2253,"ENTRADA")-SUMIFS(D$2:D2253,B$2:B2253,B2253,C$2:C2253,"SALIDA")</f>
        <v>10489.422</v>
      </c>
    </row>
    <row r="2254" spans="1:5" x14ac:dyDescent="0.3">
      <c r="A2254" s="9">
        <f>'Volúmenes DIstribuidos '!B1431</f>
        <v>44880</v>
      </c>
      <c r="B2254" s="10" t="str">
        <f>IF(OR('Volúmenes DIstribuidos '!C1432="Azúcar",'Volúmenes DIstribuidos '!C1432="azúcar"),"Azúcar o dulce",IF('Volúmenes DIstribuidos '!C1432="Aceite","Aceite o grasas",IF('Volúmenes DIstribuidos '!C1432="Avena","Otros almidones",'Volúmenes DIstribuidos '!C1432)))</f>
        <v>Azúcar o dulce</v>
      </c>
      <c r="C2254" s="10" t="s">
        <v>29</v>
      </c>
      <c r="D2254" s="12">
        <f>'Volúmenes DIstribuidos '!D1432</f>
        <v>44.78</v>
      </c>
      <c r="E2254" s="12">
        <f>SUMIF('Parametros Inventario'!$A:$A,B2254,'Parametros Inventario'!$B:$B)+SUMIFS(D$2:D2254,B$2:B2254,B2254,C$2:C2254,"ENTRADA")-SUMIFS(D$2:D2254,B$2:B2254,B2254,C$2:C2254,"SALIDA")</f>
        <v>10254.858</v>
      </c>
    </row>
    <row r="2255" spans="1:5" x14ac:dyDescent="0.3">
      <c r="A2255" s="9">
        <f>'Volúmenes DIstribuidos '!B1431</f>
        <v>44880</v>
      </c>
      <c r="B2255" s="10" t="str">
        <f>IF(OR('Volúmenes DIstribuidos '!C1433="Azúcar",'Volúmenes DIstribuidos '!C1433="azúcar"),"Azúcar o dulce",IF('Volúmenes DIstribuidos '!C1433="Aceite","Aceite o grasas",IF('Volúmenes DIstribuidos '!C1433="Avena","Otros almidones",'Volúmenes DIstribuidos '!C1433)))</f>
        <v>Otros almidones</v>
      </c>
      <c r="C2255" s="10" t="s">
        <v>29</v>
      </c>
      <c r="D2255" s="12">
        <f>'Volúmenes DIstribuidos '!D1433</f>
        <v>32.479999999999997</v>
      </c>
      <c r="E2255" s="12">
        <f>SUMIF('Parametros Inventario'!$A:$A,B2255,'Parametros Inventario'!$B:$B)+SUMIFS(D$2:D2255,B$2:B2255,B2255,C$2:C2255,"ENTRADA")-SUMIFS(D$2:D2255,B$2:B2255,B2255,C$2:C2255,"SALIDA")</f>
        <v>9843.8829999999998</v>
      </c>
    </row>
    <row r="2256" spans="1:5" x14ac:dyDescent="0.3">
      <c r="A2256" s="9">
        <f>'Volúmenes DIstribuidos '!B1431</f>
        <v>44880</v>
      </c>
      <c r="B2256" s="10" t="str">
        <f>IF(OR('Volúmenes DIstribuidos '!C1434="Azúcar",'Volúmenes DIstribuidos '!C1434="azúcar"),"Azúcar o dulce",IF('Volúmenes DIstribuidos '!C1434="Aceite","Aceite o grasas",IF('Volúmenes DIstribuidos '!C1434="Avena","Otros almidones",'Volúmenes DIstribuidos '!C1434)))</f>
        <v>Carnes rojas</v>
      </c>
      <c r="C2256" s="10" t="s">
        <v>29</v>
      </c>
      <c r="D2256" s="12">
        <f>'Volúmenes DIstribuidos '!D1434</f>
        <v>21.96</v>
      </c>
      <c r="E2256" s="12">
        <f>SUMIF('Parametros Inventario'!$A:$A,B2256,'Parametros Inventario'!$B:$B)+SUMIFS(D$2:D2256,B$2:B2256,B2256,C$2:C2256,"ENTRADA")-SUMIFS(D$2:D2256,B$2:B2256,B2256,C$2:C2256,"SALIDA")</f>
        <v>10148.330000000004</v>
      </c>
    </row>
    <row r="2257" spans="1:5" x14ac:dyDescent="0.3">
      <c r="A2257" s="9">
        <f>'Volúmenes DIstribuidos '!B1431</f>
        <v>44880</v>
      </c>
      <c r="B2257" s="10" t="str">
        <f>IF(OR('Volúmenes DIstribuidos '!C1435="Azúcar",'Volúmenes DIstribuidos '!C1435="azúcar"),"Azúcar o dulce",IF('Volúmenes DIstribuidos '!C1435="Aceite","Aceite o grasas",IF('Volúmenes DIstribuidos '!C1435="Avena","Otros almidones",'Volúmenes DIstribuidos '!C1435)))</f>
        <v>Panadería</v>
      </c>
      <c r="C2257" s="10" t="s">
        <v>29</v>
      </c>
      <c r="D2257" s="12">
        <f>'Volúmenes DIstribuidos '!D1435</f>
        <v>27.37</v>
      </c>
      <c r="E2257" s="12">
        <f>SUMIF('Parametros Inventario'!$A:$A,B2257,'Parametros Inventario'!$B:$B)+SUMIFS(D$2:D2257,B$2:B2257,B2257,C$2:C2257,"ENTRADA")-SUMIFS(D$2:D2257,B$2:B2257,B2257,C$2:C2257,"SALIDA")</f>
        <v>7562.2850000000017</v>
      </c>
    </row>
    <row r="2258" spans="1:5" x14ac:dyDescent="0.3">
      <c r="A2258" s="9">
        <f>'Volúmenes DIstribuidos '!B1431</f>
        <v>44880</v>
      </c>
      <c r="B2258" s="10" t="str">
        <f>IF(OR('Volúmenes DIstribuidos '!C1436="Azúcar",'Volúmenes DIstribuidos '!C1436="azúcar"),"Azúcar o dulce",IF('Volúmenes DIstribuidos '!C1436="Aceite","Aceite o grasas",IF('Volúmenes DIstribuidos '!C1436="Avena","Otros almidones",'Volúmenes DIstribuidos '!C1436)))</f>
        <v>Vegetales y hojas</v>
      </c>
      <c r="C2258" s="10" t="s">
        <v>29</v>
      </c>
      <c r="D2258" s="12">
        <f>'Volúmenes DIstribuidos '!D1436</f>
        <v>22</v>
      </c>
      <c r="E2258" s="12">
        <f>SUMIF('Parametros Inventario'!$A:$A,B2258,'Parametros Inventario'!$B:$B)+SUMIFS(D$2:D2258,B$2:B2258,B2258,C$2:C2258,"ENTRADA")-SUMIFS(D$2:D2258,B$2:B2258,B2258,C$2:C2258,"SALIDA")</f>
        <v>11182.084999999994</v>
      </c>
    </row>
    <row r="2259" spans="1:5" x14ac:dyDescent="0.3">
      <c r="A2259" s="9">
        <v>44883</v>
      </c>
      <c r="B2259" s="10" t="s">
        <v>10</v>
      </c>
      <c r="C2259" s="10" t="s">
        <v>28</v>
      </c>
      <c r="D2259" s="12">
        <v>269.33</v>
      </c>
      <c r="E2259" s="12">
        <f>SUMIF('Parametros Inventario'!$A:$A,B2259,'Parametros Inventario'!$B:$B)+SUMIFS(D$2:D2259,B$2:B2259,B2259,C$2:C2259,"ENTRADA")-SUMIFS(D$2:D2259,B$2:B2259,B2259,C$2:C2259,"SALIDA")</f>
        <v>11451.414999999994</v>
      </c>
    </row>
    <row r="2260" spans="1:5" x14ac:dyDescent="0.3">
      <c r="A2260" s="9">
        <v>44883</v>
      </c>
      <c r="B2260" s="10" t="s">
        <v>8</v>
      </c>
      <c r="C2260" s="10" t="s">
        <v>28</v>
      </c>
      <c r="D2260" s="12">
        <v>83.57</v>
      </c>
      <c r="E2260" s="12">
        <f>SUMIF('Parametros Inventario'!$A:$A,B2260,'Parametros Inventario'!$B:$B)+SUMIFS(D$2:D2260,B$2:B2260,B2260,C$2:C2260,"ENTRADA")-SUMIFS(D$2:D2260,B$2:B2260,B2260,C$2:C2260,"SALIDA")</f>
        <v>9562.9850000000024</v>
      </c>
    </row>
    <row r="2261" spans="1:5" x14ac:dyDescent="0.3">
      <c r="A2261" s="9">
        <v>44883</v>
      </c>
      <c r="B2261" s="10" t="s">
        <v>13</v>
      </c>
      <c r="C2261" s="10" t="s">
        <v>28</v>
      </c>
      <c r="D2261" s="12">
        <v>129.38</v>
      </c>
      <c r="E2261" s="12">
        <f>SUMIF('Parametros Inventario'!$A:$A,B2261,'Parametros Inventario'!$B:$B)+SUMIFS(D$2:D2261,B$2:B2261,B2261,C$2:C2261,"ENTRADA")-SUMIFS(D$2:D2261,B$2:B2261,B2261,C$2:C2261,"SALIDA")</f>
        <v>10384.238000000001</v>
      </c>
    </row>
    <row r="2262" spans="1:5" x14ac:dyDescent="0.3">
      <c r="A2262" s="9">
        <v>44883</v>
      </c>
      <c r="B2262" s="10" t="s">
        <v>15</v>
      </c>
      <c r="C2262" s="10" t="s">
        <v>28</v>
      </c>
      <c r="D2262" s="12">
        <v>246.74</v>
      </c>
      <c r="E2262" s="12">
        <f>SUMIF('Parametros Inventario'!$A:$A,B2262,'Parametros Inventario'!$B:$B)+SUMIFS(D$2:D2262,B$2:B2262,B2262,C$2:C2262,"ENTRADA")-SUMIFS(D$2:D2262,B$2:B2262,B2262,C$2:C2262,"SALIDA")</f>
        <v>10090.623</v>
      </c>
    </row>
    <row r="2263" spans="1:5" x14ac:dyDescent="0.3">
      <c r="A2263" s="9">
        <v>44883</v>
      </c>
      <c r="B2263" s="10" t="s">
        <v>11</v>
      </c>
      <c r="C2263" s="10" t="s">
        <v>28</v>
      </c>
      <c r="D2263" s="12">
        <v>59.9</v>
      </c>
      <c r="E2263" s="12">
        <f>SUMIF('Parametros Inventario'!$A:$A,B2263,'Parametros Inventario'!$B:$B)+SUMIFS(D$2:D2263,B$2:B2263,B2263,C$2:C2263,"ENTRADA")-SUMIFS(D$2:D2263,B$2:B2263,B2263,C$2:C2263,"SALIDA")</f>
        <v>11405.153</v>
      </c>
    </row>
    <row r="2264" spans="1:5" x14ac:dyDescent="0.3">
      <c r="A2264" s="9">
        <v>44883</v>
      </c>
      <c r="B2264" s="10" t="s">
        <v>9</v>
      </c>
      <c r="C2264" s="10" t="s">
        <v>28</v>
      </c>
      <c r="D2264" s="12">
        <v>247.94</v>
      </c>
      <c r="E2264" s="12">
        <f>SUMIF('Parametros Inventario'!$A:$A,B2264,'Parametros Inventario'!$B:$B)+SUMIFS(D$2:D2264,B$2:B2264,B2264,C$2:C2264,"ENTRADA")-SUMIFS(D$2:D2264,B$2:B2264,B2264,C$2:C2264,"SALIDA")</f>
        <v>7810.2250000000022</v>
      </c>
    </row>
    <row r="2265" spans="1:5" x14ac:dyDescent="0.3">
      <c r="A2265" s="9">
        <v>44883</v>
      </c>
      <c r="B2265" s="10" t="s">
        <v>14</v>
      </c>
      <c r="C2265" s="10" t="s">
        <v>28</v>
      </c>
      <c r="D2265" s="12">
        <v>153.72</v>
      </c>
      <c r="E2265" s="12">
        <f>SUMIF('Parametros Inventario'!$A:$A,B2265,'Parametros Inventario'!$B:$B)+SUMIFS(D$2:D2265,B$2:B2265,B2265,C$2:C2265,"ENTRADA")-SUMIFS(D$2:D2265,B$2:B2265,B2265,C$2:C2265,"SALIDA")</f>
        <v>10643.142</v>
      </c>
    </row>
    <row r="2266" spans="1:5" x14ac:dyDescent="0.3">
      <c r="A2266" s="9">
        <v>44883</v>
      </c>
      <c r="B2266" s="10" t="s">
        <v>12</v>
      </c>
      <c r="C2266" s="10" t="s">
        <v>28</v>
      </c>
      <c r="D2266" s="12">
        <v>253.18</v>
      </c>
      <c r="E2266" s="12">
        <f>SUMIF('Parametros Inventario'!$A:$A,B2266,'Parametros Inventario'!$B:$B)+SUMIFS(D$2:D2266,B$2:B2266,B2266,C$2:C2266,"ENTRADA")-SUMIFS(D$2:D2266,B$2:B2266,B2266,C$2:C2266,"SALIDA")</f>
        <v>10401.510000000004</v>
      </c>
    </row>
    <row r="2267" spans="1:5" x14ac:dyDescent="0.3">
      <c r="A2267" s="9">
        <v>44883</v>
      </c>
      <c r="B2267" s="10" t="s">
        <v>16</v>
      </c>
      <c r="C2267" s="10" t="s">
        <v>28</v>
      </c>
      <c r="D2267" s="12">
        <v>237.64</v>
      </c>
      <c r="E2267" s="12">
        <f>SUMIF('Parametros Inventario'!$A:$A,B2267,'Parametros Inventario'!$B:$B)+SUMIFS(D$2:D2267,B$2:B2267,B2267,C$2:C2267,"ENTRADA")-SUMIFS(D$2:D2267,B$2:B2267,B2267,C$2:C2267,"SALIDA")</f>
        <v>11005.996000000001</v>
      </c>
    </row>
    <row r="2268" spans="1:5" x14ac:dyDescent="0.3">
      <c r="A2268" s="9">
        <v>44883</v>
      </c>
      <c r="B2268" s="10" t="s">
        <v>17</v>
      </c>
      <c r="C2268" s="10" t="s">
        <v>28</v>
      </c>
      <c r="D2268" s="12">
        <v>107.25</v>
      </c>
      <c r="E2268" s="12">
        <f>SUMIF('Parametros Inventario'!$A:$A,B2268,'Parametros Inventario'!$B:$B)+SUMIFS(D$2:D2268,B$2:B2268,B2268,C$2:C2268,"ENTRADA")-SUMIFS(D$2:D2268,B$2:B2268,B2268,C$2:C2268,"SALIDA")</f>
        <v>8717.2690000000021</v>
      </c>
    </row>
    <row r="2269" spans="1:5" x14ac:dyDescent="0.3">
      <c r="A2269" s="9">
        <f>'Volúmenes DIstribuidos '!B1437</f>
        <v>44883</v>
      </c>
      <c r="B2269" s="10" t="str">
        <f>IF(OR('Volúmenes DIstribuidos '!C1437="Azúcar",'Volúmenes DIstribuidos '!C1437="azúcar"),"Azúcar o dulce",IF('Volúmenes DIstribuidos '!C1437="Aceite","Aceite o grasas",IF('Volúmenes DIstribuidos '!C1437="Avena","Otros almidones",'Volúmenes DIstribuidos '!C1437)))</f>
        <v>Salsas</v>
      </c>
      <c r="C2269" s="10" t="s">
        <v>29</v>
      </c>
      <c r="D2269" s="12">
        <f>'Volúmenes DIstribuidos '!D1437</f>
        <v>28.03</v>
      </c>
      <c r="E2269" s="12">
        <f>SUMIF('Parametros Inventario'!$A:$A,B2269,'Parametros Inventario'!$B:$B)+SUMIFS(D$2:D2269,B$2:B2269,B2269,C$2:C2269,"ENTRADA")-SUMIFS(D$2:D2269,B$2:B2269,B2269,C$2:C2269,"SALIDA")</f>
        <v>9941.4669999999969</v>
      </c>
    </row>
    <row r="2270" spans="1:5" x14ac:dyDescent="0.3">
      <c r="A2270" s="9">
        <f>'Volúmenes DIstribuidos '!B1437</f>
        <v>44883</v>
      </c>
      <c r="B2270" s="10" t="str">
        <f>IF(OR('Volúmenes DIstribuidos '!C1438="Azúcar",'Volúmenes DIstribuidos '!C1438="azúcar"),"Azúcar o dulce",IF('Volúmenes DIstribuidos '!C1438="Aceite","Aceite o grasas",IF('Volúmenes DIstribuidos '!C1438="Avena","Otros almidones",'Volúmenes DIstribuidos '!C1438)))</f>
        <v>Carnes rojas</v>
      </c>
      <c r="C2270" s="10" t="s">
        <v>29</v>
      </c>
      <c r="D2270" s="12">
        <f>'Volúmenes DIstribuidos '!D1438</f>
        <v>21.51</v>
      </c>
      <c r="E2270" s="12">
        <f>SUMIF('Parametros Inventario'!$A:$A,B2270,'Parametros Inventario'!$B:$B)+SUMIFS(D$2:D2270,B$2:B2270,B2270,C$2:C2270,"ENTRADA")-SUMIFS(D$2:D2270,B$2:B2270,B2270,C$2:C2270,"SALIDA")</f>
        <v>10380.000000000004</v>
      </c>
    </row>
    <row r="2271" spans="1:5" x14ac:dyDescent="0.3">
      <c r="A2271" s="9">
        <f>'Volúmenes DIstribuidos '!B1437</f>
        <v>44883</v>
      </c>
      <c r="B2271" s="10" t="str">
        <f>IF(OR('Volúmenes DIstribuidos '!C1439="Azúcar",'Volúmenes DIstribuidos '!C1439="azúcar"),"Azúcar o dulce",IF('Volúmenes DIstribuidos '!C1439="Aceite","Aceite o grasas",IF('Volúmenes DIstribuidos '!C1439="Avena","Otros almidones",'Volúmenes DIstribuidos '!C1439)))</f>
        <v>Lácteos</v>
      </c>
      <c r="C2271" s="10" t="s">
        <v>29</v>
      </c>
      <c r="D2271" s="12">
        <f>'Volúmenes DIstribuidos '!D1439</f>
        <v>11.18</v>
      </c>
      <c r="E2271" s="12">
        <f>SUMIF('Parametros Inventario'!$A:$A,B2271,'Parametros Inventario'!$B:$B)+SUMIFS(D$2:D2271,B$2:B2271,B2271,C$2:C2271,"ENTRADA")-SUMIFS(D$2:D2271,B$2:B2271,B2271,C$2:C2271,"SALIDA")</f>
        <v>8706.0890000000018</v>
      </c>
    </row>
    <row r="2272" spans="1:5" x14ac:dyDescent="0.3">
      <c r="A2272" s="9">
        <f>'Volúmenes DIstribuidos '!B1437</f>
        <v>44883</v>
      </c>
      <c r="B2272" s="10" t="str">
        <f>IF(OR('Volúmenes DIstribuidos '!C1440="Azúcar",'Volúmenes DIstribuidos '!C1440="azúcar"),"Azúcar o dulce",IF('Volúmenes DIstribuidos '!C1440="Aceite","Aceite o grasas",IF('Volúmenes DIstribuidos '!C1440="Avena","Otros almidones",'Volúmenes DIstribuidos '!C1440)))</f>
        <v>Vegetales y hojas</v>
      </c>
      <c r="C2272" s="10" t="s">
        <v>29</v>
      </c>
      <c r="D2272" s="12">
        <f>'Volúmenes DIstribuidos '!D1440</f>
        <v>59.16</v>
      </c>
      <c r="E2272" s="12">
        <f>SUMIF('Parametros Inventario'!$A:$A,B2272,'Parametros Inventario'!$B:$B)+SUMIFS(D$2:D2272,B$2:B2272,B2272,C$2:C2272,"ENTRADA")-SUMIFS(D$2:D2272,B$2:B2272,B2272,C$2:C2272,"SALIDA")</f>
        <v>11392.254999999994</v>
      </c>
    </row>
    <row r="2273" spans="1:5" x14ac:dyDescent="0.3">
      <c r="A2273" s="9">
        <f>'Volúmenes DIstribuidos '!B1437</f>
        <v>44883</v>
      </c>
      <c r="B2273" s="10" t="str">
        <f>IF(OR('Volúmenes DIstribuidos '!C1441="Azúcar",'Volúmenes DIstribuidos '!C1441="azúcar"),"Azúcar o dulce",IF('Volúmenes DIstribuidos '!C1441="Aceite","Aceite o grasas",IF('Volúmenes DIstribuidos '!C1441="Avena","Otros almidones",'Volúmenes DIstribuidos '!C1441)))</f>
        <v>Fideo</v>
      </c>
      <c r="C2273" s="10" t="s">
        <v>29</v>
      </c>
      <c r="D2273" s="12">
        <f>'Volúmenes DIstribuidos '!D1441</f>
        <v>21.54</v>
      </c>
      <c r="E2273" s="12">
        <f>SUMIF('Parametros Inventario'!$A:$A,B2273,'Parametros Inventario'!$B:$B)+SUMIFS(D$2:D2273,B$2:B2273,B2273,C$2:C2273,"ENTRADA")-SUMIFS(D$2:D2273,B$2:B2273,B2273,C$2:C2273,"SALIDA")</f>
        <v>11383.612999999999</v>
      </c>
    </row>
    <row r="2274" spans="1:5" x14ac:dyDescent="0.3">
      <c r="A2274" s="9">
        <f>'Volúmenes DIstribuidos '!B1437</f>
        <v>44883</v>
      </c>
      <c r="B2274" s="10" t="str">
        <f>IF(OR('Volúmenes DIstribuidos '!C1442="Azúcar",'Volúmenes DIstribuidos '!C1442="azúcar"),"Azúcar o dulce",IF('Volúmenes DIstribuidos '!C1442="Aceite","Aceite o grasas",IF('Volúmenes DIstribuidos '!C1442="Avena","Otros almidones",'Volúmenes DIstribuidos '!C1442)))</f>
        <v>Menestras</v>
      </c>
      <c r="C2274" s="10" t="s">
        <v>29</v>
      </c>
      <c r="D2274" s="12">
        <f>'Volúmenes DIstribuidos '!D1442</f>
        <v>5.8789999999999996</v>
      </c>
      <c r="E2274" s="12">
        <f>SUMIF('Parametros Inventario'!$A:$A,B2274,'Parametros Inventario'!$B:$B)+SUMIFS(D$2:D2274,B$2:B2274,B2274,C$2:C2274,"ENTRADA")-SUMIFS(D$2:D2274,B$2:B2274,B2274,C$2:C2274,"SALIDA")</f>
        <v>10637.263000000001</v>
      </c>
    </row>
    <row r="2275" spans="1:5" x14ac:dyDescent="0.3">
      <c r="A2275" s="9">
        <f>'Volúmenes DIstribuidos '!B1443</f>
        <v>44887</v>
      </c>
      <c r="B2275" s="10" t="str">
        <f>IF(OR('Volúmenes DIstribuidos '!C1443="Azúcar",'Volúmenes DIstribuidos '!C1443="azúcar"),"Azúcar o dulce",IF('Volúmenes DIstribuidos '!C1443="Aceite","Aceite o grasas",IF('Volúmenes DIstribuidos '!C1443="Avena","Otros almidones",'Volúmenes DIstribuidos '!C1443)))</f>
        <v>Menestras</v>
      </c>
      <c r="C2275" s="10" t="s">
        <v>29</v>
      </c>
      <c r="D2275" s="12">
        <f>'Volúmenes DIstribuidos '!D1443</f>
        <v>4.9800000000000004</v>
      </c>
      <c r="E2275" s="12">
        <f>SUMIF('Parametros Inventario'!$A:$A,B2275,'Parametros Inventario'!$B:$B)+SUMIFS(D$2:D2275,B$2:B2275,B2275,C$2:C2275,"ENTRADA")-SUMIFS(D$2:D2275,B$2:B2275,B2275,C$2:C2275,"SALIDA")</f>
        <v>10632.282999999999</v>
      </c>
    </row>
    <row r="2276" spans="1:5" x14ac:dyDescent="0.3">
      <c r="A2276" s="9">
        <f>'Volúmenes DIstribuidos '!B1443</f>
        <v>44887</v>
      </c>
      <c r="B2276" s="10" t="str">
        <f>IF(OR('Volúmenes DIstribuidos '!C1444="Azúcar",'Volúmenes DIstribuidos '!C1444="azúcar"),"Azúcar o dulce",IF('Volúmenes DIstribuidos '!C1444="Aceite","Aceite o grasas",IF('Volúmenes DIstribuidos '!C1444="Avena","Otros almidones",'Volúmenes DIstribuidos '!C1444)))</f>
        <v>Vegetales y hojas</v>
      </c>
      <c r="C2276" s="10" t="s">
        <v>29</v>
      </c>
      <c r="D2276" s="12">
        <f>'Volúmenes DIstribuidos '!D1444</f>
        <v>7.26</v>
      </c>
      <c r="E2276" s="12">
        <f>SUMIF('Parametros Inventario'!$A:$A,B2276,'Parametros Inventario'!$B:$B)+SUMIFS(D$2:D2276,B$2:B2276,B2276,C$2:C2276,"ENTRADA")-SUMIFS(D$2:D2276,B$2:B2276,B2276,C$2:C2276,"SALIDA")</f>
        <v>11384.994999999994</v>
      </c>
    </row>
    <row r="2277" spans="1:5" x14ac:dyDescent="0.3">
      <c r="A2277" s="9">
        <f>'Volúmenes DIstribuidos '!B1443</f>
        <v>44887</v>
      </c>
      <c r="B2277" s="10" t="str">
        <f>IF(OR('Volúmenes DIstribuidos '!C1445="Azúcar",'Volúmenes DIstribuidos '!C1445="azúcar"),"Azúcar o dulce",IF('Volúmenes DIstribuidos '!C1445="Aceite","Aceite o grasas",IF('Volúmenes DIstribuidos '!C1445="Avena","Otros almidones",'Volúmenes DIstribuidos '!C1445)))</f>
        <v>Carnes blancas</v>
      </c>
      <c r="C2277" s="10" t="s">
        <v>29</v>
      </c>
      <c r="D2277" s="12">
        <f>'Volúmenes DIstribuidos '!D1445</f>
        <v>15.67</v>
      </c>
      <c r="E2277" s="12">
        <f>SUMIF('Parametros Inventario'!$A:$A,B2277,'Parametros Inventario'!$B:$B)+SUMIFS(D$2:D2277,B$2:B2277,B2277,C$2:C2277,"ENTRADA")-SUMIFS(D$2:D2277,B$2:B2277,B2277,C$2:C2277,"SALIDA")</f>
        <v>10990.326000000001</v>
      </c>
    </row>
    <row r="2278" spans="1:5" x14ac:dyDescent="0.3">
      <c r="A2278" s="9">
        <f>'Volúmenes DIstribuidos '!B1443</f>
        <v>44887</v>
      </c>
      <c r="B2278" s="10" t="str">
        <f>IF(OR('Volúmenes DIstribuidos '!C1446="Azúcar",'Volúmenes DIstribuidos '!C1446="azúcar"),"Azúcar o dulce",IF('Volúmenes DIstribuidos '!C1446="Aceite","Aceite o grasas",IF('Volúmenes DIstribuidos '!C1446="Avena","Otros almidones",'Volúmenes DIstribuidos '!C1446)))</f>
        <v>Panadería</v>
      </c>
      <c r="C2278" s="10" t="s">
        <v>29</v>
      </c>
      <c r="D2278" s="12">
        <f>'Volúmenes DIstribuidos '!D1446</f>
        <v>23.32</v>
      </c>
      <c r="E2278" s="12">
        <f>SUMIF('Parametros Inventario'!$A:$A,B2278,'Parametros Inventario'!$B:$B)+SUMIFS(D$2:D2278,B$2:B2278,B2278,C$2:C2278,"ENTRADA")-SUMIFS(D$2:D2278,B$2:B2278,B2278,C$2:C2278,"SALIDA")</f>
        <v>7786.9050000000025</v>
      </c>
    </row>
    <row r="2279" spans="1:5" x14ac:dyDescent="0.3">
      <c r="A2279" s="9">
        <f>'Volúmenes DIstribuidos '!B1443</f>
        <v>44887</v>
      </c>
      <c r="B2279" s="10" t="str">
        <f>IF(OR('Volúmenes DIstribuidos '!C1447="Azúcar",'Volúmenes DIstribuidos '!C1447="azúcar"),"Azúcar o dulce",IF('Volúmenes DIstribuidos '!C1447="Aceite","Aceite o grasas",IF('Volúmenes DIstribuidos '!C1447="Avena","Otros almidones",'Volúmenes DIstribuidos '!C1447)))</f>
        <v>Otros almidones</v>
      </c>
      <c r="C2279" s="10" t="s">
        <v>29</v>
      </c>
      <c r="D2279" s="12">
        <f>'Volúmenes DIstribuidos '!D1447</f>
        <v>28.43</v>
      </c>
      <c r="E2279" s="12">
        <f>SUMIF('Parametros Inventario'!$A:$A,B2279,'Parametros Inventario'!$B:$B)+SUMIFS(D$2:D2279,B$2:B2279,B2279,C$2:C2279,"ENTRADA")-SUMIFS(D$2:D2279,B$2:B2279,B2279,C$2:C2279,"SALIDA")</f>
        <v>10062.192999999999</v>
      </c>
    </row>
    <row r="2280" spans="1:5" x14ac:dyDescent="0.3">
      <c r="A2280" s="9">
        <f>'Volúmenes DIstribuidos '!B1443</f>
        <v>44887</v>
      </c>
      <c r="B2280" s="10" t="str">
        <f>IF(OR('Volúmenes DIstribuidos '!C1448="Azúcar",'Volúmenes DIstribuidos '!C1448="azúcar"),"Azúcar o dulce",IF('Volúmenes DIstribuidos '!C1448="Aceite","Aceite o grasas",IF('Volúmenes DIstribuidos '!C1448="Avena","Otros almidones",'Volúmenes DIstribuidos '!C1448)))</f>
        <v>Azúcar o dulce</v>
      </c>
      <c r="C2280" s="10" t="s">
        <v>29</v>
      </c>
      <c r="D2280" s="12">
        <f>'Volúmenes DIstribuidos '!D1448</f>
        <v>29.725000000000001</v>
      </c>
      <c r="E2280" s="12">
        <f>SUMIF('Parametros Inventario'!$A:$A,B2280,'Parametros Inventario'!$B:$B)+SUMIFS(D$2:D2280,B$2:B2280,B2280,C$2:C2280,"ENTRADA")-SUMIFS(D$2:D2280,B$2:B2280,B2280,C$2:C2280,"SALIDA")</f>
        <v>10354.512999999999</v>
      </c>
    </row>
    <row r="2281" spans="1:5" x14ac:dyDescent="0.3">
      <c r="A2281" s="9">
        <v>44890</v>
      </c>
      <c r="B2281" s="10" t="s">
        <v>18</v>
      </c>
      <c r="C2281" s="10" t="s">
        <v>28</v>
      </c>
      <c r="D2281" s="12">
        <v>233.22</v>
      </c>
      <c r="E2281" s="12">
        <f>SUMIF('Parametros Inventario'!$A:$A,B2281,'Parametros Inventario'!$B:$B)+SUMIFS(D$2:D2281,B$2:B2281,B2281,C$2:C2281,"ENTRADA")-SUMIFS(D$2:D2281,B$2:B2281,B2281,C$2:C2281,"SALIDA")</f>
        <v>10174.686999999996</v>
      </c>
    </row>
    <row r="2282" spans="1:5" x14ac:dyDescent="0.3">
      <c r="A2282" s="9">
        <v>44890</v>
      </c>
      <c r="B2282" s="10" t="s">
        <v>10</v>
      </c>
      <c r="C2282" s="10" t="s">
        <v>28</v>
      </c>
      <c r="D2282" s="12">
        <v>135.68</v>
      </c>
      <c r="E2282" s="12">
        <f>SUMIF('Parametros Inventario'!$A:$A,B2282,'Parametros Inventario'!$B:$B)+SUMIFS(D$2:D2282,B$2:B2282,B2282,C$2:C2282,"ENTRADA")-SUMIFS(D$2:D2282,B$2:B2282,B2282,C$2:C2282,"SALIDA")</f>
        <v>11520.674999999994</v>
      </c>
    </row>
    <row r="2283" spans="1:5" x14ac:dyDescent="0.3">
      <c r="A2283" s="9">
        <v>44890</v>
      </c>
      <c r="B2283" s="10" t="s">
        <v>8</v>
      </c>
      <c r="C2283" s="10" t="s">
        <v>28</v>
      </c>
      <c r="D2283" s="12">
        <v>101.45</v>
      </c>
      <c r="E2283" s="12">
        <f>SUMIF('Parametros Inventario'!$A:$A,B2283,'Parametros Inventario'!$B:$B)+SUMIFS(D$2:D2283,B$2:B2283,B2283,C$2:C2283,"ENTRADA")-SUMIFS(D$2:D2283,B$2:B2283,B2283,C$2:C2283,"SALIDA")</f>
        <v>9664.4350000000031</v>
      </c>
    </row>
    <row r="2284" spans="1:5" x14ac:dyDescent="0.3">
      <c r="A2284" s="9">
        <v>44890</v>
      </c>
      <c r="B2284" s="10" t="s">
        <v>13</v>
      </c>
      <c r="C2284" s="10" t="s">
        <v>28</v>
      </c>
      <c r="D2284" s="12">
        <v>63.52</v>
      </c>
      <c r="E2284" s="12">
        <f>SUMIF('Parametros Inventario'!$A:$A,B2284,'Parametros Inventario'!$B:$B)+SUMIFS(D$2:D2284,B$2:B2284,B2284,C$2:C2284,"ENTRADA")-SUMIFS(D$2:D2284,B$2:B2284,B2284,C$2:C2284,"SALIDA")</f>
        <v>10418.032999999999</v>
      </c>
    </row>
    <row r="2285" spans="1:5" x14ac:dyDescent="0.3">
      <c r="A2285" s="9">
        <v>44890</v>
      </c>
      <c r="B2285" s="10" t="s">
        <v>15</v>
      </c>
      <c r="C2285" s="10" t="s">
        <v>28</v>
      </c>
      <c r="D2285" s="12">
        <v>279.42</v>
      </c>
      <c r="E2285" s="12">
        <f>SUMIF('Parametros Inventario'!$A:$A,B2285,'Parametros Inventario'!$B:$B)+SUMIFS(D$2:D2285,B$2:B2285,B2285,C$2:C2285,"ENTRADA")-SUMIFS(D$2:D2285,B$2:B2285,B2285,C$2:C2285,"SALIDA")</f>
        <v>10341.612999999999</v>
      </c>
    </row>
    <row r="2286" spans="1:5" x14ac:dyDescent="0.3">
      <c r="A2286" s="9">
        <v>44890</v>
      </c>
      <c r="B2286" s="10" t="s">
        <v>11</v>
      </c>
      <c r="C2286" s="10" t="s">
        <v>28</v>
      </c>
      <c r="D2286" s="12">
        <v>297.08999999999997</v>
      </c>
      <c r="E2286" s="12">
        <f>SUMIF('Parametros Inventario'!$A:$A,B2286,'Parametros Inventario'!$B:$B)+SUMIFS(D$2:D2286,B$2:B2286,B2286,C$2:C2286,"ENTRADA")-SUMIFS(D$2:D2286,B$2:B2286,B2286,C$2:C2286,"SALIDA")</f>
        <v>11680.703</v>
      </c>
    </row>
    <row r="2287" spans="1:5" x14ac:dyDescent="0.3">
      <c r="A2287" s="9">
        <v>44890</v>
      </c>
      <c r="B2287" s="10" t="s">
        <v>9</v>
      </c>
      <c r="C2287" s="10" t="s">
        <v>28</v>
      </c>
      <c r="D2287" s="12">
        <v>250.36</v>
      </c>
      <c r="E2287" s="12">
        <f>SUMIF('Parametros Inventario'!$A:$A,B2287,'Parametros Inventario'!$B:$B)+SUMIFS(D$2:D2287,B$2:B2287,B2287,C$2:C2287,"ENTRADA")-SUMIFS(D$2:D2287,B$2:B2287,B2287,C$2:C2287,"SALIDA")</f>
        <v>8037.2650000000031</v>
      </c>
    </row>
    <row r="2288" spans="1:5" x14ac:dyDescent="0.3">
      <c r="A2288" s="9">
        <v>44890</v>
      </c>
      <c r="B2288" s="10" t="s">
        <v>14</v>
      </c>
      <c r="C2288" s="10" t="s">
        <v>28</v>
      </c>
      <c r="D2288" s="12">
        <v>224.07</v>
      </c>
      <c r="E2288" s="12">
        <f>SUMIF('Parametros Inventario'!$A:$A,B2288,'Parametros Inventario'!$B:$B)+SUMIFS(D$2:D2288,B$2:B2288,B2288,C$2:C2288,"ENTRADA")-SUMIFS(D$2:D2288,B$2:B2288,B2288,C$2:C2288,"SALIDA")</f>
        <v>10856.352999999999</v>
      </c>
    </row>
    <row r="2289" spans="1:5" x14ac:dyDescent="0.3">
      <c r="A2289" s="9">
        <f>'Volúmenes DIstribuidos '!B1449</f>
        <v>44890</v>
      </c>
      <c r="B2289" s="10" t="str">
        <f>IF(OR('Volúmenes DIstribuidos '!C1449="Azúcar",'Volúmenes DIstribuidos '!C1449="azúcar"),"Azúcar o dulce",IF('Volúmenes DIstribuidos '!C1449="Aceite","Aceite o grasas",IF('Volúmenes DIstribuidos '!C1449="Avena","Otros almidones",'Volúmenes DIstribuidos '!C1449)))</f>
        <v>Panadería</v>
      </c>
      <c r="C2289" s="10" t="s">
        <v>29</v>
      </c>
      <c r="D2289" s="12">
        <f>'Volúmenes DIstribuidos '!D1449</f>
        <v>14.93</v>
      </c>
      <c r="E2289" s="12">
        <f>SUMIF('Parametros Inventario'!$A:$A,B2289,'Parametros Inventario'!$B:$B)+SUMIFS(D$2:D2289,B$2:B2289,B2289,C$2:C2289,"ENTRADA")-SUMIFS(D$2:D2289,B$2:B2289,B2289,C$2:C2289,"SALIDA")</f>
        <v>8022.3350000000028</v>
      </c>
    </row>
    <row r="2290" spans="1:5" x14ac:dyDescent="0.3">
      <c r="A2290" s="9">
        <f>'Volúmenes DIstribuidos '!B1449</f>
        <v>44890</v>
      </c>
      <c r="B2290" s="10" t="str">
        <f>IF(OR('Volúmenes DIstribuidos '!C1450="Azúcar",'Volúmenes DIstribuidos '!C1450="azúcar"),"Azúcar o dulce",IF('Volúmenes DIstribuidos '!C1450="Aceite","Aceite o grasas",IF('Volúmenes DIstribuidos '!C1450="Avena","Otros almidones",'Volúmenes DIstribuidos '!C1450)))</f>
        <v>Carnes blancas</v>
      </c>
      <c r="C2290" s="10" t="s">
        <v>29</v>
      </c>
      <c r="D2290" s="12">
        <f>'Volúmenes DIstribuidos '!D1450</f>
        <v>71.14</v>
      </c>
      <c r="E2290" s="12">
        <f>SUMIF('Parametros Inventario'!$A:$A,B2290,'Parametros Inventario'!$B:$B)+SUMIFS(D$2:D2290,B$2:B2290,B2290,C$2:C2290,"ENTRADA")-SUMIFS(D$2:D2290,B$2:B2290,B2290,C$2:C2290,"SALIDA")</f>
        <v>10919.186000000002</v>
      </c>
    </row>
    <row r="2291" spans="1:5" x14ac:dyDescent="0.3">
      <c r="A2291" s="9">
        <f>'Volúmenes DIstribuidos '!B1449</f>
        <v>44890</v>
      </c>
      <c r="B2291" s="10" t="str">
        <f>IF(OR('Volúmenes DIstribuidos '!C1451="Azúcar",'Volúmenes DIstribuidos '!C1451="azúcar"),"Azúcar o dulce",IF('Volúmenes DIstribuidos '!C1451="Aceite","Aceite o grasas",IF('Volúmenes DIstribuidos '!C1451="Avena","Otros almidones",'Volúmenes DIstribuidos '!C1451)))</f>
        <v>Fideo</v>
      </c>
      <c r="C2291" s="10" t="s">
        <v>29</v>
      </c>
      <c r="D2291" s="12">
        <f>'Volúmenes DIstribuidos '!D1451</f>
        <v>10.96</v>
      </c>
      <c r="E2291" s="12">
        <f>SUMIF('Parametros Inventario'!$A:$A,B2291,'Parametros Inventario'!$B:$B)+SUMIFS(D$2:D2291,B$2:B2291,B2291,C$2:C2291,"ENTRADA")-SUMIFS(D$2:D2291,B$2:B2291,B2291,C$2:C2291,"SALIDA")</f>
        <v>11669.743</v>
      </c>
    </row>
    <row r="2292" spans="1:5" x14ac:dyDescent="0.3">
      <c r="A2292" s="9">
        <f>'Volúmenes DIstribuidos '!B1449</f>
        <v>44890</v>
      </c>
      <c r="B2292" s="10" t="str">
        <f>IF(OR('Volúmenes DIstribuidos '!C1452="Azúcar",'Volúmenes DIstribuidos '!C1452="azúcar"),"Azúcar o dulce",IF('Volúmenes DIstribuidos '!C1452="Aceite","Aceite o grasas",IF('Volúmenes DIstribuidos '!C1452="Avena","Otros almidones",'Volúmenes DIstribuidos '!C1452)))</f>
        <v>Vegetales y hojas</v>
      </c>
      <c r="C2292" s="10" t="s">
        <v>29</v>
      </c>
      <c r="D2292" s="12">
        <f>'Volúmenes DIstribuidos '!D1452</f>
        <v>34.799999999999997</v>
      </c>
      <c r="E2292" s="12">
        <f>SUMIF('Parametros Inventario'!$A:$A,B2292,'Parametros Inventario'!$B:$B)+SUMIFS(D$2:D2292,B$2:B2292,B2292,C$2:C2292,"ENTRADA")-SUMIFS(D$2:D2292,B$2:B2292,B2292,C$2:C2292,"SALIDA")</f>
        <v>11485.874999999995</v>
      </c>
    </row>
    <row r="2293" spans="1:5" x14ac:dyDescent="0.3">
      <c r="A2293" s="9">
        <f>'Volúmenes DIstribuidos '!B1449</f>
        <v>44890</v>
      </c>
      <c r="B2293" s="10" t="str">
        <f>IF(OR('Volúmenes DIstribuidos '!C1453="Azúcar",'Volúmenes DIstribuidos '!C1453="azúcar"),"Azúcar o dulce",IF('Volúmenes DIstribuidos '!C1453="Aceite","Aceite o grasas",IF('Volúmenes DIstribuidos '!C1453="Avena","Otros almidones",'Volúmenes DIstribuidos '!C1453)))</f>
        <v>Otros almidones</v>
      </c>
      <c r="C2293" s="10" t="s">
        <v>29</v>
      </c>
      <c r="D2293" s="12">
        <f>'Volúmenes DIstribuidos '!D1453</f>
        <v>24.29</v>
      </c>
      <c r="E2293" s="12">
        <f>SUMIF('Parametros Inventario'!$A:$A,B2293,'Parametros Inventario'!$B:$B)+SUMIFS(D$2:D2293,B$2:B2293,B2293,C$2:C2293,"ENTRADA")-SUMIFS(D$2:D2293,B$2:B2293,B2293,C$2:C2293,"SALIDA")</f>
        <v>10317.323</v>
      </c>
    </row>
    <row r="2294" spans="1:5" x14ac:dyDescent="0.3">
      <c r="A2294" s="9">
        <f>'Volúmenes DIstribuidos '!B1449</f>
        <v>44890</v>
      </c>
      <c r="B2294" s="10" t="str">
        <f>IF(OR('Volúmenes DIstribuidos '!C1454="Azúcar",'Volúmenes DIstribuidos '!C1454="azúcar"),"Azúcar o dulce",IF('Volúmenes DIstribuidos '!C1454="Aceite","Aceite o grasas",IF('Volúmenes DIstribuidos '!C1454="Avena","Otros almidones",'Volúmenes DIstribuidos '!C1454)))</f>
        <v>Carnes rojas</v>
      </c>
      <c r="C2294" s="10" t="s">
        <v>29</v>
      </c>
      <c r="D2294" s="12">
        <f>'Volúmenes DIstribuidos '!D1454</f>
        <v>16.792000000000002</v>
      </c>
      <c r="E2294" s="12">
        <f>SUMIF('Parametros Inventario'!$A:$A,B2294,'Parametros Inventario'!$B:$B)+SUMIFS(D$2:D2294,B$2:B2294,B2294,C$2:C2294,"ENTRADA")-SUMIFS(D$2:D2294,B$2:B2294,B2294,C$2:C2294,"SALIDA")</f>
        <v>10363.208000000004</v>
      </c>
    </row>
    <row r="2295" spans="1:5" x14ac:dyDescent="0.3">
      <c r="A2295" s="9">
        <f>'Volúmenes DIstribuidos '!B1455</f>
        <v>44894</v>
      </c>
      <c r="B2295" s="10" t="str">
        <f>IF(OR('Volúmenes DIstribuidos '!C1455="Azúcar",'Volúmenes DIstribuidos '!C1455="azúcar"),"Azúcar o dulce",IF('Volúmenes DIstribuidos '!C1455="Aceite","Aceite o grasas",IF('Volúmenes DIstribuidos '!C1455="Avena","Otros almidones",'Volúmenes DIstribuidos '!C1455)))</f>
        <v>Carnes rojas</v>
      </c>
      <c r="C2295" s="10" t="s">
        <v>29</v>
      </c>
      <c r="D2295" s="12">
        <f>'Volúmenes DIstribuidos '!D1455</f>
        <v>7.92</v>
      </c>
      <c r="E2295" s="12">
        <f>SUMIF('Parametros Inventario'!$A:$A,B2295,'Parametros Inventario'!$B:$B)+SUMIFS(D$2:D2295,B$2:B2295,B2295,C$2:C2295,"ENTRADA")-SUMIFS(D$2:D2295,B$2:B2295,B2295,C$2:C2295,"SALIDA")</f>
        <v>10355.288000000004</v>
      </c>
    </row>
    <row r="2296" spans="1:5" x14ac:dyDescent="0.3">
      <c r="A2296" s="9">
        <f>'Volúmenes DIstribuidos '!B1455</f>
        <v>44894</v>
      </c>
      <c r="B2296" s="10" t="str">
        <f>IF(OR('Volúmenes DIstribuidos '!C1456="Azúcar",'Volúmenes DIstribuidos '!C1456="azúcar"),"Azúcar o dulce",IF('Volúmenes DIstribuidos '!C1456="Aceite","Aceite o grasas",IF('Volúmenes DIstribuidos '!C1456="Avena","Otros almidones",'Volúmenes DIstribuidos '!C1456)))</f>
        <v>Aceite o grasas</v>
      </c>
      <c r="C2296" s="10" t="s">
        <v>29</v>
      </c>
      <c r="D2296" s="12">
        <f>'Volúmenes DIstribuidos '!D1456</f>
        <v>8.51</v>
      </c>
      <c r="E2296" s="12">
        <f>SUMIF('Parametros Inventario'!$A:$A,B2296,'Parametros Inventario'!$B:$B)+SUMIFS(D$2:D2296,B$2:B2296,B2296,C$2:C2296,"ENTRADA")-SUMIFS(D$2:D2296,B$2:B2296,B2296,C$2:C2296,"SALIDA")</f>
        <v>9655.9250000000029</v>
      </c>
    </row>
    <row r="2297" spans="1:5" x14ac:dyDescent="0.3">
      <c r="A2297" s="9">
        <f>'Volúmenes DIstribuidos '!B1455</f>
        <v>44894</v>
      </c>
      <c r="B2297" s="10" t="str">
        <f>IF(OR('Volúmenes DIstribuidos '!C1457="Azúcar",'Volúmenes DIstribuidos '!C1457="azúcar"),"Azúcar o dulce",IF('Volúmenes DIstribuidos '!C1457="Aceite","Aceite o grasas",IF('Volúmenes DIstribuidos '!C1457="Avena","Otros almidones",'Volúmenes DIstribuidos '!C1457)))</f>
        <v>Panadería</v>
      </c>
      <c r="C2297" s="10" t="s">
        <v>29</v>
      </c>
      <c r="D2297" s="12">
        <f>'Volúmenes DIstribuidos '!D1457</f>
        <v>2.78</v>
      </c>
      <c r="E2297" s="12">
        <f>SUMIF('Parametros Inventario'!$A:$A,B2297,'Parametros Inventario'!$B:$B)+SUMIFS(D$2:D2297,B$2:B2297,B2297,C$2:C2297,"ENTRADA")-SUMIFS(D$2:D2297,B$2:B2297,B2297,C$2:C2297,"SALIDA")</f>
        <v>8019.555000000003</v>
      </c>
    </row>
    <row r="2298" spans="1:5" x14ac:dyDescent="0.3">
      <c r="A2298" s="9">
        <f>'Volúmenes DIstribuidos '!B1455</f>
        <v>44894</v>
      </c>
      <c r="B2298" s="10" t="str">
        <f>IF(OR('Volúmenes DIstribuidos '!C1458="Azúcar",'Volúmenes DIstribuidos '!C1458="azúcar"),"Azúcar o dulce",IF('Volúmenes DIstribuidos '!C1458="Aceite","Aceite o grasas",IF('Volúmenes DIstribuidos '!C1458="Avena","Otros almidones",'Volúmenes DIstribuidos '!C1458)))</f>
        <v>Salsas</v>
      </c>
      <c r="C2298" s="10" t="s">
        <v>29</v>
      </c>
      <c r="D2298" s="12">
        <f>'Volúmenes DIstribuidos '!D1458</f>
        <v>50.61</v>
      </c>
      <c r="E2298" s="12">
        <f>SUMIF('Parametros Inventario'!$A:$A,B2298,'Parametros Inventario'!$B:$B)+SUMIFS(D$2:D2298,B$2:B2298,B2298,C$2:C2298,"ENTRADA")-SUMIFS(D$2:D2298,B$2:B2298,B2298,C$2:C2298,"SALIDA")</f>
        <v>10124.076999999996</v>
      </c>
    </row>
    <row r="2299" spans="1:5" x14ac:dyDescent="0.3">
      <c r="A2299" s="9">
        <f>'Volúmenes DIstribuidos '!B1455</f>
        <v>44894</v>
      </c>
      <c r="B2299" s="10" t="str">
        <f>IF(OR('Volúmenes DIstribuidos '!C1459="Azúcar",'Volúmenes DIstribuidos '!C1459="azúcar"),"Azúcar o dulce",IF('Volúmenes DIstribuidos '!C1459="Aceite","Aceite o grasas",IF('Volúmenes DIstribuidos '!C1459="Avena","Otros almidones",'Volúmenes DIstribuidos '!C1459)))</f>
        <v>Azúcar o dulce</v>
      </c>
      <c r="C2299" s="10" t="s">
        <v>29</v>
      </c>
      <c r="D2299" s="12">
        <f>'Volúmenes DIstribuidos '!D1459</f>
        <v>24.04</v>
      </c>
      <c r="E2299" s="12">
        <f>SUMIF('Parametros Inventario'!$A:$A,B2299,'Parametros Inventario'!$B:$B)+SUMIFS(D$2:D2299,B$2:B2299,B2299,C$2:C2299,"ENTRADA")-SUMIFS(D$2:D2299,B$2:B2299,B2299,C$2:C2299,"SALIDA")</f>
        <v>10393.993</v>
      </c>
    </row>
    <row r="2300" spans="1:5" x14ac:dyDescent="0.3">
      <c r="A2300" s="9">
        <f>'Volúmenes DIstribuidos '!B1455</f>
        <v>44894</v>
      </c>
      <c r="B2300" s="10" t="str">
        <f>IF(OR('Volúmenes DIstribuidos '!C1460="Azúcar",'Volúmenes DIstribuidos '!C1460="azúcar"),"Azúcar o dulce",IF('Volúmenes DIstribuidos '!C1460="Aceite","Aceite o grasas",IF('Volúmenes DIstribuidos '!C1460="Avena","Otros almidones",'Volúmenes DIstribuidos '!C1460)))</f>
        <v>Otros almidones</v>
      </c>
      <c r="C2300" s="10" t="s">
        <v>29</v>
      </c>
      <c r="D2300" s="12">
        <f>'Volúmenes DIstribuidos '!D1460</f>
        <v>37.369999999999997</v>
      </c>
      <c r="E2300" s="12">
        <f>SUMIF('Parametros Inventario'!$A:$A,B2300,'Parametros Inventario'!$B:$B)+SUMIFS(D$2:D2300,B$2:B2300,B2300,C$2:C2300,"ENTRADA")-SUMIFS(D$2:D2300,B$2:B2300,B2300,C$2:C2300,"SALIDA")</f>
        <v>10279.953</v>
      </c>
    </row>
    <row r="2301" spans="1:5" x14ac:dyDescent="0.3">
      <c r="A2301" s="9">
        <v>44897</v>
      </c>
      <c r="B2301" s="10" t="s">
        <v>12</v>
      </c>
      <c r="C2301" s="10" t="s">
        <v>28</v>
      </c>
      <c r="D2301" s="12">
        <v>105.61</v>
      </c>
      <c r="E2301" s="12">
        <f>SUMIF('Parametros Inventario'!$A:$A,B2301,'Parametros Inventario'!$B:$B)+SUMIFS(D$2:D2301,B$2:B2301,B2301,C$2:C2301,"ENTRADA")-SUMIFS(D$2:D2301,B$2:B2301,B2301,C$2:C2301,"SALIDA")</f>
        <v>10460.898000000005</v>
      </c>
    </row>
    <row r="2302" spans="1:5" x14ac:dyDescent="0.3">
      <c r="A2302" s="9">
        <v>44897</v>
      </c>
      <c r="B2302" s="10" t="s">
        <v>16</v>
      </c>
      <c r="C2302" s="10" t="s">
        <v>28</v>
      </c>
      <c r="D2302" s="12">
        <v>268.18</v>
      </c>
      <c r="E2302" s="12">
        <f>SUMIF('Parametros Inventario'!$A:$A,B2302,'Parametros Inventario'!$B:$B)+SUMIFS(D$2:D2302,B$2:B2302,B2302,C$2:C2302,"ENTRADA")-SUMIFS(D$2:D2302,B$2:B2302,B2302,C$2:C2302,"SALIDA")</f>
        <v>11187.366000000002</v>
      </c>
    </row>
    <row r="2303" spans="1:5" x14ac:dyDescent="0.3">
      <c r="A2303" s="9">
        <v>44897</v>
      </c>
      <c r="B2303" s="10" t="s">
        <v>17</v>
      </c>
      <c r="C2303" s="10" t="s">
        <v>28</v>
      </c>
      <c r="D2303" s="12">
        <v>180.37</v>
      </c>
      <c r="E2303" s="12">
        <f>SUMIF('Parametros Inventario'!$A:$A,B2303,'Parametros Inventario'!$B:$B)+SUMIFS(D$2:D2303,B$2:B2303,B2303,C$2:C2303,"ENTRADA")-SUMIFS(D$2:D2303,B$2:B2303,B2303,C$2:C2303,"SALIDA")</f>
        <v>8886.4590000000026</v>
      </c>
    </row>
    <row r="2304" spans="1:5" x14ac:dyDescent="0.3">
      <c r="A2304" s="9">
        <v>44897</v>
      </c>
      <c r="B2304" s="10" t="s">
        <v>18</v>
      </c>
      <c r="C2304" s="10" t="s">
        <v>28</v>
      </c>
      <c r="D2304" s="12">
        <v>95.89</v>
      </c>
      <c r="E2304" s="12">
        <f>SUMIF('Parametros Inventario'!$A:$A,B2304,'Parametros Inventario'!$B:$B)+SUMIFS(D$2:D2304,B$2:B2304,B2304,C$2:C2304,"ENTRADA")-SUMIFS(D$2:D2304,B$2:B2304,B2304,C$2:C2304,"SALIDA")</f>
        <v>10219.966999999995</v>
      </c>
    </row>
    <row r="2305" spans="1:5" x14ac:dyDescent="0.3">
      <c r="A2305" s="9">
        <v>44897</v>
      </c>
      <c r="B2305" s="10" t="s">
        <v>10</v>
      </c>
      <c r="C2305" s="10" t="s">
        <v>28</v>
      </c>
      <c r="D2305" s="12">
        <v>207.45</v>
      </c>
      <c r="E2305" s="12">
        <f>SUMIF('Parametros Inventario'!$A:$A,B2305,'Parametros Inventario'!$B:$B)+SUMIFS(D$2:D2305,B$2:B2305,B2305,C$2:C2305,"ENTRADA")-SUMIFS(D$2:D2305,B$2:B2305,B2305,C$2:C2305,"SALIDA")</f>
        <v>11693.324999999995</v>
      </c>
    </row>
    <row r="2306" spans="1:5" x14ac:dyDescent="0.3">
      <c r="A2306" s="9">
        <v>44897</v>
      </c>
      <c r="B2306" s="10" t="s">
        <v>8</v>
      </c>
      <c r="C2306" s="10" t="s">
        <v>28</v>
      </c>
      <c r="D2306" s="12">
        <v>66.150000000000006</v>
      </c>
      <c r="E2306" s="12">
        <f>SUMIF('Parametros Inventario'!$A:$A,B2306,'Parametros Inventario'!$B:$B)+SUMIFS(D$2:D2306,B$2:B2306,B2306,C$2:C2306,"ENTRADA")-SUMIFS(D$2:D2306,B$2:B2306,B2306,C$2:C2306,"SALIDA")</f>
        <v>9722.0750000000025</v>
      </c>
    </row>
    <row r="2307" spans="1:5" x14ac:dyDescent="0.3">
      <c r="A2307" s="9">
        <f>'Volúmenes DIstribuidos '!B1461</f>
        <v>44897</v>
      </c>
      <c r="B2307" s="10" t="str">
        <f>IF(OR('Volúmenes DIstribuidos '!C1461="Azúcar",'Volúmenes DIstribuidos '!C1461="azúcar"),"Azúcar o dulce",IF('Volúmenes DIstribuidos '!C1461="Aceite","Aceite o grasas",IF('Volúmenes DIstribuidos '!C1461="Avena","Otros almidones",'Volúmenes DIstribuidos '!C1461)))</f>
        <v>Vegetales y hojas</v>
      </c>
      <c r="C2307" s="10" t="s">
        <v>29</v>
      </c>
      <c r="D2307" s="12">
        <f>'Volúmenes DIstribuidos '!D1461</f>
        <v>12.84</v>
      </c>
      <c r="E2307" s="12">
        <f>SUMIF('Parametros Inventario'!$A:$A,B2307,'Parametros Inventario'!$B:$B)+SUMIFS(D$2:D2307,B$2:B2307,B2307,C$2:C2307,"ENTRADA")-SUMIFS(D$2:D2307,B$2:B2307,B2307,C$2:C2307,"SALIDA")</f>
        <v>11680.484999999995</v>
      </c>
    </row>
    <row r="2308" spans="1:5" x14ac:dyDescent="0.3">
      <c r="A2308" s="9">
        <f>'Volúmenes DIstribuidos '!B1461</f>
        <v>44897</v>
      </c>
      <c r="B2308" s="10" t="str">
        <f>IF(OR('Volúmenes DIstribuidos '!C1462="Azúcar",'Volúmenes DIstribuidos '!C1462="azúcar"),"Azúcar o dulce",IF('Volúmenes DIstribuidos '!C1462="Aceite","Aceite o grasas",IF('Volúmenes DIstribuidos '!C1462="Avena","Otros almidones",'Volúmenes DIstribuidos '!C1462)))</f>
        <v>Salsas</v>
      </c>
      <c r="C2308" s="10" t="s">
        <v>29</v>
      </c>
      <c r="D2308" s="12">
        <f>'Volúmenes DIstribuidos '!D1462</f>
        <v>94.521000000000001</v>
      </c>
      <c r="E2308" s="12">
        <f>SUMIF('Parametros Inventario'!$A:$A,B2308,'Parametros Inventario'!$B:$B)+SUMIFS(D$2:D2308,B$2:B2308,B2308,C$2:C2308,"ENTRADA")-SUMIFS(D$2:D2308,B$2:B2308,B2308,C$2:C2308,"SALIDA")</f>
        <v>10125.445999999996</v>
      </c>
    </row>
    <row r="2309" spans="1:5" x14ac:dyDescent="0.3">
      <c r="A2309" s="9">
        <f>'Volúmenes DIstribuidos '!B1461</f>
        <v>44897</v>
      </c>
      <c r="B2309" s="10" t="str">
        <f>IF(OR('Volúmenes DIstribuidos '!C1463="Azúcar",'Volúmenes DIstribuidos '!C1463="azúcar"),"Azúcar o dulce",IF('Volúmenes DIstribuidos '!C1463="Aceite","Aceite o grasas",IF('Volúmenes DIstribuidos '!C1463="Avena","Otros almidones",'Volúmenes DIstribuidos '!C1463)))</f>
        <v>Fideo</v>
      </c>
      <c r="C2309" s="10" t="s">
        <v>29</v>
      </c>
      <c r="D2309" s="12">
        <f>'Volúmenes DIstribuidos '!D1463</f>
        <v>23.98</v>
      </c>
      <c r="E2309" s="12">
        <f>SUMIF('Parametros Inventario'!$A:$A,B2309,'Parametros Inventario'!$B:$B)+SUMIFS(D$2:D2309,B$2:B2309,B2309,C$2:C2309,"ENTRADA")-SUMIFS(D$2:D2309,B$2:B2309,B2309,C$2:C2309,"SALIDA")</f>
        <v>11645.762999999999</v>
      </c>
    </row>
    <row r="2310" spans="1:5" x14ac:dyDescent="0.3">
      <c r="A2310" s="9">
        <f>'Volúmenes DIstribuidos '!B1461</f>
        <v>44897</v>
      </c>
      <c r="B2310" s="10" t="str">
        <f>IF(OR('Volúmenes DIstribuidos '!C1464="Azúcar",'Volúmenes DIstribuidos '!C1464="azúcar"),"Azúcar o dulce",IF('Volúmenes DIstribuidos '!C1464="Aceite","Aceite o grasas",IF('Volúmenes DIstribuidos '!C1464="Avena","Otros almidones",'Volúmenes DIstribuidos '!C1464)))</f>
        <v>Carnes blancas</v>
      </c>
      <c r="C2310" s="10" t="s">
        <v>29</v>
      </c>
      <c r="D2310" s="12">
        <f>'Volúmenes DIstribuidos '!D1464</f>
        <v>110.47</v>
      </c>
      <c r="E2310" s="12">
        <f>SUMIF('Parametros Inventario'!$A:$A,B2310,'Parametros Inventario'!$B:$B)+SUMIFS(D$2:D2310,B$2:B2310,B2310,C$2:C2310,"ENTRADA")-SUMIFS(D$2:D2310,B$2:B2310,B2310,C$2:C2310,"SALIDA")</f>
        <v>11076.896000000001</v>
      </c>
    </row>
    <row r="2311" spans="1:5" x14ac:dyDescent="0.3">
      <c r="A2311" s="9">
        <f>'Volúmenes DIstribuidos '!B1461</f>
        <v>44897</v>
      </c>
      <c r="B2311" s="10" t="str">
        <f>IF(OR('Volúmenes DIstribuidos '!C1465="Azúcar",'Volúmenes DIstribuidos '!C1465="azúcar"),"Azúcar o dulce",IF('Volúmenes DIstribuidos '!C1465="Aceite","Aceite o grasas",IF('Volúmenes DIstribuidos '!C1465="Avena","Otros almidones",'Volúmenes DIstribuidos '!C1465)))</f>
        <v>Azúcar o dulce</v>
      </c>
      <c r="C2311" s="10" t="s">
        <v>29</v>
      </c>
      <c r="D2311" s="12">
        <f>'Volúmenes DIstribuidos '!D1465</f>
        <v>15.67</v>
      </c>
      <c r="E2311" s="12">
        <f>SUMIF('Parametros Inventario'!$A:$A,B2311,'Parametros Inventario'!$B:$B)+SUMIFS(D$2:D2311,B$2:B2311,B2311,C$2:C2311,"ENTRADA")-SUMIFS(D$2:D2311,B$2:B2311,B2311,C$2:C2311,"SALIDA")</f>
        <v>10378.323</v>
      </c>
    </row>
    <row r="2312" spans="1:5" x14ac:dyDescent="0.3">
      <c r="A2312" s="9">
        <f>'Volúmenes DIstribuidos '!B1461</f>
        <v>44897</v>
      </c>
      <c r="B2312" s="10" t="str">
        <f>IF(OR('Volúmenes DIstribuidos '!C1466="Azúcar",'Volúmenes DIstribuidos '!C1466="azúcar"),"Azúcar o dulce",IF('Volúmenes DIstribuidos '!C1466="Aceite","Aceite o grasas",IF('Volúmenes DIstribuidos '!C1466="Avena","Otros almidones",'Volúmenes DIstribuidos '!C1466)))</f>
        <v>Vegetales y hojas</v>
      </c>
      <c r="C2312" s="10" t="s">
        <v>29</v>
      </c>
      <c r="D2312" s="12">
        <f>'Volúmenes DIstribuidos '!D1466</f>
        <v>24.43</v>
      </c>
      <c r="E2312" s="12">
        <f>SUMIF('Parametros Inventario'!$A:$A,B2312,'Parametros Inventario'!$B:$B)+SUMIFS(D$2:D2312,B$2:B2312,B2312,C$2:C2312,"ENTRADA")-SUMIFS(D$2:D2312,B$2:B2312,B2312,C$2:C2312,"SALIDA")</f>
        <v>11656.054999999995</v>
      </c>
    </row>
    <row r="2313" spans="1:5" x14ac:dyDescent="0.3">
      <c r="A2313" s="9">
        <f>'Volúmenes DIstribuidos '!B1467</f>
        <v>44901</v>
      </c>
      <c r="B2313" s="10" t="str">
        <f>IF(OR('Volúmenes DIstribuidos '!C1467="Azúcar",'Volúmenes DIstribuidos '!C1467="azúcar"),"Azúcar o dulce",IF('Volúmenes DIstribuidos '!C1467="Aceite","Aceite o grasas",IF('Volúmenes DIstribuidos '!C1467="Avena","Otros almidones",'Volúmenes DIstribuidos '!C1467)))</f>
        <v>Otros almidones</v>
      </c>
      <c r="C2313" s="10" t="s">
        <v>29</v>
      </c>
      <c r="D2313" s="12">
        <f>'Volúmenes DIstribuidos '!D1467</f>
        <v>14.04</v>
      </c>
      <c r="E2313" s="12">
        <f>SUMIF('Parametros Inventario'!$A:$A,B2313,'Parametros Inventario'!$B:$B)+SUMIFS(D$2:D2313,B$2:B2313,B2313,C$2:C2313,"ENTRADA")-SUMIFS(D$2:D2313,B$2:B2313,B2313,C$2:C2313,"SALIDA")</f>
        <v>10265.913</v>
      </c>
    </row>
    <row r="2314" spans="1:5" x14ac:dyDescent="0.3">
      <c r="A2314" s="9">
        <f>'Volúmenes DIstribuidos '!B1467</f>
        <v>44901</v>
      </c>
      <c r="B2314" s="10" t="str">
        <f>IF(OR('Volúmenes DIstribuidos '!C1468="Azúcar",'Volúmenes DIstribuidos '!C1468="azúcar"),"Azúcar o dulce",IF('Volúmenes DIstribuidos '!C1468="Aceite","Aceite o grasas",IF('Volúmenes DIstribuidos '!C1468="Avena","Otros almidones",'Volúmenes DIstribuidos '!C1468)))</f>
        <v>Fideo</v>
      </c>
      <c r="C2314" s="10" t="s">
        <v>29</v>
      </c>
      <c r="D2314" s="12">
        <f>'Volúmenes DIstribuidos '!D1468</f>
        <v>8.07</v>
      </c>
      <c r="E2314" s="12">
        <f>SUMIF('Parametros Inventario'!$A:$A,B2314,'Parametros Inventario'!$B:$B)+SUMIFS(D$2:D2314,B$2:B2314,B2314,C$2:C2314,"ENTRADA")-SUMIFS(D$2:D2314,B$2:B2314,B2314,C$2:C2314,"SALIDA")</f>
        <v>11637.692999999999</v>
      </c>
    </row>
    <row r="2315" spans="1:5" x14ac:dyDescent="0.3">
      <c r="A2315" s="9">
        <f>'Volúmenes DIstribuidos '!B1467</f>
        <v>44901</v>
      </c>
      <c r="B2315" s="10" t="str">
        <f>IF(OR('Volúmenes DIstribuidos '!C1469="Azúcar",'Volúmenes DIstribuidos '!C1469="azúcar"),"Azúcar o dulce",IF('Volúmenes DIstribuidos '!C1469="Aceite","Aceite o grasas",IF('Volúmenes DIstribuidos '!C1469="Avena","Otros almidones",'Volúmenes DIstribuidos '!C1469)))</f>
        <v>Carnes blancas</v>
      </c>
      <c r="C2315" s="10" t="s">
        <v>29</v>
      </c>
      <c r="D2315" s="12">
        <f>'Volúmenes DIstribuidos '!D1469</f>
        <v>5.5</v>
      </c>
      <c r="E2315" s="12">
        <f>SUMIF('Parametros Inventario'!$A:$A,B2315,'Parametros Inventario'!$B:$B)+SUMIFS(D$2:D2315,B$2:B2315,B2315,C$2:C2315,"ENTRADA")-SUMIFS(D$2:D2315,B$2:B2315,B2315,C$2:C2315,"SALIDA")</f>
        <v>11071.396000000001</v>
      </c>
    </row>
    <row r="2316" spans="1:5" x14ac:dyDescent="0.3">
      <c r="A2316" s="9">
        <f>'Volúmenes DIstribuidos '!B1467</f>
        <v>44901</v>
      </c>
      <c r="B2316" s="10" t="str">
        <f>IF(OR('Volúmenes DIstribuidos '!C1470="Azúcar",'Volúmenes DIstribuidos '!C1470="azúcar"),"Azúcar o dulce",IF('Volúmenes DIstribuidos '!C1470="Aceite","Aceite o grasas",IF('Volúmenes DIstribuidos '!C1470="Avena","Otros almidones",'Volúmenes DIstribuidos '!C1470)))</f>
        <v>Lácteos</v>
      </c>
      <c r="C2316" s="10" t="s">
        <v>29</v>
      </c>
      <c r="D2316" s="12">
        <f>'Volúmenes DIstribuidos '!D1470</f>
        <v>6.13</v>
      </c>
      <c r="E2316" s="12">
        <f>SUMIF('Parametros Inventario'!$A:$A,B2316,'Parametros Inventario'!$B:$B)+SUMIFS(D$2:D2316,B$2:B2316,B2316,C$2:C2316,"ENTRADA")-SUMIFS(D$2:D2316,B$2:B2316,B2316,C$2:C2316,"SALIDA")</f>
        <v>8880.3290000000015</v>
      </c>
    </row>
    <row r="2317" spans="1:5" x14ac:dyDescent="0.3">
      <c r="A2317" s="9">
        <f>'Volúmenes DIstribuidos '!B1467</f>
        <v>44901</v>
      </c>
      <c r="B2317" s="10" t="str">
        <f>IF(OR('Volúmenes DIstribuidos '!C1471="Azúcar",'Volúmenes DIstribuidos '!C1471="azúcar"),"Azúcar o dulce",IF('Volúmenes DIstribuidos '!C1471="Aceite","Aceite o grasas",IF('Volúmenes DIstribuidos '!C1471="Avena","Otros almidones",'Volúmenes DIstribuidos '!C1471)))</f>
        <v>Carnes rojas</v>
      </c>
      <c r="C2317" s="10" t="s">
        <v>29</v>
      </c>
      <c r="D2317" s="12">
        <f>'Volúmenes DIstribuidos '!D1471</f>
        <v>17.628</v>
      </c>
      <c r="E2317" s="12">
        <f>SUMIF('Parametros Inventario'!$A:$A,B2317,'Parametros Inventario'!$B:$B)+SUMIFS(D$2:D2317,B$2:B2317,B2317,C$2:C2317,"ENTRADA")-SUMIFS(D$2:D2317,B$2:B2317,B2317,C$2:C2317,"SALIDA")</f>
        <v>10443.270000000004</v>
      </c>
    </row>
    <row r="2318" spans="1:5" x14ac:dyDescent="0.3">
      <c r="A2318" s="9">
        <f>'Volúmenes DIstribuidos '!B1467</f>
        <v>44901</v>
      </c>
      <c r="B2318" s="10" t="str">
        <f>IF(OR('Volúmenes DIstribuidos '!C1472="Azúcar",'Volúmenes DIstribuidos '!C1472="azúcar"),"Azúcar o dulce",IF('Volúmenes DIstribuidos '!C1472="Aceite","Aceite o grasas",IF('Volúmenes DIstribuidos '!C1472="Avena","Otros almidones",'Volúmenes DIstribuidos '!C1472)))</f>
        <v>Carnes blancas</v>
      </c>
      <c r="C2318" s="10" t="s">
        <v>29</v>
      </c>
      <c r="D2318" s="12">
        <f>'Volúmenes DIstribuidos '!D1472</f>
        <v>14.34</v>
      </c>
      <c r="E2318" s="12">
        <f>SUMIF('Parametros Inventario'!$A:$A,B2318,'Parametros Inventario'!$B:$B)+SUMIFS(D$2:D2318,B$2:B2318,B2318,C$2:C2318,"ENTRADA")-SUMIFS(D$2:D2318,B$2:B2318,B2318,C$2:C2318,"SALIDA")</f>
        <v>11057.056</v>
      </c>
    </row>
    <row r="2319" spans="1:5" x14ac:dyDescent="0.3">
      <c r="A2319" s="9">
        <f>'Volúmenes DIstribuidos '!B1473</f>
        <v>44904</v>
      </c>
      <c r="B2319" s="10" t="str">
        <f>IF(OR('Volúmenes DIstribuidos '!C1473="Azúcar",'Volúmenes DIstribuidos '!C1473="azúcar"),"Azúcar o dulce",IF('Volúmenes DIstribuidos '!C1473="Aceite","Aceite o grasas",IF('Volúmenes DIstribuidos '!C1473="Avena","Otros almidones",'Volúmenes DIstribuidos '!C1473)))</f>
        <v>Carnes rojas</v>
      </c>
      <c r="C2319" s="10" t="s">
        <v>29</v>
      </c>
      <c r="D2319" s="12">
        <f>'Volúmenes DIstribuidos '!D1473</f>
        <v>20.420000000000002</v>
      </c>
      <c r="E2319" s="12">
        <f>SUMIF('Parametros Inventario'!$A:$A,B2319,'Parametros Inventario'!$B:$B)+SUMIFS(D$2:D2319,B$2:B2319,B2319,C$2:C2319,"ENTRADA")-SUMIFS(D$2:D2319,B$2:B2319,B2319,C$2:C2319,"SALIDA")</f>
        <v>10422.850000000004</v>
      </c>
    </row>
    <row r="2320" spans="1:5" x14ac:dyDescent="0.3">
      <c r="A2320" s="9">
        <f>'Volúmenes DIstribuidos '!B1473</f>
        <v>44904</v>
      </c>
      <c r="B2320" s="10" t="str">
        <f>IF(OR('Volúmenes DIstribuidos '!C1474="Azúcar",'Volúmenes DIstribuidos '!C1474="azúcar"),"Azúcar o dulce",IF('Volúmenes DIstribuidos '!C1474="Aceite","Aceite o grasas",IF('Volúmenes DIstribuidos '!C1474="Avena","Otros almidones",'Volúmenes DIstribuidos '!C1474)))</f>
        <v>Fideo</v>
      </c>
      <c r="C2320" s="10" t="s">
        <v>29</v>
      </c>
      <c r="D2320" s="12">
        <f>'Volúmenes DIstribuidos '!D1474</f>
        <v>6.68</v>
      </c>
      <c r="E2320" s="12">
        <f>SUMIF('Parametros Inventario'!$A:$A,B2320,'Parametros Inventario'!$B:$B)+SUMIFS(D$2:D2320,B$2:B2320,B2320,C$2:C2320,"ENTRADA")-SUMIFS(D$2:D2320,B$2:B2320,B2320,C$2:C2320,"SALIDA")</f>
        <v>11631.012999999999</v>
      </c>
    </row>
    <row r="2321" spans="1:5" x14ac:dyDescent="0.3">
      <c r="A2321" s="9">
        <f>'Volúmenes DIstribuidos '!B1473</f>
        <v>44904</v>
      </c>
      <c r="B2321" s="10" t="str">
        <f>IF(OR('Volúmenes DIstribuidos '!C1475="Azúcar",'Volúmenes DIstribuidos '!C1475="azúcar"),"Azúcar o dulce",IF('Volúmenes DIstribuidos '!C1475="Aceite","Aceite o grasas",IF('Volúmenes DIstribuidos '!C1475="Avena","Otros almidones",'Volúmenes DIstribuidos '!C1475)))</f>
        <v>Aceite o grasas</v>
      </c>
      <c r="C2321" s="10" t="s">
        <v>29</v>
      </c>
      <c r="D2321" s="12">
        <f>'Volúmenes DIstribuidos '!D1475</f>
        <v>25.52</v>
      </c>
      <c r="E2321" s="12">
        <f>SUMIF('Parametros Inventario'!$A:$A,B2321,'Parametros Inventario'!$B:$B)+SUMIFS(D$2:D2321,B$2:B2321,B2321,C$2:C2321,"ENTRADA")-SUMIFS(D$2:D2321,B$2:B2321,B2321,C$2:C2321,"SALIDA")</f>
        <v>9696.5550000000021</v>
      </c>
    </row>
    <row r="2322" spans="1:5" x14ac:dyDescent="0.3">
      <c r="A2322" s="9">
        <f>'Volúmenes DIstribuidos '!B1473</f>
        <v>44904</v>
      </c>
      <c r="B2322" s="10" t="str">
        <f>IF(OR('Volúmenes DIstribuidos '!C1476="Azúcar",'Volúmenes DIstribuidos '!C1476="azúcar"),"Azúcar o dulce",IF('Volúmenes DIstribuidos '!C1476="Aceite","Aceite o grasas",IF('Volúmenes DIstribuidos '!C1476="Avena","Otros almidones",'Volúmenes DIstribuidos '!C1476)))</f>
        <v>Otros almidones</v>
      </c>
      <c r="C2322" s="10" t="s">
        <v>29</v>
      </c>
      <c r="D2322" s="12">
        <f>'Volúmenes DIstribuidos '!D1476</f>
        <v>4.1500000000000004</v>
      </c>
      <c r="E2322" s="12">
        <f>SUMIF('Parametros Inventario'!$A:$A,B2322,'Parametros Inventario'!$B:$B)+SUMIFS(D$2:D2322,B$2:B2322,B2322,C$2:C2322,"ENTRADA")-SUMIFS(D$2:D2322,B$2:B2322,B2322,C$2:C2322,"SALIDA")</f>
        <v>10261.762999999999</v>
      </c>
    </row>
    <row r="2323" spans="1:5" x14ac:dyDescent="0.3">
      <c r="A2323" s="9">
        <f>'Volúmenes DIstribuidos '!B1473</f>
        <v>44904</v>
      </c>
      <c r="B2323" s="10" t="str">
        <f>IF(OR('Volúmenes DIstribuidos '!C1477="Azúcar",'Volúmenes DIstribuidos '!C1477="azúcar"),"Azúcar o dulce",IF('Volúmenes DIstribuidos '!C1477="Aceite","Aceite o grasas",IF('Volúmenes DIstribuidos '!C1477="Avena","Otros almidones",'Volúmenes DIstribuidos '!C1477)))</f>
        <v>Salsas</v>
      </c>
      <c r="C2323" s="10" t="s">
        <v>29</v>
      </c>
      <c r="D2323" s="12">
        <f>'Volúmenes DIstribuidos '!D1477</f>
        <v>33.72</v>
      </c>
      <c r="E2323" s="12">
        <f>SUMIF('Parametros Inventario'!$A:$A,B2323,'Parametros Inventario'!$B:$B)+SUMIFS(D$2:D2323,B$2:B2323,B2323,C$2:C2323,"ENTRADA")-SUMIFS(D$2:D2323,B$2:B2323,B2323,C$2:C2323,"SALIDA")</f>
        <v>10091.725999999995</v>
      </c>
    </row>
    <row r="2324" spans="1:5" x14ac:dyDescent="0.3">
      <c r="A2324" s="9">
        <f>'Volúmenes DIstribuidos '!B1473</f>
        <v>44904</v>
      </c>
      <c r="B2324" s="10" t="str">
        <f>IF(OR('Volúmenes DIstribuidos '!C1478="Azúcar",'Volúmenes DIstribuidos '!C1478="azúcar"),"Azúcar o dulce",IF('Volúmenes DIstribuidos '!C1478="Aceite","Aceite o grasas",IF('Volúmenes DIstribuidos '!C1478="Avena","Otros almidones",'Volúmenes DIstribuidos '!C1478)))</f>
        <v>Azúcar o dulce</v>
      </c>
      <c r="C2324" s="10" t="s">
        <v>29</v>
      </c>
      <c r="D2324" s="12">
        <f>'Volúmenes DIstribuidos '!D1478</f>
        <v>11.71</v>
      </c>
      <c r="E2324" s="12">
        <f>SUMIF('Parametros Inventario'!$A:$A,B2324,'Parametros Inventario'!$B:$B)+SUMIFS(D$2:D2324,B$2:B2324,B2324,C$2:C2324,"ENTRADA")-SUMIFS(D$2:D2324,B$2:B2324,B2324,C$2:C2324,"SALIDA")</f>
        <v>10366.613000000001</v>
      </c>
    </row>
    <row r="2325" spans="1:5" x14ac:dyDescent="0.3">
      <c r="A2325" s="9">
        <f>'Volúmenes DIstribuidos '!B1479</f>
        <v>44908</v>
      </c>
      <c r="B2325" s="10" t="str">
        <f>IF(OR('Volúmenes DIstribuidos '!C1479="Azúcar",'Volúmenes DIstribuidos '!C1479="azúcar"),"Azúcar o dulce",IF('Volúmenes DIstribuidos '!C1479="Aceite","Aceite o grasas",IF('Volúmenes DIstribuidos '!C1479="Avena","Otros almidones",'Volúmenes DIstribuidos '!C1479)))</f>
        <v>Aceite o grasas</v>
      </c>
      <c r="C2325" s="10" t="s">
        <v>29</v>
      </c>
      <c r="D2325" s="12">
        <f>'Volúmenes DIstribuidos '!D1479</f>
        <v>26.85</v>
      </c>
      <c r="E2325" s="12">
        <f>SUMIF('Parametros Inventario'!$A:$A,B2325,'Parametros Inventario'!$B:$B)+SUMIFS(D$2:D2325,B$2:B2325,B2325,C$2:C2325,"ENTRADA")-SUMIFS(D$2:D2325,B$2:B2325,B2325,C$2:C2325,"SALIDA")</f>
        <v>9669.7050000000017</v>
      </c>
    </row>
    <row r="2326" spans="1:5" x14ac:dyDescent="0.3">
      <c r="A2326" s="9">
        <f>'Volúmenes DIstribuidos '!B1479</f>
        <v>44908</v>
      </c>
      <c r="B2326" s="10" t="str">
        <f>IF(OR('Volúmenes DIstribuidos '!C1480="Azúcar",'Volúmenes DIstribuidos '!C1480="azúcar"),"Azúcar o dulce",IF('Volúmenes DIstribuidos '!C1480="Aceite","Aceite o grasas",IF('Volúmenes DIstribuidos '!C1480="Avena","Otros almidones",'Volúmenes DIstribuidos '!C1480)))</f>
        <v>Otros almidones</v>
      </c>
      <c r="C2326" s="10" t="s">
        <v>29</v>
      </c>
      <c r="D2326" s="12">
        <f>'Volúmenes DIstribuidos '!D1480</f>
        <v>9.42</v>
      </c>
      <c r="E2326" s="12">
        <f>SUMIF('Parametros Inventario'!$A:$A,B2326,'Parametros Inventario'!$B:$B)+SUMIFS(D$2:D2326,B$2:B2326,B2326,C$2:C2326,"ENTRADA")-SUMIFS(D$2:D2326,B$2:B2326,B2326,C$2:C2326,"SALIDA")</f>
        <v>10252.343000000001</v>
      </c>
    </row>
    <row r="2327" spans="1:5" x14ac:dyDescent="0.3">
      <c r="A2327" s="9">
        <f>'Volúmenes DIstribuidos '!B1479</f>
        <v>44908</v>
      </c>
      <c r="B2327" s="10" t="str">
        <f>IF(OR('Volúmenes DIstribuidos '!C1481="Azúcar",'Volúmenes DIstribuidos '!C1481="azúcar"),"Azúcar o dulce",IF('Volúmenes DIstribuidos '!C1481="Aceite","Aceite o grasas",IF('Volúmenes DIstribuidos '!C1481="Avena","Otros almidones",'Volúmenes DIstribuidos '!C1481)))</f>
        <v>Panadería</v>
      </c>
      <c r="C2327" s="10" t="s">
        <v>29</v>
      </c>
      <c r="D2327" s="12">
        <f>'Volúmenes DIstribuidos '!D1481</f>
        <v>11.63</v>
      </c>
      <c r="E2327" s="12">
        <f>SUMIF('Parametros Inventario'!$A:$A,B2327,'Parametros Inventario'!$B:$B)+SUMIFS(D$2:D2327,B$2:B2327,B2327,C$2:C2327,"ENTRADA")-SUMIFS(D$2:D2327,B$2:B2327,B2327,C$2:C2327,"SALIDA")</f>
        <v>8007.9250000000029</v>
      </c>
    </row>
    <row r="2328" spans="1:5" x14ac:dyDescent="0.3">
      <c r="A2328" s="9">
        <f>'Volúmenes DIstribuidos '!B1479</f>
        <v>44908</v>
      </c>
      <c r="B2328" s="10" t="str">
        <f>IF(OR('Volúmenes DIstribuidos '!C1482="Azúcar",'Volúmenes DIstribuidos '!C1482="azúcar"),"Azúcar o dulce",IF('Volúmenes DIstribuidos '!C1482="Aceite","Aceite o grasas",IF('Volúmenes DIstribuidos '!C1482="Avena","Otros almidones",'Volúmenes DIstribuidos '!C1482)))</f>
        <v>Carnes rojas</v>
      </c>
      <c r="C2328" s="10" t="s">
        <v>29</v>
      </c>
      <c r="D2328" s="12">
        <f>'Volúmenes DIstribuidos '!D1482</f>
        <v>9.5299999999999994</v>
      </c>
      <c r="E2328" s="12">
        <f>SUMIF('Parametros Inventario'!$A:$A,B2328,'Parametros Inventario'!$B:$B)+SUMIFS(D$2:D2328,B$2:B2328,B2328,C$2:C2328,"ENTRADA")-SUMIFS(D$2:D2328,B$2:B2328,B2328,C$2:C2328,"SALIDA")</f>
        <v>10413.320000000003</v>
      </c>
    </row>
    <row r="2329" spans="1:5" x14ac:dyDescent="0.3">
      <c r="A2329" s="9">
        <f>'Volúmenes DIstribuidos '!B1479</f>
        <v>44908</v>
      </c>
      <c r="B2329" s="10" t="str">
        <f>IF(OR('Volúmenes DIstribuidos '!C1483="Azúcar",'Volúmenes DIstribuidos '!C1483="azúcar"),"Azúcar o dulce",IF('Volúmenes DIstribuidos '!C1483="Aceite","Aceite o grasas",IF('Volúmenes DIstribuidos '!C1483="Avena","Otros almidones",'Volúmenes DIstribuidos '!C1483)))</f>
        <v>Salsas</v>
      </c>
      <c r="C2329" s="10" t="s">
        <v>29</v>
      </c>
      <c r="D2329" s="12">
        <f>'Volúmenes DIstribuidos '!D1483</f>
        <v>37.195</v>
      </c>
      <c r="E2329" s="12">
        <f>SUMIF('Parametros Inventario'!$A:$A,B2329,'Parametros Inventario'!$B:$B)+SUMIFS(D$2:D2329,B$2:B2329,B2329,C$2:C2329,"ENTRADA")-SUMIFS(D$2:D2329,B$2:B2329,B2329,C$2:C2329,"SALIDA")</f>
        <v>10054.530999999995</v>
      </c>
    </row>
    <row r="2330" spans="1:5" x14ac:dyDescent="0.3">
      <c r="A2330" s="9">
        <f>'Volúmenes DIstribuidos '!B1479</f>
        <v>44908</v>
      </c>
      <c r="B2330" s="10" t="str">
        <f>IF(OR('Volúmenes DIstribuidos '!C1484="Azúcar",'Volúmenes DIstribuidos '!C1484="azúcar"),"Azúcar o dulce",IF('Volúmenes DIstribuidos '!C1484="Aceite","Aceite o grasas",IF('Volúmenes DIstribuidos '!C1484="Avena","Otros almidones",'Volúmenes DIstribuidos '!C1484)))</f>
        <v>Fideo</v>
      </c>
      <c r="C2330" s="10" t="s">
        <v>29</v>
      </c>
      <c r="D2330" s="12">
        <f>'Volúmenes DIstribuidos '!D1484</f>
        <v>31.58</v>
      </c>
      <c r="E2330" s="12">
        <f>SUMIF('Parametros Inventario'!$A:$A,B2330,'Parametros Inventario'!$B:$B)+SUMIFS(D$2:D2330,B$2:B2330,B2330,C$2:C2330,"ENTRADA")-SUMIFS(D$2:D2330,B$2:B2330,B2330,C$2:C2330,"SALIDA")</f>
        <v>11599.433000000001</v>
      </c>
    </row>
    <row r="2331" spans="1:5" x14ac:dyDescent="0.3">
      <c r="A2331" s="9">
        <f>'Volúmenes DIstribuidos '!B1485</f>
        <v>44911</v>
      </c>
      <c r="B2331" s="10" t="str">
        <f>IF(OR('Volúmenes DIstribuidos '!C1485="Azúcar",'Volúmenes DIstribuidos '!C1485="azúcar"),"Azúcar o dulce",IF('Volúmenes DIstribuidos '!C1485="Aceite","Aceite o grasas",IF('Volúmenes DIstribuidos '!C1485="Avena","Otros almidones",'Volúmenes DIstribuidos '!C1485)))</f>
        <v>Menestras</v>
      </c>
      <c r="C2331" s="10" t="s">
        <v>29</v>
      </c>
      <c r="D2331" s="12">
        <f>'Volúmenes DIstribuidos '!D1485</f>
        <v>10.029999999999999</v>
      </c>
      <c r="E2331" s="12">
        <f>SUMIF('Parametros Inventario'!$A:$A,B2331,'Parametros Inventario'!$B:$B)+SUMIFS(D$2:D2331,B$2:B2331,B2331,C$2:C2331,"ENTRADA")-SUMIFS(D$2:D2331,B$2:B2331,B2331,C$2:C2331,"SALIDA")</f>
        <v>10846.323</v>
      </c>
    </row>
    <row r="2332" spans="1:5" x14ac:dyDescent="0.3">
      <c r="A2332" s="9">
        <f>'Volúmenes DIstribuidos '!B1485</f>
        <v>44911</v>
      </c>
      <c r="B2332" s="10" t="str">
        <f>IF(OR('Volúmenes DIstribuidos '!C1486="Azúcar",'Volúmenes DIstribuidos '!C1486="azúcar"),"Azúcar o dulce",IF('Volúmenes DIstribuidos '!C1486="Aceite","Aceite o grasas",IF('Volúmenes DIstribuidos '!C1486="Avena","Otros almidones",'Volúmenes DIstribuidos '!C1486)))</f>
        <v>Carnes blancas</v>
      </c>
      <c r="C2332" s="10" t="s">
        <v>29</v>
      </c>
      <c r="D2332" s="12">
        <f>'Volúmenes DIstribuidos '!D1486</f>
        <v>76.585999999999999</v>
      </c>
      <c r="E2332" s="12">
        <f>SUMIF('Parametros Inventario'!$A:$A,B2332,'Parametros Inventario'!$B:$B)+SUMIFS(D$2:D2332,B$2:B2332,B2332,C$2:C2332,"ENTRADA")-SUMIFS(D$2:D2332,B$2:B2332,B2332,C$2:C2332,"SALIDA")</f>
        <v>10980.470000000001</v>
      </c>
    </row>
    <row r="2333" spans="1:5" x14ac:dyDescent="0.3">
      <c r="A2333" s="9">
        <f>'Volúmenes DIstribuidos '!B1485</f>
        <v>44911</v>
      </c>
      <c r="B2333" s="10" t="str">
        <f>IF(OR('Volúmenes DIstribuidos '!C1487="Azúcar",'Volúmenes DIstribuidos '!C1487="azúcar"),"Azúcar o dulce",IF('Volúmenes DIstribuidos '!C1487="Aceite","Aceite o grasas",IF('Volúmenes DIstribuidos '!C1487="Avena","Otros almidones",'Volúmenes DIstribuidos '!C1487)))</f>
        <v>Otros almidones</v>
      </c>
      <c r="C2333" s="10" t="s">
        <v>29</v>
      </c>
      <c r="D2333" s="12">
        <f>'Volúmenes DIstribuidos '!D1487</f>
        <v>13.99</v>
      </c>
      <c r="E2333" s="12">
        <f>SUMIF('Parametros Inventario'!$A:$A,B2333,'Parametros Inventario'!$B:$B)+SUMIFS(D$2:D2333,B$2:B2333,B2333,C$2:C2333,"ENTRADA")-SUMIFS(D$2:D2333,B$2:B2333,B2333,C$2:C2333,"SALIDA")</f>
        <v>10238.352999999999</v>
      </c>
    </row>
    <row r="2334" spans="1:5" x14ac:dyDescent="0.3">
      <c r="A2334" s="9">
        <f>'Volúmenes DIstribuidos '!B1485</f>
        <v>44911</v>
      </c>
      <c r="B2334" s="10" t="str">
        <f>IF(OR('Volúmenes DIstribuidos '!C1488="Azúcar",'Volúmenes DIstribuidos '!C1488="azúcar"),"Azúcar o dulce",IF('Volúmenes DIstribuidos '!C1488="Aceite","Aceite o grasas",IF('Volúmenes DIstribuidos '!C1488="Avena","Otros almidones",'Volúmenes DIstribuidos '!C1488)))</f>
        <v>Salsas</v>
      </c>
      <c r="C2334" s="10" t="s">
        <v>29</v>
      </c>
      <c r="D2334" s="12">
        <f>'Volúmenes DIstribuidos '!D1488</f>
        <v>37.42</v>
      </c>
      <c r="E2334" s="12">
        <f>SUMIF('Parametros Inventario'!$A:$A,B2334,'Parametros Inventario'!$B:$B)+SUMIFS(D$2:D2334,B$2:B2334,B2334,C$2:C2334,"ENTRADA")-SUMIFS(D$2:D2334,B$2:B2334,B2334,C$2:C2334,"SALIDA")</f>
        <v>10017.110999999995</v>
      </c>
    </row>
    <row r="2335" spans="1:5" x14ac:dyDescent="0.3">
      <c r="A2335" s="9">
        <f>'Volúmenes DIstribuidos '!B1485</f>
        <v>44911</v>
      </c>
      <c r="B2335" s="10" t="str">
        <f>IF(OR('Volúmenes DIstribuidos '!C1489="Azúcar",'Volúmenes DIstribuidos '!C1489="azúcar"),"Azúcar o dulce",IF('Volúmenes DIstribuidos '!C1489="Aceite","Aceite o grasas",IF('Volúmenes DIstribuidos '!C1489="Avena","Otros almidones",'Volúmenes DIstribuidos '!C1489)))</f>
        <v>Azúcar o dulce</v>
      </c>
      <c r="C2335" s="10" t="s">
        <v>29</v>
      </c>
      <c r="D2335" s="12">
        <f>'Volúmenes DIstribuidos '!D1489</f>
        <v>23.89</v>
      </c>
      <c r="E2335" s="12">
        <f>SUMIF('Parametros Inventario'!$A:$A,B2335,'Parametros Inventario'!$B:$B)+SUMIFS(D$2:D2335,B$2:B2335,B2335,C$2:C2335,"ENTRADA")-SUMIFS(D$2:D2335,B$2:B2335,B2335,C$2:C2335,"SALIDA")</f>
        <v>10342.723</v>
      </c>
    </row>
    <row r="2336" spans="1:5" x14ac:dyDescent="0.3">
      <c r="A2336" s="9">
        <f>'Volúmenes DIstribuidos '!B1485</f>
        <v>44911</v>
      </c>
      <c r="B2336" s="10" t="str">
        <f>IF(OR('Volúmenes DIstribuidos '!C1490="Azúcar",'Volúmenes DIstribuidos '!C1490="azúcar"),"Azúcar o dulce",IF('Volúmenes DIstribuidos '!C1490="Aceite","Aceite o grasas",IF('Volúmenes DIstribuidos '!C1490="Avena","Otros almidones",'Volúmenes DIstribuidos '!C1490)))</f>
        <v>Carnes rojas</v>
      </c>
      <c r="C2336" s="10" t="s">
        <v>29</v>
      </c>
      <c r="D2336" s="12">
        <f>'Volúmenes DIstribuidos '!D1490</f>
        <v>45.83</v>
      </c>
      <c r="E2336" s="12">
        <f>SUMIF('Parametros Inventario'!$A:$A,B2336,'Parametros Inventario'!$B:$B)+SUMIFS(D$2:D2336,B$2:B2336,B2336,C$2:C2336,"ENTRADA")-SUMIFS(D$2:D2336,B$2:B2336,B2336,C$2:C2336,"SALIDA")</f>
        <v>10367.490000000005</v>
      </c>
    </row>
    <row r="2337" spans="1:5" x14ac:dyDescent="0.3">
      <c r="A2337" s="9">
        <v>44915</v>
      </c>
      <c r="B2337" s="10" t="s">
        <v>13</v>
      </c>
      <c r="C2337" s="10" t="s">
        <v>28</v>
      </c>
      <c r="D2337" s="12">
        <v>172.91</v>
      </c>
      <c r="E2337" s="12">
        <f>SUMIF('Parametros Inventario'!$A:$A,B2337,'Parametros Inventario'!$B:$B)+SUMIFS(D$2:D2337,B$2:B2337,B2337,C$2:C2337,"ENTRADA")-SUMIFS(D$2:D2337,B$2:B2337,B2337,C$2:C2337,"SALIDA")</f>
        <v>10515.633</v>
      </c>
    </row>
    <row r="2338" spans="1:5" x14ac:dyDescent="0.3">
      <c r="A2338" s="9">
        <v>44915</v>
      </c>
      <c r="B2338" s="10" t="s">
        <v>15</v>
      </c>
      <c r="C2338" s="10" t="s">
        <v>28</v>
      </c>
      <c r="D2338" s="12">
        <v>288.42</v>
      </c>
      <c r="E2338" s="12">
        <f>SUMIF('Parametros Inventario'!$A:$A,B2338,'Parametros Inventario'!$B:$B)+SUMIFS(D$2:D2338,B$2:B2338,B2338,C$2:C2338,"ENTRADA")-SUMIFS(D$2:D2338,B$2:B2338,B2338,C$2:C2338,"SALIDA")</f>
        <v>10526.773000000001</v>
      </c>
    </row>
    <row r="2339" spans="1:5" x14ac:dyDescent="0.3">
      <c r="A2339" s="9">
        <v>44915</v>
      </c>
      <c r="B2339" s="10" t="s">
        <v>11</v>
      </c>
      <c r="C2339" s="10" t="s">
        <v>28</v>
      </c>
      <c r="D2339" s="12">
        <v>63.03</v>
      </c>
      <c r="E2339" s="12">
        <f>SUMIF('Parametros Inventario'!$A:$A,B2339,'Parametros Inventario'!$B:$B)+SUMIFS(D$2:D2339,B$2:B2339,B2339,C$2:C2339,"ENTRADA")-SUMIFS(D$2:D2339,B$2:B2339,B2339,C$2:C2339,"SALIDA")</f>
        <v>11662.463</v>
      </c>
    </row>
    <row r="2340" spans="1:5" x14ac:dyDescent="0.3">
      <c r="A2340" s="9">
        <v>44915</v>
      </c>
      <c r="B2340" s="10" t="s">
        <v>9</v>
      </c>
      <c r="C2340" s="10" t="s">
        <v>28</v>
      </c>
      <c r="D2340" s="12">
        <v>298</v>
      </c>
      <c r="E2340" s="12">
        <f>SUMIF('Parametros Inventario'!$A:$A,B2340,'Parametros Inventario'!$B:$B)+SUMIFS(D$2:D2340,B$2:B2340,B2340,C$2:C2340,"ENTRADA")-SUMIFS(D$2:D2340,B$2:B2340,B2340,C$2:C2340,"SALIDA")</f>
        <v>8305.9250000000029</v>
      </c>
    </row>
    <row r="2341" spans="1:5" x14ac:dyDescent="0.3">
      <c r="A2341" s="9">
        <v>44915</v>
      </c>
      <c r="B2341" s="10" t="s">
        <v>14</v>
      </c>
      <c r="C2341" s="10" t="s">
        <v>28</v>
      </c>
      <c r="D2341" s="12">
        <v>284.57</v>
      </c>
      <c r="E2341" s="12">
        <f>SUMIF('Parametros Inventario'!$A:$A,B2341,'Parametros Inventario'!$B:$B)+SUMIFS(D$2:D2341,B$2:B2341,B2341,C$2:C2341,"ENTRADA")-SUMIFS(D$2:D2341,B$2:B2341,B2341,C$2:C2341,"SALIDA")</f>
        <v>11130.893</v>
      </c>
    </row>
    <row r="2342" spans="1:5" x14ac:dyDescent="0.3">
      <c r="A2342" s="9">
        <v>44915</v>
      </c>
      <c r="B2342" s="10" t="s">
        <v>12</v>
      </c>
      <c r="C2342" s="10" t="s">
        <v>28</v>
      </c>
      <c r="D2342" s="12">
        <v>81.39</v>
      </c>
      <c r="E2342" s="12">
        <f>SUMIF('Parametros Inventario'!$A:$A,B2342,'Parametros Inventario'!$B:$B)+SUMIFS(D$2:D2342,B$2:B2342,B2342,C$2:C2342,"ENTRADA")-SUMIFS(D$2:D2342,B$2:B2342,B2342,C$2:C2342,"SALIDA")</f>
        <v>10448.880000000005</v>
      </c>
    </row>
    <row r="2343" spans="1:5" x14ac:dyDescent="0.3">
      <c r="A2343" s="9">
        <v>44915</v>
      </c>
      <c r="B2343" s="10" t="s">
        <v>16</v>
      </c>
      <c r="C2343" s="10" t="s">
        <v>28</v>
      </c>
      <c r="D2343" s="12">
        <v>93.42</v>
      </c>
      <c r="E2343" s="12">
        <f>SUMIF('Parametros Inventario'!$A:$A,B2343,'Parametros Inventario'!$B:$B)+SUMIFS(D$2:D2343,B$2:B2343,B2343,C$2:C2343,"ENTRADA")-SUMIFS(D$2:D2343,B$2:B2343,B2343,C$2:C2343,"SALIDA")</f>
        <v>11073.890000000001</v>
      </c>
    </row>
    <row r="2344" spans="1:5" x14ac:dyDescent="0.3">
      <c r="A2344" s="9">
        <v>44915</v>
      </c>
      <c r="B2344" s="10" t="s">
        <v>17</v>
      </c>
      <c r="C2344" s="10" t="s">
        <v>28</v>
      </c>
      <c r="D2344" s="12">
        <v>187.21</v>
      </c>
      <c r="E2344" s="12">
        <f>SUMIF('Parametros Inventario'!$A:$A,B2344,'Parametros Inventario'!$B:$B)+SUMIFS(D$2:D2344,B$2:B2344,B2344,C$2:C2344,"ENTRADA")-SUMIFS(D$2:D2344,B$2:B2344,B2344,C$2:C2344,"SALIDA")</f>
        <v>9067.5390000000007</v>
      </c>
    </row>
    <row r="2345" spans="1:5" x14ac:dyDescent="0.3">
      <c r="A2345" s="9">
        <f>'Volúmenes DIstribuidos '!B1491</f>
        <v>44915</v>
      </c>
      <c r="B2345" s="10" t="str">
        <f>IF(OR('Volúmenes DIstribuidos '!C1491="Azúcar",'Volúmenes DIstribuidos '!C1491="azúcar"),"Azúcar o dulce",IF('Volúmenes DIstribuidos '!C1491="Aceite","Aceite o grasas",IF('Volúmenes DIstribuidos '!C1491="Avena","Otros almidones",'Volúmenes DIstribuidos '!C1491)))</f>
        <v>Fideo</v>
      </c>
      <c r="C2345" s="10" t="s">
        <v>29</v>
      </c>
      <c r="D2345" s="12">
        <f>'Volúmenes DIstribuidos '!D1491</f>
        <v>42.573999999999998</v>
      </c>
      <c r="E2345" s="12">
        <f>SUMIF('Parametros Inventario'!$A:$A,B2345,'Parametros Inventario'!$B:$B)+SUMIFS(D$2:D2345,B$2:B2345,B2345,C$2:C2345,"ENTRADA")-SUMIFS(D$2:D2345,B$2:B2345,B2345,C$2:C2345,"SALIDA")</f>
        <v>11619.889000000001</v>
      </c>
    </row>
    <row r="2346" spans="1:5" x14ac:dyDescent="0.3">
      <c r="A2346" s="9">
        <f>'Volúmenes DIstribuidos '!B1491</f>
        <v>44915</v>
      </c>
      <c r="B2346" s="10" t="str">
        <f>IF(OR('Volúmenes DIstribuidos '!C1492="Azúcar",'Volúmenes DIstribuidos '!C1492="azúcar"),"Azúcar o dulce",IF('Volúmenes DIstribuidos '!C1492="Aceite","Aceite o grasas",IF('Volúmenes DIstribuidos '!C1492="Avena","Otros almidones",'Volúmenes DIstribuidos '!C1492)))</f>
        <v>Azúcar o dulce</v>
      </c>
      <c r="C2346" s="10" t="s">
        <v>29</v>
      </c>
      <c r="D2346" s="12">
        <f>'Volúmenes DIstribuidos '!D1492</f>
        <v>29.88</v>
      </c>
      <c r="E2346" s="12">
        <f>SUMIF('Parametros Inventario'!$A:$A,B2346,'Parametros Inventario'!$B:$B)+SUMIFS(D$2:D2346,B$2:B2346,B2346,C$2:C2346,"ENTRADA")-SUMIFS(D$2:D2346,B$2:B2346,B2346,C$2:C2346,"SALIDA")</f>
        <v>10485.753000000001</v>
      </c>
    </row>
    <row r="2347" spans="1:5" x14ac:dyDescent="0.3">
      <c r="A2347" s="9">
        <f>'Volúmenes DIstribuidos '!B1491</f>
        <v>44915</v>
      </c>
      <c r="B2347" s="10" t="str">
        <f>IF(OR('Volúmenes DIstribuidos '!C1493="Azúcar",'Volúmenes DIstribuidos '!C1493="azúcar"),"Azúcar o dulce",IF('Volúmenes DIstribuidos '!C1493="Aceite","Aceite o grasas",IF('Volúmenes DIstribuidos '!C1493="Avena","Otros almidones",'Volúmenes DIstribuidos '!C1493)))</f>
        <v>Lácteos</v>
      </c>
      <c r="C2347" s="10" t="s">
        <v>29</v>
      </c>
      <c r="D2347" s="12">
        <f>'Volúmenes DIstribuidos '!D1493</f>
        <v>47.53</v>
      </c>
      <c r="E2347" s="12">
        <f>SUMIF('Parametros Inventario'!$A:$A,B2347,'Parametros Inventario'!$B:$B)+SUMIFS(D$2:D2347,B$2:B2347,B2347,C$2:C2347,"ENTRADA")-SUMIFS(D$2:D2347,B$2:B2347,B2347,C$2:C2347,"SALIDA")</f>
        <v>9020.0090000000018</v>
      </c>
    </row>
    <row r="2348" spans="1:5" x14ac:dyDescent="0.3">
      <c r="A2348" s="9">
        <f>'Volúmenes DIstribuidos '!B1491</f>
        <v>44915</v>
      </c>
      <c r="B2348" s="10" t="str">
        <f>IF(OR('Volúmenes DIstribuidos '!C1494="Azúcar",'Volúmenes DIstribuidos '!C1494="azúcar"),"Azúcar o dulce",IF('Volúmenes DIstribuidos '!C1494="Aceite","Aceite o grasas",IF('Volúmenes DIstribuidos '!C1494="Avena","Otros almidones",'Volúmenes DIstribuidos '!C1494)))</f>
        <v>Panadería</v>
      </c>
      <c r="C2348" s="10" t="s">
        <v>29</v>
      </c>
      <c r="D2348" s="12">
        <f>'Volúmenes DIstribuidos '!D1494</f>
        <v>40.99</v>
      </c>
      <c r="E2348" s="12">
        <f>SUMIF('Parametros Inventario'!$A:$A,B2348,'Parametros Inventario'!$B:$B)+SUMIFS(D$2:D2348,B$2:B2348,B2348,C$2:C2348,"ENTRADA")-SUMIFS(D$2:D2348,B$2:B2348,B2348,C$2:C2348,"SALIDA")</f>
        <v>8264.9350000000031</v>
      </c>
    </row>
    <row r="2349" spans="1:5" x14ac:dyDescent="0.3">
      <c r="A2349" s="9">
        <f>'Volúmenes DIstribuidos '!B1491</f>
        <v>44915</v>
      </c>
      <c r="B2349" s="10" t="str">
        <f>IF(OR('Volúmenes DIstribuidos '!C1495="Azúcar",'Volúmenes DIstribuidos '!C1495="azúcar"),"Azúcar o dulce",IF('Volúmenes DIstribuidos '!C1495="Aceite","Aceite o grasas",IF('Volúmenes DIstribuidos '!C1495="Avena","Otros almidones",'Volúmenes DIstribuidos '!C1495)))</f>
        <v>Aceite o grasas</v>
      </c>
      <c r="C2349" s="10" t="s">
        <v>29</v>
      </c>
      <c r="D2349" s="12">
        <f>'Volúmenes DIstribuidos '!D1495</f>
        <v>63.96</v>
      </c>
      <c r="E2349" s="12">
        <f>SUMIF('Parametros Inventario'!$A:$A,B2349,'Parametros Inventario'!$B:$B)+SUMIFS(D$2:D2349,B$2:B2349,B2349,C$2:C2349,"ENTRADA")-SUMIFS(D$2:D2349,B$2:B2349,B2349,C$2:C2349,"SALIDA")</f>
        <v>9605.7450000000026</v>
      </c>
    </row>
    <row r="2350" spans="1:5" x14ac:dyDescent="0.3">
      <c r="A2350" s="9">
        <f>'Volúmenes DIstribuidos '!B1491</f>
        <v>44915</v>
      </c>
      <c r="B2350" s="10" t="str">
        <f>IF(OR('Volúmenes DIstribuidos '!C1496="Azúcar",'Volúmenes DIstribuidos '!C1496="azúcar"),"Azúcar o dulce",IF('Volúmenes DIstribuidos '!C1496="Aceite","Aceite o grasas",IF('Volúmenes DIstribuidos '!C1496="Avena","Otros almidones",'Volúmenes DIstribuidos '!C1496)))</f>
        <v>Menestras</v>
      </c>
      <c r="C2350" s="10" t="s">
        <v>29</v>
      </c>
      <c r="D2350" s="12">
        <f>'Volúmenes DIstribuidos '!D1496</f>
        <v>25.97</v>
      </c>
      <c r="E2350" s="12">
        <f>SUMIF('Parametros Inventario'!$A:$A,B2350,'Parametros Inventario'!$B:$B)+SUMIFS(D$2:D2350,B$2:B2350,B2350,C$2:C2350,"ENTRADA")-SUMIFS(D$2:D2350,B$2:B2350,B2350,C$2:C2350,"SALIDA")</f>
        <v>11104.922999999999</v>
      </c>
    </row>
    <row r="2351" spans="1:5" x14ac:dyDescent="0.3">
      <c r="A2351" s="9">
        <f>'Volúmenes DIstribuidos '!B1497</f>
        <v>44918</v>
      </c>
      <c r="B2351" s="10" t="str">
        <f>IF(OR('Volúmenes DIstribuidos '!C1497="Azúcar",'Volúmenes DIstribuidos '!C1497="azúcar"),"Azúcar o dulce",IF('Volúmenes DIstribuidos '!C1497="Aceite","Aceite o grasas",IF('Volúmenes DIstribuidos '!C1497="Avena","Otros almidones",'Volúmenes DIstribuidos '!C1497)))</f>
        <v>Salsas</v>
      </c>
      <c r="C2351" s="10" t="s">
        <v>29</v>
      </c>
      <c r="D2351" s="12">
        <f>'Volúmenes DIstribuidos '!D1497</f>
        <v>19.023</v>
      </c>
      <c r="E2351" s="12">
        <f>SUMIF('Parametros Inventario'!$A:$A,B2351,'Parametros Inventario'!$B:$B)+SUMIFS(D$2:D2351,B$2:B2351,B2351,C$2:C2351,"ENTRADA")-SUMIFS(D$2:D2351,B$2:B2351,B2351,C$2:C2351,"SALIDA")</f>
        <v>9998.0879999999961</v>
      </c>
    </row>
    <row r="2352" spans="1:5" x14ac:dyDescent="0.3">
      <c r="A2352" s="9">
        <f>'Volúmenes DIstribuidos '!B1497</f>
        <v>44918</v>
      </c>
      <c r="B2352" s="10" t="str">
        <f>IF(OR('Volúmenes DIstribuidos '!C1498="Azúcar",'Volúmenes DIstribuidos '!C1498="azúcar"),"Azúcar o dulce",IF('Volúmenes DIstribuidos '!C1498="Aceite","Aceite o grasas",IF('Volúmenes DIstribuidos '!C1498="Avena","Otros almidones",'Volúmenes DIstribuidos '!C1498)))</f>
        <v>Aceite o grasas</v>
      </c>
      <c r="C2352" s="10" t="s">
        <v>29</v>
      </c>
      <c r="D2352" s="12">
        <f>'Volúmenes DIstribuidos '!D1498</f>
        <v>50.89</v>
      </c>
      <c r="E2352" s="12">
        <f>SUMIF('Parametros Inventario'!$A:$A,B2352,'Parametros Inventario'!$B:$B)+SUMIFS(D$2:D2352,B$2:B2352,B2352,C$2:C2352,"ENTRADA")-SUMIFS(D$2:D2352,B$2:B2352,B2352,C$2:C2352,"SALIDA")</f>
        <v>9554.8550000000014</v>
      </c>
    </row>
    <row r="2353" spans="1:5" x14ac:dyDescent="0.3">
      <c r="A2353" s="9">
        <f>'Volúmenes DIstribuidos '!B1497</f>
        <v>44918</v>
      </c>
      <c r="B2353" s="10" t="str">
        <f>IF(OR('Volúmenes DIstribuidos '!C1499="Azúcar",'Volúmenes DIstribuidos '!C1499="azúcar"),"Azúcar o dulce",IF('Volúmenes DIstribuidos '!C1499="Aceite","Aceite o grasas",IF('Volúmenes DIstribuidos '!C1499="Avena","Otros almidones",'Volúmenes DIstribuidos '!C1499)))</f>
        <v>Otros almidones</v>
      </c>
      <c r="C2353" s="10" t="s">
        <v>29</v>
      </c>
      <c r="D2353" s="12">
        <f>'Volúmenes DIstribuidos '!D1499</f>
        <v>50.47</v>
      </c>
      <c r="E2353" s="12">
        <f>SUMIF('Parametros Inventario'!$A:$A,B2353,'Parametros Inventario'!$B:$B)+SUMIFS(D$2:D2353,B$2:B2353,B2353,C$2:C2353,"ENTRADA")-SUMIFS(D$2:D2353,B$2:B2353,B2353,C$2:C2353,"SALIDA")</f>
        <v>10476.303</v>
      </c>
    </row>
    <row r="2354" spans="1:5" x14ac:dyDescent="0.3">
      <c r="A2354" s="9">
        <f>'Volúmenes DIstribuidos '!B1497</f>
        <v>44918</v>
      </c>
      <c r="B2354" s="10" t="str">
        <f>IF(OR('Volúmenes DIstribuidos '!C1500="Azúcar",'Volúmenes DIstribuidos '!C1500="azúcar"),"Azúcar o dulce",IF('Volúmenes DIstribuidos '!C1500="Aceite","Aceite o grasas",IF('Volúmenes DIstribuidos '!C1500="Avena","Otros almidones",'Volúmenes DIstribuidos '!C1500)))</f>
        <v>Azúcar o dulce</v>
      </c>
      <c r="C2354" s="10" t="s">
        <v>29</v>
      </c>
      <c r="D2354" s="12">
        <f>'Volúmenes DIstribuidos '!D1500</f>
        <v>40.51</v>
      </c>
      <c r="E2354" s="12">
        <f>SUMIF('Parametros Inventario'!$A:$A,B2354,'Parametros Inventario'!$B:$B)+SUMIFS(D$2:D2354,B$2:B2354,B2354,C$2:C2354,"ENTRADA")-SUMIFS(D$2:D2354,B$2:B2354,B2354,C$2:C2354,"SALIDA")</f>
        <v>10445.242999999999</v>
      </c>
    </row>
    <row r="2355" spans="1:5" x14ac:dyDescent="0.3">
      <c r="A2355" s="9">
        <f>'Volúmenes DIstribuidos '!B1497</f>
        <v>44918</v>
      </c>
      <c r="B2355" s="10" t="str">
        <f>IF(OR('Volúmenes DIstribuidos '!C1501="Azúcar",'Volúmenes DIstribuidos '!C1501="azúcar"),"Azúcar o dulce",IF('Volúmenes DIstribuidos '!C1501="Aceite","Aceite o grasas",IF('Volúmenes DIstribuidos '!C1501="Avena","Otros almidones",'Volúmenes DIstribuidos '!C1501)))</f>
        <v>Menestras</v>
      </c>
      <c r="C2355" s="10" t="s">
        <v>29</v>
      </c>
      <c r="D2355" s="12">
        <f>'Volúmenes DIstribuidos '!D1501</f>
        <v>36.64</v>
      </c>
      <c r="E2355" s="12">
        <f>SUMIF('Parametros Inventario'!$A:$A,B2355,'Parametros Inventario'!$B:$B)+SUMIFS(D$2:D2355,B$2:B2355,B2355,C$2:C2355,"ENTRADA")-SUMIFS(D$2:D2355,B$2:B2355,B2355,C$2:C2355,"SALIDA")</f>
        <v>11068.282999999999</v>
      </c>
    </row>
    <row r="2356" spans="1:5" x14ac:dyDescent="0.3">
      <c r="A2356" s="9">
        <f>'Volúmenes DIstribuidos '!B1497</f>
        <v>44918</v>
      </c>
      <c r="B2356" s="10" t="str">
        <f>IF(OR('Volúmenes DIstribuidos '!C1502="Azúcar",'Volúmenes DIstribuidos '!C1502="azúcar"),"Azúcar o dulce",IF('Volúmenes DIstribuidos '!C1502="Aceite","Aceite o grasas",IF('Volúmenes DIstribuidos '!C1502="Avena","Otros almidones",'Volúmenes DIstribuidos '!C1502)))</f>
        <v>Salsas</v>
      </c>
      <c r="C2356" s="10" t="s">
        <v>29</v>
      </c>
      <c r="D2356" s="12">
        <f>'Volúmenes DIstribuidos '!D1502</f>
        <v>65.739999999999995</v>
      </c>
      <c r="E2356" s="12">
        <f>SUMIF('Parametros Inventario'!$A:$A,B2356,'Parametros Inventario'!$B:$B)+SUMIFS(D$2:D2356,B$2:B2356,B2356,C$2:C2356,"ENTRADA")-SUMIFS(D$2:D2356,B$2:B2356,B2356,C$2:C2356,"SALIDA")</f>
        <v>9932.3479999999945</v>
      </c>
    </row>
    <row r="2357" spans="1:5" x14ac:dyDescent="0.3">
      <c r="A2357" s="9">
        <f>'Volúmenes DIstribuidos '!B1503</f>
        <v>44922</v>
      </c>
      <c r="B2357" s="10" t="str">
        <f>IF(OR('Volúmenes DIstribuidos '!C1503="Azúcar",'Volúmenes DIstribuidos '!C1503="azúcar"),"Azúcar o dulce",IF('Volúmenes DIstribuidos '!C1503="Aceite","Aceite o grasas",IF('Volúmenes DIstribuidos '!C1503="Avena","Otros almidones",'Volúmenes DIstribuidos '!C1503)))</f>
        <v>Fideo</v>
      </c>
      <c r="C2357" s="10" t="s">
        <v>29</v>
      </c>
      <c r="D2357" s="12">
        <f>'Volúmenes DIstribuidos '!D1503</f>
        <v>81.14</v>
      </c>
      <c r="E2357" s="12">
        <f>SUMIF('Parametros Inventario'!$A:$A,B2357,'Parametros Inventario'!$B:$B)+SUMIFS(D$2:D2357,B$2:B2357,B2357,C$2:C2357,"ENTRADA")-SUMIFS(D$2:D2357,B$2:B2357,B2357,C$2:C2357,"SALIDA")</f>
        <v>11538.749</v>
      </c>
    </row>
    <row r="2358" spans="1:5" x14ac:dyDescent="0.3">
      <c r="A2358" s="9">
        <f>'Volúmenes DIstribuidos '!B1503</f>
        <v>44922</v>
      </c>
      <c r="B2358" s="10" t="str">
        <f>IF(OR('Volúmenes DIstribuidos '!C1504="Azúcar",'Volúmenes DIstribuidos '!C1504="azúcar"),"Azúcar o dulce",IF('Volúmenes DIstribuidos '!C1504="Aceite","Aceite o grasas",IF('Volúmenes DIstribuidos '!C1504="Avena","Otros almidones",'Volúmenes DIstribuidos '!C1504)))</f>
        <v>Otros almidones</v>
      </c>
      <c r="C2358" s="10" t="s">
        <v>29</v>
      </c>
      <c r="D2358" s="12">
        <f>'Volúmenes DIstribuidos '!D1504</f>
        <v>59.45</v>
      </c>
      <c r="E2358" s="12">
        <f>SUMIF('Parametros Inventario'!$A:$A,B2358,'Parametros Inventario'!$B:$B)+SUMIFS(D$2:D2358,B$2:B2358,B2358,C$2:C2358,"ENTRADA")-SUMIFS(D$2:D2358,B$2:B2358,B2358,C$2:C2358,"SALIDA")</f>
        <v>10416.852999999999</v>
      </c>
    </row>
    <row r="2359" spans="1:5" x14ac:dyDescent="0.3">
      <c r="A2359" s="9">
        <f>'Volúmenes DIstribuidos '!B1503</f>
        <v>44922</v>
      </c>
      <c r="B2359" s="10" t="str">
        <f>IF(OR('Volúmenes DIstribuidos '!C1505="Azúcar",'Volúmenes DIstribuidos '!C1505="azúcar"),"Azúcar o dulce",IF('Volúmenes DIstribuidos '!C1505="Aceite","Aceite o grasas",IF('Volúmenes DIstribuidos '!C1505="Avena","Otros almidones",'Volúmenes DIstribuidos '!C1505)))</f>
        <v>Carnes blancas</v>
      </c>
      <c r="C2359" s="10" t="s">
        <v>29</v>
      </c>
      <c r="D2359" s="12">
        <f>'Volúmenes DIstribuidos '!D1505</f>
        <v>25.23</v>
      </c>
      <c r="E2359" s="12">
        <f>SUMIF('Parametros Inventario'!$A:$A,B2359,'Parametros Inventario'!$B:$B)+SUMIFS(D$2:D2359,B$2:B2359,B2359,C$2:C2359,"ENTRADA")-SUMIFS(D$2:D2359,B$2:B2359,B2359,C$2:C2359,"SALIDA")</f>
        <v>11048.660000000002</v>
      </c>
    </row>
    <row r="2360" spans="1:5" x14ac:dyDescent="0.3">
      <c r="A2360" s="9">
        <f>'Volúmenes DIstribuidos '!B1503</f>
        <v>44922</v>
      </c>
      <c r="B2360" s="10" t="str">
        <f>IF(OR('Volúmenes DIstribuidos '!C1506="Azúcar",'Volúmenes DIstribuidos '!C1506="azúcar"),"Azúcar o dulce",IF('Volúmenes DIstribuidos '!C1506="Aceite","Aceite o grasas",IF('Volúmenes DIstribuidos '!C1506="Avena","Otros almidones",'Volúmenes DIstribuidos '!C1506)))</f>
        <v>Salsas</v>
      </c>
      <c r="C2360" s="10" t="s">
        <v>29</v>
      </c>
      <c r="D2360" s="12">
        <f>'Volúmenes DIstribuidos '!D1506</f>
        <v>6.64</v>
      </c>
      <c r="E2360" s="12">
        <f>SUMIF('Parametros Inventario'!$A:$A,B2360,'Parametros Inventario'!$B:$B)+SUMIFS(D$2:D2360,B$2:B2360,B2360,C$2:C2360,"ENTRADA")-SUMIFS(D$2:D2360,B$2:B2360,B2360,C$2:C2360,"SALIDA")</f>
        <v>9925.7079999999951</v>
      </c>
    </row>
    <row r="2361" spans="1:5" x14ac:dyDescent="0.3">
      <c r="A2361" s="9">
        <f>'Volúmenes DIstribuidos '!B1503</f>
        <v>44922</v>
      </c>
      <c r="B2361" s="10" t="str">
        <f>IF(OR('Volúmenes DIstribuidos '!C1507="Azúcar",'Volúmenes DIstribuidos '!C1507="azúcar"),"Azúcar o dulce",IF('Volúmenes DIstribuidos '!C1507="Aceite","Aceite o grasas",IF('Volúmenes DIstribuidos '!C1507="Avena","Otros almidones",'Volúmenes DIstribuidos '!C1507)))</f>
        <v>Aceite o grasas</v>
      </c>
      <c r="C2361" s="10" t="s">
        <v>29</v>
      </c>
      <c r="D2361" s="12">
        <f>'Volúmenes DIstribuidos '!D1507</f>
        <v>78.36</v>
      </c>
      <c r="E2361" s="12">
        <f>SUMIF('Parametros Inventario'!$A:$A,B2361,'Parametros Inventario'!$B:$B)+SUMIFS(D$2:D2361,B$2:B2361,B2361,C$2:C2361,"ENTRADA")-SUMIFS(D$2:D2361,B$2:B2361,B2361,C$2:C2361,"SALIDA")</f>
        <v>9476.4950000000026</v>
      </c>
    </row>
    <row r="2362" spans="1:5" x14ac:dyDescent="0.3">
      <c r="A2362" s="9">
        <f>'Volúmenes DIstribuidos '!B1503</f>
        <v>44922</v>
      </c>
      <c r="B2362" s="10" t="str">
        <f>IF(OR('Volúmenes DIstribuidos '!C1508="Azúcar",'Volúmenes DIstribuidos '!C1508="azúcar"),"Azúcar o dulce",IF('Volúmenes DIstribuidos '!C1508="Aceite","Aceite o grasas",IF('Volúmenes DIstribuidos '!C1508="Avena","Otros almidones",'Volúmenes DIstribuidos '!C1508)))</f>
        <v>Fideo</v>
      </c>
      <c r="C2362" s="10" t="s">
        <v>29</v>
      </c>
      <c r="D2362" s="12">
        <f>'Volúmenes DIstribuidos '!D1508</f>
        <v>32.369999999999997</v>
      </c>
      <c r="E2362" s="12">
        <f>SUMIF('Parametros Inventario'!$A:$A,B2362,'Parametros Inventario'!$B:$B)+SUMIFS(D$2:D2362,B$2:B2362,B2362,C$2:C2362,"ENTRADA")-SUMIFS(D$2:D2362,B$2:B2362,B2362,C$2:C2362,"SALIDA")</f>
        <v>11506.379000000001</v>
      </c>
    </row>
    <row r="2363" spans="1:5" x14ac:dyDescent="0.3">
      <c r="A2363" s="9">
        <f>'Volúmenes DIstribuidos '!B1509</f>
        <v>44925</v>
      </c>
      <c r="B2363" s="10" t="str">
        <f>IF(OR('Volúmenes DIstribuidos '!C1509="Azúcar",'Volúmenes DIstribuidos '!C1509="azúcar"),"Azúcar o dulce",IF('Volúmenes DIstribuidos '!C1509="Aceite","Aceite o grasas",IF('Volúmenes DIstribuidos '!C1509="Avena","Otros almidones",'Volúmenes DIstribuidos '!C1509)))</f>
        <v>Azúcar o dulce</v>
      </c>
      <c r="C2363" s="10" t="s">
        <v>29</v>
      </c>
      <c r="D2363" s="12">
        <f>'Volúmenes DIstribuidos '!D1509</f>
        <v>29.73</v>
      </c>
      <c r="E2363" s="12">
        <f>SUMIF('Parametros Inventario'!$A:$A,B2363,'Parametros Inventario'!$B:$B)+SUMIFS(D$2:D2363,B$2:B2363,B2363,C$2:C2363,"ENTRADA")-SUMIFS(D$2:D2363,B$2:B2363,B2363,C$2:C2363,"SALIDA")</f>
        <v>10415.512999999999</v>
      </c>
    </row>
    <row r="2364" spans="1:5" x14ac:dyDescent="0.3">
      <c r="A2364" s="9">
        <f>'Volúmenes DIstribuidos '!B1509</f>
        <v>44925</v>
      </c>
      <c r="B2364" s="10" t="str">
        <f>IF(OR('Volúmenes DIstribuidos '!C1510="Azúcar",'Volúmenes DIstribuidos '!C1510="azúcar"),"Azúcar o dulce",IF('Volúmenes DIstribuidos '!C1510="Aceite","Aceite o grasas",IF('Volúmenes DIstribuidos '!C1510="Avena","Otros almidones",'Volúmenes DIstribuidos '!C1510)))</f>
        <v>Otros almidones</v>
      </c>
      <c r="C2364" s="10" t="s">
        <v>29</v>
      </c>
      <c r="D2364" s="12">
        <f>'Volúmenes DIstribuidos '!D1510</f>
        <v>18.809999999999999</v>
      </c>
      <c r="E2364" s="12">
        <f>SUMIF('Parametros Inventario'!$A:$A,B2364,'Parametros Inventario'!$B:$B)+SUMIFS(D$2:D2364,B$2:B2364,B2364,C$2:C2364,"ENTRADA")-SUMIFS(D$2:D2364,B$2:B2364,B2364,C$2:C2364,"SALIDA")</f>
        <v>10398.043</v>
      </c>
    </row>
    <row r="2365" spans="1:5" x14ac:dyDescent="0.3">
      <c r="A2365" s="9">
        <f>'Volúmenes DIstribuidos '!B1509</f>
        <v>44925</v>
      </c>
      <c r="B2365" s="10" t="str">
        <f>IF(OR('Volúmenes DIstribuidos '!C1511="Azúcar",'Volúmenes DIstribuidos '!C1511="azúcar"),"Azúcar o dulce",IF('Volúmenes DIstribuidos '!C1511="Aceite","Aceite o grasas",IF('Volúmenes DIstribuidos '!C1511="Avena","Otros almidones",'Volúmenes DIstribuidos '!C1511)))</f>
        <v>Vegetales y hojas</v>
      </c>
      <c r="C2365" s="10" t="s">
        <v>29</v>
      </c>
      <c r="D2365" s="12">
        <f>'Volúmenes DIstribuidos '!D1511</f>
        <v>15.91</v>
      </c>
      <c r="E2365" s="12">
        <f>SUMIF('Parametros Inventario'!$A:$A,B2365,'Parametros Inventario'!$B:$B)+SUMIFS(D$2:D2365,B$2:B2365,B2365,C$2:C2365,"ENTRADA")-SUMIFS(D$2:D2365,B$2:B2365,B2365,C$2:C2365,"SALIDA")</f>
        <v>11640.144999999995</v>
      </c>
    </row>
    <row r="2366" spans="1:5" x14ac:dyDescent="0.3">
      <c r="A2366" s="9">
        <f>'Volúmenes DIstribuidos '!B1509</f>
        <v>44925</v>
      </c>
      <c r="B2366" s="10" t="str">
        <f>IF(OR('Volúmenes DIstribuidos '!C1512="Azúcar",'Volúmenes DIstribuidos '!C1512="azúcar"),"Azúcar o dulce",IF('Volúmenes DIstribuidos '!C1512="Aceite","Aceite o grasas",IF('Volúmenes DIstribuidos '!C1512="Avena","Otros almidones",'Volúmenes DIstribuidos '!C1512)))</f>
        <v>Lácteos</v>
      </c>
      <c r="C2366" s="10" t="s">
        <v>29</v>
      </c>
      <c r="D2366" s="12">
        <f>'Volúmenes DIstribuidos '!D1512</f>
        <v>5.3150000000000004</v>
      </c>
      <c r="E2366" s="12">
        <f>SUMIF('Parametros Inventario'!$A:$A,B2366,'Parametros Inventario'!$B:$B)+SUMIFS(D$2:D2366,B$2:B2366,B2366,C$2:C2366,"ENTRADA")-SUMIFS(D$2:D2366,B$2:B2366,B2366,C$2:C2366,"SALIDA")</f>
        <v>9014.6940000000031</v>
      </c>
    </row>
    <row r="2367" spans="1:5" x14ac:dyDescent="0.3">
      <c r="A2367" s="9">
        <f>'Volúmenes DIstribuidos '!B1509</f>
        <v>44925</v>
      </c>
      <c r="B2367" s="10" t="str">
        <f>IF(OR('Volúmenes DIstribuidos '!C1513="Azúcar",'Volúmenes DIstribuidos '!C1513="azúcar"),"Azúcar o dulce",IF('Volúmenes DIstribuidos '!C1513="Aceite","Aceite o grasas",IF('Volúmenes DIstribuidos '!C1513="Avena","Otros almidones",'Volúmenes DIstribuidos '!C1513)))</f>
        <v>Aceite o grasas</v>
      </c>
      <c r="C2367" s="10" t="s">
        <v>29</v>
      </c>
      <c r="D2367" s="12">
        <f>'Volúmenes DIstribuidos '!D1513</f>
        <v>18.940000000000001</v>
      </c>
      <c r="E2367" s="12">
        <f>SUMIF('Parametros Inventario'!$A:$A,B2367,'Parametros Inventario'!$B:$B)+SUMIFS(D$2:D2367,B$2:B2367,B2367,C$2:C2367,"ENTRADA")-SUMIFS(D$2:D2367,B$2:B2367,B2367,C$2:C2367,"SALIDA")</f>
        <v>9457.5550000000021</v>
      </c>
    </row>
    <row r="2368" spans="1:5" x14ac:dyDescent="0.3">
      <c r="A2368" s="9">
        <f>'Volúmenes DIstribuidos '!B1509</f>
        <v>44925</v>
      </c>
      <c r="B2368" s="10" t="str">
        <f>IF(OR('Volúmenes DIstribuidos '!C1514="Azúcar",'Volúmenes DIstribuidos '!C1514="azúcar"),"Azúcar o dulce",IF('Volúmenes DIstribuidos '!C1514="Aceite","Aceite o grasas",IF('Volúmenes DIstribuidos '!C1514="Avena","Otros almidones",'Volúmenes DIstribuidos '!C1514)))</f>
        <v>Otros almidones</v>
      </c>
      <c r="C2368" s="10" t="s">
        <v>29</v>
      </c>
      <c r="D2368" s="12">
        <f>'Volúmenes DIstribuidos '!D1514</f>
        <v>31</v>
      </c>
      <c r="E2368" s="12">
        <f>SUMIF('Parametros Inventario'!$A:$A,B2368,'Parametros Inventario'!$B:$B)+SUMIFS(D$2:D2368,B$2:B2368,B2368,C$2:C2368,"ENTRADA")-SUMIFS(D$2:D2368,B$2:B2368,B2368,C$2:C2368,"SALIDA")</f>
        <v>10367.043</v>
      </c>
    </row>
    <row r="2369" spans="1:5" x14ac:dyDescent="0.3">
      <c r="A2369" s="9">
        <f>'Volúmenes DIstribuidos '!B1515</f>
        <v>44929</v>
      </c>
      <c r="B2369" s="10" t="str">
        <f>IF(OR('Volúmenes DIstribuidos '!C1515="Azúcar",'Volúmenes DIstribuidos '!C1515="azúcar"),"Azúcar o dulce",IF('Volúmenes DIstribuidos '!C1515="Aceite","Aceite o grasas",IF('Volúmenes DIstribuidos '!C1515="Avena","Otros almidones",'Volúmenes DIstribuidos '!C1515)))</f>
        <v>Azúcar o dulce</v>
      </c>
      <c r="C2369" s="10" t="s">
        <v>29</v>
      </c>
      <c r="D2369" s="12">
        <f>'Volúmenes DIstribuidos '!D1515</f>
        <v>6.07</v>
      </c>
      <c r="E2369" s="12">
        <f>SUMIF('Parametros Inventario'!$A:$A,B2369,'Parametros Inventario'!$B:$B)+SUMIFS(D$2:D2369,B$2:B2369,B2369,C$2:C2369,"ENTRADA")-SUMIFS(D$2:D2369,B$2:B2369,B2369,C$2:C2369,"SALIDA")</f>
        <v>10409.442999999999</v>
      </c>
    </row>
    <row r="2370" spans="1:5" x14ac:dyDescent="0.3">
      <c r="A2370" s="9">
        <f>'Volúmenes DIstribuidos '!B1515</f>
        <v>44929</v>
      </c>
      <c r="B2370" s="10" t="str">
        <f>IF(OR('Volúmenes DIstribuidos '!C1516="Azúcar",'Volúmenes DIstribuidos '!C1516="azúcar"),"Azúcar o dulce",IF('Volúmenes DIstribuidos '!C1516="Aceite","Aceite o grasas",IF('Volúmenes DIstribuidos '!C1516="Avena","Otros almidones",'Volúmenes DIstribuidos '!C1516)))</f>
        <v>Carnes blancas</v>
      </c>
      <c r="C2370" s="10" t="s">
        <v>29</v>
      </c>
      <c r="D2370" s="12">
        <f>'Volúmenes DIstribuidos '!D1516</f>
        <v>7.2930000000000001</v>
      </c>
      <c r="E2370" s="12">
        <f>SUMIF('Parametros Inventario'!$A:$A,B2370,'Parametros Inventario'!$B:$B)+SUMIFS(D$2:D2370,B$2:B2370,B2370,C$2:C2370,"ENTRADA")-SUMIFS(D$2:D2370,B$2:B2370,B2370,C$2:C2370,"SALIDA")</f>
        <v>11041.367000000002</v>
      </c>
    </row>
    <row r="2371" spans="1:5" x14ac:dyDescent="0.3">
      <c r="A2371" s="9">
        <f>'Volúmenes DIstribuidos '!B1515</f>
        <v>44929</v>
      </c>
      <c r="B2371" s="10" t="str">
        <f>IF(OR('Volúmenes DIstribuidos '!C1517="Azúcar",'Volúmenes DIstribuidos '!C1517="azúcar"),"Azúcar o dulce",IF('Volúmenes DIstribuidos '!C1517="Aceite","Aceite o grasas",IF('Volúmenes DIstribuidos '!C1517="Avena","Otros almidones",'Volúmenes DIstribuidos '!C1517)))</f>
        <v>Carnes rojas</v>
      </c>
      <c r="C2371" s="10" t="s">
        <v>29</v>
      </c>
      <c r="D2371" s="12">
        <f>'Volúmenes DIstribuidos '!D1517</f>
        <v>14.39</v>
      </c>
      <c r="E2371" s="12">
        <f>SUMIF('Parametros Inventario'!$A:$A,B2371,'Parametros Inventario'!$B:$B)+SUMIFS(D$2:D2371,B$2:B2371,B2371,C$2:C2371,"ENTRADA")-SUMIFS(D$2:D2371,B$2:B2371,B2371,C$2:C2371,"SALIDA")</f>
        <v>10434.490000000003</v>
      </c>
    </row>
    <row r="2372" spans="1:5" x14ac:dyDescent="0.3">
      <c r="A2372" s="9">
        <f>'Volúmenes DIstribuidos '!B1515</f>
        <v>44929</v>
      </c>
      <c r="B2372" s="10" t="str">
        <f>IF(OR('Volúmenes DIstribuidos '!C1518="Azúcar",'Volúmenes DIstribuidos '!C1518="azúcar"),"Azúcar o dulce",IF('Volúmenes DIstribuidos '!C1518="Aceite","Aceite o grasas",IF('Volúmenes DIstribuidos '!C1518="Avena","Otros almidones",'Volúmenes DIstribuidos '!C1518)))</f>
        <v>Menestras</v>
      </c>
      <c r="C2372" s="10" t="s">
        <v>29</v>
      </c>
      <c r="D2372" s="12">
        <f>'Volúmenes DIstribuidos '!D1518</f>
        <v>4.8499999999999996</v>
      </c>
      <c r="E2372" s="12">
        <f>SUMIF('Parametros Inventario'!$A:$A,B2372,'Parametros Inventario'!$B:$B)+SUMIFS(D$2:D2372,B$2:B2372,B2372,C$2:C2372,"ENTRADA")-SUMIFS(D$2:D2372,B$2:B2372,B2372,C$2:C2372,"SALIDA")</f>
        <v>11063.433000000001</v>
      </c>
    </row>
    <row r="2373" spans="1:5" x14ac:dyDescent="0.3">
      <c r="A2373" s="9">
        <f>'Volúmenes DIstribuidos '!B1515</f>
        <v>44929</v>
      </c>
      <c r="B2373" s="10" t="str">
        <f>IF(OR('Volúmenes DIstribuidos '!C1519="Azúcar",'Volúmenes DIstribuidos '!C1519="azúcar"),"Azúcar o dulce",IF('Volúmenes DIstribuidos '!C1519="Aceite","Aceite o grasas",IF('Volúmenes DIstribuidos '!C1519="Avena","Otros almidones",'Volúmenes DIstribuidos '!C1519)))</f>
        <v>Salsas</v>
      </c>
      <c r="C2373" s="10" t="s">
        <v>29</v>
      </c>
      <c r="D2373" s="12">
        <f>'Volúmenes DIstribuidos '!D1519</f>
        <v>113.688</v>
      </c>
      <c r="E2373" s="12">
        <f>SUMIF('Parametros Inventario'!$A:$A,B2373,'Parametros Inventario'!$B:$B)+SUMIFS(D$2:D2373,B$2:B2373,B2373,C$2:C2373,"ENTRADA")-SUMIFS(D$2:D2373,B$2:B2373,B2373,C$2:C2373,"SALIDA")</f>
        <v>9812.0199999999968</v>
      </c>
    </row>
    <row r="2374" spans="1:5" x14ac:dyDescent="0.3">
      <c r="A2374" s="9">
        <f>'Volúmenes DIstribuidos '!B1515</f>
        <v>44929</v>
      </c>
      <c r="B2374" s="10" t="str">
        <f>IF(OR('Volúmenes DIstribuidos '!C1520="Azúcar",'Volúmenes DIstribuidos '!C1520="azúcar"),"Azúcar o dulce",IF('Volúmenes DIstribuidos '!C1520="Aceite","Aceite o grasas",IF('Volúmenes DIstribuidos '!C1520="Avena","Otros almidones",'Volúmenes DIstribuidos '!C1520)))</f>
        <v>Fideo</v>
      </c>
      <c r="C2374" s="10" t="s">
        <v>29</v>
      </c>
      <c r="D2374" s="12">
        <f>'Volúmenes DIstribuidos '!D1520</f>
        <v>15.4</v>
      </c>
      <c r="E2374" s="12">
        <f>SUMIF('Parametros Inventario'!$A:$A,B2374,'Parametros Inventario'!$B:$B)+SUMIFS(D$2:D2374,B$2:B2374,B2374,C$2:C2374,"ENTRADA")-SUMIFS(D$2:D2374,B$2:B2374,B2374,C$2:C2374,"SALIDA")</f>
        <v>11490.979000000001</v>
      </c>
    </row>
    <row r="2375" spans="1:5" x14ac:dyDescent="0.3">
      <c r="A2375" s="9">
        <f>'Volúmenes DIstribuidos '!B1521</f>
        <v>44932</v>
      </c>
      <c r="B2375" s="10" t="str">
        <f>IF(OR('Volúmenes DIstribuidos '!C1521="Azúcar",'Volúmenes DIstribuidos '!C1521="azúcar"),"Azúcar o dulce",IF('Volúmenes DIstribuidos '!C1521="Aceite","Aceite o grasas",IF('Volúmenes DIstribuidos '!C1521="Avena","Otros almidones",'Volúmenes DIstribuidos '!C1521)))</f>
        <v>Salsas</v>
      </c>
      <c r="C2375" s="10" t="s">
        <v>29</v>
      </c>
      <c r="D2375" s="12">
        <f>'Volúmenes DIstribuidos '!D1521</f>
        <v>49.44</v>
      </c>
      <c r="E2375" s="12">
        <f>SUMIF('Parametros Inventario'!$A:$A,B2375,'Parametros Inventario'!$B:$B)+SUMIFS(D$2:D2375,B$2:B2375,B2375,C$2:C2375,"ENTRADA")-SUMIFS(D$2:D2375,B$2:B2375,B2375,C$2:C2375,"SALIDA")</f>
        <v>9762.5799999999963</v>
      </c>
    </row>
    <row r="2376" spans="1:5" x14ac:dyDescent="0.3">
      <c r="A2376" s="9">
        <f>'Volúmenes DIstribuidos '!B1521</f>
        <v>44932</v>
      </c>
      <c r="B2376" s="10" t="str">
        <f>IF(OR('Volúmenes DIstribuidos '!C1522="Azúcar",'Volúmenes DIstribuidos '!C1522="azúcar"),"Azúcar o dulce",IF('Volúmenes DIstribuidos '!C1522="Aceite","Aceite o grasas",IF('Volúmenes DIstribuidos '!C1522="Avena","Otros almidones",'Volúmenes DIstribuidos '!C1522)))</f>
        <v>Otros almidones</v>
      </c>
      <c r="C2376" s="10" t="s">
        <v>29</v>
      </c>
      <c r="D2376" s="12">
        <f>'Volúmenes DIstribuidos '!D1522</f>
        <v>13.843999999999999</v>
      </c>
      <c r="E2376" s="12">
        <f>SUMIF('Parametros Inventario'!$A:$A,B2376,'Parametros Inventario'!$B:$B)+SUMIFS(D$2:D2376,B$2:B2376,B2376,C$2:C2376,"ENTRADA")-SUMIFS(D$2:D2376,B$2:B2376,B2376,C$2:C2376,"SALIDA")</f>
        <v>10353.199000000001</v>
      </c>
    </row>
    <row r="2377" spans="1:5" x14ac:dyDescent="0.3">
      <c r="A2377" s="9">
        <f>'Volúmenes DIstribuidos '!B1521</f>
        <v>44932</v>
      </c>
      <c r="B2377" s="10" t="str">
        <f>IF(OR('Volúmenes DIstribuidos '!C1523="Azúcar",'Volúmenes DIstribuidos '!C1523="azúcar"),"Azúcar o dulce",IF('Volúmenes DIstribuidos '!C1523="Aceite","Aceite o grasas",IF('Volúmenes DIstribuidos '!C1523="Avena","Otros almidones",'Volúmenes DIstribuidos '!C1523)))</f>
        <v>Lácteos</v>
      </c>
      <c r="C2377" s="10" t="s">
        <v>29</v>
      </c>
      <c r="D2377" s="12">
        <f>'Volúmenes DIstribuidos '!D1523</f>
        <v>14.92</v>
      </c>
      <c r="E2377" s="12">
        <f>SUMIF('Parametros Inventario'!$A:$A,B2377,'Parametros Inventario'!$B:$B)+SUMIFS(D$2:D2377,B$2:B2377,B2377,C$2:C2377,"ENTRADA")-SUMIFS(D$2:D2377,B$2:B2377,B2377,C$2:C2377,"SALIDA")</f>
        <v>8999.7740000000013</v>
      </c>
    </row>
    <row r="2378" spans="1:5" x14ac:dyDescent="0.3">
      <c r="A2378" s="9">
        <f>'Volúmenes DIstribuidos '!B1521</f>
        <v>44932</v>
      </c>
      <c r="B2378" s="10" t="str">
        <f>IF(OR('Volúmenes DIstribuidos '!C1524="Azúcar",'Volúmenes DIstribuidos '!C1524="azúcar"),"Azúcar o dulce",IF('Volúmenes DIstribuidos '!C1524="Aceite","Aceite o grasas",IF('Volúmenes DIstribuidos '!C1524="Avena","Otros almidones",'Volúmenes DIstribuidos '!C1524)))</f>
        <v>Otros almidones</v>
      </c>
      <c r="C2378" s="10" t="s">
        <v>29</v>
      </c>
      <c r="D2378" s="12">
        <f>'Volúmenes DIstribuidos '!D1524</f>
        <v>6.31</v>
      </c>
      <c r="E2378" s="12">
        <f>SUMIF('Parametros Inventario'!$A:$A,B2378,'Parametros Inventario'!$B:$B)+SUMIFS(D$2:D2378,B$2:B2378,B2378,C$2:C2378,"ENTRADA")-SUMIFS(D$2:D2378,B$2:B2378,B2378,C$2:C2378,"SALIDA")</f>
        <v>10346.888999999999</v>
      </c>
    </row>
    <row r="2379" spans="1:5" x14ac:dyDescent="0.3">
      <c r="A2379" s="9">
        <f>'Volúmenes DIstribuidos '!B1521</f>
        <v>44932</v>
      </c>
      <c r="B2379" s="10" t="str">
        <f>IF(OR('Volúmenes DIstribuidos '!C1525="Azúcar",'Volúmenes DIstribuidos '!C1525="azúcar"),"Azúcar o dulce",IF('Volúmenes DIstribuidos '!C1525="Aceite","Aceite o grasas",IF('Volúmenes DIstribuidos '!C1525="Avena","Otros almidones",'Volúmenes DIstribuidos '!C1525)))</f>
        <v>Vegetales y hojas</v>
      </c>
      <c r="C2379" s="10" t="s">
        <v>29</v>
      </c>
      <c r="D2379" s="12">
        <f>'Volúmenes DIstribuidos '!D1525</f>
        <v>6.52</v>
      </c>
      <c r="E2379" s="12">
        <f>SUMIF('Parametros Inventario'!$A:$A,B2379,'Parametros Inventario'!$B:$B)+SUMIFS(D$2:D2379,B$2:B2379,B2379,C$2:C2379,"ENTRADA")-SUMIFS(D$2:D2379,B$2:B2379,B2379,C$2:C2379,"SALIDA")</f>
        <v>11633.624999999995</v>
      </c>
    </row>
    <row r="2380" spans="1:5" x14ac:dyDescent="0.3">
      <c r="A2380" s="9">
        <f>'Volúmenes DIstribuidos '!B1521</f>
        <v>44932</v>
      </c>
      <c r="B2380" s="10" t="str">
        <f>IF(OR('Volúmenes DIstribuidos '!C1526="Azúcar",'Volúmenes DIstribuidos '!C1526="azúcar"),"Azúcar o dulce",IF('Volúmenes DIstribuidos '!C1526="Aceite","Aceite o grasas",IF('Volúmenes DIstribuidos '!C1526="Avena","Otros almidones",'Volúmenes DIstribuidos '!C1526)))</f>
        <v>Carnes blancas</v>
      </c>
      <c r="C2380" s="10" t="s">
        <v>29</v>
      </c>
      <c r="D2380" s="12">
        <f>'Volúmenes DIstribuidos '!D1526</f>
        <v>2.95</v>
      </c>
      <c r="E2380" s="12">
        <f>SUMIF('Parametros Inventario'!$A:$A,B2380,'Parametros Inventario'!$B:$B)+SUMIFS(D$2:D2380,B$2:B2380,B2380,C$2:C2380,"ENTRADA")-SUMIFS(D$2:D2380,B$2:B2380,B2380,C$2:C2380,"SALIDA")</f>
        <v>11038.417000000001</v>
      </c>
    </row>
    <row r="2381" spans="1:5" x14ac:dyDescent="0.3">
      <c r="A2381" s="9">
        <f>'Volúmenes DIstribuidos '!B1527</f>
        <v>44936</v>
      </c>
      <c r="B2381" s="10" t="str">
        <f>IF(OR('Volúmenes DIstribuidos '!C1527="Azúcar",'Volúmenes DIstribuidos '!C1527="azúcar"),"Azúcar o dulce",IF('Volúmenes DIstribuidos '!C1527="Aceite","Aceite o grasas",IF('Volúmenes DIstribuidos '!C1527="Avena","Otros almidones",'Volúmenes DIstribuidos '!C1527)))</f>
        <v>Aceite o grasas</v>
      </c>
      <c r="C2381" s="10" t="s">
        <v>29</v>
      </c>
      <c r="D2381" s="12">
        <f>'Volúmenes DIstribuidos '!D1527</f>
        <v>45.578000000000003</v>
      </c>
      <c r="E2381" s="12">
        <f>SUMIF('Parametros Inventario'!$A:$A,B2381,'Parametros Inventario'!$B:$B)+SUMIFS(D$2:D2381,B$2:B2381,B2381,C$2:C2381,"ENTRADA")-SUMIFS(D$2:D2381,B$2:B2381,B2381,C$2:C2381,"SALIDA")</f>
        <v>9411.9770000000026</v>
      </c>
    </row>
    <row r="2382" spans="1:5" x14ac:dyDescent="0.3">
      <c r="A2382" s="9">
        <f>'Volúmenes DIstribuidos '!B1527</f>
        <v>44936</v>
      </c>
      <c r="B2382" s="10" t="str">
        <f>IF(OR('Volúmenes DIstribuidos '!C1528="Azúcar",'Volúmenes DIstribuidos '!C1528="azúcar"),"Azúcar o dulce",IF('Volúmenes DIstribuidos '!C1528="Aceite","Aceite o grasas",IF('Volúmenes DIstribuidos '!C1528="Avena","Otros almidones",'Volúmenes DIstribuidos '!C1528)))</f>
        <v>Lácteos</v>
      </c>
      <c r="C2382" s="10" t="s">
        <v>29</v>
      </c>
      <c r="D2382" s="12">
        <f>'Volúmenes DIstribuidos '!D1528</f>
        <v>80</v>
      </c>
      <c r="E2382" s="12">
        <f>SUMIF('Parametros Inventario'!$A:$A,B2382,'Parametros Inventario'!$B:$B)+SUMIFS(D$2:D2382,B$2:B2382,B2382,C$2:C2382,"ENTRADA")-SUMIFS(D$2:D2382,B$2:B2382,B2382,C$2:C2382,"SALIDA")</f>
        <v>8919.7740000000013</v>
      </c>
    </row>
    <row r="2383" spans="1:5" x14ac:dyDescent="0.3">
      <c r="A2383" s="9">
        <f>'Volúmenes DIstribuidos '!B1527</f>
        <v>44936</v>
      </c>
      <c r="B2383" s="10" t="str">
        <f>IF(OR('Volúmenes DIstribuidos '!C1529="Azúcar",'Volúmenes DIstribuidos '!C1529="azúcar"),"Azúcar o dulce",IF('Volúmenes DIstribuidos '!C1529="Aceite","Aceite o grasas",IF('Volúmenes DIstribuidos '!C1529="Avena","Otros almidones",'Volúmenes DIstribuidos '!C1529)))</f>
        <v>Menestras</v>
      </c>
      <c r="C2383" s="10" t="s">
        <v>29</v>
      </c>
      <c r="D2383" s="12">
        <f>'Volúmenes DIstribuidos '!D1529</f>
        <v>133.43</v>
      </c>
      <c r="E2383" s="12">
        <f>SUMIF('Parametros Inventario'!$A:$A,B2383,'Parametros Inventario'!$B:$B)+SUMIFS(D$2:D2383,B$2:B2383,B2383,C$2:C2383,"ENTRADA")-SUMIFS(D$2:D2383,B$2:B2383,B2383,C$2:C2383,"SALIDA")</f>
        <v>10930.003000000001</v>
      </c>
    </row>
    <row r="2384" spans="1:5" x14ac:dyDescent="0.3">
      <c r="A2384" s="9">
        <f>'Volúmenes DIstribuidos '!B1527</f>
        <v>44936</v>
      </c>
      <c r="B2384" s="10" t="str">
        <f>IF(OR('Volúmenes DIstribuidos '!C1530="Azúcar",'Volúmenes DIstribuidos '!C1530="azúcar"),"Azúcar o dulce",IF('Volúmenes DIstribuidos '!C1530="Aceite","Aceite o grasas",IF('Volúmenes DIstribuidos '!C1530="Avena","Otros almidones",'Volúmenes DIstribuidos '!C1530)))</f>
        <v>Azúcar o dulce</v>
      </c>
      <c r="C2384" s="10" t="s">
        <v>29</v>
      </c>
      <c r="D2384" s="12">
        <f>'Volúmenes DIstribuidos '!D1530</f>
        <v>67.14</v>
      </c>
      <c r="E2384" s="12">
        <f>SUMIF('Parametros Inventario'!$A:$A,B2384,'Parametros Inventario'!$B:$B)+SUMIFS(D$2:D2384,B$2:B2384,B2384,C$2:C2384,"ENTRADA")-SUMIFS(D$2:D2384,B$2:B2384,B2384,C$2:C2384,"SALIDA")</f>
        <v>10342.303</v>
      </c>
    </row>
    <row r="2385" spans="1:5" x14ac:dyDescent="0.3">
      <c r="A2385" s="9">
        <f>'Volúmenes DIstribuidos '!B1527</f>
        <v>44936</v>
      </c>
      <c r="B2385" s="10" t="str">
        <f>IF(OR('Volúmenes DIstribuidos '!C1531="Azúcar",'Volúmenes DIstribuidos '!C1531="azúcar"),"Azúcar o dulce",IF('Volúmenes DIstribuidos '!C1531="Aceite","Aceite o grasas",IF('Volúmenes DIstribuidos '!C1531="Avena","Otros almidones",'Volúmenes DIstribuidos '!C1531)))</f>
        <v>Fideo</v>
      </c>
      <c r="C2385" s="10" t="s">
        <v>29</v>
      </c>
      <c r="D2385" s="12">
        <f>'Volúmenes DIstribuidos '!D1531</f>
        <v>53.677999999999997</v>
      </c>
      <c r="E2385" s="12">
        <f>SUMIF('Parametros Inventario'!$A:$A,B2385,'Parametros Inventario'!$B:$B)+SUMIFS(D$2:D2385,B$2:B2385,B2385,C$2:C2385,"ENTRADA")-SUMIFS(D$2:D2385,B$2:B2385,B2385,C$2:C2385,"SALIDA")</f>
        <v>11437.301000000001</v>
      </c>
    </row>
    <row r="2386" spans="1:5" x14ac:dyDescent="0.3">
      <c r="A2386" s="9">
        <f>'Volúmenes DIstribuidos '!B1527</f>
        <v>44936</v>
      </c>
      <c r="B2386" s="10" t="str">
        <f>IF(OR('Volúmenes DIstribuidos '!C1532="Azúcar",'Volúmenes DIstribuidos '!C1532="azúcar"),"Azúcar o dulce",IF('Volúmenes DIstribuidos '!C1532="Aceite","Aceite o grasas",IF('Volúmenes DIstribuidos '!C1532="Avena","Otros almidones",'Volúmenes DIstribuidos '!C1532)))</f>
        <v>Carnes rojas</v>
      </c>
      <c r="C2386" s="10" t="s">
        <v>29</v>
      </c>
      <c r="D2386" s="12">
        <f>'Volúmenes DIstribuidos '!D1532</f>
        <v>38.46</v>
      </c>
      <c r="E2386" s="12">
        <f>SUMIF('Parametros Inventario'!$A:$A,B2386,'Parametros Inventario'!$B:$B)+SUMIFS(D$2:D2386,B$2:B2386,B2386,C$2:C2386,"ENTRADA")-SUMIFS(D$2:D2386,B$2:B2386,B2386,C$2:C2386,"SALIDA")</f>
        <v>10396.030000000004</v>
      </c>
    </row>
    <row r="2387" spans="1:5" x14ac:dyDescent="0.3">
      <c r="A2387" s="9">
        <v>44939</v>
      </c>
      <c r="B2387" s="10" t="s">
        <v>18</v>
      </c>
      <c r="C2387" s="10" t="s">
        <v>28</v>
      </c>
      <c r="D2387" s="12">
        <v>248.81</v>
      </c>
      <c r="E2387" s="12">
        <f>SUMIF('Parametros Inventario'!$A:$A,B2387,'Parametros Inventario'!$B:$B)+SUMIFS(D$2:D2387,B$2:B2387,B2387,C$2:C2387,"ENTRADA")-SUMIFS(D$2:D2387,B$2:B2387,B2387,C$2:C2387,"SALIDA")</f>
        <v>10011.389999999996</v>
      </c>
    </row>
    <row r="2388" spans="1:5" x14ac:dyDescent="0.3">
      <c r="A2388" s="9">
        <v>44939</v>
      </c>
      <c r="B2388" s="10" t="s">
        <v>10</v>
      </c>
      <c r="C2388" s="10" t="s">
        <v>28</v>
      </c>
      <c r="D2388" s="12">
        <v>101.09</v>
      </c>
      <c r="E2388" s="12">
        <f>SUMIF('Parametros Inventario'!$A:$A,B2388,'Parametros Inventario'!$B:$B)+SUMIFS(D$2:D2388,B$2:B2388,B2388,C$2:C2388,"ENTRADA")-SUMIFS(D$2:D2388,B$2:B2388,B2388,C$2:C2388,"SALIDA")</f>
        <v>11734.714999999995</v>
      </c>
    </row>
    <row r="2389" spans="1:5" x14ac:dyDescent="0.3">
      <c r="A2389" s="9">
        <v>44939</v>
      </c>
      <c r="B2389" s="10" t="s">
        <v>8</v>
      </c>
      <c r="C2389" s="10" t="s">
        <v>28</v>
      </c>
      <c r="D2389" s="12">
        <v>176.86</v>
      </c>
      <c r="E2389" s="12">
        <f>SUMIF('Parametros Inventario'!$A:$A,B2389,'Parametros Inventario'!$B:$B)+SUMIFS(D$2:D2389,B$2:B2389,B2389,C$2:C2389,"ENTRADA")-SUMIFS(D$2:D2389,B$2:B2389,B2389,C$2:C2389,"SALIDA")</f>
        <v>9588.8370000000032</v>
      </c>
    </row>
    <row r="2390" spans="1:5" x14ac:dyDescent="0.3">
      <c r="A2390" s="9">
        <v>44939</v>
      </c>
      <c r="B2390" s="10" t="s">
        <v>13</v>
      </c>
      <c r="C2390" s="10" t="s">
        <v>28</v>
      </c>
      <c r="D2390" s="12">
        <v>156.56</v>
      </c>
      <c r="E2390" s="12">
        <f>SUMIF('Parametros Inventario'!$A:$A,B2390,'Parametros Inventario'!$B:$B)+SUMIFS(D$2:D2390,B$2:B2390,B2390,C$2:C2390,"ENTRADA")-SUMIFS(D$2:D2390,B$2:B2390,B2390,C$2:C2390,"SALIDA")</f>
        <v>10498.862999999999</v>
      </c>
    </row>
    <row r="2391" spans="1:5" x14ac:dyDescent="0.3">
      <c r="A2391" s="9">
        <v>44939</v>
      </c>
      <c r="B2391" s="10" t="s">
        <v>15</v>
      </c>
      <c r="C2391" s="10" t="s">
        <v>28</v>
      </c>
      <c r="D2391" s="12">
        <v>166.77</v>
      </c>
      <c r="E2391" s="12">
        <f>SUMIF('Parametros Inventario'!$A:$A,B2391,'Parametros Inventario'!$B:$B)+SUMIFS(D$2:D2391,B$2:B2391,B2391,C$2:C2391,"ENTRADA")-SUMIFS(D$2:D2391,B$2:B2391,B2391,C$2:C2391,"SALIDA")</f>
        <v>10513.659</v>
      </c>
    </row>
    <row r="2392" spans="1:5" x14ac:dyDescent="0.3">
      <c r="A2392" s="9">
        <v>44939</v>
      </c>
      <c r="B2392" s="10" t="s">
        <v>11</v>
      </c>
      <c r="C2392" s="10" t="s">
        <v>28</v>
      </c>
      <c r="D2392" s="12">
        <v>91.04</v>
      </c>
      <c r="E2392" s="12">
        <f>SUMIF('Parametros Inventario'!$A:$A,B2392,'Parametros Inventario'!$B:$B)+SUMIFS(D$2:D2392,B$2:B2392,B2392,C$2:C2392,"ENTRADA")-SUMIFS(D$2:D2392,B$2:B2392,B2392,C$2:C2392,"SALIDA")</f>
        <v>11528.341000000002</v>
      </c>
    </row>
    <row r="2393" spans="1:5" x14ac:dyDescent="0.3">
      <c r="A2393" s="9">
        <v>44939</v>
      </c>
      <c r="B2393" s="10" t="s">
        <v>9</v>
      </c>
      <c r="C2393" s="10" t="s">
        <v>28</v>
      </c>
      <c r="D2393" s="12">
        <v>99.38</v>
      </c>
      <c r="E2393" s="12">
        <f>SUMIF('Parametros Inventario'!$A:$A,B2393,'Parametros Inventario'!$B:$B)+SUMIFS(D$2:D2393,B$2:B2393,B2393,C$2:C2393,"ENTRADA")-SUMIFS(D$2:D2393,B$2:B2393,B2393,C$2:C2393,"SALIDA")</f>
        <v>8364.3150000000023</v>
      </c>
    </row>
    <row r="2394" spans="1:5" x14ac:dyDescent="0.3">
      <c r="A2394" s="9">
        <v>44939</v>
      </c>
      <c r="B2394" s="10" t="s">
        <v>14</v>
      </c>
      <c r="C2394" s="10" t="s">
        <v>28</v>
      </c>
      <c r="D2394" s="12">
        <v>156</v>
      </c>
      <c r="E2394" s="12">
        <f>SUMIF('Parametros Inventario'!$A:$A,B2394,'Parametros Inventario'!$B:$B)+SUMIFS(D$2:D2394,B$2:B2394,B2394,C$2:C2394,"ENTRADA")-SUMIFS(D$2:D2394,B$2:B2394,B2394,C$2:C2394,"SALIDA")</f>
        <v>11086.003000000001</v>
      </c>
    </row>
    <row r="2395" spans="1:5" x14ac:dyDescent="0.3">
      <c r="A2395" s="9">
        <v>44939</v>
      </c>
      <c r="B2395" s="10" t="s">
        <v>12</v>
      </c>
      <c r="C2395" s="10" t="s">
        <v>28</v>
      </c>
      <c r="D2395" s="12">
        <v>201.46</v>
      </c>
      <c r="E2395" s="12">
        <f>SUMIF('Parametros Inventario'!$A:$A,B2395,'Parametros Inventario'!$B:$B)+SUMIFS(D$2:D2395,B$2:B2395,B2395,C$2:C2395,"ENTRADA")-SUMIFS(D$2:D2395,B$2:B2395,B2395,C$2:C2395,"SALIDA")</f>
        <v>10597.490000000003</v>
      </c>
    </row>
    <row r="2396" spans="1:5" x14ac:dyDescent="0.3">
      <c r="A2396" s="9">
        <v>44939</v>
      </c>
      <c r="B2396" s="10" t="s">
        <v>16</v>
      </c>
      <c r="C2396" s="10" t="s">
        <v>28</v>
      </c>
      <c r="D2396" s="12">
        <v>125.78</v>
      </c>
      <c r="E2396" s="12">
        <f>SUMIF('Parametros Inventario'!$A:$A,B2396,'Parametros Inventario'!$B:$B)+SUMIFS(D$2:D2396,B$2:B2396,B2396,C$2:C2396,"ENTRADA")-SUMIFS(D$2:D2396,B$2:B2396,B2396,C$2:C2396,"SALIDA")</f>
        <v>11164.197000000004</v>
      </c>
    </row>
    <row r="2397" spans="1:5" x14ac:dyDescent="0.3">
      <c r="A2397" s="9">
        <f>'Volúmenes DIstribuidos '!B1533</f>
        <v>44939</v>
      </c>
      <c r="B2397" s="10" t="str">
        <f>IF(OR('Volúmenes DIstribuidos '!C1533="Azúcar",'Volúmenes DIstribuidos '!C1533="azúcar"),"Azúcar o dulce",IF('Volúmenes DIstribuidos '!C1533="Aceite","Aceite o grasas",IF('Volúmenes DIstribuidos '!C1533="Avena","Otros almidones",'Volúmenes DIstribuidos '!C1533)))</f>
        <v>Aceite o grasas</v>
      </c>
      <c r="C2397" s="10" t="s">
        <v>29</v>
      </c>
      <c r="D2397" s="12">
        <f>'Volúmenes DIstribuidos '!D1533</f>
        <v>48.14</v>
      </c>
      <c r="E2397" s="12">
        <f>SUMIF('Parametros Inventario'!$A:$A,B2397,'Parametros Inventario'!$B:$B)+SUMIFS(D$2:D2397,B$2:B2397,B2397,C$2:C2397,"ENTRADA")-SUMIFS(D$2:D2397,B$2:B2397,B2397,C$2:C2397,"SALIDA")</f>
        <v>9540.6970000000019</v>
      </c>
    </row>
    <row r="2398" spans="1:5" x14ac:dyDescent="0.3">
      <c r="A2398" s="9">
        <f>'Volúmenes DIstribuidos '!B1533</f>
        <v>44939</v>
      </c>
      <c r="B2398" s="10" t="str">
        <f>IF(OR('Volúmenes DIstribuidos '!C1534="Azúcar",'Volúmenes DIstribuidos '!C1534="azúcar"),"Azúcar o dulce",IF('Volúmenes DIstribuidos '!C1534="Aceite","Aceite o grasas",IF('Volúmenes DIstribuidos '!C1534="Avena","Otros almidones",'Volúmenes DIstribuidos '!C1534)))</f>
        <v>Panadería</v>
      </c>
      <c r="C2398" s="10" t="s">
        <v>29</v>
      </c>
      <c r="D2398" s="12">
        <f>'Volúmenes DIstribuidos '!D1534</f>
        <v>84.2</v>
      </c>
      <c r="E2398" s="12">
        <f>SUMIF('Parametros Inventario'!$A:$A,B2398,'Parametros Inventario'!$B:$B)+SUMIFS(D$2:D2398,B$2:B2398,B2398,C$2:C2398,"ENTRADA")-SUMIFS(D$2:D2398,B$2:B2398,B2398,C$2:C2398,"SALIDA")</f>
        <v>8280.1150000000016</v>
      </c>
    </row>
    <row r="2399" spans="1:5" x14ac:dyDescent="0.3">
      <c r="A2399" s="9">
        <f>'Volúmenes DIstribuidos '!B1533</f>
        <v>44939</v>
      </c>
      <c r="B2399" s="10" t="str">
        <f>IF(OR('Volúmenes DIstribuidos '!C1535="Azúcar",'Volúmenes DIstribuidos '!C1535="azúcar"),"Azúcar o dulce",IF('Volúmenes DIstribuidos '!C1535="Aceite","Aceite o grasas",IF('Volúmenes DIstribuidos '!C1535="Avena","Otros almidones",'Volúmenes DIstribuidos '!C1535)))</f>
        <v>Azúcar o dulce</v>
      </c>
      <c r="C2399" s="10" t="s">
        <v>29</v>
      </c>
      <c r="D2399" s="12">
        <f>'Volúmenes DIstribuidos '!D1535</f>
        <v>48.73</v>
      </c>
      <c r="E2399" s="12">
        <f>SUMIF('Parametros Inventario'!$A:$A,B2399,'Parametros Inventario'!$B:$B)+SUMIFS(D$2:D2399,B$2:B2399,B2399,C$2:C2399,"ENTRADA")-SUMIFS(D$2:D2399,B$2:B2399,B2399,C$2:C2399,"SALIDA")</f>
        <v>10450.133</v>
      </c>
    </row>
    <row r="2400" spans="1:5" x14ac:dyDescent="0.3">
      <c r="A2400" s="9">
        <f>'Volúmenes DIstribuidos '!B1533</f>
        <v>44939</v>
      </c>
      <c r="B2400" s="10" t="str">
        <f>IF(OR('Volúmenes DIstribuidos '!C1536="Azúcar",'Volúmenes DIstribuidos '!C1536="azúcar"),"Azúcar o dulce",IF('Volúmenes DIstribuidos '!C1536="Aceite","Aceite o grasas",IF('Volúmenes DIstribuidos '!C1536="Avena","Otros almidones",'Volúmenes DIstribuidos '!C1536)))</f>
        <v>Lácteos</v>
      </c>
      <c r="C2400" s="10" t="s">
        <v>29</v>
      </c>
      <c r="D2400" s="12">
        <f>'Volúmenes DIstribuidos '!D1536</f>
        <v>26.09</v>
      </c>
      <c r="E2400" s="12">
        <f>SUMIF('Parametros Inventario'!$A:$A,B2400,'Parametros Inventario'!$B:$B)+SUMIFS(D$2:D2400,B$2:B2400,B2400,C$2:C2400,"ENTRADA")-SUMIFS(D$2:D2400,B$2:B2400,B2400,C$2:C2400,"SALIDA")</f>
        <v>8893.6840000000011</v>
      </c>
    </row>
    <row r="2401" spans="1:5" x14ac:dyDescent="0.3">
      <c r="A2401" s="9">
        <f>'Volúmenes DIstribuidos '!B1533</f>
        <v>44939</v>
      </c>
      <c r="B2401" s="10" t="str">
        <f>IF(OR('Volúmenes DIstribuidos '!C1537="Azúcar",'Volúmenes DIstribuidos '!C1537="azúcar"),"Azúcar o dulce",IF('Volúmenes DIstribuidos '!C1537="Aceite","Aceite o grasas",IF('Volúmenes DIstribuidos '!C1537="Avena","Otros almidones",'Volúmenes DIstribuidos '!C1537)))</f>
        <v>Vegetales y hojas</v>
      </c>
      <c r="C2401" s="10" t="s">
        <v>29</v>
      </c>
      <c r="D2401" s="12">
        <f>'Volúmenes DIstribuidos '!D1537</f>
        <v>23.24</v>
      </c>
      <c r="E2401" s="12">
        <f>SUMIF('Parametros Inventario'!$A:$A,B2401,'Parametros Inventario'!$B:$B)+SUMIFS(D$2:D2401,B$2:B2401,B2401,C$2:C2401,"ENTRADA")-SUMIFS(D$2:D2401,B$2:B2401,B2401,C$2:C2401,"SALIDA")</f>
        <v>11711.474999999995</v>
      </c>
    </row>
    <row r="2402" spans="1:5" x14ac:dyDescent="0.3">
      <c r="A2402" s="9">
        <f>'Volúmenes DIstribuidos '!B1533</f>
        <v>44939</v>
      </c>
      <c r="B2402" s="10" t="str">
        <f>IF(OR('Volúmenes DIstribuidos '!C1538="Azúcar",'Volúmenes DIstribuidos '!C1538="azúcar"),"Azúcar o dulce",IF('Volúmenes DIstribuidos '!C1538="Aceite","Aceite o grasas",IF('Volúmenes DIstribuidos '!C1538="Avena","Otros almidones",'Volúmenes DIstribuidos '!C1538)))</f>
        <v>Panadería</v>
      </c>
      <c r="C2402" s="10" t="s">
        <v>29</v>
      </c>
      <c r="D2402" s="12">
        <f>'Volúmenes DIstribuidos '!D1538</f>
        <v>15.24</v>
      </c>
      <c r="E2402" s="12">
        <f>SUMIF('Parametros Inventario'!$A:$A,B2402,'Parametros Inventario'!$B:$B)+SUMIFS(D$2:D2402,B$2:B2402,B2402,C$2:C2402,"ENTRADA")-SUMIFS(D$2:D2402,B$2:B2402,B2402,C$2:C2402,"SALIDA")</f>
        <v>8264.8750000000036</v>
      </c>
    </row>
    <row r="2403" spans="1:5" x14ac:dyDescent="0.3">
      <c r="A2403" s="9">
        <f>'Volúmenes DIstribuidos '!B1539</f>
        <v>44943</v>
      </c>
      <c r="B2403" s="10" t="str">
        <f>IF(OR('Volúmenes DIstribuidos '!C1539="Azúcar",'Volúmenes DIstribuidos '!C1539="azúcar"),"Azúcar o dulce",IF('Volúmenes DIstribuidos '!C1539="Aceite","Aceite o grasas",IF('Volúmenes DIstribuidos '!C1539="Avena","Otros almidones",'Volúmenes DIstribuidos '!C1539)))</f>
        <v>Lácteos</v>
      </c>
      <c r="C2403" s="10" t="s">
        <v>29</v>
      </c>
      <c r="D2403" s="12">
        <f>'Volúmenes DIstribuidos '!D1539</f>
        <v>52.02</v>
      </c>
      <c r="E2403" s="12">
        <f>SUMIF('Parametros Inventario'!$A:$A,B2403,'Parametros Inventario'!$B:$B)+SUMIFS(D$2:D2403,B$2:B2403,B2403,C$2:C2403,"ENTRADA")-SUMIFS(D$2:D2403,B$2:B2403,B2403,C$2:C2403,"SALIDA")</f>
        <v>8841.6640000000007</v>
      </c>
    </row>
    <row r="2404" spans="1:5" x14ac:dyDescent="0.3">
      <c r="A2404" s="9">
        <f>'Volúmenes DIstribuidos '!B1539</f>
        <v>44943</v>
      </c>
      <c r="B2404" s="10" t="str">
        <f>IF(OR('Volúmenes DIstribuidos '!C1540="Azúcar",'Volúmenes DIstribuidos '!C1540="azúcar"),"Azúcar o dulce",IF('Volúmenes DIstribuidos '!C1540="Aceite","Aceite o grasas",IF('Volúmenes DIstribuidos '!C1540="Avena","Otros almidones",'Volúmenes DIstribuidos '!C1540)))</f>
        <v>Azúcar o dulce</v>
      </c>
      <c r="C2404" s="10" t="s">
        <v>29</v>
      </c>
      <c r="D2404" s="12">
        <f>'Volúmenes DIstribuidos '!D1540</f>
        <v>9.2750000000000004</v>
      </c>
      <c r="E2404" s="12">
        <f>SUMIF('Parametros Inventario'!$A:$A,B2404,'Parametros Inventario'!$B:$B)+SUMIFS(D$2:D2404,B$2:B2404,B2404,C$2:C2404,"ENTRADA")-SUMIFS(D$2:D2404,B$2:B2404,B2404,C$2:C2404,"SALIDA")</f>
        <v>10440.858</v>
      </c>
    </row>
    <row r="2405" spans="1:5" x14ac:dyDescent="0.3">
      <c r="A2405" s="9">
        <f>'Volúmenes DIstribuidos '!B1539</f>
        <v>44943</v>
      </c>
      <c r="B2405" s="10" t="str">
        <f>IF(OR('Volúmenes DIstribuidos '!C1541="Azúcar",'Volúmenes DIstribuidos '!C1541="azúcar"),"Azúcar o dulce",IF('Volúmenes DIstribuidos '!C1541="Aceite","Aceite o grasas",IF('Volúmenes DIstribuidos '!C1541="Avena","Otros almidones",'Volúmenes DIstribuidos '!C1541)))</f>
        <v>Vegetales y hojas</v>
      </c>
      <c r="C2405" s="10" t="s">
        <v>29</v>
      </c>
      <c r="D2405" s="12">
        <f>'Volúmenes DIstribuidos '!D1541</f>
        <v>26.48</v>
      </c>
      <c r="E2405" s="12">
        <f>SUMIF('Parametros Inventario'!$A:$A,B2405,'Parametros Inventario'!$B:$B)+SUMIFS(D$2:D2405,B$2:B2405,B2405,C$2:C2405,"ENTRADA")-SUMIFS(D$2:D2405,B$2:B2405,B2405,C$2:C2405,"SALIDA")</f>
        <v>11684.994999999995</v>
      </c>
    </row>
    <row r="2406" spans="1:5" x14ac:dyDescent="0.3">
      <c r="A2406" s="9">
        <f>'Volúmenes DIstribuidos '!B1539</f>
        <v>44943</v>
      </c>
      <c r="B2406" s="10" t="str">
        <f>IF(OR('Volúmenes DIstribuidos '!C1542="Azúcar",'Volúmenes DIstribuidos '!C1542="azúcar"),"Azúcar o dulce",IF('Volúmenes DIstribuidos '!C1542="Aceite","Aceite o grasas",IF('Volúmenes DIstribuidos '!C1542="Avena","Otros almidones",'Volúmenes DIstribuidos '!C1542)))</f>
        <v>Otros almidones</v>
      </c>
      <c r="C2406" s="10" t="s">
        <v>29</v>
      </c>
      <c r="D2406" s="12">
        <f>'Volúmenes DIstribuidos '!D1542</f>
        <v>5.84</v>
      </c>
      <c r="E2406" s="12">
        <f>SUMIF('Parametros Inventario'!$A:$A,B2406,'Parametros Inventario'!$B:$B)+SUMIFS(D$2:D2406,B$2:B2406,B2406,C$2:C2406,"ENTRADA")-SUMIFS(D$2:D2406,B$2:B2406,B2406,C$2:C2406,"SALIDA")</f>
        <v>10507.819</v>
      </c>
    </row>
    <row r="2407" spans="1:5" x14ac:dyDescent="0.3">
      <c r="A2407" s="9">
        <f>'Volúmenes DIstribuidos '!B1539</f>
        <v>44943</v>
      </c>
      <c r="B2407" s="10" t="str">
        <f>IF(OR('Volúmenes DIstribuidos '!C1543="Azúcar",'Volúmenes DIstribuidos '!C1543="azúcar"),"Azúcar o dulce",IF('Volúmenes DIstribuidos '!C1543="Aceite","Aceite o grasas",IF('Volúmenes DIstribuidos '!C1543="Avena","Otros almidones",'Volúmenes DIstribuidos '!C1543)))</f>
        <v>Lácteos</v>
      </c>
      <c r="C2407" s="10" t="s">
        <v>29</v>
      </c>
      <c r="D2407" s="12">
        <f>'Volúmenes DIstribuidos '!D1543</f>
        <v>18.48</v>
      </c>
      <c r="E2407" s="12">
        <f>SUMIF('Parametros Inventario'!$A:$A,B2407,'Parametros Inventario'!$B:$B)+SUMIFS(D$2:D2407,B$2:B2407,B2407,C$2:C2407,"ENTRADA")-SUMIFS(D$2:D2407,B$2:B2407,B2407,C$2:C2407,"SALIDA")</f>
        <v>8823.1840000000011</v>
      </c>
    </row>
    <row r="2408" spans="1:5" x14ac:dyDescent="0.3">
      <c r="A2408" s="9">
        <f>'Volúmenes DIstribuidos '!B1539</f>
        <v>44943</v>
      </c>
      <c r="B2408" s="10" t="str">
        <f>IF(OR('Volúmenes DIstribuidos '!C1544="Azúcar",'Volúmenes DIstribuidos '!C1544="azúcar"),"Azúcar o dulce",IF('Volúmenes DIstribuidos '!C1544="Aceite","Aceite o grasas",IF('Volúmenes DIstribuidos '!C1544="Avena","Otros almidones",'Volúmenes DIstribuidos '!C1544)))</f>
        <v>Fideo</v>
      </c>
      <c r="C2408" s="10" t="s">
        <v>29</v>
      </c>
      <c r="D2408" s="12">
        <f>'Volúmenes DIstribuidos '!D1544</f>
        <v>7.524</v>
      </c>
      <c r="E2408" s="12">
        <f>SUMIF('Parametros Inventario'!$A:$A,B2408,'Parametros Inventario'!$B:$B)+SUMIFS(D$2:D2408,B$2:B2408,B2408,C$2:C2408,"ENTRADA")-SUMIFS(D$2:D2408,B$2:B2408,B2408,C$2:C2408,"SALIDA")</f>
        <v>11520.817000000003</v>
      </c>
    </row>
    <row r="2409" spans="1:5" x14ac:dyDescent="0.3">
      <c r="A2409" s="9">
        <v>44946</v>
      </c>
      <c r="B2409" s="10" t="s">
        <v>17</v>
      </c>
      <c r="C2409" s="10" t="s">
        <v>28</v>
      </c>
      <c r="D2409" s="12">
        <v>194.11</v>
      </c>
      <c r="E2409" s="12">
        <f>SUMIF('Parametros Inventario'!$A:$A,B2409,'Parametros Inventario'!$B:$B)+SUMIFS(D$2:D2409,B$2:B2409,B2409,C$2:C2409,"ENTRADA")-SUMIFS(D$2:D2409,B$2:B2409,B2409,C$2:C2409,"SALIDA")</f>
        <v>9017.2940000000017</v>
      </c>
    </row>
    <row r="2410" spans="1:5" x14ac:dyDescent="0.3">
      <c r="A2410" s="9">
        <v>44946</v>
      </c>
      <c r="B2410" s="10" t="s">
        <v>18</v>
      </c>
      <c r="C2410" s="10" t="s">
        <v>28</v>
      </c>
      <c r="D2410" s="12">
        <v>291.93</v>
      </c>
      <c r="E2410" s="12">
        <f>SUMIF('Parametros Inventario'!$A:$A,B2410,'Parametros Inventario'!$B:$B)+SUMIFS(D$2:D2410,B$2:B2410,B2410,C$2:C2410,"ENTRADA")-SUMIFS(D$2:D2410,B$2:B2410,B2410,C$2:C2410,"SALIDA")</f>
        <v>10303.319999999996</v>
      </c>
    </row>
    <row r="2411" spans="1:5" x14ac:dyDescent="0.3">
      <c r="A2411" s="9">
        <v>44946</v>
      </c>
      <c r="B2411" s="10" t="s">
        <v>10</v>
      </c>
      <c r="C2411" s="10" t="s">
        <v>28</v>
      </c>
      <c r="D2411" s="12">
        <v>100.35</v>
      </c>
      <c r="E2411" s="12">
        <f>SUMIF('Parametros Inventario'!$A:$A,B2411,'Parametros Inventario'!$B:$B)+SUMIFS(D$2:D2411,B$2:B2411,B2411,C$2:C2411,"ENTRADA")-SUMIFS(D$2:D2411,B$2:B2411,B2411,C$2:C2411,"SALIDA")</f>
        <v>11785.344999999996</v>
      </c>
    </row>
    <row r="2412" spans="1:5" x14ac:dyDescent="0.3">
      <c r="A2412" s="9">
        <v>44946</v>
      </c>
      <c r="B2412" s="10" t="s">
        <v>8</v>
      </c>
      <c r="C2412" s="10" t="s">
        <v>28</v>
      </c>
      <c r="D2412" s="12">
        <v>265.61</v>
      </c>
      <c r="E2412" s="12">
        <f>SUMIF('Parametros Inventario'!$A:$A,B2412,'Parametros Inventario'!$B:$B)+SUMIFS(D$2:D2412,B$2:B2412,B2412,C$2:C2412,"ENTRADA")-SUMIFS(D$2:D2412,B$2:B2412,B2412,C$2:C2412,"SALIDA")</f>
        <v>9806.3070000000025</v>
      </c>
    </row>
    <row r="2413" spans="1:5" x14ac:dyDescent="0.3">
      <c r="A2413" s="9">
        <v>44946</v>
      </c>
      <c r="B2413" s="10" t="s">
        <v>13</v>
      </c>
      <c r="C2413" s="10" t="s">
        <v>28</v>
      </c>
      <c r="D2413" s="12">
        <v>170.29</v>
      </c>
      <c r="E2413" s="12">
        <f>SUMIF('Parametros Inventario'!$A:$A,B2413,'Parametros Inventario'!$B:$B)+SUMIFS(D$2:D2413,B$2:B2413,B2413,C$2:C2413,"ENTRADA")-SUMIFS(D$2:D2413,B$2:B2413,B2413,C$2:C2413,"SALIDA")</f>
        <v>10611.148000000001</v>
      </c>
    </row>
    <row r="2414" spans="1:5" x14ac:dyDescent="0.3">
      <c r="A2414" s="9">
        <v>44946</v>
      </c>
      <c r="B2414" s="10" t="s">
        <v>15</v>
      </c>
      <c r="C2414" s="10" t="s">
        <v>28</v>
      </c>
      <c r="D2414" s="12">
        <v>287.75</v>
      </c>
      <c r="E2414" s="12">
        <f>SUMIF('Parametros Inventario'!$A:$A,B2414,'Parametros Inventario'!$B:$B)+SUMIFS(D$2:D2414,B$2:B2414,B2414,C$2:C2414,"ENTRADA")-SUMIFS(D$2:D2414,B$2:B2414,B2414,C$2:C2414,"SALIDA")</f>
        <v>10795.569</v>
      </c>
    </row>
    <row r="2415" spans="1:5" x14ac:dyDescent="0.3">
      <c r="A2415" s="9">
        <v>44946</v>
      </c>
      <c r="B2415" s="10" t="s">
        <v>11</v>
      </c>
      <c r="C2415" s="10" t="s">
        <v>28</v>
      </c>
      <c r="D2415" s="12">
        <v>139.9</v>
      </c>
      <c r="E2415" s="12">
        <f>SUMIF('Parametros Inventario'!$A:$A,B2415,'Parametros Inventario'!$B:$B)+SUMIFS(D$2:D2415,B$2:B2415,B2415,C$2:C2415,"ENTRADA")-SUMIFS(D$2:D2415,B$2:B2415,B2415,C$2:C2415,"SALIDA")</f>
        <v>11660.717000000001</v>
      </c>
    </row>
    <row r="2416" spans="1:5" x14ac:dyDescent="0.3">
      <c r="A2416" s="9">
        <v>44946</v>
      </c>
      <c r="B2416" s="10" t="s">
        <v>9</v>
      </c>
      <c r="C2416" s="10" t="s">
        <v>28</v>
      </c>
      <c r="D2416" s="12">
        <v>144.43</v>
      </c>
      <c r="E2416" s="12">
        <f>SUMIF('Parametros Inventario'!$A:$A,B2416,'Parametros Inventario'!$B:$B)+SUMIFS(D$2:D2416,B$2:B2416,B2416,C$2:C2416,"ENTRADA")-SUMIFS(D$2:D2416,B$2:B2416,B2416,C$2:C2416,"SALIDA")</f>
        <v>8409.3050000000039</v>
      </c>
    </row>
    <row r="2417" spans="1:5" x14ac:dyDescent="0.3">
      <c r="A2417" s="9">
        <v>44946</v>
      </c>
      <c r="B2417" s="10" t="s">
        <v>14</v>
      </c>
      <c r="C2417" s="10" t="s">
        <v>28</v>
      </c>
      <c r="D2417" s="12">
        <v>167.68</v>
      </c>
      <c r="E2417" s="12">
        <f>SUMIF('Parametros Inventario'!$A:$A,B2417,'Parametros Inventario'!$B:$B)+SUMIFS(D$2:D2417,B$2:B2417,B2417,C$2:C2417,"ENTRADA")-SUMIFS(D$2:D2417,B$2:B2417,B2417,C$2:C2417,"SALIDA")</f>
        <v>11253.683000000001</v>
      </c>
    </row>
    <row r="2418" spans="1:5" x14ac:dyDescent="0.3">
      <c r="A2418" s="9">
        <v>44946</v>
      </c>
      <c r="B2418" s="10" t="s">
        <v>12</v>
      </c>
      <c r="C2418" s="10" t="s">
        <v>28</v>
      </c>
      <c r="D2418" s="12">
        <v>155.66999999999999</v>
      </c>
      <c r="E2418" s="12">
        <f>SUMIF('Parametros Inventario'!$A:$A,B2418,'Parametros Inventario'!$B:$B)+SUMIFS(D$2:D2418,B$2:B2418,B2418,C$2:C2418,"ENTRADA")-SUMIFS(D$2:D2418,B$2:B2418,B2418,C$2:C2418,"SALIDA")</f>
        <v>10753.160000000003</v>
      </c>
    </row>
    <row r="2419" spans="1:5" x14ac:dyDescent="0.3">
      <c r="A2419" s="9">
        <v>44946</v>
      </c>
      <c r="B2419" s="10" t="s">
        <v>16</v>
      </c>
      <c r="C2419" s="10" t="s">
        <v>28</v>
      </c>
      <c r="D2419" s="12">
        <v>202.35</v>
      </c>
      <c r="E2419" s="12">
        <f>SUMIF('Parametros Inventario'!$A:$A,B2419,'Parametros Inventario'!$B:$B)+SUMIFS(D$2:D2419,B$2:B2419,B2419,C$2:C2419,"ENTRADA")-SUMIFS(D$2:D2419,B$2:B2419,B2419,C$2:C2419,"SALIDA")</f>
        <v>11366.547000000002</v>
      </c>
    </row>
    <row r="2420" spans="1:5" x14ac:dyDescent="0.3">
      <c r="A2420" s="9">
        <f>'Volúmenes DIstribuidos '!B1545</f>
        <v>44946</v>
      </c>
      <c r="B2420" s="10" t="str">
        <f>IF(OR('Volúmenes DIstribuidos '!C1545="Azúcar",'Volúmenes DIstribuidos '!C1545="azúcar"),"Azúcar o dulce",IF('Volúmenes DIstribuidos '!C1545="Aceite","Aceite o grasas",IF('Volúmenes DIstribuidos '!C1545="Avena","Otros almidones",'Volúmenes DIstribuidos '!C1545)))</f>
        <v>Panadería</v>
      </c>
      <c r="C2420" s="10" t="s">
        <v>29</v>
      </c>
      <c r="D2420" s="12">
        <f>'Volúmenes DIstribuidos '!D1545</f>
        <v>10.46</v>
      </c>
      <c r="E2420" s="12">
        <f>SUMIF('Parametros Inventario'!$A:$A,B2420,'Parametros Inventario'!$B:$B)+SUMIFS(D$2:D2420,B$2:B2420,B2420,C$2:C2420,"ENTRADA")-SUMIFS(D$2:D2420,B$2:B2420,B2420,C$2:C2420,"SALIDA")</f>
        <v>8398.845000000003</v>
      </c>
    </row>
    <row r="2421" spans="1:5" x14ac:dyDescent="0.3">
      <c r="A2421" s="9">
        <f>'Volúmenes DIstribuidos '!B1545</f>
        <v>44946</v>
      </c>
      <c r="B2421" s="10" t="str">
        <f>IF(OR('Volúmenes DIstribuidos '!C1546="Azúcar",'Volúmenes DIstribuidos '!C1546="azúcar"),"Azúcar o dulce",IF('Volúmenes DIstribuidos '!C1546="Aceite","Aceite o grasas",IF('Volúmenes DIstribuidos '!C1546="Avena","Otros almidones",'Volúmenes DIstribuidos '!C1546)))</f>
        <v>Otros almidones</v>
      </c>
      <c r="C2421" s="10" t="s">
        <v>29</v>
      </c>
      <c r="D2421" s="12">
        <f>'Volúmenes DIstribuidos '!D1546</f>
        <v>10.55</v>
      </c>
      <c r="E2421" s="12">
        <f>SUMIF('Parametros Inventario'!$A:$A,B2421,'Parametros Inventario'!$B:$B)+SUMIFS(D$2:D2421,B$2:B2421,B2421,C$2:C2421,"ENTRADA")-SUMIFS(D$2:D2421,B$2:B2421,B2421,C$2:C2421,"SALIDA")</f>
        <v>10785.019</v>
      </c>
    </row>
    <row r="2422" spans="1:5" x14ac:dyDescent="0.3">
      <c r="A2422" s="9">
        <f>'Volúmenes DIstribuidos '!B1545</f>
        <v>44946</v>
      </c>
      <c r="B2422" s="10" t="str">
        <f>IF(OR('Volúmenes DIstribuidos '!C1547="Azúcar",'Volúmenes DIstribuidos '!C1547="azúcar"),"Azúcar o dulce",IF('Volúmenes DIstribuidos '!C1547="Aceite","Aceite o grasas",IF('Volúmenes DIstribuidos '!C1547="Avena","Otros almidones",'Volúmenes DIstribuidos '!C1547)))</f>
        <v>Lácteos</v>
      </c>
      <c r="C2422" s="10" t="s">
        <v>29</v>
      </c>
      <c r="D2422" s="12">
        <f>'Volúmenes DIstribuidos '!D1547</f>
        <v>9.8000000000000007</v>
      </c>
      <c r="E2422" s="12">
        <f>SUMIF('Parametros Inventario'!$A:$A,B2422,'Parametros Inventario'!$B:$B)+SUMIFS(D$2:D2422,B$2:B2422,B2422,C$2:C2422,"ENTRADA")-SUMIFS(D$2:D2422,B$2:B2422,B2422,C$2:C2422,"SALIDA")</f>
        <v>9007.4940000000024</v>
      </c>
    </row>
    <row r="2423" spans="1:5" x14ac:dyDescent="0.3">
      <c r="A2423" s="9">
        <f>'Volúmenes DIstribuidos '!B1545</f>
        <v>44946</v>
      </c>
      <c r="B2423" s="10" t="str">
        <f>IF(OR('Volúmenes DIstribuidos '!C1548="Azúcar",'Volúmenes DIstribuidos '!C1548="azúcar"),"Azúcar o dulce",IF('Volúmenes DIstribuidos '!C1548="Aceite","Aceite o grasas",IF('Volúmenes DIstribuidos '!C1548="Avena","Otros almidones",'Volúmenes DIstribuidos '!C1548)))</f>
        <v>Menestras</v>
      </c>
      <c r="C2423" s="10" t="s">
        <v>29</v>
      </c>
      <c r="D2423" s="12">
        <f>'Volúmenes DIstribuidos '!D1548</f>
        <v>9.77</v>
      </c>
      <c r="E2423" s="12">
        <f>SUMIF('Parametros Inventario'!$A:$A,B2423,'Parametros Inventario'!$B:$B)+SUMIFS(D$2:D2423,B$2:B2423,B2423,C$2:C2423,"ENTRADA")-SUMIFS(D$2:D2423,B$2:B2423,B2423,C$2:C2423,"SALIDA")</f>
        <v>11243.913</v>
      </c>
    </row>
    <row r="2424" spans="1:5" x14ac:dyDescent="0.3">
      <c r="A2424" s="9">
        <f>'Volúmenes DIstribuidos '!B1545</f>
        <v>44946</v>
      </c>
      <c r="B2424" s="10" t="str">
        <f>IF(OR('Volúmenes DIstribuidos '!C1549="Azúcar",'Volúmenes DIstribuidos '!C1549="azúcar"),"Azúcar o dulce",IF('Volúmenes DIstribuidos '!C1549="Aceite","Aceite o grasas",IF('Volúmenes DIstribuidos '!C1549="Avena","Otros almidones",'Volúmenes DIstribuidos '!C1549)))</f>
        <v>Vegetales y hojas</v>
      </c>
      <c r="C2424" s="10" t="s">
        <v>29</v>
      </c>
      <c r="D2424" s="12">
        <f>'Volúmenes DIstribuidos '!D1549</f>
        <v>14.9</v>
      </c>
      <c r="E2424" s="12">
        <f>SUMIF('Parametros Inventario'!$A:$A,B2424,'Parametros Inventario'!$B:$B)+SUMIFS(D$2:D2424,B$2:B2424,B2424,C$2:C2424,"ENTRADA")-SUMIFS(D$2:D2424,B$2:B2424,B2424,C$2:C2424,"SALIDA")</f>
        <v>11770.444999999996</v>
      </c>
    </row>
    <row r="2425" spans="1:5" x14ac:dyDescent="0.3">
      <c r="A2425" s="9">
        <f>'Volúmenes DIstribuidos '!B1545</f>
        <v>44946</v>
      </c>
      <c r="B2425" s="10" t="str">
        <f>IF(OR('Volúmenes DIstribuidos '!C1550="Azúcar",'Volúmenes DIstribuidos '!C1550="azúcar"),"Azúcar o dulce",IF('Volúmenes DIstribuidos '!C1550="Aceite","Aceite o grasas",IF('Volúmenes DIstribuidos '!C1550="Avena","Otros almidones",'Volúmenes DIstribuidos '!C1550)))</f>
        <v>Carnes blancas</v>
      </c>
      <c r="C2425" s="10" t="s">
        <v>29</v>
      </c>
      <c r="D2425" s="12">
        <f>'Volúmenes DIstribuidos '!D1550</f>
        <v>33.576000000000001</v>
      </c>
      <c r="E2425" s="12">
        <f>SUMIF('Parametros Inventario'!$A:$A,B2425,'Parametros Inventario'!$B:$B)+SUMIFS(D$2:D2425,B$2:B2425,B2425,C$2:C2425,"ENTRADA")-SUMIFS(D$2:D2425,B$2:B2425,B2425,C$2:C2425,"SALIDA")</f>
        <v>11332.971000000003</v>
      </c>
    </row>
    <row r="2426" spans="1:5" x14ac:dyDescent="0.3">
      <c r="A2426" s="9">
        <f>'Volúmenes DIstribuidos '!B1551</f>
        <v>44950</v>
      </c>
      <c r="B2426" s="10" t="str">
        <f>IF(OR('Volúmenes DIstribuidos '!C1551="Azúcar",'Volúmenes DIstribuidos '!C1551="azúcar"),"Azúcar o dulce",IF('Volúmenes DIstribuidos '!C1551="Aceite","Aceite o grasas",IF('Volúmenes DIstribuidos '!C1551="Avena","Otros almidones",'Volúmenes DIstribuidos '!C1551)))</f>
        <v>Otros almidones</v>
      </c>
      <c r="C2426" s="10" t="s">
        <v>29</v>
      </c>
      <c r="D2426" s="12">
        <f>'Volúmenes DIstribuidos '!D1551</f>
        <v>25.68</v>
      </c>
      <c r="E2426" s="12">
        <f>SUMIF('Parametros Inventario'!$A:$A,B2426,'Parametros Inventario'!$B:$B)+SUMIFS(D$2:D2426,B$2:B2426,B2426,C$2:C2426,"ENTRADA")-SUMIFS(D$2:D2426,B$2:B2426,B2426,C$2:C2426,"SALIDA")</f>
        <v>10759.339</v>
      </c>
    </row>
    <row r="2427" spans="1:5" x14ac:dyDescent="0.3">
      <c r="A2427" s="9">
        <f>'Volúmenes DIstribuidos '!B1551</f>
        <v>44950</v>
      </c>
      <c r="B2427" s="10" t="str">
        <f>IF(OR('Volúmenes DIstribuidos '!C1552="Azúcar",'Volúmenes DIstribuidos '!C1552="azúcar"),"Azúcar o dulce",IF('Volúmenes DIstribuidos '!C1552="Aceite","Aceite o grasas",IF('Volúmenes DIstribuidos '!C1552="Avena","Otros almidones",'Volúmenes DIstribuidos '!C1552)))</f>
        <v>Vegetales y hojas</v>
      </c>
      <c r="C2427" s="10" t="s">
        <v>29</v>
      </c>
      <c r="D2427" s="12">
        <f>'Volúmenes DIstribuidos '!D1552</f>
        <v>9.17</v>
      </c>
      <c r="E2427" s="12">
        <f>SUMIF('Parametros Inventario'!$A:$A,B2427,'Parametros Inventario'!$B:$B)+SUMIFS(D$2:D2427,B$2:B2427,B2427,C$2:C2427,"ENTRADA")-SUMIFS(D$2:D2427,B$2:B2427,B2427,C$2:C2427,"SALIDA")</f>
        <v>11761.274999999996</v>
      </c>
    </row>
    <row r="2428" spans="1:5" x14ac:dyDescent="0.3">
      <c r="A2428" s="9">
        <f>'Volúmenes DIstribuidos '!B1551</f>
        <v>44950</v>
      </c>
      <c r="B2428" s="10" t="str">
        <f>IF(OR('Volúmenes DIstribuidos '!C1553="Azúcar",'Volúmenes DIstribuidos '!C1553="azúcar"),"Azúcar o dulce",IF('Volúmenes DIstribuidos '!C1553="Aceite","Aceite o grasas",IF('Volúmenes DIstribuidos '!C1553="Avena","Otros almidones",'Volúmenes DIstribuidos '!C1553)))</f>
        <v>Carnes blancas</v>
      </c>
      <c r="C2428" s="10" t="s">
        <v>29</v>
      </c>
      <c r="D2428" s="12">
        <f>'Volúmenes DIstribuidos '!D1553</f>
        <v>29.6</v>
      </c>
      <c r="E2428" s="12">
        <f>SUMIF('Parametros Inventario'!$A:$A,B2428,'Parametros Inventario'!$B:$B)+SUMIFS(D$2:D2428,B$2:B2428,B2428,C$2:C2428,"ENTRADA")-SUMIFS(D$2:D2428,B$2:B2428,B2428,C$2:C2428,"SALIDA")</f>
        <v>11303.371000000003</v>
      </c>
    </row>
    <row r="2429" spans="1:5" x14ac:dyDescent="0.3">
      <c r="A2429" s="9">
        <f>'Volúmenes DIstribuidos '!B1551</f>
        <v>44950</v>
      </c>
      <c r="B2429" s="10" t="str">
        <f>IF(OR('Volúmenes DIstribuidos '!C1554="Azúcar",'Volúmenes DIstribuidos '!C1554="azúcar"),"Azúcar o dulce",IF('Volúmenes DIstribuidos '!C1554="Aceite","Aceite o grasas",IF('Volúmenes DIstribuidos '!C1554="Avena","Otros almidones",'Volúmenes DIstribuidos '!C1554)))</f>
        <v>Carnes rojas</v>
      </c>
      <c r="C2429" s="10" t="s">
        <v>29</v>
      </c>
      <c r="D2429" s="12">
        <f>'Volúmenes DIstribuidos '!D1554</f>
        <v>15.2</v>
      </c>
      <c r="E2429" s="12">
        <f>SUMIF('Parametros Inventario'!$A:$A,B2429,'Parametros Inventario'!$B:$B)+SUMIFS(D$2:D2429,B$2:B2429,B2429,C$2:C2429,"ENTRADA")-SUMIFS(D$2:D2429,B$2:B2429,B2429,C$2:C2429,"SALIDA")</f>
        <v>10737.960000000003</v>
      </c>
    </row>
    <row r="2430" spans="1:5" x14ac:dyDescent="0.3">
      <c r="A2430" s="9">
        <f>'Volúmenes DIstribuidos '!B1551</f>
        <v>44950</v>
      </c>
      <c r="B2430" s="10" t="str">
        <f>IF(OR('Volúmenes DIstribuidos '!C1555="Azúcar",'Volúmenes DIstribuidos '!C1555="azúcar"),"Azúcar o dulce",IF('Volúmenes DIstribuidos '!C1555="Aceite","Aceite o grasas",IF('Volúmenes DIstribuidos '!C1555="Avena","Otros almidones",'Volúmenes DIstribuidos '!C1555)))</f>
        <v>Salsas</v>
      </c>
      <c r="C2430" s="10" t="s">
        <v>29</v>
      </c>
      <c r="D2430" s="12">
        <f>'Volúmenes DIstribuidos '!D1555</f>
        <v>36.799999999999997</v>
      </c>
      <c r="E2430" s="12">
        <f>SUMIF('Parametros Inventario'!$A:$A,B2430,'Parametros Inventario'!$B:$B)+SUMIFS(D$2:D2430,B$2:B2430,B2430,C$2:C2430,"ENTRADA")-SUMIFS(D$2:D2430,B$2:B2430,B2430,C$2:C2430,"SALIDA")</f>
        <v>10266.519999999997</v>
      </c>
    </row>
    <row r="2431" spans="1:5" x14ac:dyDescent="0.3">
      <c r="A2431" s="9">
        <f>'Volúmenes DIstribuidos '!B1551</f>
        <v>44950</v>
      </c>
      <c r="B2431" s="10" t="str">
        <f>IF(OR('Volúmenes DIstribuidos '!C1556="Azúcar",'Volúmenes DIstribuidos '!C1556="azúcar"),"Azúcar o dulce",IF('Volúmenes DIstribuidos '!C1556="Aceite","Aceite o grasas",IF('Volúmenes DIstribuidos '!C1556="Avena","Otros almidones",'Volúmenes DIstribuidos '!C1556)))</f>
        <v>Menestras</v>
      </c>
      <c r="C2431" s="10" t="s">
        <v>29</v>
      </c>
      <c r="D2431" s="12">
        <f>'Volúmenes DIstribuidos '!D1556</f>
        <v>25.262</v>
      </c>
      <c r="E2431" s="12">
        <f>SUMIF('Parametros Inventario'!$A:$A,B2431,'Parametros Inventario'!$B:$B)+SUMIFS(D$2:D2431,B$2:B2431,B2431,C$2:C2431,"ENTRADA")-SUMIFS(D$2:D2431,B$2:B2431,B2431,C$2:C2431,"SALIDA")</f>
        <v>11218.651</v>
      </c>
    </row>
    <row r="2432" spans="1:5" x14ac:dyDescent="0.3">
      <c r="A2432" s="9">
        <v>44953</v>
      </c>
      <c r="B2432" s="10" t="s">
        <v>17</v>
      </c>
      <c r="C2432" s="10" t="s">
        <v>28</v>
      </c>
      <c r="D2432" s="12">
        <v>158.36000000000001</v>
      </c>
      <c r="E2432" s="12">
        <f>SUMIF('Parametros Inventario'!$A:$A,B2432,'Parametros Inventario'!$B:$B)+SUMIFS(D$2:D2432,B$2:B2432,B2432,C$2:C2432,"ENTRADA")-SUMIFS(D$2:D2432,B$2:B2432,B2432,C$2:C2432,"SALIDA")</f>
        <v>9165.854000000003</v>
      </c>
    </row>
    <row r="2433" spans="1:5" x14ac:dyDescent="0.3">
      <c r="A2433" s="9">
        <v>44953</v>
      </c>
      <c r="B2433" s="10" t="s">
        <v>18</v>
      </c>
      <c r="C2433" s="10" t="s">
        <v>28</v>
      </c>
      <c r="D2433" s="12">
        <v>88.97</v>
      </c>
      <c r="E2433" s="12">
        <f>SUMIF('Parametros Inventario'!$A:$A,B2433,'Parametros Inventario'!$B:$B)+SUMIFS(D$2:D2433,B$2:B2433,B2433,C$2:C2433,"ENTRADA")-SUMIFS(D$2:D2433,B$2:B2433,B2433,C$2:C2433,"SALIDA")</f>
        <v>10355.489999999994</v>
      </c>
    </row>
    <row r="2434" spans="1:5" x14ac:dyDescent="0.3">
      <c r="A2434" s="9">
        <v>44953</v>
      </c>
      <c r="B2434" s="10" t="s">
        <v>10</v>
      </c>
      <c r="C2434" s="10" t="s">
        <v>28</v>
      </c>
      <c r="D2434" s="12">
        <v>288.44</v>
      </c>
      <c r="E2434" s="12">
        <f>SUMIF('Parametros Inventario'!$A:$A,B2434,'Parametros Inventario'!$B:$B)+SUMIFS(D$2:D2434,B$2:B2434,B2434,C$2:C2434,"ENTRADA")-SUMIFS(D$2:D2434,B$2:B2434,B2434,C$2:C2434,"SALIDA")</f>
        <v>12049.714999999997</v>
      </c>
    </row>
    <row r="2435" spans="1:5" x14ac:dyDescent="0.3">
      <c r="A2435" s="9">
        <v>44953</v>
      </c>
      <c r="B2435" s="10" t="s">
        <v>8</v>
      </c>
      <c r="C2435" s="10" t="s">
        <v>28</v>
      </c>
      <c r="D2435" s="12">
        <v>170.5</v>
      </c>
      <c r="E2435" s="12">
        <f>SUMIF('Parametros Inventario'!$A:$A,B2435,'Parametros Inventario'!$B:$B)+SUMIFS(D$2:D2435,B$2:B2435,B2435,C$2:C2435,"ENTRADA")-SUMIFS(D$2:D2435,B$2:B2435,B2435,C$2:C2435,"SALIDA")</f>
        <v>9976.8070000000025</v>
      </c>
    </row>
    <row r="2436" spans="1:5" x14ac:dyDescent="0.3">
      <c r="A2436" s="9">
        <v>44953</v>
      </c>
      <c r="B2436" s="10" t="s">
        <v>13</v>
      </c>
      <c r="C2436" s="10" t="s">
        <v>28</v>
      </c>
      <c r="D2436" s="12">
        <v>240.48</v>
      </c>
      <c r="E2436" s="12">
        <f>SUMIF('Parametros Inventario'!$A:$A,B2436,'Parametros Inventario'!$B:$B)+SUMIFS(D$2:D2436,B$2:B2436,B2436,C$2:C2436,"ENTRADA")-SUMIFS(D$2:D2436,B$2:B2436,B2436,C$2:C2436,"SALIDA")</f>
        <v>10851.628000000001</v>
      </c>
    </row>
    <row r="2437" spans="1:5" x14ac:dyDescent="0.3">
      <c r="A2437" s="9">
        <v>44953</v>
      </c>
      <c r="B2437" s="10" t="s">
        <v>15</v>
      </c>
      <c r="C2437" s="10" t="s">
        <v>28</v>
      </c>
      <c r="D2437" s="12">
        <v>156.85</v>
      </c>
      <c r="E2437" s="12">
        <f>SUMIF('Parametros Inventario'!$A:$A,B2437,'Parametros Inventario'!$B:$B)+SUMIFS(D$2:D2437,B$2:B2437,B2437,C$2:C2437,"ENTRADA")-SUMIFS(D$2:D2437,B$2:B2437,B2437,C$2:C2437,"SALIDA")</f>
        <v>10916.188999999998</v>
      </c>
    </row>
    <row r="2438" spans="1:5" x14ac:dyDescent="0.3">
      <c r="A2438" s="9">
        <v>44953</v>
      </c>
      <c r="B2438" s="10" t="s">
        <v>11</v>
      </c>
      <c r="C2438" s="10" t="s">
        <v>28</v>
      </c>
      <c r="D2438" s="12">
        <v>70.81</v>
      </c>
      <c r="E2438" s="12">
        <f>SUMIF('Parametros Inventario'!$A:$A,B2438,'Parametros Inventario'!$B:$B)+SUMIFS(D$2:D2438,B$2:B2438,B2438,C$2:C2438,"ENTRADA")-SUMIFS(D$2:D2438,B$2:B2438,B2438,C$2:C2438,"SALIDA")</f>
        <v>11731.527000000002</v>
      </c>
    </row>
    <row r="2439" spans="1:5" x14ac:dyDescent="0.3">
      <c r="A2439" s="9">
        <f>'Volúmenes DIstribuidos '!B1557</f>
        <v>44953</v>
      </c>
      <c r="B2439" s="10" t="str">
        <f>IF(OR('Volúmenes DIstribuidos '!C1557="Azúcar",'Volúmenes DIstribuidos '!C1557="azúcar"),"Azúcar o dulce",IF('Volúmenes DIstribuidos '!C1557="Aceite","Aceite o grasas",IF('Volúmenes DIstribuidos '!C1557="Avena","Otros almidones",'Volúmenes DIstribuidos '!C1557)))</f>
        <v>Otros almidones</v>
      </c>
      <c r="C2439" s="10" t="s">
        <v>29</v>
      </c>
      <c r="D2439" s="12">
        <f>'Volúmenes DIstribuidos '!D1557</f>
        <v>13</v>
      </c>
      <c r="E2439" s="12">
        <f>SUMIF('Parametros Inventario'!$A:$A,B2439,'Parametros Inventario'!$B:$B)+SUMIFS(D$2:D2439,B$2:B2439,B2439,C$2:C2439,"ENTRADA")-SUMIFS(D$2:D2439,B$2:B2439,B2439,C$2:C2439,"SALIDA")</f>
        <v>10903.188999999998</v>
      </c>
    </row>
    <row r="2440" spans="1:5" x14ac:dyDescent="0.3">
      <c r="A2440" s="9">
        <f>'Volúmenes DIstribuidos '!B1557</f>
        <v>44953</v>
      </c>
      <c r="B2440" s="10" t="str">
        <f>IF(OR('Volúmenes DIstribuidos '!C1558="Azúcar",'Volúmenes DIstribuidos '!C1558="azúcar"),"Azúcar o dulce",IF('Volúmenes DIstribuidos '!C1558="Aceite","Aceite o grasas",IF('Volúmenes DIstribuidos '!C1558="Avena","Otros almidones",'Volúmenes DIstribuidos '!C1558)))</f>
        <v>Aceite o grasas</v>
      </c>
      <c r="C2440" s="10" t="s">
        <v>29</v>
      </c>
      <c r="D2440" s="12">
        <f>'Volúmenes DIstribuidos '!D1558</f>
        <v>22.46</v>
      </c>
      <c r="E2440" s="12">
        <f>SUMIF('Parametros Inventario'!$A:$A,B2440,'Parametros Inventario'!$B:$B)+SUMIFS(D$2:D2440,B$2:B2440,B2440,C$2:C2440,"ENTRADA")-SUMIFS(D$2:D2440,B$2:B2440,B2440,C$2:C2440,"SALIDA")</f>
        <v>9954.3470000000016</v>
      </c>
    </row>
    <row r="2441" spans="1:5" x14ac:dyDescent="0.3">
      <c r="A2441" s="9">
        <f>'Volúmenes DIstribuidos '!B1557</f>
        <v>44953</v>
      </c>
      <c r="B2441" s="10" t="str">
        <f>IF(OR('Volúmenes DIstribuidos '!C1559="Azúcar",'Volúmenes DIstribuidos '!C1559="azúcar"),"Azúcar o dulce",IF('Volúmenes DIstribuidos '!C1559="Aceite","Aceite o grasas",IF('Volúmenes DIstribuidos '!C1559="Avena","Otros almidones",'Volúmenes DIstribuidos '!C1559)))</f>
        <v>Fideo</v>
      </c>
      <c r="C2441" s="10" t="s">
        <v>29</v>
      </c>
      <c r="D2441" s="12">
        <f>'Volúmenes DIstribuidos '!D1559</f>
        <v>8.58</v>
      </c>
      <c r="E2441" s="12">
        <f>SUMIF('Parametros Inventario'!$A:$A,B2441,'Parametros Inventario'!$B:$B)+SUMIFS(D$2:D2441,B$2:B2441,B2441,C$2:C2441,"ENTRADA")-SUMIFS(D$2:D2441,B$2:B2441,B2441,C$2:C2441,"SALIDA")</f>
        <v>11722.947</v>
      </c>
    </row>
    <row r="2442" spans="1:5" x14ac:dyDescent="0.3">
      <c r="A2442" s="9">
        <f>'Volúmenes DIstribuidos '!B1557</f>
        <v>44953</v>
      </c>
      <c r="B2442" s="10" t="str">
        <f>IF(OR('Volúmenes DIstribuidos '!C1560="Azúcar",'Volúmenes DIstribuidos '!C1560="azúcar"),"Azúcar o dulce",IF('Volúmenes DIstribuidos '!C1560="Aceite","Aceite o grasas",IF('Volúmenes DIstribuidos '!C1560="Avena","Otros almidones",'Volúmenes DIstribuidos '!C1560)))</f>
        <v>Vegetales y hojas</v>
      </c>
      <c r="C2442" s="10" t="s">
        <v>29</v>
      </c>
      <c r="D2442" s="12">
        <f>'Volúmenes DIstribuidos '!D1560</f>
        <v>32.764000000000003</v>
      </c>
      <c r="E2442" s="12">
        <f>SUMIF('Parametros Inventario'!$A:$A,B2442,'Parametros Inventario'!$B:$B)+SUMIFS(D$2:D2442,B$2:B2442,B2442,C$2:C2442,"ENTRADA")-SUMIFS(D$2:D2442,B$2:B2442,B2442,C$2:C2442,"SALIDA")</f>
        <v>12016.950999999995</v>
      </c>
    </row>
    <row r="2443" spans="1:5" x14ac:dyDescent="0.3">
      <c r="A2443" s="9">
        <f>'Volúmenes DIstribuidos '!B1557</f>
        <v>44953</v>
      </c>
      <c r="B2443" s="10" t="str">
        <f>IF(OR('Volúmenes DIstribuidos '!C1561="Azúcar",'Volúmenes DIstribuidos '!C1561="azúcar"),"Azúcar o dulce",IF('Volúmenes DIstribuidos '!C1561="Aceite","Aceite o grasas",IF('Volúmenes DIstribuidos '!C1561="Avena","Otros almidones",'Volúmenes DIstribuidos '!C1561)))</f>
        <v>Salsas</v>
      </c>
      <c r="C2443" s="10" t="s">
        <v>29</v>
      </c>
      <c r="D2443" s="12">
        <f>'Volúmenes DIstribuidos '!D1561</f>
        <v>43.54</v>
      </c>
      <c r="E2443" s="12">
        <f>SUMIF('Parametros Inventario'!$A:$A,B2443,'Parametros Inventario'!$B:$B)+SUMIFS(D$2:D2443,B$2:B2443,B2443,C$2:C2443,"ENTRADA")-SUMIFS(D$2:D2443,B$2:B2443,B2443,C$2:C2443,"SALIDA")</f>
        <v>10311.949999999995</v>
      </c>
    </row>
    <row r="2444" spans="1:5" x14ac:dyDescent="0.3">
      <c r="A2444" s="9">
        <f>'Volúmenes DIstribuidos '!B1557</f>
        <v>44953</v>
      </c>
      <c r="B2444" s="10" t="str">
        <f>IF(OR('Volúmenes DIstribuidos '!C1562="Azúcar",'Volúmenes DIstribuidos '!C1562="azúcar"),"Azúcar o dulce",IF('Volúmenes DIstribuidos '!C1562="Aceite","Aceite o grasas",IF('Volúmenes DIstribuidos '!C1562="Avena","Otros almidones",'Volúmenes DIstribuidos '!C1562)))</f>
        <v>Menestras</v>
      </c>
      <c r="C2444" s="10" t="s">
        <v>29</v>
      </c>
      <c r="D2444" s="12">
        <f>'Volúmenes DIstribuidos '!D1562</f>
        <v>22.77</v>
      </c>
      <c r="E2444" s="12">
        <f>SUMIF('Parametros Inventario'!$A:$A,B2444,'Parametros Inventario'!$B:$B)+SUMIFS(D$2:D2444,B$2:B2444,B2444,C$2:C2444,"ENTRADA")-SUMIFS(D$2:D2444,B$2:B2444,B2444,C$2:C2444,"SALIDA")</f>
        <v>11195.881000000001</v>
      </c>
    </row>
    <row r="2445" spans="1:5" x14ac:dyDescent="0.3">
      <c r="A2445" s="9">
        <f>'Volúmenes DIstribuidos '!B1563</f>
        <v>44957</v>
      </c>
      <c r="B2445" s="10" t="str">
        <f>IF(OR('Volúmenes DIstribuidos '!C1563="Azúcar",'Volúmenes DIstribuidos '!C1563="azúcar"),"Azúcar o dulce",IF('Volúmenes DIstribuidos '!C1563="Aceite","Aceite o grasas",IF('Volúmenes DIstribuidos '!C1563="Avena","Otros almidones",'Volúmenes DIstribuidos '!C1563)))</f>
        <v>Carnes blancas</v>
      </c>
      <c r="C2445" s="10" t="s">
        <v>29</v>
      </c>
      <c r="D2445" s="12">
        <f>'Volúmenes DIstribuidos '!D1563</f>
        <v>30.36</v>
      </c>
      <c r="E2445" s="12">
        <f>SUMIF('Parametros Inventario'!$A:$A,B2445,'Parametros Inventario'!$B:$B)+SUMIFS(D$2:D2445,B$2:B2445,B2445,C$2:C2445,"ENTRADA")-SUMIFS(D$2:D2445,B$2:B2445,B2445,C$2:C2445,"SALIDA")</f>
        <v>11273.011000000002</v>
      </c>
    </row>
    <row r="2446" spans="1:5" x14ac:dyDescent="0.3">
      <c r="A2446" s="9">
        <f>'Volúmenes DIstribuidos '!B1563</f>
        <v>44957</v>
      </c>
      <c r="B2446" s="10" t="str">
        <f>IF(OR('Volúmenes DIstribuidos '!C1564="Azúcar",'Volúmenes DIstribuidos '!C1564="azúcar"),"Azúcar o dulce",IF('Volúmenes DIstribuidos '!C1564="Aceite","Aceite o grasas",IF('Volúmenes DIstribuidos '!C1564="Avena","Otros almidones",'Volúmenes DIstribuidos '!C1564)))</f>
        <v>Lácteos</v>
      </c>
      <c r="C2446" s="10" t="s">
        <v>29</v>
      </c>
      <c r="D2446" s="12">
        <f>'Volúmenes DIstribuidos '!D1564</f>
        <v>31.26</v>
      </c>
      <c r="E2446" s="12">
        <f>SUMIF('Parametros Inventario'!$A:$A,B2446,'Parametros Inventario'!$B:$B)+SUMIFS(D$2:D2446,B$2:B2446,B2446,C$2:C2446,"ENTRADA")-SUMIFS(D$2:D2446,B$2:B2446,B2446,C$2:C2446,"SALIDA")</f>
        <v>9134.5940000000028</v>
      </c>
    </row>
    <row r="2447" spans="1:5" x14ac:dyDescent="0.3">
      <c r="A2447" s="9">
        <f>'Volúmenes DIstribuidos '!B1563</f>
        <v>44957</v>
      </c>
      <c r="B2447" s="10" t="str">
        <f>IF(OR('Volúmenes DIstribuidos '!C1565="Azúcar",'Volúmenes DIstribuidos '!C1565="azúcar"),"Azúcar o dulce",IF('Volúmenes DIstribuidos '!C1565="Aceite","Aceite o grasas",IF('Volúmenes DIstribuidos '!C1565="Avena","Otros almidones",'Volúmenes DIstribuidos '!C1565)))</f>
        <v>Aceite o grasas</v>
      </c>
      <c r="C2447" s="10" t="s">
        <v>29</v>
      </c>
      <c r="D2447" s="12">
        <f>'Volúmenes DIstribuidos '!D1565</f>
        <v>33.51</v>
      </c>
      <c r="E2447" s="12">
        <f>SUMIF('Parametros Inventario'!$A:$A,B2447,'Parametros Inventario'!$B:$B)+SUMIFS(D$2:D2447,B$2:B2447,B2447,C$2:C2447,"ENTRADA")-SUMIFS(D$2:D2447,B$2:B2447,B2447,C$2:C2447,"SALIDA")</f>
        <v>9920.8370000000032</v>
      </c>
    </row>
    <row r="2448" spans="1:5" x14ac:dyDescent="0.3">
      <c r="A2448" s="9">
        <f>'Volúmenes DIstribuidos '!B1563</f>
        <v>44957</v>
      </c>
      <c r="B2448" s="10" t="str">
        <f>IF(OR('Volúmenes DIstribuidos '!C1566="Azúcar",'Volúmenes DIstribuidos '!C1566="azúcar"),"Azúcar o dulce",IF('Volúmenes DIstribuidos '!C1566="Aceite","Aceite o grasas",IF('Volúmenes DIstribuidos '!C1566="Avena","Otros almidones",'Volúmenes DIstribuidos '!C1566)))</f>
        <v>Vegetales y hojas</v>
      </c>
      <c r="C2448" s="10" t="s">
        <v>29</v>
      </c>
      <c r="D2448" s="12">
        <f>'Volúmenes DIstribuidos '!D1566</f>
        <v>6.3330000000000002</v>
      </c>
      <c r="E2448" s="12">
        <f>SUMIF('Parametros Inventario'!$A:$A,B2448,'Parametros Inventario'!$B:$B)+SUMIFS(D$2:D2448,B$2:B2448,B2448,C$2:C2448,"ENTRADA")-SUMIFS(D$2:D2448,B$2:B2448,B2448,C$2:C2448,"SALIDA")</f>
        <v>12010.617999999995</v>
      </c>
    </row>
    <row r="2449" spans="1:5" x14ac:dyDescent="0.3">
      <c r="A2449" s="9">
        <f>'Volúmenes DIstribuidos '!B1563</f>
        <v>44957</v>
      </c>
      <c r="B2449" s="10" t="str">
        <f>IF(OR('Volúmenes DIstribuidos '!C1567="Azúcar",'Volúmenes DIstribuidos '!C1567="azúcar"),"Azúcar o dulce",IF('Volúmenes DIstribuidos '!C1567="Aceite","Aceite o grasas",IF('Volúmenes DIstribuidos '!C1567="Avena","Otros almidones",'Volúmenes DIstribuidos '!C1567)))</f>
        <v>Carnes blancas</v>
      </c>
      <c r="C2449" s="10" t="s">
        <v>29</v>
      </c>
      <c r="D2449" s="12">
        <f>'Volúmenes DIstribuidos '!D1567</f>
        <v>32.119999999999997</v>
      </c>
      <c r="E2449" s="12">
        <f>SUMIF('Parametros Inventario'!$A:$A,B2449,'Parametros Inventario'!$B:$B)+SUMIFS(D$2:D2449,B$2:B2449,B2449,C$2:C2449,"ENTRADA")-SUMIFS(D$2:D2449,B$2:B2449,B2449,C$2:C2449,"SALIDA")</f>
        <v>11240.891000000003</v>
      </c>
    </row>
    <row r="2450" spans="1:5" x14ac:dyDescent="0.3">
      <c r="A2450" s="9">
        <f>'Volúmenes DIstribuidos '!B1563</f>
        <v>44957</v>
      </c>
      <c r="B2450" s="10" t="str">
        <f>IF(OR('Volúmenes DIstribuidos '!C1568="Azúcar",'Volúmenes DIstribuidos '!C1568="azúcar"),"Azúcar o dulce",IF('Volúmenes DIstribuidos '!C1568="Aceite","Aceite o grasas",IF('Volúmenes DIstribuidos '!C1568="Avena","Otros almidones",'Volúmenes DIstribuidos '!C1568)))</f>
        <v>Panadería</v>
      </c>
      <c r="C2450" s="10" t="s">
        <v>29</v>
      </c>
      <c r="D2450" s="12">
        <f>'Volúmenes DIstribuidos '!D1568</f>
        <v>14.71</v>
      </c>
      <c r="E2450" s="12">
        <f>SUMIF('Parametros Inventario'!$A:$A,B2450,'Parametros Inventario'!$B:$B)+SUMIFS(D$2:D2450,B$2:B2450,B2450,C$2:C2450,"ENTRADA")-SUMIFS(D$2:D2450,B$2:B2450,B2450,C$2:C2450,"SALIDA")</f>
        <v>8384.135000000002</v>
      </c>
    </row>
    <row r="2451" spans="1:5" x14ac:dyDescent="0.3">
      <c r="A2451" s="9">
        <v>44960</v>
      </c>
      <c r="B2451" s="10" t="s">
        <v>9</v>
      </c>
      <c r="C2451" s="10" t="s">
        <v>28</v>
      </c>
      <c r="D2451" s="12">
        <v>276.61</v>
      </c>
      <c r="E2451" s="12">
        <f>SUMIF('Parametros Inventario'!$A:$A,B2451,'Parametros Inventario'!$B:$B)+SUMIFS(D$2:D2451,B$2:B2451,B2451,C$2:C2451,"ENTRADA")-SUMIFS(D$2:D2451,B$2:B2451,B2451,C$2:C2451,"SALIDA")</f>
        <v>8660.7450000000026</v>
      </c>
    </row>
    <row r="2452" spans="1:5" x14ac:dyDescent="0.3">
      <c r="A2452" s="9">
        <v>44960</v>
      </c>
      <c r="B2452" s="10" t="s">
        <v>14</v>
      </c>
      <c r="C2452" s="10" t="s">
        <v>28</v>
      </c>
      <c r="D2452" s="12">
        <v>125.06</v>
      </c>
      <c r="E2452" s="12">
        <f>SUMIF('Parametros Inventario'!$A:$A,B2452,'Parametros Inventario'!$B:$B)+SUMIFS(D$2:D2452,B$2:B2452,B2452,C$2:C2452,"ENTRADA")-SUMIFS(D$2:D2452,B$2:B2452,B2452,C$2:C2452,"SALIDA")</f>
        <v>11320.940999999999</v>
      </c>
    </row>
    <row r="2453" spans="1:5" x14ac:dyDescent="0.3">
      <c r="A2453" s="9">
        <v>44960</v>
      </c>
      <c r="B2453" s="10" t="s">
        <v>12</v>
      </c>
      <c r="C2453" s="10" t="s">
        <v>28</v>
      </c>
      <c r="D2453" s="12">
        <v>184.3</v>
      </c>
      <c r="E2453" s="12">
        <f>SUMIF('Parametros Inventario'!$A:$A,B2453,'Parametros Inventario'!$B:$B)+SUMIFS(D$2:D2453,B$2:B2453,B2453,C$2:C2453,"ENTRADA")-SUMIFS(D$2:D2453,B$2:B2453,B2453,C$2:C2453,"SALIDA")</f>
        <v>10922.260000000002</v>
      </c>
    </row>
    <row r="2454" spans="1:5" x14ac:dyDescent="0.3">
      <c r="A2454" s="9">
        <v>44960</v>
      </c>
      <c r="B2454" s="10" t="s">
        <v>16</v>
      </c>
      <c r="C2454" s="10" t="s">
        <v>28</v>
      </c>
      <c r="D2454" s="12">
        <v>188.21</v>
      </c>
      <c r="E2454" s="12">
        <f>SUMIF('Parametros Inventario'!$A:$A,B2454,'Parametros Inventario'!$B:$B)+SUMIFS(D$2:D2454,B$2:B2454,B2454,C$2:C2454,"ENTRADA")-SUMIFS(D$2:D2454,B$2:B2454,B2454,C$2:C2454,"SALIDA")</f>
        <v>11429.101000000002</v>
      </c>
    </row>
    <row r="2455" spans="1:5" x14ac:dyDescent="0.3">
      <c r="A2455" s="9">
        <v>44960</v>
      </c>
      <c r="B2455" s="10" t="s">
        <v>17</v>
      </c>
      <c r="C2455" s="10" t="s">
        <v>28</v>
      </c>
      <c r="D2455" s="12">
        <v>93.92</v>
      </c>
      <c r="E2455" s="12">
        <f>SUMIF('Parametros Inventario'!$A:$A,B2455,'Parametros Inventario'!$B:$B)+SUMIFS(D$2:D2455,B$2:B2455,B2455,C$2:C2455,"ENTRADA")-SUMIFS(D$2:D2455,B$2:B2455,B2455,C$2:C2455,"SALIDA")</f>
        <v>9228.5140000000029</v>
      </c>
    </row>
    <row r="2456" spans="1:5" x14ac:dyDescent="0.3">
      <c r="A2456" s="9">
        <v>44960</v>
      </c>
      <c r="B2456" s="10" t="s">
        <v>18</v>
      </c>
      <c r="C2456" s="10" t="s">
        <v>28</v>
      </c>
      <c r="D2456" s="12">
        <v>145.11000000000001</v>
      </c>
      <c r="E2456" s="12">
        <f>SUMIF('Parametros Inventario'!$A:$A,B2456,'Parametros Inventario'!$B:$B)+SUMIFS(D$2:D2456,B$2:B2456,B2456,C$2:C2456,"ENTRADA")-SUMIFS(D$2:D2456,B$2:B2456,B2456,C$2:C2456,"SALIDA")</f>
        <v>10457.059999999996</v>
      </c>
    </row>
    <row r="2457" spans="1:5" x14ac:dyDescent="0.3">
      <c r="A2457" s="9">
        <v>44960</v>
      </c>
      <c r="B2457" s="10" t="s">
        <v>10</v>
      </c>
      <c r="C2457" s="10" t="s">
        <v>28</v>
      </c>
      <c r="D2457" s="12">
        <v>126.46</v>
      </c>
      <c r="E2457" s="12">
        <f>SUMIF('Parametros Inventario'!$A:$A,B2457,'Parametros Inventario'!$B:$B)+SUMIFS(D$2:D2457,B$2:B2457,B2457,C$2:C2457,"ENTRADA")-SUMIFS(D$2:D2457,B$2:B2457,B2457,C$2:C2457,"SALIDA")</f>
        <v>12137.077999999994</v>
      </c>
    </row>
    <row r="2458" spans="1:5" x14ac:dyDescent="0.3">
      <c r="A2458" s="9">
        <v>44960</v>
      </c>
      <c r="B2458" s="10" t="s">
        <v>8</v>
      </c>
      <c r="C2458" s="10" t="s">
        <v>28</v>
      </c>
      <c r="D2458" s="12">
        <v>120.81</v>
      </c>
      <c r="E2458" s="12">
        <f>SUMIF('Parametros Inventario'!$A:$A,B2458,'Parametros Inventario'!$B:$B)+SUMIFS(D$2:D2458,B$2:B2458,B2458,C$2:C2458,"ENTRADA")-SUMIFS(D$2:D2458,B$2:B2458,B2458,C$2:C2458,"SALIDA")</f>
        <v>10041.647000000001</v>
      </c>
    </row>
    <row r="2459" spans="1:5" x14ac:dyDescent="0.3">
      <c r="A2459" s="9">
        <f>'Volúmenes DIstribuidos '!B1569</f>
        <v>44960</v>
      </c>
      <c r="B2459" s="10" t="str">
        <f>IF(OR('Volúmenes DIstribuidos '!C1569="Azúcar",'Volúmenes DIstribuidos '!C1569="azúcar"),"Azúcar o dulce",IF('Volúmenes DIstribuidos '!C1569="Aceite","Aceite o grasas",IF('Volúmenes DIstribuidos '!C1569="Avena","Otros almidones",'Volúmenes DIstribuidos '!C1569)))</f>
        <v>Azúcar o dulce</v>
      </c>
      <c r="C2459" s="10" t="s">
        <v>29</v>
      </c>
      <c r="D2459" s="12">
        <f>'Volúmenes DIstribuidos '!D1569</f>
        <v>12.08</v>
      </c>
      <c r="E2459" s="12">
        <f>SUMIF('Parametros Inventario'!$A:$A,B2459,'Parametros Inventario'!$B:$B)+SUMIFS(D$2:D2459,B$2:B2459,B2459,C$2:C2459,"ENTRADA")-SUMIFS(D$2:D2459,B$2:B2459,B2459,C$2:C2459,"SALIDA")</f>
        <v>10839.548000000001</v>
      </c>
    </row>
    <row r="2460" spans="1:5" x14ac:dyDescent="0.3">
      <c r="A2460" s="9">
        <f>'Volúmenes DIstribuidos '!B1569</f>
        <v>44960</v>
      </c>
      <c r="B2460" s="10" t="str">
        <f>IF(OR('Volúmenes DIstribuidos '!C1570="Azúcar",'Volúmenes DIstribuidos '!C1570="azúcar"),"Azúcar o dulce",IF('Volúmenes DIstribuidos '!C1570="Aceite","Aceite o grasas",IF('Volúmenes DIstribuidos '!C1570="Avena","Otros almidones",'Volúmenes DIstribuidos '!C1570)))</f>
        <v>Salsas</v>
      </c>
      <c r="C2460" s="10" t="s">
        <v>29</v>
      </c>
      <c r="D2460" s="12">
        <f>'Volúmenes DIstribuidos '!D1570</f>
        <v>30.97</v>
      </c>
      <c r="E2460" s="12">
        <f>SUMIF('Parametros Inventario'!$A:$A,B2460,'Parametros Inventario'!$B:$B)+SUMIFS(D$2:D2460,B$2:B2460,B2460,C$2:C2460,"ENTRADA")-SUMIFS(D$2:D2460,B$2:B2460,B2460,C$2:C2460,"SALIDA")</f>
        <v>10426.089999999997</v>
      </c>
    </row>
    <row r="2461" spans="1:5" x14ac:dyDescent="0.3">
      <c r="A2461" s="9">
        <f>'Volúmenes DIstribuidos '!B1569</f>
        <v>44960</v>
      </c>
      <c r="B2461" s="10" t="str">
        <f>IF(OR('Volúmenes DIstribuidos '!C1571="Azúcar",'Volúmenes DIstribuidos '!C1571="azúcar"),"Azúcar o dulce",IF('Volúmenes DIstribuidos '!C1571="Aceite","Aceite o grasas",IF('Volúmenes DIstribuidos '!C1571="Avena","Otros almidones",'Volúmenes DIstribuidos '!C1571)))</f>
        <v>Fideo</v>
      </c>
      <c r="C2461" s="10" t="s">
        <v>29</v>
      </c>
      <c r="D2461" s="12">
        <f>'Volúmenes DIstribuidos '!D1571</f>
        <v>49.4</v>
      </c>
      <c r="E2461" s="12">
        <f>SUMIF('Parametros Inventario'!$A:$A,B2461,'Parametros Inventario'!$B:$B)+SUMIFS(D$2:D2461,B$2:B2461,B2461,C$2:C2461,"ENTRADA")-SUMIFS(D$2:D2461,B$2:B2461,B2461,C$2:C2461,"SALIDA")</f>
        <v>11673.547</v>
      </c>
    </row>
    <row r="2462" spans="1:5" x14ac:dyDescent="0.3">
      <c r="A2462" s="9">
        <f>'Volúmenes DIstribuidos '!B1569</f>
        <v>44960</v>
      </c>
      <c r="B2462" s="10" t="str">
        <f>IF(OR('Volúmenes DIstribuidos '!C1572="Azúcar",'Volúmenes DIstribuidos '!C1572="azúcar"),"Azúcar o dulce",IF('Volúmenes DIstribuidos '!C1572="Aceite","Aceite o grasas",IF('Volúmenes DIstribuidos '!C1572="Avena","Otros almidones",'Volúmenes DIstribuidos '!C1572)))</f>
        <v>Menestras</v>
      </c>
      <c r="C2462" s="10" t="s">
        <v>29</v>
      </c>
      <c r="D2462" s="12">
        <f>'Volúmenes DIstribuidos '!D1572</f>
        <v>30.83</v>
      </c>
      <c r="E2462" s="12">
        <f>SUMIF('Parametros Inventario'!$A:$A,B2462,'Parametros Inventario'!$B:$B)+SUMIFS(D$2:D2462,B$2:B2462,B2462,C$2:C2462,"ENTRADA")-SUMIFS(D$2:D2462,B$2:B2462,B2462,C$2:C2462,"SALIDA")</f>
        <v>11290.111000000001</v>
      </c>
    </row>
    <row r="2463" spans="1:5" x14ac:dyDescent="0.3">
      <c r="A2463" s="9">
        <f>'Volúmenes DIstribuidos '!B1569</f>
        <v>44960</v>
      </c>
      <c r="B2463" s="10" t="str">
        <f>IF(OR('Volúmenes DIstribuidos '!C1573="Azúcar",'Volúmenes DIstribuidos '!C1573="azúcar"),"Azúcar o dulce",IF('Volúmenes DIstribuidos '!C1573="Aceite","Aceite o grasas",IF('Volúmenes DIstribuidos '!C1573="Avena","Otros almidones",'Volúmenes DIstribuidos '!C1573)))</f>
        <v>Panadería</v>
      </c>
      <c r="C2463" s="10" t="s">
        <v>29</v>
      </c>
      <c r="D2463" s="12">
        <f>'Volúmenes DIstribuidos '!D1573</f>
        <v>111.3</v>
      </c>
      <c r="E2463" s="12">
        <f>SUMIF('Parametros Inventario'!$A:$A,B2463,'Parametros Inventario'!$B:$B)+SUMIFS(D$2:D2463,B$2:B2463,B2463,C$2:C2463,"ENTRADA")-SUMIFS(D$2:D2463,B$2:B2463,B2463,C$2:C2463,"SALIDA")</f>
        <v>8549.4450000000033</v>
      </c>
    </row>
    <row r="2464" spans="1:5" x14ac:dyDescent="0.3">
      <c r="A2464" s="9">
        <f>'Volúmenes DIstribuidos '!B1569</f>
        <v>44960</v>
      </c>
      <c r="B2464" s="10" t="str">
        <f>IF(OR('Volúmenes DIstribuidos '!C1574="Azúcar",'Volúmenes DIstribuidos '!C1574="azúcar"),"Azúcar o dulce",IF('Volúmenes DIstribuidos '!C1574="Aceite","Aceite o grasas",IF('Volúmenes DIstribuidos '!C1574="Avena","Otros almidones",'Volúmenes DIstribuidos '!C1574)))</f>
        <v>Fideo</v>
      </c>
      <c r="C2464" s="10" t="s">
        <v>29</v>
      </c>
      <c r="D2464" s="12">
        <f>'Volúmenes DIstribuidos '!D1574</f>
        <v>15.273999999999999</v>
      </c>
      <c r="E2464" s="12">
        <f>SUMIF('Parametros Inventario'!$A:$A,B2464,'Parametros Inventario'!$B:$B)+SUMIFS(D$2:D2464,B$2:B2464,B2464,C$2:C2464,"ENTRADA")-SUMIFS(D$2:D2464,B$2:B2464,B2464,C$2:C2464,"SALIDA")</f>
        <v>11658.273000000001</v>
      </c>
    </row>
    <row r="2465" spans="1:5" x14ac:dyDescent="0.3">
      <c r="A2465" s="9">
        <v>44964</v>
      </c>
      <c r="B2465" s="10" t="s">
        <v>13</v>
      </c>
      <c r="C2465" s="10" t="s">
        <v>28</v>
      </c>
      <c r="D2465" s="12">
        <v>190.54</v>
      </c>
      <c r="E2465" s="12">
        <f>SUMIF('Parametros Inventario'!$A:$A,B2465,'Parametros Inventario'!$B:$B)+SUMIFS(D$2:D2465,B$2:B2465,B2465,C$2:C2465,"ENTRADA")-SUMIFS(D$2:D2465,B$2:B2465,B2465,C$2:C2465,"SALIDA")</f>
        <v>11030.088</v>
      </c>
    </row>
    <row r="2466" spans="1:5" x14ac:dyDescent="0.3">
      <c r="A2466" s="9">
        <v>44964</v>
      </c>
      <c r="B2466" s="10" t="s">
        <v>15</v>
      </c>
      <c r="C2466" s="10" t="s">
        <v>28</v>
      </c>
      <c r="D2466" s="12">
        <v>170.21</v>
      </c>
      <c r="E2466" s="12">
        <f>SUMIF('Parametros Inventario'!$A:$A,B2466,'Parametros Inventario'!$B:$B)+SUMIFS(D$2:D2466,B$2:B2466,B2466,C$2:C2466,"ENTRADA")-SUMIFS(D$2:D2466,B$2:B2466,B2466,C$2:C2466,"SALIDA")</f>
        <v>11073.398999999998</v>
      </c>
    </row>
    <row r="2467" spans="1:5" x14ac:dyDescent="0.3">
      <c r="A2467" s="9">
        <v>44964</v>
      </c>
      <c r="B2467" s="10" t="s">
        <v>11</v>
      </c>
      <c r="C2467" s="10" t="s">
        <v>28</v>
      </c>
      <c r="D2467" s="12">
        <v>133.31</v>
      </c>
      <c r="E2467" s="12">
        <f>SUMIF('Parametros Inventario'!$A:$A,B2467,'Parametros Inventario'!$B:$B)+SUMIFS(D$2:D2467,B$2:B2467,B2467,C$2:C2467,"ENTRADA")-SUMIFS(D$2:D2467,B$2:B2467,B2467,C$2:C2467,"SALIDA")</f>
        <v>11791.583000000001</v>
      </c>
    </row>
    <row r="2468" spans="1:5" x14ac:dyDescent="0.3">
      <c r="A2468" s="9">
        <v>44964</v>
      </c>
      <c r="B2468" s="10" t="s">
        <v>9</v>
      </c>
      <c r="C2468" s="10" t="s">
        <v>28</v>
      </c>
      <c r="D2468" s="12">
        <v>228.72</v>
      </c>
      <c r="E2468" s="12">
        <f>SUMIF('Parametros Inventario'!$A:$A,B2468,'Parametros Inventario'!$B:$B)+SUMIFS(D$2:D2468,B$2:B2468,B2468,C$2:C2468,"ENTRADA")-SUMIFS(D$2:D2468,B$2:B2468,B2468,C$2:C2468,"SALIDA")</f>
        <v>8778.1650000000027</v>
      </c>
    </row>
    <row r="2469" spans="1:5" x14ac:dyDescent="0.3">
      <c r="A2469" s="9">
        <v>44964</v>
      </c>
      <c r="B2469" s="10" t="s">
        <v>14</v>
      </c>
      <c r="C2469" s="10" t="s">
        <v>28</v>
      </c>
      <c r="D2469" s="12">
        <v>98.93</v>
      </c>
      <c r="E2469" s="12">
        <f>SUMIF('Parametros Inventario'!$A:$A,B2469,'Parametros Inventario'!$B:$B)+SUMIFS(D$2:D2469,B$2:B2469,B2469,C$2:C2469,"ENTRADA")-SUMIFS(D$2:D2469,B$2:B2469,B2469,C$2:C2469,"SALIDA")</f>
        <v>11389.041000000001</v>
      </c>
    </row>
    <row r="2470" spans="1:5" x14ac:dyDescent="0.3">
      <c r="A2470" s="9">
        <v>44964</v>
      </c>
      <c r="B2470" s="10" t="s">
        <v>12</v>
      </c>
      <c r="C2470" s="10" t="s">
        <v>28</v>
      </c>
      <c r="D2470" s="12">
        <v>279.02999999999997</v>
      </c>
      <c r="E2470" s="12">
        <f>SUMIF('Parametros Inventario'!$A:$A,B2470,'Parametros Inventario'!$B:$B)+SUMIFS(D$2:D2470,B$2:B2470,B2470,C$2:C2470,"ENTRADA")-SUMIFS(D$2:D2470,B$2:B2470,B2470,C$2:C2470,"SALIDA")</f>
        <v>11201.290000000003</v>
      </c>
    </row>
    <row r="2471" spans="1:5" x14ac:dyDescent="0.3">
      <c r="A2471" s="9">
        <v>44964</v>
      </c>
      <c r="B2471" s="10" t="s">
        <v>16</v>
      </c>
      <c r="C2471" s="10" t="s">
        <v>28</v>
      </c>
      <c r="D2471" s="12">
        <v>51.05</v>
      </c>
      <c r="E2471" s="12">
        <f>SUMIF('Parametros Inventario'!$A:$A,B2471,'Parametros Inventario'!$B:$B)+SUMIFS(D$2:D2471,B$2:B2471,B2471,C$2:C2471,"ENTRADA")-SUMIFS(D$2:D2471,B$2:B2471,B2471,C$2:C2471,"SALIDA")</f>
        <v>11480.151000000002</v>
      </c>
    </row>
    <row r="2472" spans="1:5" x14ac:dyDescent="0.3">
      <c r="A2472" s="9">
        <v>44964</v>
      </c>
      <c r="B2472" s="10" t="s">
        <v>17</v>
      </c>
      <c r="C2472" s="10" t="s">
        <v>28</v>
      </c>
      <c r="D2472" s="12">
        <v>265.41000000000003</v>
      </c>
      <c r="E2472" s="12">
        <f>SUMIF('Parametros Inventario'!$A:$A,B2472,'Parametros Inventario'!$B:$B)+SUMIFS(D$2:D2472,B$2:B2472,B2472,C$2:C2472,"ENTRADA")-SUMIFS(D$2:D2472,B$2:B2472,B2472,C$2:C2472,"SALIDA")</f>
        <v>9493.9240000000027</v>
      </c>
    </row>
    <row r="2473" spans="1:5" x14ac:dyDescent="0.3">
      <c r="A2473" s="9">
        <v>44964</v>
      </c>
      <c r="B2473" s="10" t="s">
        <v>18</v>
      </c>
      <c r="C2473" s="10" t="s">
        <v>28</v>
      </c>
      <c r="D2473" s="12">
        <v>232.59</v>
      </c>
      <c r="E2473" s="12">
        <f>SUMIF('Parametros Inventario'!$A:$A,B2473,'Parametros Inventario'!$B:$B)+SUMIFS(D$2:D2473,B$2:B2473,B2473,C$2:C2473,"ENTRADA")-SUMIFS(D$2:D2473,B$2:B2473,B2473,C$2:C2473,"SALIDA")</f>
        <v>10658.679999999997</v>
      </c>
    </row>
    <row r="2474" spans="1:5" x14ac:dyDescent="0.3">
      <c r="A2474" s="9">
        <v>44964</v>
      </c>
      <c r="B2474" s="10" t="s">
        <v>10</v>
      </c>
      <c r="C2474" s="10" t="s">
        <v>28</v>
      </c>
      <c r="D2474" s="12">
        <v>143.56</v>
      </c>
      <c r="E2474" s="12">
        <f>SUMIF('Parametros Inventario'!$A:$A,B2474,'Parametros Inventario'!$B:$B)+SUMIFS(D$2:D2474,B$2:B2474,B2474,C$2:C2474,"ENTRADA")-SUMIFS(D$2:D2474,B$2:B2474,B2474,C$2:C2474,"SALIDA")</f>
        <v>12280.637999999995</v>
      </c>
    </row>
    <row r="2475" spans="1:5" x14ac:dyDescent="0.3">
      <c r="A2475" s="9">
        <f>'Volúmenes DIstribuidos '!B1575</f>
        <v>44964</v>
      </c>
      <c r="B2475" s="10" t="str">
        <f>IF(OR('Volúmenes DIstribuidos '!C1575="Azúcar",'Volúmenes DIstribuidos '!C1575="azúcar"),"Azúcar o dulce",IF('Volúmenes DIstribuidos '!C1575="Aceite","Aceite o grasas",IF('Volúmenes DIstribuidos '!C1575="Avena","Otros almidones",'Volúmenes DIstribuidos '!C1575)))</f>
        <v>Carnes rojas</v>
      </c>
      <c r="C2475" s="10" t="s">
        <v>29</v>
      </c>
      <c r="D2475" s="12">
        <f>'Volúmenes DIstribuidos '!D1575</f>
        <v>23.27</v>
      </c>
      <c r="E2475" s="12">
        <f>SUMIF('Parametros Inventario'!$A:$A,B2475,'Parametros Inventario'!$B:$B)+SUMIFS(D$2:D2475,B$2:B2475,B2475,C$2:C2475,"ENTRADA")-SUMIFS(D$2:D2475,B$2:B2475,B2475,C$2:C2475,"SALIDA")</f>
        <v>11178.020000000004</v>
      </c>
    </row>
    <row r="2476" spans="1:5" x14ac:dyDescent="0.3">
      <c r="A2476" s="9">
        <f>'Volúmenes DIstribuidos '!B1575</f>
        <v>44964</v>
      </c>
      <c r="B2476" s="10" t="str">
        <f>IF(OR('Volúmenes DIstribuidos '!C1576="Azúcar",'Volúmenes DIstribuidos '!C1576="azúcar"),"Azúcar o dulce",IF('Volúmenes DIstribuidos '!C1576="Aceite","Aceite o grasas",IF('Volúmenes DIstribuidos '!C1576="Avena","Otros almidones",'Volúmenes DIstribuidos '!C1576)))</f>
        <v>Aceite o grasas</v>
      </c>
      <c r="C2476" s="10" t="s">
        <v>29</v>
      </c>
      <c r="D2476" s="12">
        <f>'Volúmenes DIstribuidos '!D1576</f>
        <v>31.29</v>
      </c>
      <c r="E2476" s="12">
        <f>SUMIF('Parametros Inventario'!$A:$A,B2476,'Parametros Inventario'!$B:$B)+SUMIFS(D$2:D2476,B$2:B2476,B2476,C$2:C2476,"ENTRADA")-SUMIFS(D$2:D2476,B$2:B2476,B2476,C$2:C2476,"SALIDA")</f>
        <v>10010.357000000002</v>
      </c>
    </row>
    <row r="2477" spans="1:5" x14ac:dyDescent="0.3">
      <c r="A2477" s="9">
        <f>'Volúmenes DIstribuidos '!B1575</f>
        <v>44964</v>
      </c>
      <c r="B2477" s="10" t="str">
        <f>IF(OR('Volúmenes DIstribuidos '!C1577="Azúcar",'Volúmenes DIstribuidos '!C1577="azúcar"),"Azúcar o dulce",IF('Volúmenes DIstribuidos '!C1577="Aceite","Aceite o grasas",IF('Volúmenes DIstribuidos '!C1577="Avena","Otros almidones",'Volúmenes DIstribuidos '!C1577)))</f>
        <v>Otros almidones</v>
      </c>
      <c r="C2477" s="10" t="s">
        <v>29</v>
      </c>
      <c r="D2477" s="12">
        <f>'Volúmenes DIstribuidos '!D1577</f>
        <v>29.38</v>
      </c>
      <c r="E2477" s="12">
        <f>SUMIF('Parametros Inventario'!$A:$A,B2477,'Parametros Inventario'!$B:$B)+SUMIFS(D$2:D2477,B$2:B2477,B2477,C$2:C2477,"ENTRADA")-SUMIFS(D$2:D2477,B$2:B2477,B2477,C$2:C2477,"SALIDA")</f>
        <v>11044.018999999998</v>
      </c>
    </row>
    <row r="2478" spans="1:5" x14ac:dyDescent="0.3">
      <c r="A2478" s="9">
        <f>'Volúmenes DIstribuidos '!B1575</f>
        <v>44964</v>
      </c>
      <c r="B2478" s="10" t="str">
        <f>IF(OR('Volúmenes DIstribuidos '!C1578="Azúcar",'Volúmenes DIstribuidos '!C1578="azúcar"),"Azúcar o dulce",IF('Volúmenes DIstribuidos '!C1578="Aceite","Aceite o grasas",IF('Volúmenes DIstribuidos '!C1578="Avena","Otros almidones",'Volúmenes DIstribuidos '!C1578)))</f>
        <v>Panadería</v>
      </c>
      <c r="C2478" s="10" t="s">
        <v>29</v>
      </c>
      <c r="D2478" s="12">
        <f>'Volúmenes DIstribuidos '!D1578</f>
        <v>12.75</v>
      </c>
      <c r="E2478" s="12">
        <f>SUMIF('Parametros Inventario'!$A:$A,B2478,'Parametros Inventario'!$B:$B)+SUMIFS(D$2:D2478,B$2:B2478,B2478,C$2:C2478,"ENTRADA")-SUMIFS(D$2:D2478,B$2:B2478,B2478,C$2:C2478,"SALIDA")</f>
        <v>8765.4150000000027</v>
      </c>
    </row>
    <row r="2479" spans="1:5" x14ac:dyDescent="0.3">
      <c r="A2479" s="9">
        <f>'Volúmenes DIstribuidos '!B1575</f>
        <v>44964</v>
      </c>
      <c r="B2479" s="10" t="str">
        <f>IF(OR('Volúmenes DIstribuidos '!C1579="Azúcar",'Volúmenes DIstribuidos '!C1579="azúcar"),"Azúcar o dulce",IF('Volúmenes DIstribuidos '!C1579="Aceite","Aceite o grasas",IF('Volúmenes DIstribuidos '!C1579="Avena","Otros almidones",'Volúmenes DIstribuidos '!C1579)))</f>
        <v>Salsas</v>
      </c>
      <c r="C2479" s="10" t="s">
        <v>29</v>
      </c>
      <c r="D2479" s="12">
        <f>'Volúmenes DIstribuidos '!D1579</f>
        <v>12.48</v>
      </c>
      <c r="E2479" s="12">
        <f>SUMIF('Parametros Inventario'!$A:$A,B2479,'Parametros Inventario'!$B:$B)+SUMIFS(D$2:D2479,B$2:B2479,B2479,C$2:C2479,"ENTRADA")-SUMIFS(D$2:D2479,B$2:B2479,B2479,C$2:C2479,"SALIDA")</f>
        <v>10646.199999999997</v>
      </c>
    </row>
    <row r="2480" spans="1:5" x14ac:dyDescent="0.3">
      <c r="A2480" s="9">
        <f>'Volúmenes DIstribuidos '!B1575</f>
        <v>44964</v>
      </c>
      <c r="B2480" s="10" t="str">
        <f>IF(OR('Volúmenes DIstribuidos '!C1580="Azúcar",'Volúmenes DIstribuidos '!C1580="azúcar"),"Azúcar o dulce",IF('Volúmenes DIstribuidos '!C1580="Aceite","Aceite o grasas",IF('Volúmenes DIstribuidos '!C1580="Avena","Otros almidones",'Volúmenes DIstribuidos '!C1580)))</f>
        <v>Vegetales y hojas</v>
      </c>
      <c r="C2480" s="10" t="s">
        <v>29</v>
      </c>
      <c r="D2480" s="12">
        <f>'Volúmenes DIstribuidos '!D1580</f>
        <v>54.915999999999997</v>
      </c>
      <c r="E2480" s="12">
        <f>SUMIF('Parametros Inventario'!$A:$A,B2480,'Parametros Inventario'!$B:$B)+SUMIFS(D$2:D2480,B$2:B2480,B2480,C$2:C2480,"ENTRADA")-SUMIFS(D$2:D2480,B$2:B2480,B2480,C$2:C2480,"SALIDA")</f>
        <v>12225.721999999994</v>
      </c>
    </row>
    <row r="2481" spans="1:5" x14ac:dyDescent="0.3">
      <c r="A2481" s="9">
        <v>44967</v>
      </c>
      <c r="B2481" s="10" t="s">
        <v>8</v>
      </c>
      <c r="C2481" s="10" t="s">
        <v>28</v>
      </c>
      <c r="D2481" s="12">
        <v>151.13999999999999</v>
      </c>
      <c r="E2481" s="12">
        <f>SUMIF('Parametros Inventario'!$A:$A,B2481,'Parametros Inventario'!$B:$B)+SUMIFS(D$2:D2481,B$2:B2481,B2481,C$2:C2481,"ENTRADA")-SUMIFS(D$2:D2481,B$2:B2481,B2481,C$2:C2481,"SALIDA")</f>
        <v>10161.497000000001</v>
      </c>
    </row>
    <row r="2482" spans="1:5" x14ac:dyDescent="0.3">
      <c r="A2482" s="9">
        <v>44967</v>
      </c>
      <c r="B2482" s="10" t="s">
        <v>13</v>
      </c>
      <c r="C2482" s="10" t="s">
        <v>28</v>
      </c>
      <c r="D2482" s="12">
        <v>153.96</v>
      </c>
      <c r="E2482" s="12">
        <f>SUMIF('Parametros Inventario'!$A:$A,B2482,'Parametros Inventario'!$B:$B)+SUMIFS(D$2:D2482,B$2:B2482,B2482,C$2:C2482,"ENTRADA")-SUMIFS(D$2:D2482,B$2:B2482,B2482,C$2:C2482,"SALIDA")</f>
        <v>11184.047999999999</v>
      </c>
    </row>
    <row r="2483" spans="1:5" x14ac:dyDescent="0.3">
      <c r="A2483" s="9">
        <v>44967</v>
      </c>
      <c r="B2483" s="10" t="s">
        <v>15</v>
      </c>
      <c r="C2483" s="10" t="s">
        <v>28</v>
      </c>
      <c r="D2483" s="12">
        <v>148.66</v>
      </c>
      <c r="E2483" s="12">
        <f>SUMIF('Parametros Inventario'!$A:$A,B2483,'Parametros Inventario'!$B:$B)+SUMIFS(D$2:D2483,B$2:B2483,B2483,C$2:C2483,"ENTRADA")-SUMIFS(D$2:D2483,B$2:B2483,B2483,C$2:C2483,"SALIDA")</f>
        <v>11192.678999999998</v>
      </c>
    </row>
    <row r="2484" spans="1:5" x14ac:dyDescent="0.3">
      <c r="A2484" s="9">
        <v>44967</v>
      </c>
      <c r="B2484" s="10" t="s">
        <v>11</v>
      </c>
      <c r="C2484" s="10" t="s">
        <v>28</v>
      </c>
      <c r="D2484" s="12">
        <v>235.55</v>
      </c>
      <c r="E2484" s="12">
        <f>SUMIF('Parametros Inventario'!$A:$A,B2484,'Parametros Inventario'!$B:$B)+SUMIFS(D$2:D2484,B$2:B2484,B2484,C$2:C2484,"ENTRADA")-SUMIFS(D$2:D2484,B$2:B2484,B2484,C$2:C2484,"SALIDA")</f>
        <v>12027.133</v>
      </c>
    </row>
    <row r="2485" spans="1:5" x14ac:dyDescent="0.3">
      <c r="A2485" s="9">
        <v>44967</v>
      </c>
      <c r="B2485" s="10" t="s">
        <v>9</v>
      </c>
      <c r="C2485" s="10" t="s">
        <v>28</v>
      </c>
      <c r="D2485" s="12">
        <v>146.01</v>
      </c>
      <c r="E2485" s="12">
        <f>SUMIF('Parametros Inventario'!$A:$A,B2485,'Parametros Inventario'!$B:$B)+SUMIFS(D$2:D2485,B$2:B2485,B2485,C$2:C2485,"ENTRADA")-SUMIFS(D$2:D2485,B$2:B2485,B2485,C$2:C2485,"SALIDA")</f>
        <v>8911.4250000000029</v>
      </c>
    </row>
    <row r="2486" spans="1:5" x14ac:dyDescent="0.3">
      <c r="A2486" s="9">
        <v>44967</v>
      </c>
      <c r="B2486" s="10" t="s">
        <v>14</v>
      </c>
      <c r="C2486" s="10" t="s">
        <v>28</v>
      </c>
      <c r="D2486" s="12">
        <v>126.95</v>
      </c>
      <c r="E2486" s="12">
        <f>SUMIF('Parametros Inventario'!$A:$A,B2486,'Parametros Inventario'!$B:$B)+SUMIFS(D$2:D2486,B$2:B2486,B2486,C$2:C2486,"ENTRADA")-SUMIFS(D$2:D2486,B$2:B2486,B2486,C$2:C2486,"SALIDA")</f>
        <v>11515.991000000002</v>
      </c>
    </row>
    <row r="2487" spans="1:5" x14ac:dyDescent="0.3">
      <c r="A2487" s="9">
        <v>44967</v>
      </c>
      <c r="B2487" s="10" t="s">
        <v>12</v>
      </c>
      <c r="C2487" s="10" t="s">
        <v>28</v>
      </c>
      <c r="D2487" s="12">
        <v>296.88</v>
      </c>
      <c r="E2487" s="12">
        <f>SUMIF('Parametros Inventario'!$A:$A,B2487,'Parametros Inventario'!$B:$B)+SUMIFS(D$2:D2487,B$2:B2487,B2487,C$2:C2487,"ENTRADA")-SUMIFS(D$2:D2487,B$2:B2487,B2487,C$2:C2487,"SALIDA")</f>
        <v>11474.900000000001</v>
      </c>
    </row>
    <row r="2488" spans="1:5" x14ac:dyDescent="0.3">
      <c r="A2488" s="9">
        <f>'Volúmenes DIstribuidos '!B1581</f>
        <v>44967</v>
      </c>
      <c r="B2488" s="10" t="str">
        <f>IF(OR('Volúmenes DIstribuidos '!C1581="Azúcar",'Volúmenes DIstribuidos '!C1581="azúcar"),"Azúcar o dulce",IF('Volúmenes DIstribuidos '!C1581="Aceite","Aceite o grasas",IF('Volúmenes DIstribuidos '!C1581="Avena","Otros almidones",'Volúmenes DIstribuidos '!C1581)))</f>
        <v>Azúcar o dulce</v>
      </c>
      <c r="C2488" s="10" t="s">
        <v>29</v>
      </c>
      <c r="D2488" s="12">
        <f>'Volúmenes DIstribuidos '!D1581</f>
        <v>37.020000000000003</v>
      </c>
      <c r="E2488" s="12">
        <f>SUMIF('Parametros Inventario'!$A:$A,B2488,'Parametros Inventario'!$B:$B)+SUMIFS(D$2:D2488,B$2:B2488,B2488,C$2:C2488,"ENTRADA")-SUMIFS(D$2:D2488,B$2:B2488,B2488,C$2:C2488,"SALIDA")</f>
        <v>11147.027999999998</v>
      </c>
    </row>
    <row r="2489" spans="1:5" x14ac:dyDescent="0.3">
      <c r="A2489" s="9">
        <f>'Volúmenes DIstribuidos '!B1581</f>
        <v>44967</v>
      </c>
      <c r="B2489" s="10" t="str">
        <f>IF(OR('Volúmenes DIstribuidos '!C1582="Azúcar",'Volúmenes DIstribuidos '!C1582="azúcar"),"Azúcar o dulce",IF('Volúmenes DIstribuidos '!C1582="Aceite","Aceite o grasas",IF('Volúmenes DIstribuidos '!C1582="Avena","Otros almidones",'Volúmenes DIstribuidos '!C1582)))</f>
        <v>Fideo</v>
      </c>
      <c r="C2489" s="10" t="s">
        <v>29</v>
      </c>
      <c r="D2489" s="12">
        <f>'Volúmenes DIstribuidos '!D1582</f>
        <v>37.18</v>
      </c>
      <c r="E2489" s="12">
        <f>SUMIF('Parametros Inventario'!$A:$A,B2489,'Parametros Inventario'!$B:$B)+SUMIFS(D$2:D2489,B$2:B2489,B2489,C$2:C2489,"ENTRADA")-SUMIFS(D$2:D2489,B$2:B2489,B2489,C$2:C2489,"SALIDA")</f>
        <v>11989.953</v>
      </c>
    </row>
    <row r="2490" spans="1:5" x14ac:dyDescent="0.3">
      <c r="A2490" s="9">
        <f>'Volúmenes DIstribuidos '!B1581</f>
        <v>44967</v>
      </c>
      <c r="B2490" s="10" t="str">
        <f>IF(OR('Volúmenes DIstribuidos '!C1583="Azúcar",'Volúmenes DIstribuidos '!C1583="azúcar"),"Azúcar o dulce",IF('Volúmenes DIstribuidos '!C1583="Aceite","Aceite o grasas",IF('Volúmenes DIstribuidos '!C1583="Avena","Otros almidones",'Volúmenes DIstribuidos '!C1583)))</f>
        <v>Carnes rojas</v>
      </c>
      <c r="C2490" s="10" t="s">
        <v>29</v>
      </c>
      <c r="D2490" s="12">
        <f>'Volúmenes DIstribuidos '!D1583</f>
        <v>32.81</v>
      </c>
      <c r="E2490" s="12">
        <f>SUMIF('Parametros Inventario'!$A:$A,B2490,'Parametros Inventario'!$B:$B)+SUMIFS(D$2:D2490,B$2:B2490,B2490,C$2:C2490,"ENTRADA")-SUMIFS(D$2:D2490,B$2:B2490,B2490,C$2:C2490,"SALIDA")</f>
        <v>11442.090000000002</v>
      </c>
    </row>
    <row r="2491" spans="1:5" x14ac:dyDescent="0.3">
      <c r="A2491" s="9">
        <f>'Volúmenes DIstribuidos '!B1581</f>
        <v>44967</v>
      </c>
      <c r="B2491" s="10" t="str">
        <f>IF(OR('Volúmenes DIstribuidos '!C1584="Azúcar",'Volúmenes DIstribuidos '!C1584="azúcar"),"Azúcar o dulce",IF('Volúmenes DIstribuidos '!C1584="Aceite","Aceite o grasas",IF('Volúmenes DIstribuidos '!C1584="Avena","Otros almidones",'Volúmenes DIstribuidos '!C1584)))</f>
        <v>Lácteos</v>
      </c>
      <c r="C2491" s="10" t="s">
        <v>29</v>
      </c>
      <c r="D2491" s="12">
        <f>'Volúmenes DIstribuidos '!D1584</f>
        <v>22.949000000000002</v>
      </c>
      <c r="E2491" s="12">
        <f>SUMIF('Parametros Inventario'!$A:$A,B2491,'Parametros Inventario'!$B:$B)+SUMIFS(D$2:D2491,B$2:B2491,B2491,C$2:C2491,"ENTRADA")-SUMIFS(D$2:D2491,B$2:B2491,B2491,C$2:C2491,"SALIDA")</f>
        <v>9470.9750000000022</v>
      </c>
    </row>
    <row r="2492" spans="1:5" x14ac:dyDescent="0.3">
      <c r="A2492" s="9">
        <f>'Volúmenes DIstribuidos '!B1581</f>
        <v>44967</v>
      </c>
      <c r="B2492" s="10" t="str">
        <f>IF(OR('Volúmenes DIstribuidos '!C1585="Azúcar",'Volúmenes DIstribuidos '!C1585="azúcar"),"Azúcar o dulce",IF('Volúmenes DIstribuidos '!C1585="Aceite","Aceite o grasas",IF('Volúmenes DIstribuidos '!C1585="Avena","Otros almidones",'Volúmenes DIstribuidos '!C1585)))</f>
        <v>Azúcar o dulce</v>
      </c>
      <c r="C2492" s="10" t="s">
        <v>29</v>
      </c>
      <c r="D2492" s="12">
        <f>'Volúmenes DIstribuidos '!D1585</f>
        <v>26.61</v>
      </c>
      <c r="E2492" s="12">
        <f>SUMIF('Parametros Inventario'!$A:$A,B2492,'Parametros Inventario'!$B:$B)+SUMIFS(D$2:D2492,B$2:B2492,B2492,C$2:C2492,"ENTRADA")-SUMIFS(D$2:D2492,B$2:B2492,B2492,C$2:C2492,"SALIDA")</f>
        <v>11120.417999999998</v>
      </c>
    </row>
    <row r="2493" spans="1:5" x14ac:dyDescent="0.3">
      <c r="A2493" s="9">
        <f>'Volúmenes DIstribuidos '!B1581</f>
        <v>44967</v>
      </c>
      <c r="B2493" s="10" t="str">
        <f>IF(OR('Volúmenes DIstribuidos '!C1586="Azúcar",'Volúmenes DIstribuidos '!C1586="azúcar"),"Azúcar o dulce",IF('Volúmenes DIstribuidos '!C1586="Aceite","Aceite o grasas",IF('Volúmenes DIstribuidos '!C1586="Avena","Otros almidones",'Volúmenes DIstribuidos '!C1586)))</f>
        <v>Otros almidones</v>
      </c>
      <c r="C2493" s="10" t="s">
        <v>29</v>
      </c>
      <c r="D2493" s="12">
        <f>'Volúmenes DIstribuidos '!D1586</f>
        <v>30.03</v>
      </c>
      <c r="E2493" s="12">
        <f>SUMIF('Parametros Inventario'!$A:$A,B2493,'Parametros Inventario'!$B:$B)+SUMIFS(D$2:D2493,B$2:B2493,B2493,C$2:C2493,"ENTRADA")-SUMIFS(D$2:D2493,B$2:B2493,B2493,C$2:C2493,"SALIDA")</f>
        <v>11162.648999999998</v>
      </c>
    </row>
    <row r="2494" spans="1:5" x14ac:dyDescent="0.3">
      <c r="A2494" s="9">
        <f>'Volúmenes DIstribuidos '!B1587</f>
        <v>44971</v>
      </c>
      <c r="B2494" s="10" t="str">
        <f>IF(OR('Volúmenes DIstribuidos '!C1587="Azúcar",'Volúmenes DIstribuidos '!C1587="azúcar"),"Azúcar o dulce",IF('Volúmenes DIstribuidos '!C1587="Aceite","Aceite o grasas",IF('Volúmenes DIstribuidos '!C1587="Avena","Otros almidones",'Volúmenes DIstribuidos '!C1587)))</f>
        <v>Menestras</v>
      </c>
      <c r="C2494" s="10" t="s">
        <v>29</v>
      </c>
      <c r="D2494" s="12">
        <f>'Volúmenes DIstribuidos '!D1587</f>
        <v>15.27</v>
      </c>
      <c r="E2494" s="12">
        <f>SUMIF('Parametros Inventario'!$A:$A,B2494,'Parametros Inventario'!$B:$B)+SUMIFS(D$2:D2494,B$2:B2494,B2494,C$2:C2494,"ENTRADA")-SUMIFS(D$2:D2494,B$2:B2494,B2494,C$2:C2494,"SALIDA")</f>
        <v>11500.721000000001</v>
      </c>
    </row>
    <row r="2495" spans="1:5" x14ac:dyDescent="0.3">
      <c r="A2495" s="9">
        <f>'Volúmenes DIstribuidos '!B1587</f>
        <v>44971</v>
      </c>
      <c r="B2495" s="10" t="str">
        <f>IF(OR('Volúmenes DIstribuidos '!C1588="Azúcar",'Volúmenes DIstribuidos '!C1588="azúcar"),"Azúcar o dulce",IF('Volúmenes DIstribuidos '!C1588="Aceite","Aceite o grasas",IF('Volúmenes DIstribuidos '!C1588="Avena","Otros almidones",'Volúmenes DIstribuidos '!C1588)))</f>
        <v>Aceite o grasas</v>
      </c>
      <c r="C2495" s="10" t="s">
        <v>29</v>
      </c>
      <c r="D2495" s="12">
        <f>'Volúmenes DIstribuidos '!D1588</f>
        <v>33.680999999999997</v>
      </c>
      <c r="E2495" s="12">
        <f>SUMIF('Parametros Inventario'!$A:$A,B2495,'Parametros Inventario'!$B:$B)+SUMIFS(D$2:D2495,B$2:B2495,B2495,C$2:C2495,"ENTRADA")-SUMIFS(D$2:D2495,B$2:B2495,B2495,C$2:C2495,"SALIDA")</f>
        <v>10127.816000000003</v>
      </c>
    </row>
    <row r="2496" spans="1:5" x14ac:dyDescent="0.3">
      <c r="A2496" s="9">
        <f>'Volúmenes DIstribuidos '!B1587</f>
        <v>44971</v>
      </c>
      <c r="B2496" s="10" t="str">
        <f>IF(OR('Volúmenes DIstribuidos '!C1589="Azúcar",'Volúmenes DIstribuidos '!C1589="azúcar"),"Azúcar o dulce",IF('Volúmenes DIstribuidos '!C1589="Aceite","Aceite o grasas",IF('Volúmenes DIstribuidos '!C1589="Avena","Otros almidones",'Volúmenes DIstribuidos '!C1589)))</f>
        <v>Menestras</v>
      </c>
      <c r="C2496" s="10" t="s">
        <v>29</v>
      </c>
      <c r="D2496" s="12">
        <f>'Volúmenes DIstribuidos '!D1589</f>
        <v>15.74</v>
      </c>
      <c r="E2496" s="12">
        <f>SUMIF('Parametros Inventario'!$A:$A,B2496,'Parametros Inventario'!$B:$B)+SUMIFS(D$2:D2496,B$2:B2496,B2496,C$2:C2496,"ENTRADA")-SUMIFS(D$2:D2496,B$2:B2496,B2496,C$2:C2496,"SALIDA")</f>
        <v>11484.981000000002</v>
      </c>
    </row>
    <row r="2497" spans="1:5" x14ac:dyDescent="0.3">
      <c r="A2497" s="9">
        <f>'Volúmenes DIstribuidos '!B1587</f>
        <v>44971</v>
      </c>
      <c r="B2497" s="10" t="str">
        <f>IF(OR('Volúmenes DIstribuidos '!C1590="Azúcar",'Volúmenes DIstribuidos '!C1590="azúcar"),"Azúcar o dulce",IF('Volúmenes DIstribuidos '!C1590="Aceite","Aceite o grasas",IF('Volúmenes DIstribuidos '!C1590="Avena","Otros almidones",'Volúmenes DIstribuidos '!C1590)))</f>
        <v>Vegetales y hojas</v>
      </c>
      <c r="C2497" s="10" t="s">
        <v>29</v>
      </c>
      <c r="D2497" s="12">
        <f>'Volúmenes DIstribuidos '!D1590</f>
        <v>30.01</v>
      </c>
      <c r="E2497" s="12">
        <f>SUMIF('Parametros Inventario'!$A:$A,B2497,'Parametros Inventario'!$B:$B)+SUMIFS(D$2:D2497,B$2:B2497,B2497,C$2:C2497,"ENTRADA")-SUMIFS(D$2:D2497,B$2:B2497,B2497,C$2:C2497,"SALIDA")</f>
        <v>12195.711999999994</v>
      </c>
    </row>
    <row r="2498" spans="1:5" x14ac:dyDescent="0.3">
      <c r="A2498" s="9">
        <f>'Volúmenes DIstribuidos '!B1587</f>
        <v>44971</v>
      </c>
      <c r="B2498" s="10" t="str">
        <f>IF(OR('Volúmenes DIstribuidos '!C1591="Azúcar",'Volúmenes DIstribuidos '!C1591="azúcar"),"Azúcar o dulce",IF('Volúmenes DIstribuidos '!C1591="Aceite","Aceite o grasas",IF('Volúmenes DIstribuidos '!C1591="Avena","Otros almidones",'Volúmenes DIstribuidos '!C1591)))</f>
        <v>Lácteos</v>
      </c>
      <c r="C2498" s="10" t="s">
        <v>29</v>
      </c>
      <c r="D2498" s="12">
        <f>'Volúmenes DIstribuidos '!D1591</f>
        <v>52.55</v>
      </c>
      <c r="E2498" s="12">
        <f>SUMIF('Parametros Inventario'!$A:$A,B2498,'Parametros Inventario'!$B:$B)+SUMIFS(D$2:D2498,B$2:B2498,B2498,C$2:C2498,"ENTRADA")-SUMIFS(D$2:D2498,B$2:B2498,B2498,C$2:C2498,"SALIDA")</f>
        <v>9418.4250000000029</v>
      </c>
    </row>
    <row r="2499" spans="1:5" x14ac:dyDescent="0.3">
      <c r="A2499" s="9">
        <f>'Volúmenes DIstribuidos '!B1587</f>
        <v>44971</v>
      </c>
      <c r="B2499" s="10" t="str">
        <f>IF(OR('Volúmenes DIstribuidos '!C1592="Azúcar",'Volúmenes DIstribuidos '!C1592="azúcar"),"Azúcar o dulce",IF('Volúmenes DIstribuidos '!C1592="Aceite","Aceite o grasas",IF('Volúmenes DIstribuidos '!C1592="Avena","Otros almidones",'Volúmenes DIstribuidos '!C1592)))</f>
        <v>Otros almidones</v>
      </c>
      <c r="C2499" s="10" t="s">
        <v>29</v>
      </c>
      <c r="D2499" s="12">
        <f>'Volúmenes DIstribuidos '!D1592</f>
        <v>54.29</v>
      </c>
      <c r="E2499" s="12">
        <f>SUMIF('Parametros Inventario'!$A:$A,B2499,'Parametros Inventario'!$B:$B)+SUMIFS(D$2:D2499,B$2:B2499,B2499,C$2:C2499,"ENTRADA")-SUMIFS(D$2:D2499,B$2:B2499,B2499,C$2:C2499,"SALIDA")</f>
        <v>11108.358999999999</v>
      </c>
    </row>
    <row r="2500" spans="1:5" x14ac:dyDescent="0.3">
      <c r="A2500" s="9">
        <v>44974</v>
      </c>
      <c r="B2500" s="10" t="s">
        <v>16</v>
      </c>
      <c r="C2500" s="10" t="s">
        <v>28</v>
      </c>
      <c r="D2500" s="12">
        <v>67.81</v>
      </c>
      <c r="E2500" s="12">
        <f>SUMIF('Parametros Inventario'!$A:$A,B2500,'Parametros Inventario'!$B:$B)+SUMIFS(D$2:D2500,B$2:B2500,B2500,C$2:C2500,"ENTRADA")-SUMIFS(D$2:D2500,B$2:B2500,B2500,C$2:C2500,"SALIDA")</f>
        <v>11547.961000000001</v>
      </c>
    </row>
    <row r="2501" spans="1:5" x14ac:dyDescent="0.3">
      <c r="A2501" s="9">
        <v>44974</v>
      </c>
      <c r="B2501" s="10" t="s">
        <v>17</v>
      </c>
      <c r="C2501" s="10" t="s">
        <v>28</v>
      </c>
      <c r="D2501" s="12">
        <v>271.25</v>
      </c>
      <c r="E2501" s="12">
        <f>SUMIF('Parametros Inventario'!$A:$A,B2501,'Parametros Inventario'!$B:$B)+SUMIFS(D$2:D2501,B$2:B2501,B2501,C$2:C2501,"ENTRADA")-SUMIFS(D$2:D2501,B$2:B2501,B2501,C$2:C2501,"SALIDA")</f>
        <v>9689.6750000000029</v>
      </c>
    </row>
    <row r="2502" spans="1:5" x14ac:dyDescent="0.3">
      <c r="A2502" s="9">
        <v>44974</v>
      </c>
      <c r="B2502" s="10" t="s">
        <v>18</v>
      </c>
      <c r="C2502" s="10" t="s">
        <v>28</v>
      </c>
      <c r="D2502" s="12">
        <v>298.12</v>
      </c>
      <c r="E2502" s="12">
        <f>SUMIF('Parametros Inventario'!$A:$A,B2502,'Parametros Inventario'!$B:$B)+SUMIFS(D$2:D2502,B$2:B2502,B2502,C$2:C2502,"ENTRADA")-SUMIFS(D$2:D2502,B$2:B2502,B2502,C$2:C2502,"SALIDA")</f>
        <v>10944.319999999996</v>
      </c>
    </row>
    <row r="2503" spans="1:5" x14ac:dyDescent="0.3">
      <c r="A2503" s="9">
        <v>44974</v>
      </c>
      <c r="B2503" s="10" t="s">
        <v>10</v>
      </c>
      <c r="C2503" s="10" t="s">
        <v>28</v>
      </c>
      <c r="D2503" s="12">
        <v>81.12</v>
      </c>
      <c r="E2503" s="12">
        <f>SUMIF('Parametros Inventario'!$A:$A,B2503,'Parametros Inventario'!$B:$B)+SUMIFS(D$2:D2503,B$2:B2503,B2503,C$2:C2503,"ENTRADA")-SUMIFS(D$2:D2503,B$2:B2503,B2503,C$2:C2503,"SALIDA")</f>
        <v>12276.831999999995</v>
      </c>
    </row>
    <row r="2504" spans="1:5" x14ac:dyDescent="0.3">
      <c r="A2504" s="9">
        <v>44974</v>
      </c>
      <c r="B2504" s="10" t="s">
        <v>8</v>
      </c>
      <c r="C2504" s="10" t="s">
        <v>28</v>
      </c>
      <c r="D2504" s="12">
        <v>283.02999999999997</v>
      </c>
      <c r="E2504" s="12">
        <f>SUMIF('Parametros Inventario'!$A:$A,B2504,'Parametros Inventario'!$B:$B)+SUMIFS(D$2:D2504,B$2:B2504,B2504,C$2:C2504,"ENTRADA")-SUMIFS(D$2:D2504,B$2:B2504,B2504,C$2:C2504,"SALIDA")</f>
        <v>10410.846000000001</v>
      </c>
    </row>
    <row r="2505" spans="1:5" x14ac:dyDescent="0.3">
      <c r="A2505" s="9">
        <v>44974</v>
      </c>
      <c r="B2505" s="10" t="s">
        <v>13</v>
      </c>
      <c r="C2505" s="10" t="s">
        <v>28</v>
      </c>
      <c r="D2505" s="12">
        <v>90.59</v>
      </c>
      <c r="E2505" s="12">
        <f>SUMIF('Parametros Inventario'!$A:$A,B2505,'Parametros Inventario'!$B:$B)+SUMIFS(D$2:D2505,B$2:B2505,B2505,C$2:C2505,"ENTRADA")-SUMIFS(D$2:D2505,B$2:B2505,B2505,C$2:C2505,"SALIDA")</f>
        <v>11211.008000000002</v>
      </c>
    </row>
    <row r="2506" spans="1:5" x14ac:dyDescent="0.3">
      <c r="A2506" s="9">
        <v>44974</v>
      </c>
      <c r="B2506" s="10" t="s">
        <v>15</v>
      </c>
      <c r="C2506" s="10" t="s">
        <v>28</v>
      </c>
      <c r="D2506" s="12">
        <v>240.74</v>
      </c>
      <c r="E2506" s="12">
        <f>SUMIF('Parametros Inventario'!$A:$A,B2506,'Parametros Inventario'!$B:$B)+SUMIFS(D$2:D2506,B$2:B2506,B2506,C$2:C2506,"ENTRADA")-SUMIFS(D$2:D2506,B$2:B2506,B2506,C$2:C2506,"SALIDA")</f>
        <v>11349.098999999998</v>
      </c>
    </row>
    <row r="2507" spans="1:5" x14ac:dyDescent="0.3">
      <c r="A2507" s="9">
        <v>44974</v>
      </c>
      <c r="B2507" s="10" t="s">
        <v>11</v>
      </c>
      <c r="C2507" s="10" t="s">
        <v>28</v>
      </c>
      <c r="D2507" s="12">
        <v>289.27</v>
      </c>
      <c r="E2507" s="12">
        <f>SUMIF('Parametros Inventario'!$A:$A,B2507,'Parametros Inventario'!$B:$B)+SUMIFS(D$2:D2507,B$2:B2507,B2507,C$2:C2507,"ENTRADA")-SUMIFS(D$2:D2507,B$2:B2507,B2507,C$2:C2507,"SALIDA")</f>
        <v>12279.223</v>
      </c>
    </row>
    <row r="2508" spans="1:5" x14ac:dyDescent="0.3">
      <c r="A2508" s="9">
        <v>44974</v>
      </c>
      <c r="B2508" s="10" t="s">
        <v>9</v>
      </c>
      <c r="C2508" s="10" t="s">
        <v>28</v>
      </c>
      <c r="D2508" s="12">
        <v>242.82</v>
      </c>
      <c r="E2508" s="12">
        <f>SUMIF('Parametros Inventario'!$A:$A,B2508,'Parametros Inventario'!$B:$B)+SUMIFS(D$2:D2508,B$2:B2508,B2508,C$2:C2508,"ENTRADA")-SUMIFS(D$2:D2508,B$2:B2508,B2508,C$2:C2508,"SALIDA")</f>
        <v>9154.2450000000026</v>
      </c>
    </row>
    <row r="2509" spans="1:5" x14ac:dyDescent="0.3">
      <c r="A2509" s="9">
        <v>44974</v>
      </c>
      <c r="B2509" s="10" t="s">
        <v>14</v>
      </c>
      <c r="C2509" s="10" t="s">
        <v>28</v>
      </c>
      <c r="D2509" s="12">
        <v>237.89</v>
      </c>
      <c r="E2509" s="12">
        <f>SUMIF('Parametros Inventario'!$A:$A,B2509,'Parametros Inventario'!$B:$B)+SUMIFS(D$2:D2509,B$2:B2509,B2509,C$2:C2509,"ENTRADA")-SUMIFS(D$2:D2509,B$2:B2509,B2509,C$2:C2509,"SALIDA")</f>
        <v>11722.871000000001</v>
      </c>
    </row>
    <row r="2510" spans="1:5" x14ac:dyDescent="0.3">
      <c r="A2510" s="9">
        <f>'Volúmenes DIstribuidos '!B1593</f>
        <v>44974</v>
      </c>
      <c r="B2510" s="10" t="str">
        <f>IF(OR('Volúmenes DIstribuidos '!C1593="Azúcar",'Volúmenes DIstribuidos '!C1593="azúcar"),"Azúcar o dulce",IF('Volúmenes DIstribuidos '!C1593="Aceite","Aceite o grasas",IF('Volúmenes DIstribuidos '!C1593="Avena","Otros almidones",'Volúmenes DIstribuidos '!C1593)))</f>
        <v>Carnes blancas</v>
      </c>
      <c r="C2510" s="10" t="s">
        <v>29</v>
      </c>
      <c r="D2510" s="12">
        <f>'Volúmenes DIstribuidos '!D1593</f>
        <v>69.97</v>
      </c>
      <c r="E2510" s="12">
        <f>SUMIF('Parametros Inventario'!$A:$A,B2510,'Parametros Inventario'!$B:$B)+SUMIFS(D$2:D2510,B$2:B2510,B2510,C$2:C2510,"ENTRADA")-SUMIFS(D$2:D2510,B$2:B2510,B2510,C$2:C2510,"SALIDA")</f>
        <v>11477.991000000002</v>
      </c>
    </row>
    <row r="2511" spans="1:5" x14ac:dyDescent="0.3">
      <c r="A2511" s="9">
        <f>'Volúmenes DIstribuidos '!B1593</f>
        <v>44974</v>
      </c>
      <c r="B2511" s="10" t="str">
        <f>IF(OR('Volúmenes DIstribuidos '!C1594="Azúcar",'Volúmenes DIstribuidos '!C1594="azúcar"),"Azúcar o dulce",IF('Volúmenes DIstribuidos '!C1594="Aceite","Aceite o grasas",IF('Volúmenes DIstribuidos '!C1594="Avena","Otros almidones",'Volúmenes DIstribuidos '!C1594)))</f>
        <v>Azúcar o dulce</v>
      </c>
      <c r="C2511" s="10" t="s">
        <v>29</v>
      </c>
      <c r="D2511" s="12">
        <f>'Volúmenes DIstribuidos '!D1594</f>
        <v>16.393999999999998</v>
      </c>
      <c r="E2511" s="12">
        <f>SUMIF('Parametros Inventario'!$A:$A,B2511,'Parametros Inventario'!$B:$B)+SUMIFS(D$2:D2511,B$2:B2511,B2511,C$2:C2511,"ENTRADA")-SUMIFS(D$2:D2511,B$2:B2511,B2511,C$2:C2511,"SALIDA")</f>
        <v>11194.614000000001</v>
      </c>
    </row>
    <row r="2512" spans="1:5" x14ac:dyDescent="0.3">
      <c r="A2512" s="9">
        <f>'Volúmenes DIstribuidos '!B1593</f>
        <v>44974</v>
      </c>
      <c r="B2512" s="10" t="str">
        <f>IF(OR('Volúmenes DIstribuidos '!C1595="Azúcar",'Volúmenes DIstribuidos '!C1595="azúcar"),"Azúcar o dulce",IF('Volúmenes DIstribuidos '!C1595="Aceite","Aceite o grasas",IF('Volúmenes DIstribuidos '!C1595="Avena","Otros almidones",'Volúmenes DIstribuidos '!C1595)))</f>
        <v>Salsas</v>
      </c>
      <c r="C2512" s="10" t="s">
        <v>29</v>
      </c>
      <c r="D2512" s="12">
        <f>'Volúmenes DIstribuidos '!D1595</f>
        <v>17.32</v>
      </c>
      <c r="E2512" s="12">
        <f>SUMIF('Parametros Inventario'!$A:$A,B2512,'Parametros Inventario'!$B:$B)+SUMIFS(D$2:D2512,B$2:B2512,B2512,C$2:C2512,"ENTRADA")-SUMIFS(D$2:D2512,B$2:B2512,B2512,C$2:C2512,"SALIDA")</f>
        <v>10926.999999999996</v>
      </c>
    </row>
    <row r="2513" spans="1:5" x14ac:dyDescent="0.3">
      <c r="A2513" s="9">
        <f>'Volúmenes DIstribuidos '!B1593</f>
        <v>44974</v>
      </c>
      <c r="B2513" s="10" t="str">
        <f>IF(OR('Volúmenes DIstribuidos '!C1596="Azúcar",'Volúmenes DIstribuidos '!C1596="azúcar"),"Azúcar o dulce",IF('Volúmenes DIstribuidos '!C1596="Aceite","Aceite o grasas",IF('Volúmenes DIstribuidos '!C1596="Avena","Otros almidones",'Volúmenes DIstribuidos '!C1596)))</f>
        <v>Menestras</v>
      </c>
      <c r="C2513" s="10" t="s">
        <v>29</v>
      </c>
      <c r="D2513" s="12">
        <f>'Volúmenes DIstribuidos '!D1596</f>
        <v>27.18</v>
      </c>
      <c r="E2513" s="12">
        <f>SUMIF('Parametros Inventario'!$A:$A,B2513,'Parametros Inventario'!$B:$B)+SUMIFS(D$2:D2513,B$2:B2513,B2513,C$2:C2513,"ENTRADA")-SUMIFS(D$2:D2513,B$2:B2513,B2513,C$2:C2513,"SALIDA")</f>
        <v>11695.691000000001</v>
      </c>
    </row>
    <row r="2514" spans="1:5" x14ac:dyDescent="0.3">
      <c r="A2514" s="9">
        <f>'Volúmenes DIstribuidos '!B1593</f>
        <v>44974</v>
      </c>
      <c r="B2514" s="10" t="str">
        <f>IF(OR('Volúmenes DIstribuidos '!C1597="Azúcar",'Volúmenes DIstribuidos '!C1597="azúcar"),"Azúcar o dulce",IF('Volúmenes DIstribuidos '!C1597="Aceite","Aceite o grasas",IF('Volúmenes DIstribuidos '!C1597="Avena","Otros almidones",'Volúmenes DIstribuidos '!C1597)))</f>
        <v>Otros almidones</v>
      </c>
      <c r="C2514" s="10" t="s">
        <v>29</v>
      </c>
      <c r="D2514" s="12">
        <f>'Volúmenes DIstribuidos '!D1597</f>
        <v>35.32</v>
      </c>
      <c r="E2514" s="12">
        <f>SUMIF('Parametros Inventario'!$A:$A,B2514,'Parametros Inventario'!$B:$B)+SUMIFS(D$2:D2514,B$2:B2514,B2514,C$2:C2514,"ENTRADA")-SUMIFS(D$2:D2514,B$2:B2514,B2514,C$2:C2514,"SALIDA")</f>
        <v>11313.778999999999</v>
      </c>
    </row>
    <row r="2515" spans="1:5" x14ac:dyDescent="0.3">
      <c r="A2515" s="9">
        <f>'Volúmenes DIstribuidos '!B1593</f>
        <v>44974</v>
      </c>
      <c r="B2515" s="10" t="str">
        <f>IF(OR('Volúmenes DIstribuidos '!C1598="Azúcar",'Volúmenes DIstribuidos '!C1598="azúcar"),"Azúcar o dulce",IF('Volúmenes DIstribuidos '!C1598="Aceite","Aceite o grasas",IF('Volúmenes DIstribuidos '!C1598="Avena","Otros almidones",'Volúmenes DIstribuidos '!C1598)))</f>
        <v>Aceite o grasas</v>
      </c>
      <c r="C2515" s="10" t="s">
        <v>29</v>
      </c>
      <c r="D2515" s="12">
        <f>'Volúmenes DIstribuidos '!D1598</f>
        <v>61.997999999999998</v>
      </c>
      <c r="E2515" s="12">
        <f>SUMIF('Parametros Inventario'!$A:$A,B2515,'Parametros Inventario'!$B:$B)+SUMIFS(D$2:D2515,B$2:B2515,B2515,C$2:C2515,"ENTRADA")-SUMIFS(D$2:D2515,B$2:B2515,B2515,C$2:C2515,"SALIDA")</f>
        <v>10348.848000000002</v>
      </c>
    </row>
    <row r="2516" spans="1:5" x14ac:dyDescent="0.3">
      <c r="A2516" s="9">
        <f>'Volúmenes DIstribuidos '!B1599</f>
        <v>44978</v>
      </c>
      <c r="B2516" s="10" t="str">
        <f>IF(OR('Volúmenes DIstribuidos '!C1599="Azúcar",'Volúmenes DIstribuidos '!C1599="azúcar"),"Azúcar o dulce",IF('Volúmenes DIstribuidos '!C1599="Aceite","Aceite o grasas",IF('Volúmenes DIstribuidos '!C1599="Avena","Otros almidones",'Volúmenes DIstribuidos '!C1599)))</f>
        <v>Panadería</v>
      </c>
      <c r="C2516" s="10" t="s">
        <v>29</v>
      </c>
      <c r="D2516" s="12">
        <f>'Volúmenes DIstribuidos '!D1599</f>
        <v>35.56</v>
      </c>
      <c r="E2516" s="12">
        <f>SUMIF('Parametros Inventario'!$A:$A,B2516,'Parametros Inventario'!$B:$B)+SUMIFS(D$2:D2516,B$2:B2516,B2516,C$2:C2516,"ENTRADA")-SUMIFS(D$2:D2516,B$2:B2516,B2516,C$2:C2516,"SALIDA")</f>
        <v>9118.6850000000013</v>
      </c>
    </row>
    <row r="2517" spans="1:5" x14ac:dyDescent="0.3">
      <c r="A2517" s="9">
        <f>'Volúmenes DIstribuidos '!B1599</f>
        <v>44978</v>
      </c>
      <c r="B2517" s="10" t="str">
        <f>IF(OR('Volúmenes DIstribuidos '!C1600="Azúcar",'Volúmenes DIstribuidos '!C1600="azúcar"),"Azúcar o dulce",IF('Volúmenes DIstribuidos '!C1600="Aceite","Aceite o grasas",IF('Volúmenes DIstribuidos '!C1600="Avena","Otros almidones",'Volúmenes DIstribuidos '!C1600)))</f>
        <v>Menestras</v>
      </c>
      <c r="C2517" s="10" t="s">
        <v>29</v>
      </c>
      <c r="D2517" s="12">
        <f>'Volúmenes DIstribuidos '!D1600</f>
        <v>43.88</v>
      </c>
      <c r="E2517" s="12">
        <f>SUMIF('Parametros Inventario'!$A:$A,B2517,'Parametros Inventario'!$B:$B)+SUMIFS(D$2:D2517,B$2:B2517,B2517,C$2:C2517,"ENTRADA")-SUMIFS(D$2:D2517,B$2:B2517,B2517,C$2:C2517,"SALIDA")</f>
        <v>11651.811000000002</v>
      </c>
    </row>
    <row r="2518" spans="1:5" x14ac:dyDescent="0.3">
      <c r="A2518" s="9">
        <f>'Volúmenes DIstribuidos '!B1599</f>
        <v>44978</v>
      </c>
      <c r="B2518" s="10" t="str">
        <f>IF(OR('Volúmenes DIstribuidos '!C1601="Azúcar",'Volúmenes DIstribuidos '!C1601="azúcar"),"Azúcar o dulce",IF('Volúmenes DIstribuidos '!C1601="Aceite","Aceite o grasas",IF('Volúmenes DIstribuidos '!C1601="Avena","Otros almidones",'Volúmenes DIstribuidos '!C1601)))</f>
        <v>Carnes rojas</v>
      </c>
      <c r="C2518" s="10" t="s">
        <v>29</v>
      </c>
      <c r="D2518" s="12">
        <f>'Volúmenes DIstribuidos '!D1601</f>
        <v>40.99</v>
      </c>
      <c r="E2518" s="12">
        <f>SUMIF('Parametros Inventario'!$A:$A,B2518,'Parametros Inventario'!$B:$B)+SUMIFS(D$2:D2518,B$2:B2518,B2518,C$2:C2518,"ENTRADA")-SUMIFS(D$2:D2518,B$2:B2518,B2518,C$2:C2518,"SALIDA")</f>
        <v>11401.100000000002</v>
      </c>
    </row>
    <row r="2519" spans="1:5" x14ac:dyDescent="0.3">
      <c r="A2519" s="9">
        <f>'Volúmenes DIstribuidos '!B1599</f>
        <v>44978</v>
      </c>
      <c r="B2519" s="10" t="str">
        <f>IF(OR('Volúmenes DIstribuidos '!C1602="Azúcar",'Volúmenes DIstribuidos '!C1602="azúcar"),"Azúcar o dulce",IF('Volúmenes DIstribuidos '!C1602="Aceite","Aceite o grasas",IF('Volúmenes DIstribuidos '!C1602="Avena","Otros almidones",'Volúmenes DIstribuidos '!C1602)))</f>
        <v>Lácteos</v>
      </c>
      <c r="C2519" s="10" t="s">
        <v>29</v>
      </c>
      <c r="D2519" s="12">
        <f>'Volúmenes DIstribuidos '!D1602</f>
        <v>7.7670000000000003</v>
      </c>
      <c r="E2519" s="12">
        <f>SUMIF('Parametros Inventario'!$A:$A,B2519,'Parametros Inventario'!$B:$B)+SUMIFS(D$2:D2519,B$2:B2519,B2519,C$2:C2519,"ENTRADA")-SUMIFS(D$2:D2519,B$2:B2519,B2519,C$2:C2519,"SALIDA")</f>
        <v>9681.9080000000031</v>
      </c>
    </row>
    <row r="2520" spans="1:5" x14ac:dyDescent="0.3">
      <c r="A2520" s="9">
        <f>'Volúmenes DIstribuidos '!B1599</f>
        <v>44978</v>
      </c>
      <c r="B2520" s="10" t="str">
        <f>IF(OR('Volúmenes DIstribuidos '!C1603="Azúcar",'Volúmenes DIstribuidos '!C1603="azúcar"),"Azúcar o dulce",IF('Volúmenes DIstribuidos '!C1603="Aceite","Aceite o grasas",IF('Volúmenes DIstribuidos '!C1603="Avena","Otros almidones",'Volúmenes DIstribuidos '!C1603)))</f>
        <v>Aceite o grasas</v>
      </c>
      <c r="C2520" s="10" t="s">
        <v>29</v>
      </c>
      <c r="D2520" s="12">
        <f>'Volúmenes DIstribuidos '!D1603</f>
        <v>60.29</v>
      </c>
      <c r="E2520" s="12">
        <f>SUMIF('Parametros Inventario'!$A:$A,B2520,'Parametros Inventario'!$B:$B)+SUMIFS(D$2:D2520,B$2:B2520,B2520,C$2:C2520,"ENTRADA")-SUMIFS(D$2:D2520,B$2:B2520,B2520,C$2:C2520,"SALIDA")</f>
        <v>10288.558000000003</v>
      </c>
    </row>
    <row r="2521" spans="1:5" x14ac:dyDescent="0.3">
      <c r="A2521" s="9">
        <f>'Volúmenes DIstribuidos '!B1599</f>
        <v>44978</v>
      </c>
      <c r="B2521" s="10" t="str">
        <f>IF(OR('Volúmenes DIstribuidos '!C1604="Azúcar",'Volúmenes DIstribuidos '!C1604="azúcar"),"Azúcar o dulce",IF('Volúmenes DIstribuidos '!C1604="Aceite","Aceite o grasas",IF('Volúmenes DIstribuidos '!C1604="Avena","Otros almidones",'Volúmenes DIstribuidos '!C1604)))</f>
        <v>Fideo</v>
      </c>
      <c r="C2521" s="10" t="s">
        <v>29</v>
      </c>
      <c r="D2521" s="12">
        <f>'Volúmenes DIstribuidos '!D1604</f>
        <v>90.38</v>
      </c>
      <c r="E2521" s="12">
        <f>SUMIF('Parametros Inventario'!$A:$A,B2521,'Parametros Inventario'!$B:$B)+SUMIFS(D$2:D2521,B$2:B2521,B2521,C$2:C2521,"ENTRADA")-SUMIFS(D$2:D2521,B$2:B2521,B2521,C$2:C2521,"SALIDA")</f>
        <v>12188.843000000001</v>
      </c>
    </row>
    <row r="2522" spans="1:5" x14ac:dyDescent="0.3">
      <c r="A2522" s="9">
        <v>44981</v>
      </c>
      <c r="B2522" s="10" t="s">
        <v>12</v>
      </c>
      <c r="C2522" s="10" t="s">
        <v>28</v>
      </c>
      <c r="D2522" s="12">
        <v>137.13999999999999</v>
      </c>
      <c r="E2522" s="12">
        <f>SUMIF('Parametros Inventario'!$A:$A,B2522,'Parametros Inventario'!$B:$B)+SUMIFS(D$2:D2522,B$2:B2522,B2522,C$2:C2522,"ENTRADA")-SUMIFS(D$2:D2522,B$2:B2522,B2522,C$2:C2522,"SALIDA")</f>
        <v>11538.240000000002</v>
      </c>
    </row>
    <row r="2523" spans="1:5" x14ac:dyDescent="0.3">
      <c r="A2523" s="9">
        <v>44981</v>
      </c>
      <c r="B2523" s="10" t="s">
        <v>16</v>
      </c>
      <c r="C2523" s="10" t="s">
        <v>28</v>
      </c>
      <c r="D2523" s="12">
        <v>227.28</v>
      </c>
      <c r="E2523" s="12">
        <f>SUMIF('Parametros Inventario'!$A:$A,B2523,'Parametros Inventario'!$B:$B)+SUMIFS(D$2:D2523,B$2:B2523,B2523,C$2:C2523,"ENTRADA")-SUMIFS(D$2:D2523,B$2:B2523,B2523,C$2:C2523,"SALIDA")</f>
        <v>11705.271000000001</v>
      </c>
    </row>
    <row r="2524" spans="1:5" x14ac:dyDescent="0.3">
      <c r="A2524" s="9">
        <v>44981</v>
      </c>
      <c r="B2524" s="10" t="s">
        <v>17</v>
      </c>
      <c r="C2524" s="10" t="s">
        <v>28</v>
      </c>
      <c r="D2524" s="12">
        <v>208.74</v>
      </c>
      <c r="E2524" s="12">
        <f>SUMIF('Parametros Inventario'!$A:$A,B2524,'Parametros Inventario'!$B:$B)+SUMIFS(D$2:D2524,B$2:B2524,B2524,C$2:C2524,"ENTRADA")-SUMIFS(D$2:D2524,B$2:B2524,B2524,C$2:C2524,"SALIDA")</f>
        <v>9890.6480000000029</v>
      </c>
    </row>
    <row r="2525" spans="1:5" x14ac:dyDescent="0.3">
      <c r="A2525" s="9">
        <v>44981</v>
      </c>
      <c r="B2525" s="10" t="s">
        <v>18</v>
      </c>
      <c r="C2525" s="10" t="s">
        <v>28</v>
      </c>
      <c r="D2525" s="12">
        <v>142.05000000000001</v>
      </c>
      <c r="E2525" s="12">
        <f>SUMIF('Parametros Inventario'!$A:$A,B2525,'Parametros Inventario'!$B:$B)+SUMIFS(D$2:D2525,B$2:B2525,B2525,C$2:C2525,"ENTRADA")-SUMIFS(D$2:D2525,B$2:B2525,B2525,C$2:C2525,"SALIDA")</f>
        <v>11069.049999999996</v>
      </c>
    </row>
    <row r="2526" spans="1:5" x14ac:dyDescent="0.3">
      <c r="A2526" s="9">
        <v>44981</v>
      </c>
      <c r="B2526" s="10" t="s">
        <v>10</v>
      </c>
      <c r="C2526" s="10" t="s">
        <v>28</v>
      </c>
      <c r="D2526" s="12">
        <v>64.430000000000007</v>
      </c>
      <c r="E2526" s="12">
        <f>SUMIF('Parametros Inventario'!$A:$A,B2526,'Parametros Inventario'!$B:$B)+SUMIFS(D$2:D2526,B$2:B2526,B2526,C$2:C2526,"ENTRADA")-SUMIFS(D$2:D2526,B$2:B2526,B2526,C$2:C2526,"SALIDA")</f>
        <v>12341.261999999995</v>
      </c>
    </row>
    <row r="2527" spans="1:5" x14ac:dyDescent="0.3">
      <c r="A2527" s="9">
        <v>44981</v>
      </c>
      <c r="B2527" s="10" t="s">
        <v>8</v>
      </c>
      <c r="C2527" s="10" t="s">
        <v>28</v>
      </c>
      <c r="D2527" s="12">
        <v>146.33000000000001</v>
      </c>
      <c r="E2527" s="12">
        <f>SUMIF('Parametros Inventario'!$A:$A,B2527,'Parametros Inventario'!$B:$B)+SUMIFS(D$2:D2527,B$2:B2527,B2527,C$2:C2527,"ENTRADA")-SUMIFS(D$2:D2527,B$2:B2527,B2527,C$2:C2527,"SALIDA")</f>
        <v>10434.888000000003</v>
      </c>
    </row>
    <row r="2528" spans="1:5" x14ac:dyDescent="0.3">
      <c r="A2528" s="9">
        <v>44981</v>
      </c>
      <c r="B2528" s="10" t="s">
        <v>13</v>
      </c>
      <c r="C2528" s="10" t="s">
        <v>28</v>
      </c>
      <c r="D2528" s="12">
        <v>156.01</v>
      </c>
      <c r="E2528" s="12">
        <f>SUMIF('Parametros Inventario'!$A:$A,B2528,'Parametros Inventario'!$B:$B)+SUMIFS(D$2:D2528,B$2:B2528,B2528,C$2:C2528,"ENTRADA")-SUMIFS(D$2:D2528,B$2:B2528,B2528,C$2:C2528,"SALIDA")</f>
        <v>11350.624</v>
      </c>
    </row>
    <row r="2529" spans="1:5" x14ac:dyDescent="0.3">
      <c r="A2529" s="9">
        <v>44981</v>
      </c>
      <c r="B2529" s="10" t="s">
        <v>15</v>
      </c>
      <c r="C2529" s="10" t="s">
        <v>28</v>
      </c>
      <c r="D2529" s="12">
        <v>111.7</v>
      </c>
      <c r="E2529" s="12">
        <f>SUMIF('Parametros Inventario'!$A:$A,B2529,'Parametros Inventario'!$B:$B)+SUMIFS(D$2:D2529,B$2:B2529,B2529,C$2:C2529,"ENTRADA")-SUMIFS(D$2:D2529,B$2:B2529,B2529,C$2:C2529,"SALIDA")</f>
        <v>11425.478999999999</v>
      </c>
    </row>
    <row r="2530" spans="1:5" x14ac:dyDescent="0.3">
      <c r="A2530" s="9">
        <f>'Volúmenes DIstribuidos '!B1605</f>
        <v>44981</v>
      </c>
      <c r="B2530" s="10" t="str">
        <f>IF(OR('Volúmenes DIstribuidos '!C1605="Azúcar",'Volúmenes DIstribuidos '!C1605="azúcar"),"Azúcar o dulce",IF('Volúmenes DIstribuidos '!C1605="Aceite","Aceite o grasas",IF('Volúmenes DIstribuidos '!C1605="Avena","Otros almidones",'Volúmenes DIstribuidos '!C1605)))</f>
        <v>Azúcar o dulce</v>
      </c>
      <c r="C2530" s="10" t="s">
        <v>29</v>
      </c>
      <c r="D2530" s="12">
        <f>'Volúmenes DIstribuidos '!D1605</f>
        <v>33.33</v>
      </c>
      <c r="E2530" s="12">
        <f>SUMIF('Parametros Inventario'!$A:$A,B2530,'Parametros Inventario'!$B:$B)+SUMIFS(D$2:D2530,B$2:B2530,B2530,C$2:C2530,"ENTRADA")-SUMIFS(D$2:D2530,B$2:B2530,B2530,C$2:C2530,"SALIDA")</f>
        <v>11317.294000000002</v>
      </c>
    </row>
    <row r="2531" spans="1:5" x14ac:dyDescent="0.3">
      <c r="A2531" s="9">
        <f>'Volúmenes DIstribuidos '!B1605</f>
        <v>44981</v>
      </c>
      <c r="B2531" s="10" t="str">
        <f>IF(OR('Volúmenes DIstribuidos '!C1606="Azúcar",'Volúmenes DIstribuidos '!C1606="azúcar"),"Azúcar o dulce",IF('Volúmenes DIstribuidos '!C1606="Aceite","Aceite o grasas",IF('Volúmenes DIstribuidos '!C1606="Avena","Otros almidones",'Volúmenes DIstribuidos '!C1606)))</f>
        <v>Panadería</v>
      </c>
      <c r="C2531" s="10" t="s">
        <v>29</v>
      </c>
      <c r="D2531" s="12">
        <f>'Volúmenes DIstribuidos '!D1606</f>
        <v>5.2539999999999996</v>
      </c>
      <c r="E2531" s="12">
        <f>SUMIF('Parametros Inventario'!$A:$A,B2531,'Parametros Inventario'!$B:$B)+SUMIFS(D$2:D2531,B$2:B2531,B2531,C$2:C2531,"ENTRADA")-SUMIFS(D$2:D2531,B$2:B2531,B2531,C$2:C2531,"SALIDA")</f>
        <v>9113.4310000000023</v>
      </c>
    </row>
    <row r="2532" spans="1:5" x14ac:dyDescent="0.3">
      <c r="A2532" s="9">
        <f>'Volúmenes DIstribuidos '!B1605</f>
        <v>44981</v>
      </c>
      <c r="B2532" s="10" t="str">
        <f>IF(OR('Volúmenes DIstribuidos '!C1607="Azúcar",'Volúmenes DIstribuidos '!C1607="azúcar"),"Azúcar o dulce",IF('Volúmenes DIstribuidos '!C1607="Aceite","Aceite o grasas",IF('Volúmenes DIstribuidos '!C1607="Avena","Otros almidones",'Volúmenes DIstribuidos '!C1607)))</f>
        <v>Aceite o grasas</v>
      </c>
      <c r="C2532" s="10" t="s">
        <v>29</v>
      </c>
      <c r="D2532" s="12">
        <f>'Volúmenes DIstribuidos '!D1607</f>
        <v>8.08</v>
      </c>
      <c r="E2532" s="12">
        <f>SUMIF('Parametros Inventario'!$A:$A,B2532,'Parametros Inventario'!$B:$B)+SUMIFS(D$2:D2532,B$2:B2532,B2532,C$2:C2532,"ENTRADA")-SUMIFS(D$2:D2532,B$2:B2532,B2532,C$2:C2532,"SALIDA")</f>
        <v>10426.808000000003</v>
      </c>
    </row>
    <row r="2533" spans="1:5" x14ac:dyDescent="0.3">
      <c r="A2533" s="9">
        <f>'Volúmenes DIstribuidos '!B1605</f>
        <v>44981</v>
      </c>
      <c r="B2533" s="10" t="str">
        <f>IF(OR('Volúmenes DIstribuidos '!C1608="Azúcar",'Volúmenes DIstribuidos '!C1608="azúcar"),"Azúcar o dulce",IF('Volúmenes DIstribuidos '!C1608="Aceite","Aceite o grasas",IF('Volúmenes DIstribuidos '!C1608="Avena","Otros almidones",'Volúmenes DIstribuidos '!C1608)))</f>
        <v>Carnes rojas</v>
      </c>
      <c r="C2533" s="10" t="s">
        <v>29</v>
      </c>
      <c r="D2533" s="12">
        <f>'Volúmenes DIstribuidos '!D1608</f>
        <v>9.73</v>
      </c>
      <c r="E2533" s="12">
        <f>SUMIF('Parametros Inventario'!$A:$A,B2533,'Parametros Inventario'!$B:$B)+SUMIFS(D$2:D2533,B$2:B2533,B2533,C$2:C2533,"ENTRADA")-SUMIFS(D$2:D2533,B$2:B2533,B2533,C$2:C2533,"SALIDA")</f>
        <v>11528.510000000002</v>
      </c>
    </row>
    <row r="2534" spans="1:5" x14ac:dyDescent="0.3">
      <c r="A2534" s="9">
        <f>'Volúmenes DIstribuidos '!B1605</f>
        <v>44981</v>
      </c>
      <c r="B2534" s="10" t="str">
        <f>IF(OR('Volúmenes DIstribuidos '!C1609="Azúcar",'Volúmenes DIstribuidos '!C1609="azúcar"),"Azúcar o dulce",IF('Volúmenes DIstribuidos '!C1609="Aceite","Aceite o grasas",IF('Volúmenes DIstribuidos '!C1609="Avena","Otros almidones",'Volúmenes DIstribuidos '!C1609)))</f>
        <v>Lácteos</v>
      </c>
      <c r="C2534" s="10" t="s">
        <v>29</v>
      </c>
      <c r="D2534" s="12">
        <f>'Volúmenes DIstribuidos '!D1609</f>
        <v>14.35</v>
      </c>
      <c r="E2534" s="12">
        <f>SUMIF('Parametros Inventario'!$A:$A,B2534,'Parametros Inventario'!$B:$B)+SUMIFS(D$2:D2534,B$2:B2534,B2534,C$2:C2534,"ENTRADA")-SUMIFS(D$2:D2534,B$2:B2534,B2534,C$2:C2534,"SALIDA")</f>
        <v>9876.2980000000025</v>
      </c>
    </row>
    <row r="2535" spans="1:5" x14ac:dyDescent="0.3">
      <c r="A2535" s="9">
        <f>'Volúmenes DIstribuidos '!B1605</f>
        <v>44981</v>
      </c>
      <c r="B2535" s="10" t="str">
        <f>IF(OR('Volúmenes DIstribuidos '!C1610="Azúcar",'Volúmenes DIstribuidos '!C1610="azúcar"),"Azúcar o dulce",IF('Volúmenes DIstribuidos '!C1610="Aceite","Aceite o grasas",IF('Volúmenes DIstribuidos '!C1610="Avena","Otros almidones",'Volúmenes DIstribuidos '!C1610)))</f>
        <v>Menestras</v>
      </c>
      <c r="C2535" s="10" t="s">
        <v>29</v>
      </c>
      <c r="D2535" s="12">
        <f>'Volúmenes DIstribuidos '!D1610</f>
        <v>19.190000000000001</v>
      </c>
      <c r="E2535" s="12">
        <f>SUMIF('Parametros Inventario'!$A:$A,B2535,'Parametros Inventario'!$B:$B)+SUMIFS(D$2:D2535,B$2:B2535,B2535,C$2:C2535,"ENTRADA")-SUMIFS(D$2:D2535,B$2:B2535,B2535,C$2:C2535,"SALIDA")</f>
        <v>11632.621000000001</v>
      </c>
    </row>
    <row r="2536" spans="1:5" x14ac:dyDescent="0.3">
      <c r="A2536" s="9">
        <f>'Volúmenes DIstribuidos '!B1611</f>
        <v>44985</v>
      </c>
      <c r="B2536" s="10" t="str">
        <f>IF(OR('Volúmenes DIstribuidos '!C1611="Azúcar",'Volúmenes DIstribuidos '!C1611="azúcar"),"Azúcar o dulce",IF('Volúmenes DIstribuidos '!C1611="Aceite","Aceite o grasas",IF('Volúmenes DIstribuidos '!C1611="Avena","Otros almidones",'Volúmenes DIstribuidos '!C1611)))</f>
        <v>Otros almidones</v>
      </c>
      <c r="C2536" s="10" t="s">
        <v>29</v>
      </c>
      <c r="D2536" s="12">
        <f>'Volúmenes DIstribuidos '!D1611</f>
        <v>5.15</v>
      </c>
      <c r="E2536" s="12">
        <f>SUMIF('Parametros Inventario'!$A:$A,B2536,'Parametros Inventario'!$B:$B)+SUMIFS(D$2:D2536,B$2:B2536,B2536,C$2:C2536,"ENTRADA")-SUMIFS(D$2:D2536,B$2:B2536,B2536,C$2:C2536,"SALIDA")</f>
        <v>11420.329</v>
      </c>
    </row>
    <row r="2537" spans="1:5" x14ac:dyDescent="0.3">
      <c r="A2537" s="9">
        <f>'Volúmenes DIstribuidos '!B1611</f>
        <v>44985</v>
      </c>
      <c r="B2537" s="10" t="str">
        <f>IF(OR('Volúmenes DIstribuidos '!C1612="Azúcar",'Volúmenes DIstribuidos '!C1612="azúcar"),"Azúcar o dulce",IF('Volúmenes DIstribuidos '!C1612="Aceite","Aceite o grasas",IF('Volúmenes DIstribuidos '!C1612="Avena","Otros almidones",'Volúmenes DIstribuidos '!C1612)))</f>
        <v>Panadería</v>
      </c>
      <c r="C2537" s="10" t="s">
        <v>29</v>
      </c>
      <c r="D2537" s="12">
        <f>'Volúmenes DIstribuidos '!D1612</f>
        <v>31.629000000000001</v>
      </c>
      <c r="E2537" s="12">
        <f>SUMIF('Parametros Inventario'!$A:$A,B2537,'Parametros Inventario'!$B:$B)+SUMIFS(D$2:D2537,B$2:B2537,B2537,C$2:C2537,"ENTRADA")-SUMIFS(D$2:D2537,B$2:B2537,B2537,C$2:C2537,"SALIDA")</f>
        <v>9081.8020000000033</v>
      </c>
    </row>
    <row r="2538" spans="1:5" x14ac:dyDescent="0.3">
      <c r="A2538" s="9">
        <f>'Volúmenes DIstribuidos '!B1611</f>
        <v>44985</v>
      </c>
      <c r="B2538" s="10" t="str">
        <f>IF(OR('Volúmenes DIstribuidos '!C1613="Azúcar",'Volúmenes DIstribuidos '!C1613="azúcar"),"Azúcar o dulce",IF('Volúmenes DIstribuidos '!C1613="Aceite","Aceite o grasas",IF('Volúmenes DIstribuidos '!C1613="Avena","Otros almidones",'Volúmenes DIstribuidos '!C1613)))</f>
        <v>Aceite o grasas</v>
      </c>
      <c r="C2538" s="10" t="s">
        <v>29</v>
      </c>
      <c r="D2538" s="12">
        <f>'Volúmenes DIstribuidos '!D1613</f>
        <v>8.61</v>
      </c>
      <c r="E2538" s="12">
        <f>SUMIF('Parametros Inventario'!$A:$A,B2538,'Parametros Inventario'!$B:$B)+SUMIFS(D$2:D2538,B$2:B2538,B2538,C$2:C2538,"ENTRADA")-SUMIFS(D$2:D2538,B$2:B2538,B2538,C$2:C2538,"SALIDA")</f>
        <v>10418.198000000004</v>
      </c>
    </row>
    <row r="2539" spans="1:5" x14ac:dyDescent="0.3">
      <c r="A2539" s="9">
        <f>'Volúmenes DIstribuidos '!B1611</f>
        <v>44985</v>
      </c>
      <c r="B2539" s="10" t="str">
        <f>IF(OR('Volúmenes DIstribuidos '!C1614="Azúcar",'Volúmenes DIstribuidos '!C1614="azúcar"),"Azúcar o dulce",IF('Volúmenes DIstribuidos '!C1614="Aceite","Aceite o grasas",IF('Volúmenes DIstribuidos '!C1614="Avena","Otros almidones",'Volúmenes DIstribuidos '!C1614)))</f>
        <v>Salsas</v>
      </c>
      <c r="C2539" s="10" t="s">
        <v>29</v>
      </c>
      <c r="D2539" s="12">
        <f>'Volúmenes DIstribuidos '!D1614</f>
        <v>15.49</v>
      </c>
      <c r="E2539" s="12">
        <f>SUMIF('Parametros Inventario'!$A:$A,B2539,'Parametros Inventario'!$B:$B)+SUMIFS(D$2:D2539,B$2:B2539,B2539,C$2:C2539,"ENTRADA")-SUMIFS(D$2:D2539,B$2:B2539,B2539,C$2:C2539,"SALIDA")</f>
        <v>11053.559999999998</v>
      </c>
    </row>
    <row r="2540" spans="1:5" x14ac:dyDescent="0.3">
      <c r="A2540" s="9">
        <f>'Volúmenes DIstribuidos '!B1611</f>
        <v>44985</v>
      </c>
      <c r="B2540" s="10" t="str">
        <f>IF(OR('Volúmenes DIstribuidos '!C1615="Azúcar",'Volúmenes DIstribuidos '!C1615="azúcar"),"Azúcar o dulce",IF('Volúmenes DIstribuidos '!C1615="Aceite","Aceite o grasas",IF('Volúmenes DIstribuidos '!C1615="Avena","Otros almidones",'Volúmenes DIstribuidos '!C1615)))</f>
        <v>Menestras</v>
      </c>
      <c r="C2540" s="10" t="s">
        <v>29</v>
      </c>
      <c r="D2540" s="12">
        <f>'Volúmenes DIstribuidos '!D1615</f>
        <v>32.200000000000003</v>
      </c>
      <c r="E2540" s="12">
        <f>SUMIF('Parametros Inventario'!$A:$A,B2540,'Parametros Inventario'!$B:$B)+SUMIFS(D$2:D2540,B$2:B2540,B2540,C$2:C2540,"ENTRADA")-SUMIFS(D$2:D2540,B$2:B2540,B2540,C$2:C2540,"SALIDA")</f>
        <v>11600.421000000002</v>
      </c>
    </row>
    <row r="2541" spans="1:5" x14ac:dyDescent="0.3">
      <c r="A2541" s="9">
        <f>'Volúmenes DIstribuidos '!B1611</f>
        <v>44985</v>
      </c>
      <c r="B2541" s="10" t="str">
        <f>IF(OR('Volúmenes DIstribuidos '!C1616="Azúcar",'Volúmenes DIstribuidos '!C1616="azúcar"),"Azúcar o dulce",IF('Volúmenes DIstribuidos '!C1616="Aceite","Aceite o grasas",IF('Volúmenes DIstribuidos '!C1616="Avena","Otros almidones",'Volúmenes DIstribuidos '!C1616)))</f>
        <v>Vegetales y hojas</v>
      </c>
      <c r="C2541" s="10" t="s">
        <v>29</v>
      </c>
      <c r="D2541" s="12">
        <f>'Volúmenes DIstribuidos '!D1616</f>
        <v>32.880000000000003</v>
      </c>
      <c r="E2541" s="12">
        <f>SUMIF('Parametros Inventario'!$A:$A,B2541,'Parametros Inventario'!$B:$B)+SUMIFS(D$2:D2541,B$2:B2541,B2541,C$2:C2541,"ENTRADA")-SUMIFS(D$2:D2541,B$2:B2541,B2541,C$2:C2541,"SALIDA")</f>
        <v>12308.381999999994</v>
      </c>
    </row>
    <row r="2542" spans="1:5" x14ac:dyDescent="0.3">
      <c r="A2542" s="9">
        <v>44988</v>
      </c>
      <c r="B2542" s="10" t="s">
        <v>11</v>
      </c>
      <c r="C2542" s="10" t="s">
        <v>28</v>
      </c>
      <c r="D2542" s="12">
        <v>169.43</v>
      </c>
      <c r="E2542" s="12">
        <f>SUMIF('Parametros Inventario'!$A:$A,B2542,'Parametros Inventario'!$B:$B)+SUMIFS(D$2:D2542,B$2:B2542,B2542,C$2:C2542,"ENTRADA")-SUMIFS(D$2:D2542,B$2:B2542,B2542,C$2:C2542,"SALIDA")</f>
        <v>12358.273000000001</v>
      </c>
    </row>
    <row r="2543" spans="1:5" x14ac:dyDescent="0.3">
      <c r="A2543" s="9">
        <v>44988</v>
      </c>
      <c r="B2543" s="10" t="s">
        <v>9</v>
      </c>
      <c r="C2543" s="10" t="s">
        <v>28</v>
      </c>
      <c r="D2543" s="12">
        <v>280.37</v>
      </c>
      <c r="E2543" s="12">
        <f>SUMIF('Parametros Inventario'!$A:$A,B2543,'Parametros Inventario'!$B:$B)+SUMIFS(D$2:D2543,B$2:B2543,B2543,C$2:C2543,"ENTRADA")-SUMIFS(D$2:D2543,B$2:B2543,B2543,C$2:C2543,"SALIDA")</f>
        <v>9362.1720000000023</v>
      </c>
    </row>
    <row r="2544" spans="1:5" x14ac:dyDescent="0.3">
      <c r="A2544" s="9">
        <v>44988</v>
      </c>
      <c r="B2544" s="10" t="s">
        <v>14</v>
      </c>
      <c r="C2544" s="10" t="s">
        <v>28</v>
      </c>
      <c r="D2544" s="12">
        <v>140.35</v>
      </c>
      <c r="E2544" s="12">
        <f>SUMIF('Parametros Inventario'!$A:$A,B2544,'Parametros Inventario'!$B:$B)+SUMIFS(D$2:D2544,B$2:B2544,B2544,C$2:C2544,"ENTRADA")-SUMIFS(D$2:D2544,B$2:B2544,B2544,C$2:C2544,"SALIDA")</f>
        <v>11740.771000000001</v>
      </c>
    </row>
    <row r="2545" spans="1:5" x14ac:dyDescent="0.3">
      <c r="A2545" s="9">
        <v>44988</v>
      </c>
      <c r="B2545" s="10" t="s">
        <v>12</v>
      </c>
      <c r="C2545" s="10" t="s">
        <v>28</v>
      </c>
      <c r="D2545" s="12">
        <v>226.64</v>
      </c>
      <c r="E2545" s="12">
        <f>SUMIF('Parametros Inventario'!$A:$A,B2545,'Parametros Inventario'!$B:$B)+SUMIFS(D$2:D2545,B$2:B2545,B2545,C$2:C2545,"ENTRADA")-SUMIFS(D$2:D2545,B$2:B2545,B2545,C$2:C2545,"SALIDA")</f>
        <v>11755.150000000001</v>
      </c>
    </row>
    <row r="2546" spans="1:5" x14ac:dyDescent="0.3">
      <c r="A2546" s="9">
        <v>44988</v>
      </c>
      <c r="B2546" s="10" t="s">
        <v>16</v>
      </c>
      <c r="C2546" s="10" t="s">
        <v>28</v>
      </c>
      <c r="D2546" s="12">
        <v>57.06</v>
      </c>
      <c r="E2546" s="12">
        <f>SUMIF('Parametros Inventario'!$A:$A,B2546,'Parametros Inventario'!$B:$B)+SUMIFS(D$2:D2546,B$2:B2546,B2546,C$2:C2546,"ENTRADA")-SUMIFS(D$2:D2546,B$2:B2546,B2546,C$2:C2546,"SALIDA")</f>
        <v>11762.331000000002</v>
      </c>
    </row>
    <row r="2547" spans="1:5" x14ac:dyDescent="0.3">
      <c r="A2547" s="9">
        <v>44988</v>
      </c>
      <c r="B2547" s="10" t="s">
        <v>17</v>
      </c>
      <c r="C2547" s="10" t="s">
        <v>28</v>
      </c>
      <c r="D2547" s="12">
        <v>216.42</v>
      </c>
      <c r="E2547" s="12">
        <f>SUMIF('Parametros Inventario'!$A:$A,B2547,'Parametros Inventario'!$B:$B)+SUMIFS(D$2:D2547,B$2:B2547,B2547,C$2:C2547,"ENTRADA")-SUMIFS(D$2:D2547,B$2:B2547,B2547,C$2:C2547,"SALIDA")</f>
        <v>10092.718000000003</v>
      </c>
    </row>
    <row r="2548" spans="1:5" x14ac:dyDescent="0.3">
      <c r="A2548" s="9">
        <v>44988</v>
      </c>
      <c r="B2548" s="10" t="s">
        <v>18</v>
      </c>
      <c r="C2548" s="10" t="s">
        <v>28</v>
      </c>
      <c r="D2548" s="12">
        <v>86.97</v>
      </c>
      <c r="E2548" s="12">
        <f>SUMIF('Parametros Inventario'!$A:$A,B2548,'Parametros Inventario'!$B:$B)+SUMIFS(D$2:D2548,B$2:B2548,B2548,C$2:C2548,"ENTRADA")-SUMIFS(D$2:D2548,B$2:B2548,B2548,C$2:C2548,"SALIDA")</f>
        <v>11140.529999999995</v>
      </c>
    </row>
    <row r="2549" spans="1:5" x14ac:dyDescent="0.3">
      <c r="A2549" s="9">
        <v>44988</v>
      </c>
      <c r="B2549" s="10" t="s">
        <v>10</v>
      </c>
      <c r="C2549" s="10" t="s">
        <v>28</v>
      </c>
      <c r="D2549" s="12">
        <v>201.36</v>
      </c>
      <c r="E2549" s="12">
        <f>SUMIF('Parametros Inventario'!$A:$A,B2549,'Parametros Inventario'!$B:$B)+SUMIFS(D$2:D2549,B$2:B2549,B2549,C$2:C2549,"ENTRADA")-SUMIFS(D$2:D2549,B$2:B2549,B2549,C$2:C2549,"SALIDA")</f>
        <v>12509.741999999995</v>
      </c>
    </row>
    <row r="2550" spans="1:5" x14ac:dyDescent="0.3">
      <c r="A2550" s="9">
        <v>44988</v>
      </c>
      <c r="B2550" s="10" t="s">
        <v>8</v>
      </c>
      <c r="C2550" s="10" t="s">
        <v>28</v>
      </c>
      <c r="D2550" s="12">
        <v>286.07</v>
      </c>
      <c r="E2550" s="12">
        <f>SUMIF('Parametros Inventario'!$A:$A,B2550,'Parametros Inventario'!$B:$B)+SUMIFS(D$2:D2550,B$2:B2550,B2550,C$2:C2550,"ENTRADA")-SUMIFS(D$2:D2550,B$2:B2550,B2550,C$2:C2550,"SALIDA")</f>
        <v>10704.268000000004</v>
      </c>
    </row>
    <row r="2551" spans="1:5" x14ac:dyDescent="0.3">
      <c r="A2551" s="9">
        <v>44988</v>
      </c>
      <c r="B2551" s="10" t="s">
        <v>13</v>
      </c>
      <c r="C2551" s="10" t="s">
        <v>28</v>
      </c>
      <c r="D2551" s="12">
        <v>86.84</v>
      </c>
      <c r="E2551" s="12">
        <f>SUMIF('Parametros Inventario'!$A:$A,B2551,'Parametros Inventario'!$B:$B)+SUMIFS(D$2:D2551,B$2:B2551,B2551,C$2:C2551,"ENTRADA")-SUMIFS(D$2:D2551,B$2:B2551,B2551,C$2:C2551,"SALIDA")</f>
        <v>11404.134000000002</v>
      </c>
    </row>
    <row r="2552" spans="1:5" x14ac:dyDescent="0.3">
      <c r="A2552" s="9">
        <f>'Volúmenes DIstribuidos '!B1617</f>
        <v>44988</v>
      </c>
      <c r="B2552" s="10" t="str">
        <f>IF(OR('Volúmenes DIstribuidos '!C1617="Azúcar",'Volúmenes DIstribuidos '!C1617="azúcar"),"Azúcar o dulce",IF('Volúmenes DIstribuidos '!C1617="Aceite","Aceite o grasas",IF('Volúmenes DIstribuidos '!C1617="Avena","Otros almidones",'Volúmenes DIstribuidos '!C1617)))</f>
        <v>Carnes rojas</v>
      </c>
      <c r="C2552" s="10" t="s">
        <v>29</v>
      </c>
      <c r="D2552" s="12">
        <f>'Volúmenes DIstribuidos '!D1617</f>
        <v>37.451999999999998</v>
      </c>
      <c r="E2552" s="12">
        <f>SUMIF('Parametros Inventario'!$A:$A,B2552,'Parametros Inventario'!$B:$B)+SUMIFS(D$2:D2552,B$2:B2552,B2552,C$2:C2552,"ENTRADA")-SUMIFS(D$2:D2552,B$2:B2552,B2552,C$2:C2552,"SALIDA")</f>
        <v>11717.698</v>
      </c>
    </row>
    <row r="2553" spans="1:5" x14ac:dyDescent="0.3">
      <c r="A2553" s="9">
        <f>'Volúmenes DIstribuidos '!B1617</f>
        <v>44988</v>
      </c>
      <c r="B2553" s="10" t="str">
        <f>IF(OR('Volúmenes DIstribuidos '!C1618="Azúcar",'Volúmenes DIstribuidos '!C1618="azúcar"),"Azúcar o dulce",IF('Volúmenes DIstribuidos '!C1618="Aceite","Aceite o grasas",IF('Volúmenes DIstribuidos '!C1618="Avena","Otros almidones",'Volúmenes DIstribuidos '!C1618)))</f>
        <v>Menestras</v>
      </c>
      <c r="C2553" s="10" t="s">
        <v>29</v>
      </c>
      <c r="D2553" s="12">
        <f>'Volúmenes DIstribuidos '!D1618</f>
        <v>88.66</v>
      </c>
      <c r="E2553" s="12">
        <f>SUMIF('Parametros Inventario'!$A:$A,B2553,'Parametros Inventario'!$B:$B)+SUMIFS(D$2:D2553,B$2:B2553,B2553,C$2:C2553,"ENTRADA")-SUMIFS(D$2:D2553,B$2:B2553,B2553,C$2:C2553,"SALIDA")</f>
        <v>11652.111000000001</v>
      </c>
    </row>
    <row r="2554" spans="1:5" x14ac:dyDescent="0.3">
      <c r="A2554" s="9">
        <f>'Volúmenes DIstribuidos '!B1617</f>
        <v>44988</v>
      </c>
      <c r="B2554" s="10" t="str">
        <f>IF(OR('Volúmenes DIstribuidos '!C1619="Azúcar",'Volúmenes DIstribuidos '!C1619="azúcar"),"Azúcar o dulce",IF('Volúmenes DIstribuidos '!C1619="Aceite","Aceite o grasas",IF('Volúmenes DIstribuidos '!C1619="Avena","Otros almidones",'Volúmenes DIstribuidos '!C1619)))</f>
        <v>Panadería</v>
      </c>
      <c r="C2554" s="10" t="s">
        <v>29</v>
      </c>
      <c r="D2554" s="12">
        <f>'Volúmenes DIstribuidos '!D1619</f>
        <v>176.8</v>
      </c>
      <c r="E2554" s="12">
        <f>SUMIF('Parametros Inventario'!$A:$A,B2554,'Parametros Inventario'!$B:$B)+SUMIFS(D$2:D2554,B$2:B2554,B2554,C$2:C2554,"ENTRADA")-SUMIFS(D$2:D2554,B$2:B2554,B2554,C$2:C2554,"SALIDA")</f>
        <v>9185.372000000003</v>
      </c>
    </row>
    <row r="2555" spans="1:5" x14ac:dyDescent="0.3">
      <c r="A2555" s="9">
        <f>'Volúmenes DIstribuidos '!B1617</f>
        <v>44988</v>
      </c>
      <c r="B2555" s="10" t="str">
        <f>IF(OR('Volúmenes DIstribuidos '!C1620="Azúcar",'Volúmenes DIstribuidos '!C1620="azúcar"),"Azúcar o dulce",IF('Volúmenes DIstribuidos '!C1620="Aceite","Aceite o grasas",IF('Volúmenes DIstribuidos '!C1620="Avena","Otros almidones",'Volúmenes DIstribuidos '!C1620)))</f>
        <v>Fideo</v>
      </c>
      <c r="C2555" s="10" t="s">
        <v>29</v>
      </c>
      <c r="D2555" s="12">
        <f>'Volúmenes DIstribuidos '!D1620</f>
        <v>35.700000000000003</v>
      </c>
      <c r="E2555" s="12">
        <f>SUMIF('Parametros Inventario'!$A:$A,B2555,'Parametros Inventario'!$B:$B)+SUMIFS(D$2:D2555,B$2:B2555,B2555,C$2:C2555,"ENTRADA")-SUMIFS(D$2:D2555,B$2:B2555,B2555,C$2:C2555,"SALIDA")</f>
        <v>12322.573</v>
      </c>
    </row>
    <row r="2556" spans="1:5" x14ac:dyDescent="0.3">
      <c r="A2556" s="9">
        <f>'Volúmenes DIstribuidos '!B1617</f>
        <v>44988</v>
      </c>
      <c r="B2556" s="10" t="str">
        <f>IF(OR('Volúmenes DIstribuidos '!C1621="Azúcar",'Volúmenes DIstribuidos '!C1621="azúcar"),"Azúcar o dulce",IF('Volúmenes DIstribuidos '!C1621="Aceite","Aceite o grasas",IF('Volúmenes DIstribuidos '!C1621="Avena","Otros almidones",'Volúmenes DIstribuidos '!C1621)))</f>
        <v>Aceite o grasas</v>
      </c>
      <c r="C2556" s="10" t="s">
        <v>29</v>
      </c>
      <c r="D2556" s="12">
        <f>'Volúmenes DIstribuidos '!D1621</f>
        <v>111.36</v>
      </c>
      <c r="E2556" s="12">
        <f>SUMIF('Parametros Inventario'!$A:$A,B2556,'Parametros Inventario'!$B:$B)+SUMIFS(D$2:D2556,B$2:B2556,B2556,C$2:C2556,"ENTRADA")-SUMIFS(D$2:D2556,B$2:B2556,B2556,C$2:C2556,"SALIDA")</f>
        <v>10592.908000000003</v>
      </c>
    </row>
    <row r="2557" spans="1:5" x14ac:dyDescent="0.3">
      <c r="A2557" s="9">
        <f>'Volúmenes DIstribuidos '!B1617</f>
        <v>44988</v>
      </c>
      <c r="B2557" s="10" t="str">
        <f>IF(OR('Volúmenes DIstribuidos '!C1622="Azúcar",'Volúmenes DIstribuidos '!C1622="azúcar"),"Azúcar o dulce",IF('Volúmenes DIstribuidos '!C1622="Aceite","Aceite o grasas",IF('Volúmenes DIstribuidos '!C1622="Avena","Otros almidones",'Volúmenes DIstribuidos '!C1622)))</f>
        <v>Azúcar o dulce</v>
      </c>
      <c r="C2557" s="10" t="s">
        <v>29</v>
      </c>
      <c r="D2557" s="12">
        <f>'Volúmenes DIstribuidos '!D1622</f>
        <v>10.917999999999999</v>
      </c>
      <c r="E2557" s="12">
        <f>SUMIF('Parametros Inventario'!$A:$A,B2557,'Parametros Inventario'!$B:$B)+SUMIFS(D$2:D2557,B$2:B2557,B2557,C$2:C2557,"ENTRADA")-SUMIFS(D$2:D2557,B$2:B2557,B2557,C$2:C2557,"SALIDA")</f>
        <v>11393.216</v>
      </c>
    </row>
    <row r="2558" spans="1:5" x14ac:dyDescent="0.3">
      <c r="A2558" s="9">
        <f>'Volúmenes DIstribuidos '!B1623</f>
        <v>44992</v>
      </c>
      <c r="B2558" s="10" t="str">
        <f>IF(OR('Volúmenes DIstribuidos '!C1623="Azúcar",'Volúmenes DIstribuidos '!C1623="azúcar"),"Azúcar o dulce",IF('Volúmenes DIstribuidos '!C1623="Aceite","Aceite o grasas",IF('Volúmenes DIstribuidos '!C1623="Avena","Otros almidones",'Volúmenes DIstribuidos '!C1623)))</f>
        <v>Aceite o grasas</v>
      </c>
      <c r="C2558" s="10" t="s">
        <v>29</v>
      </c>
      <c r="D2558" s="12">
        <f>'Volúmenes DIstribuidos '!D1623</f>
        <v>19.190000000000001</v>
      </c>
      <c r="E2558" s="12">
        <f>SUMIF('Parametros Inventario'!$A:$A,B2558,'Parametros Inventario'!$B:$B)+SUMIFS(D$2:D2558,B$2:B2558,B2558,C$2:C2558,"ENTRADA")-SUMIFS(D$2:D2558,B$2:B2558,B2558,C$2:C2558,"SALIDA")</f>
        <v>10573.718000000004</v>
      </c>
    </row>
    <row r="2559" spans="1:5" x14ac:dyDescent="0.3">
      <c r="A2559" s="9">
        <f>'Volúmenes DIstribuidos '!B1623</f>
        <v>44992</v>
      </c>
      <c r="B2559" s="10" t="str">
        <f>IF(OR('Volúmenes DIstribuidos '!C1624="Azúcar",'Volúmenes DIstribuidos '!C1624="azúcar"),"Azúcar o dulce",IF('Volúmenes DIstribuidos '!C1624="Aceite","Aceite o grasas",IF('Volúmenes DIstribuidos '!C1624="Avena","Otros almidones",'Volúmenes DIstribuidos '!C1624)))</f>
        <v>Lácteos</v>
      </c>
      <c r="C2559" s="10" t="s">
        <v>29</v>
      </c>
      <c r="D2559" s="12">
        <f>'Volúmenes DIstribuidos '!D1624</f>
        <v>31.58</v>
      </c>
      <c r="E2559" s="12">
        <f>SUMIF('Parametros Inventario'!$A:$A,B2559,'Parametros Inventario'!$B:$B)+SUMIFS(D$2:D2559,B$2:B2559,B2559,C$2:C2559,"ENTRADA")-SUMIFS(D$2:D2559,B$2:B2559,B2559,C$2:C2559,"SALIDA")</f>
        <v>10061.138000000003</v>
      </c>
    </row>
    <row r="2560" spans="1:5" x14ac:dyDescent="0.3">
      <c r="A2560" s="9">
        <f>'Volúmenes DIstribuidos '!B1623</f>
        <v>44992</v>
      </c>
      <c r="B2560" s="10" t="str">
        <f>IF(OR('Volúmenes DIstribuidos '!C1625="Azúcar",'Volúmenes DIstribuidos '!C1625="azúcar"),"Azúcar o dulce",IF('Volúmenes DIstribuidos '!C1625="Aceite","Aceite o grasas",IF('Volúmenes DIstribuidos '!C1625="Avena","Otros almidones",'Volúmenes DIstribuidos '!C1625)))</f>
        <v>Menestras</v>
      </c>
      <c r="C2560" s="10" t="s">
        <v>29</v>
      </c>
      <c r="D2560" s="12">
        <f>'Volúmenes DIstribuidos '!D1625</f>
        <v>13.946</v>
      </c>
      <c r="E2560" s="12">
        <f>SUMIF('Parametros Inventario'!$A:$A,B2560,'Parametros Inventario'!$B:$B)+SUMIFS(D$2:D2560,B$2:B2560,B2560,C$2:C2560,"ENTRADA")-SUMIFS(D$2:D2560,B$2:B2560,B2560,C$2:C2560,"SALIDA")</f>
        <v>11638.165000000001</v>
      </c>
    </row>
    <row r="2561" spans="1:5" x14ac:dyDescent="0.3">
      <c r="A2561" s="9">
        <f>'Volúmenes DIstribuidos '!B1623</f>
        <v>44992</v>
      </c>
      <c r="B2561" s="10" t="str">
        <f>IF(OR('Volúmenes DIstribuidos '!C1626="Azúcar",'Volúmenes DIstribuidos '!C1626="azúcar"),"Azúcar o dulce",IF('Volúmenes DIstribuidos '!C1626="Aceite","Aceite o grasas",IF('Volúmenes DIstribuidos '!C1626="Avena","Otros almidones",'Volúmenes DIstribuidos '!C1626)))</f>
        <v>Carnes blancas</v>
      </c>
      <c r="C2561" s="10" t="s">
        <v>29</v>
      </c>
      <c r="D2561" s="12">
        <f>'Volúmenes DIstribuidos '!D1626</f>
        <v>16.239999999999998</v>
      </c>
      <c r="E2561" s="12">
        <f>SUMIF('Parametros Inventario'!$A:$A,B2561,'Parametros Inventario'!$B:$B)+SUMIFS(D$2:D2561,B$2:B2561,B2561,C$2:C2561,"ENTRADA")-SUMIFS(D$2:D2561,B$2:B2561,B2561,C$2:C2561,"SALIDA")</f>
        <v>11746.091</v>
      </c>
    </row>
    <row r="2562" spans="1:5" x14ac:dyDescent="0.3">
      <c r="A2562" s="9">
        <f>'Volúmenes DIstribuidos '!B1623</f>
        <v>44992</v>
      </c>
      <c r="B2562" s="10" t="str">
        <f>IF(OR('Volúmenes DIstribuidos '!C1627="Azúcar",'Volúmenes DIstribuidos '!C1627="azúcar"),"Azúcar o dulce",IF('Volúmenes DIstribuidos '!C1627="Aceite","Aceite o grasas",IF('Volúmenes DIstribuidos '!C1627="Avena","Otros almidones",'Volúmenes DIstribuidos '!C1627)))</f>
        <v>Carnes rojas</v>
      </c>
      <c r="C2562" s="10" t="s">
        <v>29</v>
      </c>
      <c r="D2562" s="12">
        <f>'Volúmenes DIstribuidos '!D1627</f>
        <v>18.440000000000001</v>
      </c>
      <c r="E2562" s="12">
        <f>SUMIF('Parametros Inventario'!$A:$A,B2562,'Parametros Inventario'!$B:$B)+SUMIFS(D$2:D2562,B$2:B2562,B2562,C$2:C2562,"ENTRADA")-SUMIFS(D$2:D2562,B$2:B2562,B2562,C$2:C2562,"SALIDA")</f>
        <v>11699.258000000002</v>
      </c>
    </row>
    <row r="2563" spans="1:5" x14ac:dyDescent="0.3">
      <c r="A2563" s="9">
        <f>'Volúmenes DIstribuidos '!B1623</f>
        <v>44992</v>
      </c>
      <c r="B2563" s="10" t="str">
        <f>IF(OR('Volúmenes DIstribuidos '!C1628="Azúcar",'Volúmenes DIstribuidos '!C1628="azúcar"),"Azúcar o dulce",IF('Volúmenes DIstribuidos '!C1628="Aceite","Aceite o grasas",IF('Volúmenes DIstribuidos '!C1628="Avena","Otros almidones",'Volúmenes DIstribuidos '!C1628)))</f>
        <v>Panadería</v>
      </c>
      <c r="C2563" s="10" t="s">
        <v>29</v>
      </c>
      <c r="D2563" s="12">
        <f>'Volúmenes DIstribuidos '!D1628</f>
        <v>6.3</v>
      </c>
      <c r="E2563" s="12">
        <f>SUMIF('Parametros Inventario'!$A:$A,B2563,'Parametros Inventario'!$B:$B)+SUMIFS(D$2:D2563,B$2:B2563,B2563,C$2:C2563,"ENTRADA")-SUMIFS(D$2:D2563,B$2:B2563,B2563,C$2:C2563,"SALIDA")</f>
        <v>9179.0720000000038</v>
      </c>
    </row>
    <row r="2564" spans="1:5" x14ac:dyDescent="0.3">
      <c r="A2564" s="9">
        <f>'Volúmenes DIstribuidos '!B1629</f>
        <v>44995</v>
      </c>
      <c r="B2564" s="10" t="str">
        <f>IF(OR('Volúmenes DIstribuidos '!C1629="Azúcar",'Volúmenes DIstribuidos '!C1629="azúcar"),"Azúcar o dulce",IF('Volúmenes DIstribuidos '!C1629="Aceite","Aceite o grasas",IF('Volúmenes DIstribuidos '!C1629="Avena","Otros almidones",'Volúmenes DIstribuidos '!C1629)))</f>
        <v>Salsas</v>
      </c>
      <c r="C2564" s="10" t="s">
        <v>29</v>
      </c>
      <c r="D2564" s="12">
        <f>'Volúmenes DIstribuidos '!D1629</f>
        <v>78.525999999999996</v>
      </c>
      <c r="E2564" s="12">
        <f>SUMIF('Parametros Inventario'!$A:$A,B2564,'Parametros Inventario'!$B:$B)+SUMIFS(D$2:D2564,B$2:B2564,B2564,C$2:C2564,"ENTRADA")-SUMIFS(D$2:D2564,B$2:B2564,B2564,C$2:C2564,"SALIDA")</f>
        <v>11062.003999999997</v>
      </c>
    </row>
    <row r="2565" spans="1:5" x14ac:dyDescent="0.3">
      <c r="A2565" s="9">
        <f>'Volúmenes DIstribuidos '!B1629</f>
        <v>44995</v>
      </c>
      <c r="B2565" s="10" t="str">
        <f>IF(OR('Volúmenes DIstribuidos '!C1630="Azúcar",'Volúmenes DIstribuidos '!C1630="azúcar"),"Azúcar o dulce",IF('Volúmenes DIstribuidos '!C1630="Aceite","Aceite o grasas",IF('Volúmenes DIstribuidos '!C1630="Avena","Otros almidones",'Volúmenes DIstribuidos '!C1630)))</f>
        <v>Fideo</v>
      </c>
      <c r="C2565" s="10" t="s">
        <v>29</v>
      </c>
      <c r="D2565" s="12">
        <f>'Volúmenes DIstribuidos '!D1630</f>
        <v>10.31</v>
      </c>
      <c r="E2565" s="12">
        <f>SUMIF('Parametros Inventario'!$A:$A,B2565,'Parametros Inventario'!$B:$B)+SUMIFS(D$2:D2565,B$2:B2565,B2565,C$2:C2565,"ENTRADA")-SUMIFS(D$2:D2565,B$2:B2565,B2565,C$2:C2565,"SALIDA")</f>
        <v>12312.263000000001</v>
      </c>
    </row>
    <row r="2566" spans="1:5" x14ac:dyDescent="0.3">
      <c r="A2566" s="9">
        <f>'Volúmenes DIstribuidos '!B1629</f>
        <v>44995</v>
      </c>
      <c r="B2566" s="10" t="str">
        <f>IF(OR('Volúmenes DIstribuidos '!C1631="Azúcar",'Volúmenes DIstribuidos '!C1631="azúcar"),"Azúcar o dulce",IF('Volúmenes DIstribuidos '!C1631="Aceite","Aceite o grasas",IF('Volúmenes DIstribuidos '!C1631="Avena","Otros almidones",'Volúmenes DIstribuidos '!C1631)))</f>
        <v>Carnes rojas</v>
      </c>
      <c r="C2566" s="10" t="s">
        <v>29</v>
      </c>
      <c r="D2566" s="12">
        <f>'Volúmenes DIstribuidos '!D1631</f>
        <v>22.81</v>
      </c>
      <c r="E2566" s="12">
        <f>SUMIF('Parametros Inventario'!$A:$A,B2566,'Parametros Inventario'!$B:$B)+SUMIFS(D$2:D2566,B$2:B2566,B2566,C$2:C2566,"ENTRADA")-SUMIFS(D$2:D2566,B$2:B2566,B2566,C$2:C2566,"SALIDA")</f>
        <v>11676.448</v>
      </c>
    </row>
    <row r="2567" spans="1:5" x14ac:dyDescent="0.3">
      <c r="A2567" s="9">
        <f>'Volúmenes DIstribuidos '!B1629</f>
        <v>44995</v>
      </c>
      <c r="B2567" s="10" t="str">
        <f>IF(OR('Volúmenes DIstribuidos '!C1632="Azúcar",'Volúmenes DIstribuidos '!C1632="azúcar"),"Azúcar o dulce",IF('Volúmenes DIstribuidos '!C1632="Aceite","Aceite o grasas",IF('Volúmenes DIstribuidos '!C1632="Avena","Otros almidones",'Volúmenes DIstribuidos '!C1632)))</f>
        <v>Otros almidones</v>
      </c>
      <c r="C2567" s="10" t="s">
        <v>29</v>
      </c>
      <c r="D2567" s="12">
        <f>'Volúmenes DIstribuidos '!D1632</f>
        <v>15.41</v>
      </c>
      <c r="E2567" s="12">
        <f>SUMIF('Parametros Inventario'!$A:$A,B2567,'Parametros Inventario'!$B:$B)+SUMIFS(D$2:D2567,B$2:B2567,B2567,C$2:C2567,"ENTRADA")-SUMIFS(D$2:D2567,B$2:B2567,B2567,C$2:C2567,"SALIDA")</f>
        <v>11404.919</v>
      </c>
    </row>
    <row r="2568" spans="1:5" x14ac:dyDescent="0.3">
      <c r="A2568" s="9">
        <f>'Volúmenes DIstribuidos '!B1629</f>
        <v>44995</v>
      </c>
      <c r="B2568" s="10" t="str">
        <f>IF(OR('Volúmenes DIstribuidos '!C1633="Azúcar",'Volúmenes DIstribuidos '!C1633="azúcar"),"Azúcar o dulce",IF('Volúmenes DIstribuidos '!C1633="Aceite","Aceite o grasas",IF('Volúmenes DIstribuidos '!C1633="Avena","Otros almidones",'Volúmenes DIstribuidos '!C1633)))</f>
        <v>Salsas</v>
      </c>
      <c r="C2568" s="10" t="s">
        <v>29</v>
      </c>
      <c r="D2568" s="12">
        <f>'Volúmenes DIstribuidos '!D1633</f>
        <v>124.48</v>
      </c>
      <c r="E2568" s="12">
        <f>SUMIF('Parametros Inventario'!$A:$A,B2568,'Parametros Inventario'!$B:$B)+SUMIFS(D$2:D2568,B$2:B2568,B2568,C$2:C2568,"ENTRADA")-SUMIFS(D$2:D2568,B$2:B2568,B2568,C$2:C2568,"SALIDA")</f>
        <v>10937.523999999998</v>
      </c>
    </row>
    <row r="2569" spans="1:5" x14ac:dyDescent="0.3">
      <c r="A2569" s="9">
        <f>'Volúmenes DIstribuidos '!B1629</f>
        <v>44995</v>
      </c>
      <c r="B2569" s="10" t="str">
        <f>IF(OR('Volúmenes DIstribuidos '!C1634="Azúcar",'Volúmenes DIstribuidos '!C1634="azúcar"),"Azúcar o dulce",IF('Volúmenes DIstribuidos '!C1634="Aceite","Aceite o grasas",IF('Volúmenes DIstribuidos '!C1634="Avena","Otros almidones",'Volúmenes DIstribuidos '!C1634)))</f>
        <v>Fideo</v>
      </c>
      <c r="C2569" s="10" t="s">
        <v>29</v>
      </c>
      <c r="D2569" s="12">
        <f>'Volúmenes DIstribuidos '!D1634</f>
        <v>58.2</v>
      </c>
      <c r="E2569" s="12">
        <f>SUMIF('Parametros Inventario'!$A:$A,B2569,'Parametros Inventario'!$B:$B)+SUMIFS(D$2:D2569,B$2:B2569,B2569,C$2:C2569,"ENTRADA")-SUMIFS(D$2:D2569,B$2:B2569,B2569,C$2:C2569,"SALIDA")</f>
        <v>12254.063000000002</v>
      </c>
    </row>
    <row r="2570" spans="1:5" x14ac:dyDescent="0.3">
      <c r="A2570" s="9">
        <f>'Volúmenes DIstribuidos '!B1635</f>
        <v>44999</v>
      </c>
      <c r="B2570" s="10" t="str">
        <f>IF(OR('Volúmenes DIstribuidos '!C1635="Azúcar",'Volúmenes DIstribuidos '!C1635="azúcar"),"Azúcar o dulce",IF('Volúmenes DIstribuidos '!C1635="Aceite","Aceite o grasas",IF('Volúmenes DIstribuidos '!C1635="Avena","Otros almidones",'Volúmenes DIstribuidos '!C1635)))</f>
        <v>Otros almidones</v>
      </c>
      <c r="C2570" s="10" t="s">
        <v>29</v>
      </c>
      <c r="D2570" s="12">
        <f>'Volúmenes DIstribuidos '!D1635</f>
        <v>24.98</v>
      </c>
      <c r="E2570" s="12">
        <f>SUMIF('Parametros Inventario'!$A:$A,B2570,'Parametros Inventario'!$B:$B)+SUMIFS(D$2:D2570,B$2:B2570,B2570,C$2:C2570,"ENTRADA")-SUMIFS(D$2:D2570,B$2:B2570,B2570,C$2:C2570,"SALIDA")</f>
        <v>11379.939</v>
      </c>
    </row>
    <row r="2571" spans="1:5" x14ac:dyDescent="0.3">
      <c r="A2571" s="9">
        <f>'Volúmenes DIstribuidos '!B1635</f>
        <v>44999</v>
      </c>
      <c r="B2571" s="10" t="str">
        <f>IF(OR('Volúmenes DIstribuidos '!C1636="Azúcar",'Volúmenes DIstribuidos '!C1636="azúcar"),"Azúcar o dulce",IF('Volúmenes DIstribuidos '!C1636="Aceite","Aceite o grasas",IF('Volúmenes DIstribuidos '!C1636="Avena","Otros almidones",'Volúmenes DIstribuidos '!C1636)))</f>
        <v>Menestras</v>
      </c>
      <c r="C2571" s="10" t="s">
        <v>29</v>
      </c>
      <c r="D2571" s="12">
        <f>'Volúmenes DIstribuidos '!D1636</f>
        <v>38.06</v>
      </c>
      <c r="E2571" s="12">
        <f>SUMIF('Parametros Inventario'!$A:$A,B2571,'Parametros Inventario'!$B:$B)+SUMIFS(D$2:D2571,B$2:B2571,B2571,C$2:C2571,"ENTRADA")-SUMIFS(D$2:D2571,B$2:B2571,B2571,C$2:C2571,"SALIDA")</f>
        <v>11600.105000000001</v>
      </c>
    </row>
    <row r="2572" spans="1:5" x14ac:dyDescent="0.3">
      <c r="A2572" s="9">
        <f>'Volúmenes DIstribuidos '!B1635</f>
        <v>44999</v>
      </c>
      <c r="B2572" s="10" t="str">
        <f>IF(OR('Volúmenes DIstribuidos '!C1637="Azúcar",'Volúmenes DIstribuidos '!C1637="azúcar"),"Azúcar o dulce",IF('Volúmenes DIstribuidos '!C1637="Aceite","Aceite o grasas",IF('Volúmenes DIstribuidos '!C1637="Avena","Otros almidones",'Volúmenes DIstribuidos '!C1637)))</f>
        <v>Carnes blancas</v>
      </c>
      <c r="C2572" s="10" t="s">
        <v>29</v>
      </c>
      <c r="D2572" s="12">
        <f>'Volúmenes DIstribuidos '!D1637</f>
        <v>15.11</v>
      </c>
      <c r="E2572" s="12">
        <f>SUMIF('Parametros Inventario'!$A:$A,B2572,'Parametros Inventario'!$B:$B)+SUMIFS(D$2:D2572,B$2:B2572,B2572,C$2:C2572,"ENTRADA")-SUMIFS(D$2:D2572,B$2:B2572,B2572,C$2:C2572,"SALIDA")</f>
        <v>11730.981000000002</v>
      </c>
    </row>
    <row r="2573" spans="1:5" x14ac:dyDescent="0.3">
      <c r="A2573" s="9">
        <f>'Volúmenes DIstribuidos '!B1635</f>
        <v>44999</v>
      </c>
      <c r="B2573" s="10" t="str">
        <f>IF(OR('Volúmenes DIstribuidos '!C1638="Azúcar",'Volúmenes DIstribuidos '!C1638="azúcar"),"Azúcar o dulce",IF('Volúmenes DIstribuidos '!C1638="Aceite","Aceite o grasas",IF('Volúmenes DIstribuidos '!C1638="Avena","Otros almidones",'Volúmenes DIstribuidos '!C1638)))</f>
        <v>Aceite o grasas</v>
      </c>
      <c r="C2573" s="10" t="s">
        <v>29</v>
      </c>
      <c r="D2573" s="12">
        <f>'Volúmenes DIstribuidos '!D1638</f>
        <v>13.784000000000001</v>
      </c>
      <c r="E2573" s="12">
        <f>SUMIF('Parametros Inventario'!$A:$A,B2573,'Parametros Inventario'!$B:$B)+SUMIFS(D$2:D2573,B$2:B2573,B2573,C$2:C2573,"ENTRADA")-SUMIFS(D$2:D2573,B$2:B2573,B2573,C$2:C2573,"SALIDA")</f>
        <v>10559.934000000005</v>
      </c>
    </row>
    <row r="2574" spans="1:5" x14ac:dyDescent="0.3">
      <c r="A2574" s="9">
        <f>'Volúmenes DIstribuidos '!B1635</f>
        <v>44999</v>
      </c>
      <c r="B2574" s="10" t="str">
        <f>IF(OR('Volúmenes DIstribuidos '!C1639="Azúcar",'Volúmenes DIstribuidos '!C1639="azúcar"),"Azúcar o dulce",IF('Volúmenes DIstribuidos '!C1639="Aceite","Aceite o grasas",IF('Volúmenes DIstribuidos '!C1639="Avena","Otros almidones",'Volúmenes DIstribuidos '!C1639)))</f>
        <v>Menestras</v>
      </c>
      <c r="C2574" s="10" t="s">
        <v>29</v>
      </c>
      <c r="D2574" s="12">
        <f>'Volúmenes DIstribuidos '!D1639</f>
        <v>19.170000000000002</v>
      </c>
      <c r="E2574" s="12">
        <f>SUMIF('Parametros Inventario'!$A:$A,B2574,'Parametros Inventario'!$B:$B)+SUMIFS(D$2:D2574,B$2:B2574,B2574,C$2:C2574,"ENTRADA")-SUMIFS(D$2:D2574,B$2:B2574,B2574,C$2:C2574,"SALIDA")</f>
        <v>11580.935000000001</v>
      </c>
    </row>
    <row r="2575" spans="1:5" x14ac:dyDescent="0.3">
      <c r="A2575" s="9">
        <f>'Volúmenes DIstribuidos '!B1635</f>
        <v>44999</v>
      </c>
      <c r="B2575" s="10" t="str">
        <f>IF(OR('Volúmenes DIstribuidos '!C1640="Azúcar",'Volúmenes DIstribuidos '!C1640="azúcar"),"Azúcar o dulce",IF('Volúmenes DIstribuidos '!C1640="Aceite","Aceite o grasas",IF('Volúmenes DIstribuidos '!C1640="Avena","Otros almidones",'Volúmenes DIstribuidos '!C1640)))</f>
        <v>Otros almidones</v>
      </c>
      <c r="C2575" s="10" t="s">
        <v>29</v>
      </c>
      <c r="D2575" s="12">
        <f>'Volúmenes DIstribuidos '!D1640</f>
        <v>9.58</v>
      </c>
      <c r="E2575" s="12">
        <f>SUMIF('Parametros Inventario'!$A:$A,B2575,'Parametros Inventario'!$B:$B)+SUMIFS(D$2:D2575,B$2:B2575,B2575,C$2:C2575,"ENTRADA")-SUMIFS(D$2:D2575,B$2:B2575,B2575,C$2:C2575,"SALIDA")</f>
        <v>11370.359</v>
      </c>
    </row>
    <row r="2576" spans="1:5" x14ac:dyDescent="0.3">
      <c r="A2576" s="9">
        <v>45002</v>
      </c>
      <c r="B2576" s="10" t="s">
        <v>15</v>
      </c>
      <c r="C2576" s="10" t="s">
        <v>28</v>
      </c>
      <c r="D2576" s="12">
        <v>111.85</v>
      </c>
      <c r="E2576" s="12">
        <f>SUMIF('Parametros Inventario'!$A:$A,B2576,'Parametros Inventario'!$B:$B)+SUMIFS(D$2:D2576,B$2:B2576,B2576,C$2:C2576,"ENTRADA")-SUMIFS(D$2:D2576,B$2:B2576,B2576,C$2:C2576,"SALIDA")</f>
        <v>11482.209000000001</v>
      </c>
    </row>
    <row r="2577" spans="1:5" x14ac:dyDescent="0.3">
      <c r="A2577" s="9">
        <v>45002</v>
      </c>
      <c r="B2577" s="10" t="s">
        <v>11</v>
      </c>
      <c r="C2577" s="10" t="s">
        <v>28</v>
      </c>
      <c r="D2577" s="12">
        <v>194.59</v>
      </c>
      <c r="E2577" s="12">
        <f>SUMIF('Parametros Inventario'!$A:$A,B2577,'Parametros Inventario'!$B:$B)+SUMIFS(D$2:D2577,B$2:B2577,B2577,C$2:C2577,"ENTRADA")-SUMIFS(D$2:D2577,B$2:B2577,B2577,C$2:C2577,"SALIDA")</f>
        <v>12448.653000000002</v>
      </c>
    </row>
    <row r="2578" spans="1:5" x14ac:dyDescent="0.3">
      <c r="A2578" s="9">
        <v>45002</v>
      </c>
      <c r="B2578" s="10" t="s">
        <v>9</v>
      </c>
      <c r="C2578" s="10" t="s">
        <v>28</v>
      </c>
      <c r="D2578" s="12">
        <v>215.65</v>
      </c>
      <c r="E2578" s="12">
        <f>SUMIF('Parametros Inventario'!$A:$A,B2578,'Parametros Inventario'!$B:$B)+SUMIFS(D$2:D2578,B$2:B2578,B2578,C$2:C2578,"ENTRADA")-SUMIFS(D$2:D2578,B$2:B2578,B2578,C$2:C2578,"SALIDA")</f>
        <v>9394.7220000000016</v>
      </c>
    </row>
    <row r="2579" spans="1:5" x14ac:dyDescent="0.3">
      <c r="A2579" s="9">
        <v>45002</v>
      </c>
      <c r="B2579" s="10" t="s">
        <v>14</v>
      </c>
      <c r="C2579" s="10" t="s">
        <v>28</v>
      </c>
      <c r="D2579" s="12">
        <v>90.36</v>
      </c>
      <c r="E2579" s="12">
        <f>SUMIF('Parametros Inventario'!$A:$A,B2579,'Parametros Inventario'!$B:$B)+SUMIFS(D$2:D2579,B$2:B2579,B2579,C$2:C2579,"ENTRADA")-SUMIFS(D$2:D2579,B$2:B2579,B2579,C$2:C2579,"SALIDA")</f>
        <v>11671.295000000002</v>
      </c>
    </row>
    <row r="2580" spans="1:5" x14ac:dyDescent="0.3">
      <c r="A2580" s="9">
        <v>45002</v>
      </c>
      <c r="B2580" s="10" t="s">
        <v>12</v>
      </c>
      <c r="C2580" s="10" t="s">
        <v>28</v>
      </c>
      <c r="D2580" s="12">
        <v>79.180000000000007</v>
      </c>
      <c r="E2580" s="12">
        <f>SUMIF('Parametros Inventario'!$A:$A,B2580,'Parametros Inventario'!$B:$B)+SUMIFS(D$2:D2580,B$2:B2580,B2580,C$2:C2580,"ENTRADA")-SUMIFS(D$2:D2580,B$2:B2580,B2580,C$2:C2580,"SALIDA")</f>
        <v>11755.628000000001</v>
      </c>
    </row>
    <row r="2581" spans="1:5" x14ac:dyDescent="0.3">
      <c r="A2581" s="9">
        <v>45002</v>
      </c>
      <c r="B2581" s="10" t="s">
        <v>16</v>
      </c>
      <c r="C2581" s="10" t="s">
        <v>28</v>
      </c>
      <c r="D2581" s="12">
        <v>73.08</v>
      </c>
      <c r="E2581" s="12">
        <f>SUMIF('Parametros Inventario'!$A:$A,B2581,'Parametros Inventario'!$B:$B)+SUMIFS(D$2:D2581,B$2:B2581,B2581,C$2:C2581,"ENTRADA")-SUMIFS(D$2:D2581,B$2:B2581,B2581,C$2:C2581,"SALIDA")</f>
        <v>11804.061</v>
      </c>
    </row>
    <row r="2582" spans="1:5" x14ac:dyDescent="0.3">
      <c r="A2582" s="9">
        <v>45002</v>
      </c>
      <c r="B2582" s="10" t="s">
        <v>17</v>
      </c>
      <c r="C2582" s="10" t="s">
        <v>28</v>
      </c>
      <c r="D2582" s="12">
        <v>227.9</v>
      </c>
      <c r="E2582" s="12">
        <f>SUMIF('Parametros Inventario'!$A:$A,B2582,'Parametros Inventario'!$B:$B)+SUMIFS(D$2:D2582,B$2:B2582,B2582,C$2:C2582,"ENTRADA")-SUMIFS(D$2:D2582,B$2:B2582,B2582,C$2:C2582,"SALIDA")</f>
        <v>10289.038000000002</v>
      </c>
    </row>
    <row r="2583" spans="1:5" x14ac:dyDescent="0.3">
      <c r="A2583" s="9">
        <v>45002</v>
      </c>
      <c r="B2583" s="10" t="s">
        <v>18</v>
      </c>
      <c r="C2583" s="10" t="s">
        <v>28</v>
      </c>
      <c r="D2583" s="12">
        <v>146.09</v>
      </c>
      <c r="E2583" s="12">
        <f>SUMIF('Parametros Inventario'!$A:$A,B2583,'Parametros Inventario'!$B:$B)+SUMIFS(D$2:D2583,B$2:B2583,B2583,C$2:C2583,"ENTRADA")-SUMIFS(D$2:D2583,B$2:B2583,B2583,C$2:C2583,"SALIDA")</f>
        <v>11083.613999999998</v>
      </c>
    </row>
    <row r="2584" spans="1:5" x14ac:dyDescent="0.3">
      <c r="A2584" s="9">
        <v>45002</v>
      </c>
      <c r="B2584" s="10" t="s">
        <v>10</v>
      </c>
      <c r="C2584" s="10" t="s">
        <v>28</v>
      </c>
      <c r="D2584" s="12">
        <v>226.52</v>
      </c>
      <c r="E2584" s="12">
        <f>SUMIF('Parametros Inventario'!$A:$A,B2584,'Parametros Inventario'!$B:$B)+SUMIFS(D$2:D2584,B$2:B2584,B2584,C$2:C2584,"ENTRADA")-SUMIFS(D$2:D2584,B$2:B2584,B2584,C$2:C2584,"SALIDA")</f>
        <v>12736.261999999995</v>
      </c>
    </row>
    <row r="2585" spans="1:5" x14ac:dyDescent="0.3">
      <c r="A2585" s="9">
        <v>45002</v>
      </c>
      <c r="B2585" s="10" t="s">
        <v>8</v>
      </c>
      <c r="C2585" s="10" t="s">
        <v>28</v>
      </c>
      <c r="D2585" s="12">
        <v>293.54000000000002</v>
      </c>
      <c r="E2585" s="12">
        <f>SUMIF('Parametros Inventario'!$A:$A,B2585,'Parametros Inventario'!$B:$B)+SUMIFS(D$2:D2585,B$2:B2585,B2585,C$2:C2585,"ENTRADA")-SUMIFS(D$2:D2585,B$2:B2585,B2585,C$2:C2585,"SALIDA")</f>
        <v>10853.474000000006</v>
      </c>
    </row>
    <row r="2586" spans="1:5" x14ac:dyDescent="0.3">
      <c r="A2586" s="9">
        <f>'Volúmenes DIstribuidos '!B1641</f>
        <v>45002</v>
      </c>
      <c r="B2586" s="10" t="str">
        <f>IF(OR('Volúmenes DIstribuidos '!C1641="Azúcar",'Volúmenes DIstribuidos '!C1641="azúcar"),"Azúcar o dulce",IF('Volúmenes DIstribuidos '!C1641="Aceite","Aceite o grasas",IF('Volúmenes DIstribuidos '!C1641="Avena","Otros almidones",'Volúmenes DIstribuidos '!C1641)))</f>
        <v>Salsas</v>
      </c>
      <c r="C2586" s="10" t="s">
        <v>29</v>
      </c>
      <c r="D2586" s="12">
        <f>'Volúmenes DIstribuidos '!D1641</f>
        <v>11.78</v>
      </c>
      <c r="E2586" s="12">
        <f>SUMIF('Parametros Inventario'!$A:$A,B2586,'Parametros Inventario'!$B:$B)+SUMIFS(D$2:D2586,B$2:B2586,B2586,C$2:C2586,"ENTRADA")-SUMIFS(D$2:D2586,B$2:B2586,B2586,C$2:C2586,"SALIDA")</f>
        <v>11071.833999999997</v>
      </c>
    </row>
    <row r="2587" spans="1:5" x14ac:dyDescent="0.3">
      <c r="A2587" s="9">
        <f>'Volúmenes DIstribuidos '!B1641</f>
        <v>45002</v>
      </c>
      <c r="B2587" s="10" t="str">
        <f>IF(OR('Volúmenes DIstribuidos '!C1642="Azúcar",'Volúmenes DIstribuidos '!C1642="azúcar"),"Azúcar o dulce",IF('Volúmenes DIstribuidos '!C1642="Aceite","Aceite o grasas",IF('Volúmenes DIstribuidos '!C1642="Avena","Otros almidones",'Volúmenes DIstribuidos '!C1642)))</f>
        <v>Azúcar o dulce</v>
      </c>
      <c r="C2587" s="10" t="s">
        <v>29</v>
      </c>
      <c r="D2587" s="12">
        <f>'Volúmenes DIstribuidos '!D1642</f>
        <v>13.78</v>
      </c>
      <c r="E2587" s="12">
        <f>SUMIF('Parametros Inventario'!$A:$A,B2587,'Parametros Inventario'!$B:$B)+SUMIFS(D$2:D2587,B$2:B2587,B2587,C$2:C2587,"ENTRADA")-SUMIFS(D$2:D2587,B$2:B2587,B2587,C$2:C2587,"SALIDA")</f>
        <v>11379.436000000002</v>
      </c>
    </row>
    <row r="2588" spans="1:5" x14ac:dyDescent="0.3">
      <c r="A2588" s="9">
        <f>'Volúmenes DIstribuidos '!B1641</f>
        <v>45002</v>
      </c>
      <c r="B2588" s="10" t="str">
        <f>IF(OR('Volúmenes DIstribuidos '!C1643="Azúcar",'Volúmenes DIstribuidos '!C1643="azúcar"),"Azúcar o dulce",IF('Volúmenes DIstribuidos '!C1643="Aceite","Aceite o grasas",IF('Volúmenes DIstribuidos '!C1643="Avena","Otros almidones",'Volúmenes DIstribuidos '!C1643)))</f>
        <v>Lácteos</v>
      </c>
      <c r="C2588" s="10" t="s">
        <v>29</v>
      </c>
      <c r="D2588" s="12">
        <f>'Volúmenes DIstribuidos '!D1643</f>
        <v>10.76</v>
      </c>
      <c r="E2588" s="12">
        <f>SUMIF('Parametros Inventario'!$A:$A,B2588,'Parametros Inventario'!$B:$B)+SUMIFS(D$2:D2588,B$2:B2588,B2588,C$2:C2588,"ENTRADA")-SUMIFS(D$2:D2588,B$2:B2588,B2588,C$2:C2588,"SALIDA")</f>
        <v>10278.278000000002</v>
      </c>
    </row>
    <row r="2589" spans="1:5" x14ac:dyDescent="0.3">
      <c r="A2589" s="9">
        <f>'Volúmenes DIstribuidos '!B1641</f>
        <v>45002</v>
      </c>
      <c r="B2589" s="10" t="str">
        <f>IF(OR('Volúmenes DIstribuidos '!C1644="Azúcar",'Volúmenes DIstribuidos '!C1644="azúcar"),"Azúcar o dulce",IF('Volúmenes DIstribuidos '!C1644="Aceite","Aceite o grasas",IF('Volúmenes DIstribuidos '!C1644="Avena","Otros almidones",'Volúmenes DIstribuidos '!C1644)))</f>
        <v>Carnes blancas</v>
      </c>
      <c r="C2589" s="10" t="s">
        <v>29</v>
      </c>
      <c r="D2589" s="12">
        <f>'Volúmenes DIstribuidos '!D1644</f>
        <v>6.3170000000000002</v>
      </c>
      <c r="E2589" s="12">
        <f>SUMIF('Parametros Inventario'!$A:$A,B2589,'Parametros Inventario'!$B:$B)+SUMIFS(D$2:D2589,B$2:B2589,B2589,C$2:C2589,"ENTRADA")-SUMIFS(D$2:D2589,B$2:B2589,B2589,C$2:C2589,"SALIDA")</f>
        <v>11797.743999999999</v>
      </c>
    </row>
    <row r="2590" spans="1:5" x14ac:dyDescent="0.3">
      <c r="A2590" s="9">
        <f>'Volúmenes DIstribuidos '!B1641</f>
        <v>45002</v>
      </c>
      <c r="B2590" s="10" t="str">
        <f>IF(OR('Volúmenes DIstribuidos '!C1645="Azúcar",'Volúmenes DIstribuidos '!C1645="azúcar"),"Azúcar o dulce",IF('Volúmenes DIstribuidos '!C1645="Aceite","Aceite o grasas",IF('Volúmenes DIstribuidos '!C1645="Avena","Otros almidones",'Volúmenes DIstribuidos '!C1645)))</f>
        <v>Aceite o grasas</v>
      </c>
      <c r="C2590" s="10" t="s">
        <v>29</v>
      </c>
      <c r="D2590" s="12">
        <f>'Volúmenes DIstribuidos '!D1645</f>
        <v>17.399999999999999</v>
      </c>
      <c r="E2590" s="12">
        <f>SUMIF('Parametros Inventario'!$A:$A,B2590,'Parametros Inventario'!$B:$B)+SUMIFS(D$2:D2590,B$2:B2590,B2590,C$2:C2590,"ENTRADA")-SUMIFS(D$2:D2590,B$2:B2590,B2590,C$2:C2590,"SALIDA")</f>
        <v>10836.074000000004</v>
      </c>
    </row>
    <row r="2591" spans="1:5" x14ac:dyDescent="0.3">
      <c r="A2591" s="9">
        <f>'Volúmenes DIstribuidos '!B1641</f>
        <v>45002</v>
      </c>
      <c r="B2591" s="10" t="str">
        <f>IF(OR('Volúmenes DIstribuidos '!C1646="Azúcar",'Volúmenes DIstribuidos '!C1646="azúcar"),"Azúcar o dulce",IF('Volúmenes DIstribuidos '!C1646="Aceite","Aceite o grasas",IF('Volúmenes DIstribuidos '!C1646="Avena","Otros almidones",'Volúmenes DIstribuidos '!C1646)))</f>
        <v>Carnes blancas</v>
      </c>
      <c r="C2591" s="10" t="s">
        <v>29</v>
      </c>
      <c r="D2591" s="12">
        <f>'Volúmenes DIstribuidos '!D1646</f>
        <v>18.57</v>
      </c>
      <c r="E2591" s="12">
        <f>SUMIF('Parametros Inventario'!$A:$A,B2591,'Parametros Inventario'!$B:$B)+SUMIFS(D$2:D2591,B$2:B2591,B2591,C$2:C2591,"ENTRADA")-SUMIFS(D$2:D2591,B$2:B2591,B2591,C$2:C2591,"SALIDA")</f>
        <v>11779.173999999999</v>
      </c>
    </row>
    <row r="2592" spans="1:5" x14ac:dyDescent="0.3">
      <c r="A2592" s="9">
        <v>45006</v>
      </c>
      <c r="B2592" s="10" t="s">
        <v>13</v>
      </c>
      <c r="C2592" s="10" t="s">
        <v>28</v>
      </c>
      <c r="D2592" s="12">
        <v>70.09</v>
      </c>
      <c r="E2592" s="12">
        <f>SUMIF('Parametros Inventario'!$A:$A,B2592,'Parametros Inventario'!$B:$B)+SUMIFS(D$2:D2592,B$2:B2592,B2592,C$2:C2592,"ENTRADA")-SUMIFS(D$2:D2592,B$2:B2592,B2592,C$2:C2592,"SALIDA")</f>
        <v>11449.526000000002</v>
      </c>
    </row>
    <row r="2593" spans="1:5" x14ac:dyDescent="0.3">
      <c r="A2593" s="9">
        <v>45006</v>
      </c>
      <c r="B2593" s="10" t="s">
        <v>15</v>
      </c>
      <c r="C2593" s="10" t="s">
        <v>28</v>
      </c>
      <c r="D2593" s="12">
        <v>277.49</v>
      </c>
      <c r="E2593" s="12">
        <f>SUMIF('Parametros Inventario'!$A:$A,B2593,'Parametros Inventario'!$B:$B)+SUMIFS(D$2:D2593,B$2:B2593,B2593,C$2:C2593,"ENTRADA")-SUMIFS(D$2:D2593,B$2:B2593,B2593,C$2:C2593,"SALIDA")</f>
        <v>11759.699000000001</v>
      </c>
    </row>
    <row r="2594" spans="1:5" x14ac:dyDescent="0.3">
      <c r="A2594" s="9">
        <v>45006</v>
      </c>
      <c r="B2594" s="10" t="s">
        <v>11</v>
      </c>
      <c r="C2594" s="10" t="s">
        <v>28</v>
      </c>
      <c r="D2594" s="12">
        <v>269</v>
      </c>
      <c r="E2594" s="12">
        <f>SUMIF('Parametros Inventario'!$A:$A,B2594,'Parametros Inventario'!$B:$B)+SUMIFS(D$2:D2594,B$2:B2594,B2594,C$2:C2594,"ENTRADA")-SUMIFS(D$2:D2594,B$2:B2594,B2594,C$2:C2594,"SALIDA")</f>
        <v>12717.653000000002</v>
      </c>
    </row>
    <row r="2595" spans="1:5" x14ac:dyDescent="0.3">
      <c r="A2595" s="9">
        <v>45006</v>
      </c>
      <c r="B2595" s="10" t="s">
        <v>9</v>
      </c>
      <c r="C2595" s="10" t="s">
        <v>28</v>
      </c>
      <c r="D2595" s="12">
        <v>91.46</v>
      </c>
      <c r="E2595" s="12">
        <f>SUMIF('Parametros Inventario'!$A:$A,B2595,'Parametros Inventario'!$B:$B)+SUMIFS(D$2:D2595,B$2:B2595,B2595,C$2:C2595,"ENTRADA")-SUMIFS(D$2:D2595,B$2:B2595,B2595,C$2:C2595,"SALIDA")</f>
        <v>9486.1820000000007</v>
      </c>
    </row>
    <row r="2596" spans="1:5" x14ac:dyDescent="0.3">
      <c r="A2596" s="9">
        <v>45006</v>
      </c>
      <c r="B2596" s="10" t="s">
        <v>14</v>
      </c>
      <c r="C2596" s="10" t="s">
        <v>28</v>
      </c>
      <c r="D2596" s="12">
        <v>156.72</v>
      </c>
      <c r="E2596" s="12">
        <f>SUMIF('Parametros Inventario'!$A:$A,B2596,'Parametros Inventario'!$B:$B)+SUMIFS(D$2:D2596,B$2:B2596,B2596,C$2:C2596,"ENTRADA")-SUMIFS(D$2:D2596,B$2:B2596,B2596,C$2:C2596,"SALIDA")</f>
        <v>11828.015000000001</v>
      </c>
    </row>
    <row r="2597" spans="1:5" x14ac:dyDescent="0.3">
      <c r="A2597" s="9">
        <v>45006</v>
      </c>
      <c r="B2597" s="10" t="s">
        <v>12</v>
      </c>
      <c r="C2597" s="10" t="s">
        <v>28</v>
      </c>
      <c r="D2597" s="12">
        <v>222.96</v>
      </c>
      <c r="E2597" s="12">
        <f>SUMIF('Parametros Inventario'!$A:$A,B2597,'Parametros Inventario'!$B:$B)+SUMIFS(D$2:D2597,B$2:B2597,B2597,C$2:C2597,"ENTRADA")-SUMIFS(D$2:D2597,B$2:B2597,B2597,C$2:C2597,"SALIDA")</f>
        <v>11978.588</v>
      </c>
    </row>
    <row r="2598" spans="1:5" x14ac:dyDescent="0.3">
      <c r="A2598" s="9">
        <v>45006</v>
      </c>
      <c r="B2598" s="10" t="s">
        <v>16</v>
      </c>
      <c r="C2598" s="10" t="s">
        <v>28</v>
      </c>
      <c r="D2598" s="12">
        <v>175.16</v>
      </c>
      <c r="E2598" s="12">
        <f>SUMIF('Parametros Inventario'!$A:$A,B2598,'Parametros Inventario'!$B:$B)+SUMIFS(D$2:D2598,B$2:B2598,B2598,C$2:C2598,"ENTRADA")-SUMIFS(D$2:D2598,B$2:B2598,B2598,C$2:C2598,"SALIDA")</f>
        <v>11954.334000000003</v>
      </c>
    </row>
    <row r="2599" spans="1:5" x14ac:dyDescent="0.3">
      <c r="A2599" s="9">
        <v>45006</v>
      </c>
      <c r="B2599" s="10" t="s">
        <v>17</v>
      </c>
      <c r="C2599" s="10" t="s">
        <v>28</v>
      </c>
      <c r="D2599" s="12">
        <v>183.3</v>
      </c>
      <c r="E2599" s="12">
        <f>SUMIF('Parametros Inventario'!$A:$A,B2599,'Parametros Inventario'!$B:$B)+SUMIFS(D$2:D2599,B$2:B2599,B2599,C$2:C2599,"ENTRADA")-SUMIFS(D$2:D2599,B$2:B2599,B2599,C$2:C2599,"SALIDA")</f>
        <v>10461.578000000001</v>
      </c>
    </row>
    <row r="2600" spans="1:5" x14ac:dyDescent="0.3">
      <c r="A2600" s="9">
        <v>45006</v>
      </c>
      <c r="B2600" s="10" t="s">
        <v>18</v>
      </c>
      <c r="C2600" s="10" t="s">
        <v>28</v>
      </c>
      <c r="D2600" s="12">
        <v>271.66000000000003</v>
      </c>
      <c r="E2600" s="12">
        <f>SUMIF('Parametros Inventario'!$A:$A,B2600,'Parametros Inventario'!$B:$B)+SUMIFS(D$2:D2600,B$2:B2600,B2600,C$2:C2600,"ENTRADA")-SUMIFS(D$2:D2600,B$2:B2600,B2600,C$2:C2600,"SALIDA")</f>
        <v>11343.493999999997</v>
      </c>
    </row>
    <row r="2601" spans="1:5" x14ac:dyDescent="0.3">
      <c r="A2601" s="9">
        <v>45006</v>
      </c>
      <c r="B2601" s="10" t="s">
        <v>10</v>
      </c>
      <c r="C2601" s="10" t="s">
        <v>28</v>
      </c>
      <c r="D2601" s="12">
        <v>196.52</v>
      </c>
      <c r="E2601" s="12">
        <f>SUMIF('Parametros Inventario'!$A:$A,B2601,'Parametros Inventario'!$B:$B)+SUMIFS(D$2:D2601,B$2:B2601,B2601,C$2:C2601,"ENTRADA")-SUMIFS(D$2:D2601,B$2:B2601,B2601,C$2:C2601,"SALIDA")</f>
        <v>12932.781999999996</v>
      </c>
    </row>
    <row r="2602" spans="1:5" x14ac:dyDescent="0.3">
      <c r="A2602" s="9">
        <v>45006</v>
      </c>
      <c r="B2602" s="10" t="s">
        <v>8</v>
      </c>
      <c r="C2602" s="10" t="s">
        <v>28</v>
      </c>
      <c r="D2602" s="12">
        <v>233.48</v>
      </c>
      <c r="E2602" s="12">
        <f>SUMIF('Parametros Inventario'!$A:$A,B2602,'Parametros Inventario'!$B:$B)+SUMIFS(D$2:D2602,B$2:B2602,B2602,C$2:C2602,"ENTRADA")-SUMIFS(D$2:D2602,B$2:B2602,B2602,C$2:C2602,"SALIDA")</f>
        <v>11069.554000000004</v>
      </c>
    </row>
    <row r="2603" spans="1:5" x14ac:dyDescent="0.3">
      <c r="A2603" s="9">
        <f>'Volúmenes DIstribuidos '!B1647</f>
        <v>45006</v>
      </c>
      <c r="B2603" s="10" t="str">
        <f>IF(OR('Volúmenes DIstribuidos '!C1647="Azúcar",'Volúmenes DIstribuidos '!C1647="azúcar"),"Azúcar o dulce",IF('Volúmenes DIstribuidos '!C1647="Aceite","Aceite o grasas",IF('Volúmenes DIstribuidos '!C1647="Avena","Otros almidones",'Volúmenes DIstribuidos '!C1647)))</f>
        <v>Azúcar o dulce</v>
      </c>
      <c r="C2603" s="10" t="s">
        <v>29</v>
      </c>
      <c r="D2603" s="12">
        <f>'Volúmenes DIstribuidos '!D1647</f>
        <v>49.49</v>
      </c>
      <c r="E2603" s="12">
        <f>SUMIF('Parametros Inventario'!$A:$A,B2603,'Parametros Inventario'!$B:$B)+SUMIFS(D$2:D2603,B$2:B2603,B2603,C$2:C2603,"ENTRADA")-SUMIFS(D$2:D2603,B$2:B2603,B2603,C$2:C2603,"SALIDA")</f>
        <v>11400.036000000002</v>
      </c>
    </row>
    <row r="2604" spans="1:5" x14ac:dyDescent="0.3">
      <c r="A2604" s="9">
        <f>'Volúmenes DIstribuidos '!B1647</f>
        <v>45006</v>
      </c>
      <c r="B2604" s="10" t="str">
        <f>IF(OR('Volúmenes DIstribuidos '!C1648="Azúcar",'Volúmenes DIstribuidos '!C1648="azúcar"),"Azúcar o dulce",IF('Volúmenes DIstribuidos '!C1648="Aceite","Aceite o grasas",IF('Volúmenes DIstribuidos '!C1648="Avena","Otros almidones",'Volúmenes DIstribuidos '!C1648)))</f>
        <v>Fideo</v>
      </c>
      <c r="C2604" s="10" t="s">
        <v>29</v>
      </c>
      <c r="D2604" s="12">
        <f>'Volúmenes DIstribuidos '!D1648</f>
        <v>25.36</v>
      </c>
      <c r="E2604" s="12">
        <f>SUMIF('Parametros Inventario'!$A:$A,B2604,'Parametros Inventario'!$B:$B)+SUMIFS(D$2:D2604,B$2:B2604,B2604,C$2:C2604,"ENTRADA")-SUMIFS(D$2:D2604,B$2:B2604,B2604,C$2:C2604,"SALIDA")</f>
        <v>12692.293000000003</v>
      </c>
    </row>
    <row r="2605" spans="1:5" x14ac:dyDescent="0.3">
      <c r="A2605" s="9">
        <f>'Volúmenes DIstribuidos '!B1647</f>
        <v>45006</v>
      </c>
      <c r="B2605" s="10" t="str">
        <f>IF(OR('Volúmenes DIstribuidos '!C1649="Azúcar",'Volúmenes DIstribuidos '!C1649="azúcar"),"Azúcar o dulce",IF('Volúmenes DIstribuidos '!C1649="Aceite","Aceite o grasas",IF('Volúmenes DIstribuidos '!C1649="Avena","Otros almidones",'Volúmenes DIstribuidos '!C1649)))</f>
        <v>Otros almidones</v>
      </c>
      <c r="C2605" s="10" t="s">
        <v>29</v>
      </c>
      <c r="D2605" s="12">
        <f>'Volúmenes DIstribuidos '!D1649</f>
        <v>7.806</v>
      </c>
      <c r="E2605" s="12">
        <f>SUMIF('Parametros Inventario'!$A:$A,B2605,'Parametros Inventario'!$B:$B)+SUMIFS(D$2:D2605,B$2:B2605,B2605,C$2:C2605,"ENTRADA")-SUMIFS(D$2:D2605,B$2:B2605,B2605,C$2:C2605,"SALIDA")</f>
        <v>11751.893</v>
      </c>
    </row>
    <row r="2606" spans="1:5" x14ac:dyDescent="0.3">
      <c r="A2606" s="9">
        <f>'Volúmenes DIstribuidos '!B1647</f>
        <v>45006</v>
      </c>
      <c r="B2606" s="10" t="str">
        <f>IF(OR('Volúmenes DIstribuidos '!C1650="Azúcar",'Volúmenes DIstribuidos '!C1650="azúcar"),"Azúcar o dulce",IF('Volúmenes DIstribuidos '!C1650="Aceite","Aceite o grasas",IF('Volúmenes DIstribuidos '!C1650="Avena","Otros almidones",'Volúmenes DIstribuidos '!C1650)))</f>
        <v>Lácteos</v>
      </c>
      <c r="C2606" s="10" t="s">
        <v>29</v>
      </c>
      <c r="D2606" s="12">
        <f>'Volúmenes DIstribuidos '!D1650</f>
        <v>28.17</v>
      </c>
      <c r="E2606" s="12">
        <f>SUMIF('Parametros Inventario'!$A:$A,B2606,'Parametros Inventario'!$B:$B)+SUMIFS(D$2:D2606,B$2:B2606,B2606,C$2:C2606,"ENTRADA")-SUMIFS(D$2:D2606,B$2:B2606,B2606,C$2:C2606,"SALIDA")</f>
        <v>10433.408000000001</v>
      </c>
    </row>
    <row r="2607" spans="1:5" x14ac:dyDescent="0.3">
      <c r="A2607" s="9">
        <f>'Volúmenes DIstribuidos '!B1647</f>
        <v>45006</v>
      </c>
      <c r="B2607" s="10" t="str">
        <f>IF(OR('Volúmenes DIstribuidos '!C1651="Azúcar",'Volúmenes DIstribuidos '!C1651="azúcar"),"Azúcar o dulce",IF('Volúmenes DIstribuidos '!C1651="Aceite","Aceite o grasas",IF('Volúmenes DIstribuidos '!C1651="Avena","Otros almidones",'Volúmenes DIstribuidos '!C1651)))</f>
        <v>Otros almidones</v>
      </c>
      <c r="C2607" s="10" t="s">
        <v>29</v>
      </c>
      <c r="D2607" s="12">
        <f>'Volúmenes DIstribuidos '!D1651</f>
        <v>5.36</v>
      </c>
      <c r="E2607" s="12">
        <f>SUMIF('Parametros Inventario'!$A:$A,B2607,'Parametros Inventario'!$B:$B)+SUMIFS(D$2:D2607,B$2:B2607,B2607,C$2:C2607,"ENTRADA")-SUMIFS(D$2:D2607,B$2:B2607,B2607,C$2:C2607,"SALIDA")</f>
        <v>11746.533000000001</v>
      </c>
    </row>
    <row r="2608" spans="1:5" x14ac:dyDescent="0.3">
      <c r="A2608" s="9">
        <f>'Volúmenes DIstribuidos '!B1647</f>
        <v>45006</v>
      </c>
      <c r="B2608" s="10" t="str">
        <f>IF(OR('Volúmenes DIstribuidos '!C1652="Azúcar",'Volúmenes DIstribuidos '!C1652="azúcar"),"Azúcar o dulce",IF('Volúmenes DIstribuidos '!C1652="Aceite","Aceite o grasas",IF('Volúmenes DIstribuidos '!C1652="Avena","Otros almidones",'Volúmenes DIstribuidos '!C1652)))</f>
        <v>Salsas</v>
      </c>
      <c r="C2608" s="10" t="s">
        <v>29</v>
      </c>
      <c r="D2608" s="12">
        <f>'Volúmenes DIstribuidos '!D1652</f>
        <v>17.59</v>
      </c>
      <c r="E2608" s="12">
        <f>SUMIF('Parametros Inventario'!$A:$A,B2608,'Parametros Inventario'!$B:$B)+SUMIFS(D$2:D2608,B$2:B2608,B2608,C$2:C2608,"ENTRADA")-SUMIFS(D$2:D2608,B$2:B2608,B2608,C$2:C2608,"SALIDA")</f>
        <v>11325.903999999997</v>
      </c>
    </row>
    <row r="2609" spans="1:5" x14ac:dyDescent="0.3">
      <c r="A2609" s="9">
        <f>'Volúmenes DIstribuidos '!B1653</f>
        <v>45009</v>
      </c>
      <c r="B2609" s="10" t="str">
        <f>IF(OR('Volúmenes DIstribuidos '!C1653="Azúcar",'Volúmenes DIstribuidos '!C1653="azúcar"),"Azúcar o dulce",IF('Volúmenes DIstribuidos '!C1653="Aceite","Aceite o grasas",IF('Volúmenes DIstribuidos '!C1653="Avena","Otros almidones",'Volúmenes DIstribuidos '!C1653)))</f>
        <v>Carnes rojas</v>
      </c>
      <c r="C2609" s="10" t="s">
        <v>29</v>
      </c>
      <c r="D2609" s="12">
        <f>'Volúmenes DIstribuidos '!D1653</f>
        <v>21.300999999999998</v>
      </c>
      <c r="E2609" s="12">
        <f>SUMIF('Parametros Inventario'!$A:$A,B2609,'Parametros Inventario'!$B:$B)+SUMIFS(D$2:D2609,B$2:B2609,B2609,C$2:C2609,"ENTRADA")-SUMIFS(D$2:D2609,B$2:B2609,B2609,C$2:C2609,"SALIDA")</f>
        <v>11957.287</v>
      </c>
    </row>
    <row r="2610" spans="1:5" x14ac:dyDescent="0.3">
      <c r="A2610" s="9">
        <f>'Volúmenes DIstribuidos '!B1653</f>
        <v>45009</v>
      </c>
      <c r="B2610" s="10" t="str">
        <f>IF(OR('Volúmenes DIstribuidos '!C1654="Azúcar",'Volúmenes DIstribuidos '!C1654="azúcar"),"Azúcar o dulce",IF('Volúmenes DIstribuidos '!C1654="Aceite","Aceite o grasas",IF('Volúmenes DIstribuidos '!C1654="Avena","Otros almidones",'Volúmenes DIstribuidos '!C1654)))</f>
        <v>Azúcar o dulce</v>
      </c>
      <c r="C2610" s="10" t="s">
        <v>29</v>
      </c>
      <c r="D2610" s="12">
        <f>'Volúmenes DIstribuidos '!D1654</f>
        <v>20.7</v>
      </c>
      <c r="E2610" s="12">
        <f>SUMIF('Parametros Inventario'!$A:$A,B2610,'Parametros Inventario'!$B:$B)+SUMIFS(D$2:D2610,B$2:B2610,B2610,C$2:C2610,"ENTRADA")-SUMIFS(D$2:D2610,B$2:B2610,B2610,C$2:C2610,"SALIDA")</f>
        <v>11379.336000000003</v>
      </c>
    </row>
    <row r="2611" spans="1:5" x14ac:dyDescent="0.3">
      <c r="A2611" s="9">
        <f>'Volúmenes DIstribuidos '!B1653</f>
        <v>45009</v>
      </c>
      <c r="B2611" s="10" t="str">
        <f>IF(OR('Volúmenes DIstribuidos '!C1655="Azúcar",'Volúmenes DIstribuidos '!C1655="azúcar"),"Azúcar o dulce",IF('Volúmenes DIstribuidos '!C1655="Aceite","Aceite o grasas",IF('Volúmenes DIstribuidos '!C1655="Avena","Otros almidones",'Volúmenes DIstribuidos '!C1655)))</f>
        <v>Panadería</v>
      </c>
      <c r="C2611" s="10" t="s">
        <v>29</v>
      </c>
      <c r="D2611" s="12">
        <f>'Volúmenes DIstribuidos '!D1655</f>
        <v>10.3</v>
      </c>
      <c r="E2611" s="12">
        <f>SUMIF('Parametros Inventario'!$A:$A,B2611,'Parametros Inventario'!$B:$B)+SUMIFS(D$2:D2611,B$2:B2611,B2611,C$2:C2611,"ENTRADA")-SUMIFS(D$2:D2611,B$2:B2611,B2611,C$2:C2611,"SALIDA")</f>
        <v>9475.8820000000014</v>
      </c>
    </row>
    <row r="2612" spans="1:5" x14ac:dyDescent="0.3">
      <c r="A2612" s="9">
        <f>'Volúmenes DIstribuidos '!B1653</f>
        <v>45009</v>
      </c>
      <c r="B2612" s="10" t="str">
        <f>IF(OR('Volúmenes DIstribuidos '!C1656="Azúcar",'Volúmenes DIstribuidos '!C1656="azúcar"),"Azúcar o dulce",IF('Volúmenes DIstribuidos '!C1656="Aceite","Aceite o grasas",IF('Volúmenes DIstribuidos '!C1656="Avena","Otros almidones",'Volúmenes DIstribuidos '!C1656)))</f>
        <v>Aceite o grasas</v>
      </c>
      <c r="C2612" s="10" t="s">
        <v>29</v>
      </c>
      <c r="D2612" s="12">
        <f>'Volúmenes DIstribuidos '!D1656</f>
        <v>3.47</v>
      </c>
      <c r="E2612" s="12">
        <f>SUMIF('Parametros Inventario'!$A:$A,B2612,'Parametros Inventario'!$B:$B)+SUMIFS(D$2:D2612,B$2:B2612,B2612,C$2:C2612,"ENTRADA")-SUMIFS(D$2:D2612,B$2:B2612,B2612,C$2:C2612,"SALIDA")</f>
        <v>11066.084000000004</v>
      </c>
    </row>
    <row r="2613" spans="1:5" x14ac:dyDescent="0.3">
      <c r="A2613" s="9">
        <f>'Volúmenes DIstribuidos '!B1653</f>
        <v>45009</v>
      </c>
      <c r="B2613" s="10" t="str">
        <f>IF(OR('Volúmenes DIstribuidos '!C1657="Azúcar",'Volúmenes DIstribuidos '!C1657="azúcar"),"Azúcar o dulce",IF('Volúmenes DIstribuidos '!C1657="Aceite","Aceite o grasas",IF('Volúmenes DIstribuidos '!C1657="Avena","Otros almidones",'Volúmenes DIstribuidos '!C1657)))</f>
        <v>Salsas</v>
      </c>
      <c r="C2613" s="10" t="s">
        <v>29</v>
      </c>
      <c r="D2613" s="12">
        <f>'Volúmenes DIstribuidos '!D1657</f>
        <v>25.103999999999999</v>
      </c>
      <c r="E2613" s="12">
        <f>SUMIF('Parametros Inventario'!$A:$A,B2613,'Parametros Inventario'!$B:$B)+SUMIFS(D$2:D2613,B$2:B2613,B2613,C$2:C2613,"ENTRADA")-SUMIFS(D$2:D2613,B$2:B2613,B2613,C$2:C2613,"SALIDA")</f>
        <v>11300.799999999996</v>
      </c>
    </row>
    <row r="2614" spans="1:5" x14ac:dyDescent="0.3">
      <c r="A2614" s="9">
        <f>'Volúmenes DIstribuidos '!B1653</f>
        <v>45009</v>
      </c>
      <c r="B2614" s="10" t="str">
        <f>IF(OR('Volúmenes DIstribuidos '!C1658="Azúcar",'Volúmenes DIstribuidos '!C1658="azúcar"),"Azúcar o dulce",IF('Volúmenes DIstribuidos '!C1658="Aceite","Aceite o grasas",IF('Volúmenes DIstribuidos '!C1658="Avena","Otros almidones",'Volúmenes DIstribuidos '!C1658)))</f>
        <v>Carnes blancas</v>
      </c>
      <c r="C2614" s="10" t="s">
        <v>29</v>
      </c>
      <c r="D2614" s="12">
        <f>'Volúmenes DIstribuidos '!D1658</f>
        <v>19.739999999999998</v>
      </c>
      <c r="E2614" s="12">
        <f>SUMIF('Parametros Inventario'!$A:$A,B2614,'Parametros Inventario'!$B:$B)+SUMIFS(D$2:D2614,B$2:B2614,B2614,C$2:C2614,"ENTRADA")-SUMIFS(D$2:D2614,B$2:B2614,B2614,C$2:C2614,"SALIDA")</f>
        <v>11934.594000000005</v>
      </c>
    </row>
    <row r="2615" spans="1:5" x14ac:dyDescent="0.3">
      <c r="A2615" s="9">
        <f>'Volúmenes DIstribuidos '!B1659</f>
        <v>45013</v>
      </c>
      <c r="B2615" s="10" t="str">
        <f>IF(OR('Volúmenes DIstribuidos '!C1659="Azúcar",'Volúmenes DIstribuidos '!C1659="azúcar"),"Azúcar o dulce",IF('Volúmenes DIstribuidos '!C1659="Aceite","Aceite o grasas",IF('Volúmenes DIstribuidos '!C1659="Avena","Otros almidones",'Volúmenes DIstribuidos '!C1659)))</f>
        <v>Lácteos</v>
      </c>
      <c r="C2615" s="10" t="s">
        <v>29</v>
      </c>
      <c r="D2615" s="12">
        <f>'Volúmenes DIstribuidos '!D1659</f>
        <v>15.96</v>
      </c>
      <c r="E2615" s="12">
        <f>SUMIF('Parametros Inventario'!$A:$A,B2615,'Parametros Inventario'!$B:$B)+SUMIFS(D$2:D2615,B$2:B2615,B2615,C$2:C2615,"ENTRADA")-SUMIFS(D$2:D2615,B$2:B2615,B2615,C$2:C2615,"SALIDA")</f>
        <v>10417.448</v>
      </c>
    </row>
    <row r="2616" spans="1:5" x14ac:dyDescent="0.3">
      <c r="A2616" s="9">
        <f>'Volúmenes DIstribuidos '!B1659</f>
        <v>45013</v>
      </c>
      <c r="B2616" s="10" t="str">
        <f>IF(OR('Volúmenes DIstribuidos '!C1660="Azúcar",'Volúmenes DIstribuidos '!C1660="azúcar"),"Azúcar o dulce",IF('Volúmenes DIstribuidos '!C1660="Aceite","Aceite o grasas",IF('Volúmenes DIstribuidos '!C1660="Avena","Otros almidones",'Volúmenes DIstribuidos '!C1660)))</f>
        <v>Salsas</v>
      </c>
      <c r="C2616" s="10" t="s">
        <v>29</v>
      </c>
      <c r="D2616" s="12">
        <f>'Volúmenes DIstribuidos '!D1660</f>
        <v>24</v>
      </c>
      <c r="E2616" s="12">
        <f>SUMIF('Parametros Inventario'!$A:$A,B2616,'Parametros Inventario'!$B:$B)+SUMIFS(D$2:D2616,B$2:B2616,B2616,C$2:C2616,"ENTRADA")-SUMIFS(D$2:D2616,B$2:B2616,B2616,C$2:C2616,"SALIDA")</f>
        <v>11276.799999999996</v>
      </c>
    </row>
    <row r="2617" spans="1:5" x14ac:dyDescent="0.3">
      <c r="A2617" s="9">
        <f>'Volúmenes DIstribuidos '!B1659</f>
        <v>45013</v>
      </c>
      <c r="B2617" s="10" t="str">
        <f>IF(OR('Volúmenes DIstribuidos '!C1661="Azúcar",'Volúmenes DIstribuidos '!C1661="azúcar"),"Azúcar o dulce",IF('Volúmenes DIstribuidos '!C1661="Aceite","Aceite o grasas",IF('Volúmenes DIstribuidos '!C1661="Avena","Otros almidones",'Volúmenes DIstribuidos '!C1661)))</f>
        <v>Aceite o grasas</v>
      </c>
      <c r="C2617" s="10" t="s">
        <v>29</v>
      </c>
      <c r="D2617" s="12">
        <f>'Volúmenes DIstribuidos '!D1661</f>
        <v>64.599999999999994</v>
      </c>
      <c r="E2617" s="12">
        <f>SUMIF('Parametros Inventario'!$A:$A,B2617,'Parametros Inventario'!$B:$B)+SUMIFS(D$2:D2617,B$2:B2617,B2617,C$2:C2617,"ENTRADA")-SUMIFS(D$2:D2617,B$2:B2617,B2617,C$2:C2617,"SALIDA")</f>
        <v>11001.484000000004</v>
      </c>
    </row>
    <row r="2618" spans="1:5" x14ac:dyDescent="0.3">
      <c r="A2618" s="9">
        <f>'Volúmenes DIstribuidos '!B1659</f>
        <v>45013</v>
      </c>
      <c r="B2618" s="10" t="str">
        <f>IF(OR('Volúmenes DIstribuidos '!C1662="Azúcar",'Volúmenes DIstribuidos '!C1662="azúcar"),"Azúcar o dulce",IF('Volúmenes DIstribuidos '!C1662="Aceite","Aceite o grasas",IF('Volúmenes DIstribuidos '!C1662="Avena","Otros almidones",'Volúmenes DIstribuidos '!C1662)))</f>
        <v>Azúcar o dulce</v>
      </c>
      <c r="C2618" s="10" t="s">
        <v>29</v>
      </c>
      <c r="D2618" s="12">
        <f>'Volúmenes DIstribuidos '!D1662</f>
        <v>20.14</v>
      </c>
      <c r="E2618" s="12">
        <f>SUMIF('Parametros Inventario'!$A:$A,B2618,'Parametros Inventario'!$B:$B)+SUMIFS(D$2:D2618,B$2:B2618,B2618,C$2:C2618,"ENTRADA")-SUMIFS(D$2:D2618,B$2:B2618,B2618,C$2:C2618,"SALIDA")</f>
        <v>11359.196000000002</v>
      </c>
    </row>
    <row r="2619" spans="1:5" x14ac:dyDescent="0.3">
      <c r="A2619" s="9">
        <f>'Volúmenes DIstribuidos '!B1659</f>
        <v>45013</v>
      </c>
      <c r="B2619" s="10" t="str">
        <f>IF(OR('Volúmenes DIstribuidos '!C1663="Azúcar",'Volúmenes DIstribuidos '!C1663="azúcar"),"Azúcar o dulce",IF('Volúmenes DIstribuidos '!C1663="Aceite","Aceite o grasas",IF('Volúmenes DIstribuidos '!C1663="Avena","Otros almidones",'Volúmenes DIstribuidos '!C1663)))</f>
        <v>Vegetales y hojas</v>
      </c>
      <c r="C2619" s="10" t="s">
        <v>29</v>
      </c>
      <c r="D2619" s="12">
        <f>'Volúmenes DIstribuidos '!D1663</f>
        <v>3.9289999999999998</v>
      </c>
      <c r="E2619" s="12">
        <f>SUMIF('Parametros Inventario'!$A:$A,B2619,'Parametros Inventario'!$B:$B)+SUMIFS(D$2:D2619,B$2:B2619,B2619,C$2:C2619,"ENTRADA")-SUMIFS(D$2:D2619,B$2:B2619,B2619,C$2:C2619,"SALIDA")</f>
        <v>12928.852999999996</v>
      </c>
    </row>
    <row r="2620" spans="1:5" x14ac:dyDescent="0.3">
      <c r="A2620" s="9">
        <f>'Volúmenes DIstribuidos '!B1659</f>
        <v>45013</v>
      </c>
      <c r="B2620" s="10" t="str">
        <f>IF(OR('Volúmenes DIstribuidos '!C1664="Azúcar",'Volúmenes DIstribuidos '!C1664="azúcar"),"Azúcar o dulce",IF('Volúmenes DIstribuidos '!C1664="Aceite","Aceite o grasas",IF('Volúmenes DIstribuidos '!C1664="Avena","Otros almidones",'Volúmenes DIstribuidos '!C1664)))</f>
        <v>Salsas</v>
      </c>
      <c r="C2620" s="10" t="s">
        <v>29</v>
      </c>
      <c r="D2620" s="12">
        <f>'Volúmenes DIstribuidos '!D1664</f>
        <v>18.87</v>
      </c>
      <c r="E2620" s="12">
        <f>SUMIF('Parametros Inventario'!$A:$A,B2620,'Parametros Inventario'!$B:$B)+SUMIFS(D$2:D2620,B$2:B2620,B2620,C$2:C2620,"ENTRADA")-SUMIFS(D$2:D2620,B$2:B2620,B2620,C$2:C2620,"SALIDA")</f>
        <v>11257.929999999997</v>
      </c>
    </row>
    <row r="2621" spans="1:5" x14ac:dyDescent="0.3">
      <c r="A2621" s="9">
        <v>45016</v>
      </c>
      <c r="B2621" s="10" t="s">
        <v>13</v>
      </c>
      <c r="C2621" s="10" t="s">
        <v>28</v>
      </c>
      <c r="D2621" s="12">
        <v>238.12</v>
      </c>
      <c r="E2621" s="12">
        <f>SUMIF('Parametros Inventario'!$A:$A,B2621,'Parametros Inventario'!$B:$B)+SUMIFS(D$2:D2621,B$2:B2621,B2621,C$2:C2621,"ENTRADA")-SUMIFS(D$2:D2621,B$2:B2621,B2621,C$2:C2621,"SALIDA")</f>
        <v>11597.316000000001</v>
      </c>
    </row>
    <row r="2622" spans="1:5" x14ac:dyDescent="0.3">
      <c r="A2622" s="9">
        <v>45016</v>
      </c>
      <c r="B2622" s="10" t="s">
        <v>15</v>
      </c>
      <c r="C2622" s="10" t="s">
        <v>28</v>
      </c>
      <c r="D2622" s="12">
        <v>281.08</v>
      </c>
      <c r="E2622" s="12">
        <f>SUMIF('Parametros Inventario'!$A:$A,B2622,'Parametros Inventario'!$B:$B)+SUMIFS(D$2:D2622,B$2:B2622,B2622,C$2:C2622,"ENTRADA")-SUMIFS(D$2:D2622,B$2:B2622,B2622,C$2:C2622,"SALIDA")</f>
        <v>12027.613000000001</v>
      </c>
    </row>
    <row r="2623" spans="1:5" x14ac:dyDescent="0.3">
      <c r="A2623" s="9">
        <v>45016</v>
      </c>
      <c r="B2623" s="10" t="s">
        <v>11</v>
      </c>
      <c r="C2623" s="10" t="s">
        <v>28</v>
      </c>
      <c r="D2623" s="12">
        <v>267.35000000000002</v>
      </c>
      <c r="E2623" s="12">
        <f>SUMIF('Parametros Inventario'!$A:$A,B2623,'Parametros Inventario'!$B:$B)+SUMIFS(D$2:D2623,B$2:B2623,B2623,C$2:C2623,"ENTRADA")-SUMIFS(D$2:D2623,B$2:B2623,B2623,C$2:C2623,"SALIDA")</f>
        <v>12959.643000000002</v>
      </c>
    </row>
    <row r="2624" spans="1:5" x14ac:dyDescent="0.3">
      <c r="A2624" s="9">
        <v>45016</v>
      </c>
      <c r="B2624" s="10" t="s">
        <v>9</v>
      </c>
      <c r="C2624" s="10" t="s">
        <v>28</v>
      </c>
      <c r="D2624" s="12">
        <v>77.319999999999993</v>
      </c>
      <c r="E2624" s="12">
        <f>SUMIF('Parametros Inventario'!$A:$A,B2624,'Parametros Inventario'!$B:$B)+SUMIFS(D$2:D2624,B$2:B2624,B2624,C$2:C2624,"ENTRADA")-SUMIFS(D$2:D2624,B$2:B2624,B2624,C$2:C2624,"SALIDA")</f>
        <v>9553.2020000000011</v>
      </c>
    </row>
    <row r="2625" spans="1:5" x14ac:dyDescent="0.3">
      <c r="A2625" s="9">
        <v>45016</v>
      </c>
      <c r="B2625" s="10" t="s">
        <v>14</v>
      </c>
      <c r="C2625" s="10" t="s">
        <v>28</v>
      </c>
      <c r="D2625" s="12">
        <v>193.15</v>
      </c>
      <c r="E2625" s="12">
        <f>SUMIF('Parametros Inventario'!$A:$A,B2625,'Parametros Inventario'!$B:$B)+SUMIFS(D$2:D2625,B$2:B2625,B2625,C$2:C2625,"ENTRADA")-SUMIFS(D$2:D2625,B$2:B2625,B2625,C$2:C2625,"SALIDA")</f>
        <v>12021.165000000001</v>
      </c>
    </row>
    <row r="2626" spans="1:5" x14ac:dyDescent="0.3">
      <c r="A2626" s="9">
        <v>45016</v>
      </c>
      <c r="B2626" s="10" t="s">
        <v>12</v>
      </c>
      <c r="C2626" s="10" t="s">
        <v>28</v>
      </c>
      <c r="D2626" s="12">
        <v>249.38</v>
      </c>
      <c r="E2626" s="12">
        <f>SUMIF('Parametros Inventario'!$A:$A,B2626,'Parametros Inventario'!$B:$B)+SUMIFS(D$2:D2626,B$2:B2626,B2626,C$2:C2626,"ENTRADA")-SUMIFS(D$2:D2626,B$2:B2626,B2626,C$2:C2626,"SALIDA")</f>
        <v>12206.666999999999</v>
      </c>
    </row>
    <row r="2627" spans="1:5" x14ac:dyDescent="0.3">
      <c r="A2627" s="9">
        <v>45016</v>
      </c>
      <c r="B2627" s="10" t="s">
        <v>16</v>
      </c>
      <c r="C2627" s="10" t="s">
        <v>28</v>
      </c>
      <c r="D2627" s="12">
        <v>253.56</v>
      </c>
      <c r="E2627" s="12">
        <f>SUMIF('Parametros Inventario'!$A:$A,B2627,'Parametros Inventario'!$B:$B)+SUMIFS(D$2:D2627,B$2:B2627,B2627,C$2:C2627,"ENTRADA")-SUMIFS(D$2:D2627,B$2:B2627,B2627,C$2:C2627,"SALIDA")</f>
        <v>12188.154000000002</v>
      </c>
    </row>
    <row r="2628" spans="1:5" x14ac:dyDescent="0.3">
      <c r="A2628" s="9">
        <f>'Volúmenes DIstribuidos '!B1665</f>
        <v>45016</v>
      </c>
      <c r="B2628" s="10" t="str">
        <f>IF(OR('Volúmenes DIstribuidos '!C1665="Azúcar",'Volúmenes DIstribuidos '!C1665="azúcar"),"Azúcar o dulce",IF('Volúmenes DIstribuidos '!C1665="Aceite","Aceite o grasas",IF('Volúmenes DIstribuidos '!C1665="Avena","Otros almidones",'Volúmenes DIstribuidos '!C1665)))</f>
        <v>Panadería</v>
      </c>
      <c r="C2628" s="10" t="s">
        <v>29</v>
      </c>
      <c r="D2628" s="12">
        <f>'Volúmenes DIstribuidos '!D1665</f>
        <v>5.94</v>
      </c>
      <c r="E2628" s="12">
        <f>SUMIF('Parametros Inventario'!$A:$A,B2628,'Parametros Inventario'!$B:$B)+SUMIFS(D$2:D2628,B$2:B2628,B2628,C$2:C2628,"ENTRADA")-SUMIFS(D$2:D2628,B$2:B2628,B2628,C$2:C2628,"SALIDA")</f>
        <v>9547.2620000000024</v>
      </c>
    </row>
    <row r="2629" spans="1:5" x14ac:dyDescent="0.3">
      <c r="A2629" s="9">
        <f>'Volúmenes DIstribuidos '!B1665</f>
        <v>45016</v>
      </c>
      <c r="B2629" s="10" t="str">
        <f>IF(OR('Volúmenes DIstribuidos '!C1666="Azúcar",'Volúmenes DIstribuidos '!C1666="azúcar"),"Azúcar o dulce",IF('Volúmenes DIstribuidos '!C1666="Aceite","Aceite o grasas",IF('Volúmenes DIstribuidos '!C1666="Avena","Otros almidones",'Volúmenes DIstribuidos '!C1666)))</f>
        <v>Aceite o grasas</v>
      </c>
      <c r="C2629" s="10" t="s">
        <v>29</v>
      </c>
      <c r="D2629" s="12">
        <f>'Volúmenes DIstribuidos '!D1666</f>
        <v>42.325000000000003</v>
      </c>
      <c r="E2629" s="12">
        <f>SUMIF('Parametros Inventario'!$A:$A,B2629,'Parametros Inventario'!$B:$B)+SUMIFS(D$2:D2629,B$2:B2629,B2629,C$2:C2629,"ENTRADA")-SUMIFS(D$2:D2629,B$2:B2629,B2629,C$2:C2629,"SALIDA")</f>
        <v>10959.159000000003</v>
      </c>
    </row>
    <row r="2630" spans="1:5" x14ac:dyDescent="0.3">
      <c r="A2630" s="9">
        <f>'Volúmenes DIstribuidos '!B1665</f>
        <v>45016</v>
      </c>
      <c r="B2630" s="10" t="str">
        <f>IF(OR('Volúmenes DIstribuidos '!C1667="Azúcar",'Volúmenes DIstribuidos '!C1667="azúcar"),"Azúcar o dulce",IF('Volúmenes DIstribuidos '!C1667="Aceite","Aceite o grasas",IF('Volúmenes DIstribuidos '!C1667="Avena","Otros almidones",'Volúmenes DIstribuidos '!C1667)))</f>
        <v>Fideo</v>
      </c>
      <c r="C2630" s="10" t="s">
        <v>29</v>
      </c>
      <c r="D2630" s="12">
        <f>'Volúmenes DIstribuidos '!D1667</f>
        <v>71.91</v>
      </c>
      <c r="E2630" s="12">
        <f>SUMIF('Parametros Inventario'!$A:$A,B2630,'Parametros Inventario'!$B:$B)+SUMIFS(D$2:D2630,B$2:B2630,B2630,C$2:C2630,"ENTRADA")-SUMIFS(D$2:D2630,B$2:B2630,B2630,C$2:C2630,"SALIDA")</f>
        <v>12887.733000000002</v>
      </c>
    </row>
    <row r="2631" spans="1:5" x14ac:dyDescent="0.3">
      <c r="A2631" s="9">
        <f>'Volúmenes DIstribuidos '!B1665</f>
        <v>45016</v>
      </c>
      <c r="B2631" s="10" t="str">
        <f>IF(OR('Volúmenes DIstribuidos '!C1668="Azúcar",'Volúmenes DIstribuidos '!C1668="azúcar"),"Azúcar o dulce",IF('Volúmenes DIstribuidos '!C1668="Aceite","Aceite o grasas",IF('Volúmenes DIstribuidos '!C1668="Avena","Otros almidones",'Volúmenes DIstribuidos '!C1668)))</f>
        <v>Panadería</v>
      </c>
      <c r="C2631" s="10" t="s">
        <v>29</v>
      </c>
      <c r="D2631" s="12">
        <f>'Volúmenes DIstribuidos '!D1668</f>
        <v>49.86</v>
      </c>
      <c r="E2631" s="12">
        <f>SUMIF('Parametros Inventario'!$A:$A,B2631,'Parametros Inventario'!$B:$B)+SUMIFS(D$2:D2631,B$2:B2631,B2631,C$2:C2631,"ENTRADA")-SUMIFS(D$2:D2631,B$2:B2631,B2631,C$2:C2631,"SALIDA")</f>
        <v>9497.4020000000019</v>
      </c>
    </row>
    <row r="2632" spans="1:5" x14ac:dyDescent="0.3">
      <c r="A2632" s="9">
        <f>'Volúmenes DIstribuidos '!B1665</f>
        <v>45016</v>
      </c>
      <c r="B2632" s="10" t="str">
        <f>IF(OR('Volúmenes DIstribuidos '!C1669="Azúcar",'Volúmenes DIstribuidos '!C1669="azúcar"),"Azúcar o dulce",IF('Volúmenes DIstribuidos '!C1669="Aceite","Aceite o grasas",IF('Volúmenes DIstribuidos '!C1669="Avena","Otros almidones",'Volúmenes DIstribuidos '!C1669)))</f>
        <v>Otros almidones</v>
      </c>
      <c r="C2632" s="10" t="s">
        <v>29</v>
      </c>
      <c r="D2632" s="12">
        <f>'Volúmenes DIstribuidos '!D1669</f>
        <v>69.02</v>
      </c>
      <c r="E2632" s="12">
        <f>SUMIF('Parametros Inventario'!$A:$A,B2632,'Parametros Inventario'!$B:$B)+SUMIFS(D$2:D2632,B$2:B2632,B2632,C$2:C2632,"ENTRADA")-SUMIFS(D$2:D2632,B$2:B2632,B2632,C$2:C2632,"SALIDA")</f>
        <v>11958.593000000001</v>
      </c>
    </row>
    <row r="2633" spans="1:5" x14ac:dyDescent="0.3">
      <c r="A2633" s="9">
        <f>'Volúmenes DIstribuidos '!B1665</f>
        <v>45016</v>
      </c>
      <c r="B2633" s="10" t="str">
        <f>IF(OR('Volúmenes DIstribuidos '!C1670="Azúcar",'Volúmenes DIstribuidos '!C1670="azúcar"),"Azúcar o dulce",IF('Volúmenes DIstribuidos '!C1670="Aceite","Aceite o grasas",IF('Volúmenes DIstribuidos '!C1670="Avena","Otros almidones",'Volúmenes DIstribuidos '!C1670)))</f>
        <v>Azúcar o dulce</v>
      </c>
      <c r="C2633" s="10" t="s">
        <v>29</v>
      </c>
      <c r="D2633" s="12">
        <f>'Volúmenes DIstribuidos '!D1670</f>
        <v>23.22</v>
      </c>
      <c r="E2633" s="12">
        <f>SUMIF('Parametros Inventario'!$A:$A,B2633,'Parametros Inventario'!$B:$B)+SUMIFS(D$2:D2633,B$2:B2633,B2633,C$2:C2633,"ENTRADA")-SUMIFS(D$2:D2633,B$2:B2633,B2633,C$2:C2633,"SALIDA")</f>
        <v>11574.096000000001</v>
      </c>
    </row>
    <row r="2634" spans="1:5" x14ac:dyDescent="0.3">
      <c r="A2634" s="9">
        <f>'Volúmenes DIstribuidos '!B1671</f>
        <v>45020</v>
      </c>
      <c r="B2634" s="10" t="str">
        <f>IF(OR('Volúmenes DIstribuidos '!C1671="Azúcar",'Volúmenes DIstribuidos '!C1671="azúcar"),"Azúcar o dulce",IF('Volúmenes DIstribuidos '!C1671="Aceite","Aceite o grasas",IF('Volúmenes DIstribuidos '!C1671="Avena","Otros almidones",'Volúmenes DIstribuidos '!C1671)))</f>
        <v>Aceite o grasas</v>
      </c>
      <c r="C2634" s="10" t="s">
        <v>29</v>
      </c>
      <c r="D2634" s="12">
        <f>'Volúmenes DIstribuidos '!D1671</f>
        <v>15.988</v>
      </c>
      <c r="E2634" s="12">
        <f>SUMIF('Parametros Inventario'!$A:$A,B2634,'Parametros Inventario'!$B:$B)+SUMIFS(D$2:D2634,B$2:B2634,B2634,C$2:C2634,"ENTRADA")-SUMIFS(D$2:D2634,B$2:B2634,B2634,C$2:C2634,"SALIDA")</f>
        <v>10943.171000000004</v>
      </c>
    </row>
    <row r="2635" spans="1:5" x14ac:dyDescent="0.3">
      <c r="A2635" s="9">
        <f>'Volúmenes DIstribuidos '!B1671</f>
        <v>45020</v>
      </c>
      <c r="B2635" s="10" t="str">
        <f>IF(OR('Volúmenes DIstribuidos '!C1672="Azúcar",'Volúmenes DIstribuidos '!C1672="azúcar"),"Azúcar o dulce",IF('Volúmenes DIstribuidos '!C1672="Aceite","Aceite o grasas",IF('Volúmenes DIstribuidos '!C1672="Avena","Otros almidones",'Volúmenes DIstribuidos '!C1672)))</f>
        <v>Carnes blancas</v>
      </c>
      <c r="C2635" s="10" t="s">
        <v>29</v>
      </c>
      <c r="D2635" s="12">
        <f>'Volúmenes DIstribuidos '!D1672</f>
        <v>14.13</v>
      </c>
      <c r="E2635" s="12">
        <f>SUMIF('Parametros Inventario'!$A:$A,B2635,'Parametros Inventario'!$B:$B)+SUMIFS(D$2:D2635,B$2:B2635,B2635,C$2:C2635,"ENTRADA")-SUMIFS(D$2:D2635,B$2:B2635,B2635,C$2:C2635,"SALIDA")</f>
        <v>12174.024000000001</v>
      </c>
    </row>
    <row r="2636" spans="1:5" x14ac:dyDescent="0.3">
      <c r="A2636" s="9">
        <f>'Volúmenes DIstribuidos '!B1671</f>
        <v>45020</v>
      </c>
      <c r="B2636" s="10" t="str">
        <f>IF(OR('Volúmenes DIstribuidos '!C1673="Azúcar",'Volúmenes DIstribuidos '!C1673="azúcar"),"Azúcar o dulce",IF('Volúmenes DIstribuidos '!C1673="Aceite","Aceite o grasas",IF('Volúmenes DIstribuidos '!C1673="Avena","Otros almidones",'Volúmenes DIstribuidos '!C1673)))</f>
        <v>Carnes rojas</v>
      </c>
      <c r="C2636" s="10" t="s">
        <v>29</v>
      </c>
      <c r="D2636" s="12">
        <f>'Volúmenes DIstribuidos '!D1673</f>
        <v>3.74</v>
      </c>
      <c r="E2636" s="12">
        <f>SUMIF('Parametros Inventario'!$A:$A,B2636,'Parametros Inventario'!$B:$B)+SUMIFS(D$2:D2636,B$2:B2636,B2636,C$2:C2636,"ENTRADA")-SUMIFS(D$2:D2636,B$2:B2636,B2636,C$2:C2636,"SALIDA")</f>
        <v>12202.927</v>
      </c>
    </row>
    <row r="2637" spans="1:5" x14ac:dyDescent="0.3">
      <c r="A2637" s="9">
        <f>'Volúmenes DIstribuidos '!B1671</f>
        <v>45020</v>
      </c>
      <c r="B2637" s="10" t="str">
        <f>IF(OR('Volúmenes DIstribuidos '!C1674="Azúcar",'Volúmenes DIstribuidos '!C1674="azúcar"),"Azúcar o dulce",IF('Volúmenes DIstribuidos '!C1674="Aceite","Aceite o grasas",IF('Volúmenes DIstribuidos '!C1674="Avena","Otros almidones",'Volúmenes DIstribuidos '!C1674)))</f>
        <v>Salsas</v>
      </c>
      <c r="C2637" s="10" t="s">
        <v>29</v>
      </c>
      <c r="D2637" s="12">
        <f>'Volúmenes DIstribuidos '!D1674</f>
        <v>11.57</v>
      </c>
      <c r="E2637" s="12">
        <f>SUMIF('Parametros Inventario'!$A:$A,B2637,'Parametros Inventario'!$B:$B)+SUMIFS(D$2:D2637,B$2:B2637,B2637,C$2:C2637,"ENTRADA")-SUMIFS(D$2:D2637,B$2:B2637,B2637,C$2:C2637,"SALIDA")</f>
        <v>11246.359999999997</v>
      </c>
    </row>
    <row r="2638" spans="1:5" x14ac:dyDescent="0.3">
      <c r="A2638" s="9">
        <f>'Volúmenes DIstribuidos '!B1671</f>
        <v>45020</v>
      </c>
      <c r="B2638" s="10" t="str">
        <f>IF(OR('Volúmenes DIstribuidos '!C1675="Azúcar",'Volúmenes DIstribuidos '!C1675="azúcar"),"Azúcar o dulce",IF('Volúmenes DIstribuidos '!C1675="Aceite","Aceite o grasas",IF('Volúmenes DIstribuidos '!C1675="Avena","Otros almidones",'Volúmenes DIstribuidos '!C1675)))</f>
        <v>Aceite o grasas</v>
      </c>
      <c r="C2638" s="10" t="s">
        <v>29</v>
      </c>
      <c r="D2638" s="12">
        <f>'Volúmenes DIstribuidos '!D1675</f>
        <v>16.181000000000001</v>
      </c>
      <c r="E2638" s="12">
        <f>SUMIF('Parametros Inventario'!$A:$A,B2638,'Parametros Inventario'!$B:$B)+SUMIFS(D$2:D2638,B$2:B2638,B2638,C$2:C2638,"ENTRADA")-SUMIFS(D$2:D2638,B$2:B2638,B2638,C$2:C2638,"SALIDA")</f>
        <v>10926.990000000005</v>
      </c>
    </row>
    <row r="2639" spans="1:5" x14ac:dyDescent="0.3">
      <c r="A2639" s="9">
        <f>'Volúmenes DIstribuidos '!B1671</f>
        <v>45020</v>
      </c>
      <c r="B2639" s="10" t="str">
        <f>IF(OR('Volúmenes DIstribuidos '!C1676="Azúcar",'Volúmenes DIstribuidos '!C1676="azúcar"),"Azúcar o dulce",IF('Volúmenes DIstribuidos '!C1676="Aceite","Aceite o grasas",IF('Volúmenes DIstribuidos '!C1676="Avena","Otros almidones",'Volúmenes DIstribuidos '!C1676)))</f>
        <v>Carnes blancas</v>
      </c>
      <c r="C2639" s="10" t="s">
        <v>29</v>
      </c>
      <c r="D2639" s="12">
        <f>'Volúmenes DIstribuidos '!D1676</f>
        <v>127.63</v>
      </c>
      <c r="E2639" s="12">
        <f>SUMIF('Parametros Inventario'!$A:$A,B2639,'Parametros Inventario'!$B:$B)+SUMIFS(D$2:D2639,B$2:B2639,B2639,C$2:C2639,"ENTRADA")-SUMIFS(D$2:D2639,B$2:B2639,B2639,C$2:C2639,"SALIDA")</f>
        <v>12046.394</v>
      </c>
    </row>
    <row r="2640" spans="1:5" x14ac:dyDescent="0.3">
      <c r="A2640" s="9">
        <f>'Volúmenes DIstribuidos '!B1677</f>
        <v>45023</v>
      </c>
      <c r="B2640" s="10" t="str">
        <f>IF(OR('Volúmenes DIstribuidos '!C1677="Azúcar",'Volúmenes DIstribuidos '!C1677="azúcar"),"Azúcar o dulce",IF('Volúmenes DIstribuidos '!C1677="Aceite","Aceite o grasas",IF('Volúmenes DIstribuidos '!C1677="Avena","Otros almidones",'Volúmenes DIstribuidos '!C1677)))</f>
        <v>Fideo</v>
      </c>
      <c r="C2640" s="10" t="s">
        <v>29</v>
      </c>
      <c r="D2640" s="12">
        <f>'Volúmenes DIstribuidos '!D1677</f>
        <v>31.84</v>
      </c>
      <c r="E2640" s="12">
        <f>SUMIF('Parametros Inventario'!$A:$A,B2640,'Parametros Inventario'!$B:$B)+SUMIFS(D$2:D2640,B$2:B2640,B2640,C$2:C2640,"ENTRADA")-SUMIFS(D$2:D2640,B$2:B2640,B2640,C$2:C2640,"SALIDA")</f>
        <v>12855.893000000002</v>
      </c>
    </row>
    <row r="2641" spans="1:5" x14ac:dyDescent="0.3">
      <c r="A2641" s="9">
        <f>'Volúmenes DIstribuidos '!B1677</f>
        <v>45023</v>
      </c>
      <c r="B2641" s="10" t="str">
        <f>IF(OR('Volúmenes DIstribuidos '!C1678="Azúcar",'Volúmenes DIstribuidos '!C1678="azúcar"),"Azúcar o dulce",IF('Volúmenes DIstribuidos '!C1678="Aceite","Aceite o grasas",IF('Volúmenes DIstribuidos '!C1678="Avena","Otros almidones",'Volúmenes DIstribuidos '!C1678)))</f>
        <v>Panadería</v>
      </c>
      <c r="C2641" s="10" t="s">
        <v>29</v>
      </c>
      <c r="D2641" s="12">
        <f>'Volúmenes DIstribuidos '!D1678</f>
        <v>72.83</v>
      </c>
      <c r="E2641" s="12">
        <f>SUMIF('Parametros Inventario'!$A:$A,B2641,'Parametros Inventario'!$B:$B)+SUMIFS(D$2:D2641,B$2:B2641,B2641,C$2:C2641,"ENTRADA")-SUMIFS(D$2:D2641,B$2:B2641,B2641,C$2:C2641,"SALIDA")</f>
        <v>9424.5720000000019</v>
      </c>
    </row>
    <row r="2642" spans="1:5" x14ac:dyDescent="0.3">
      <c r="A2642" s="9">
        <f>'Volúmenes DIstribuidos '!B1677</f>
        <v>45023</v>
      </c>
      <c r="B2642" s="10" t="str">
        <f>IF(OR('Volúmenes DIstribuidos '!C1679="Azúcar",'Volúmenes DIstribuidos '!C1679="azúcar"),"Azúcar o dulce",IF('Volúmenes DIstribuidos '!C1679="Aceite","Aceite o grasas",IF('Volúmenes DIstribuidos '!C1679="Avena","Otros almidones",'Volúmenes DIstribuidos '!C1679)))</f>
        <v>Azúcar o dulce</v>
      </c>
      <c r="C2642" s="10" t="s">
        <v>29</v>
      </c>
      <c r="D2642" s="12">
        <f>'Volúmenes DIstribuidos '!D1679</f>
        <v>14.59</v>
      </c>
      <c r="E2642" s="12">
        <f>SUMIF('Parametros Inventario'!$A:$A,B2642,'Parametros Inventario'!$B:$B)+SUMIFS(D$2:D2642,B$2:B2642,B2642,C$2:C2642,"ENTRADA")-SUMIFS(D$2:D2642,B$2:B2642,B2642,C$2:C2642,"SALIDA")</f>
        <v>11559.506000000001</v>
      </c>
    </row>
    <row r="2643" spans="1:5" x14ac:dyDescent="0.3">
      <c r="A2643" s="9">
        <f>'Volúmenes DIstribuidos '!B1677</f>
        <v>45023</v>
      </c>
      <c r="B2643" s="10" t="str">
        <f>IF(OR('Volúmenes DIstribuidos '!C1680="Azúcar",'Volúmenes DIstribuidos '!C1680="azúcar"),"Azúcar o dulce",IF('Volúmenes DIstribuidos '!C1680="Aceite","Aceite o grasas",IF('Volúmenes DIstribuidos '!C1680="Avena","Otros almidones",'Volúmenes DIstribuidos '!C1680)))</f>
        <v>Aceite o grasas</v>
      </c>
      <c r="C2643" s="10" t="s">
        <v>29</v>
      </c>
      <c r="D2643" s="12">
        <f>'Volúmenes DIstribuidos '!D1680</f>
        <v>20.9</v>
      </c>
      <c r="E2643" s="12">
        <f>SUMIF('Parametros Inventario'!$A:$A,B2643,'Parametros Inventario'!$B:$B)+SUMIFS(D$2:D2643,B$2:B2643,B2643,C$2:C2643,"ENTRADA")-SUMIFS(D$2:D2643,B$2:B2643,B2643,C$2:C2643,"SALIDA")</f>
        <v>10906.090000000004</v>
      </c>
    </row>
    <row r="2644" spans="1:5" x14ac:dyDescent="0.3">
      <c r="A2644" s="9">
        <f>'Volúmenes DIstribuidos '!B1677</f>
        <v>45023</v>
      </c>
      <c r="B2644" s="10" t="str">
        <f>IF(OR('Volúmenes DIstribuidos '!C1681="Azúcar",'Volúmenes DIstribuidos '!C1681="azúcar"),"Azúcar o dulce",IF('Volúmenes DIstribuidos '!C1681="Aceite","Aceite o grasas",IF('Volúmenes DIstribuidos '!C1681="Avena","Otros almidones",'Volúmenes DIstribuidos '!C1681)))</f>
        <v>Menestras</v>
      </c>
      <c r="C2644" s="10" t="s">
        <v>29</v>
      </c>
      <c r="D2644" s="12">
        <f>'Volúmenes DIstribuidos '!D1681</f>
        <v>10.36</v>
      </c>
      <c r="E2644" s="12">
        <f>SUMIF('Parametros Inventario'!$A:$A,B2644,'Parametros Inventario'!$B:$B)+SUMIFS(D$2:D2644,B$2:B2644,B2644,C$2:C2644,"ENTRADA")-SUMIFS(D$2:D2644,B$2:B2644,B2644,C$2:C2644,"SALIDA")</f>
        <v>12010.805</v>
      </c>
    </row>
    <row r="2645" spans="1:5" x14ac:dyDescent="0.3">
      <c r="A2645" s="9">
        <f>'Volúmenes DIstribuidos '!B1677</f>
        <v>45023</v>
      </c>
      <c r="B2645" s="10" t="str">
        <f>IF(OR('Volúmenes DIstribuidos '!C1682="Azúcar",'Volúmenes DIstribuidos '!C1682="azúcar"),"Azúcar o dulce",IF('Volúmenes DIstribuidos '!C1682="Aceite","Aceite o grasas",IF('Volúmenes DIstribuidos '!C1682="Avena","Otros almidones",'Volúmenes DIstribuidos '!C1682)))</f>
        <v>Salsas</v>
      </c>
      <c r="C2645" s="10" t="s">
        <v>29</v>
      </c>
      <c r="D2645" s="12">
        <f>'Volúmenes DIstribuidos '!D1682</f>
        <v>14.69</v>
      </c>
      <c r="E2645" s="12">
        <f>SUMIF('Parametros Inventario'!$A:$A,B2645,'Parametros Inventario'!$B:$B)+SUMIFS(D$2:D2645,B$2:B2645,B2645,C$2:C2645,"ENTRADA")-SUMIFS(D$2:D2645,B$2:B2645,B2645,C$2:C2645,"SALIDA")</f>
        <v>11231.669999999998</v>
      </c>
    </row>
    <row r="2646" spans="1:5" x14ac:dyDescent="0.3">
      <c r="A2646" s="9">
        <f>'Volúmenes DIstribuidos '!B1683</f>
        <v>45027</v>
      </c>
      <c r="B2646" s="10" t="str">
        <f>IF(OR('Volúmenes DIstribuidos '!C1683="Azúcar",'Volúmenes DIstribuidos '!C1683="azúcar"),"Azúcar o dulce",IF('Volúmenes DIstribuidos '!C1683="Aceite","Aceite o grasas",IF('Volúmenes DIstribuidos '!C1683="Avena","Otros almidones",'Volúmenes DIstribuidos '!C1683)))</f>
        <v>Azúcar o dulce</v>
      </c>
      <c r="C2646" s="10" t="s">
        <v>29</v>
      </c>
      <c r="D2646" s="12">
        <f>'Volúmenes DIstribuidos '!D1683</f>
        <v>13.16</v>
      </c>
      <c r="E2646" s="12">
        <f>SUMIF('Parametros Inventario'!$A:$A,B2646,'Parametros Inventario'!$B:$B)+SUMIFS(D$2:D2646,B$2:B2646,B2646,C$2:C2646,"ENTRADA")-SUMIFS(D$2:D2646,B$2:B2646,B2646,C$2:C2646,"SALIDA")</f>
        <v>11546.346000000001</v>
      </c>
    </row>
    <row r="2647" spans="1:5" x14ac:dyDescent="0.3">
      <c r="A2647" s="9">
        <f>'Volúmenes DIstribuidos '!B1683</f>
        <v>45027</v>
      </c>
      <c r="B2647" s="10" t="str">
        <f>IF(OR('Volúmenes DIstribuidos '!C1684="Azúcar",'Volúmenes DIstribuidos '!C1684="azúcar"),"Azúcar o dulce",IF('Volúmenes DIstribuidos '!C1684="Aceite","Aceite o grasas",IF('Volúmenes DIstribuidos '!C1684="Avena","Otros almidones",'Volúmenes DIstribuidos '!C1684)))</f>
        <v>Vegetales y hojas</v>
      </c>
      <c r="C2647" s="10" t="s">
        <v>29</v>
      </c>
      <c r="D2647" s="12">
        <f>'Volúmenes DIstribuidos '!D1684</f>
        <v>12.02</v>
      </c>
      <c r="E2647" s="12">
        <f>SUMIF('Parametros Inventario'!$A:$A,B2647,'Parametros Inventario'!$B:$B)+SUMIFS(D$2:D2647,B$2:B2647,B2647,C$2:C2647,"ENTRADA")-SUMIFS(D$2:D2647,B$2:B2647,B2647,C$2:C2647,"SALIDA")</f>
        <v>12916.832999999997</v>
      </c>
    </row>
    <row r="2648" spans="1:5" x14ac:dyDescent="0.3">
      <c r="A2648" s="9">
        <f>'Volúmenes DIstribuidos '!B1683</f>
        <v>45027</v>
      </c>
      <c r="B2648" s="10" t="str">
        <f>IF(OR('Volúmenes DIstribuidos '!C1685="Azúcar",'Volúmenes DIstribuidos '!C1685="azúcar"),"Azúcar o dulce",IF('Volúmenes DIstribuidos '!C1685="Aceite","Aceite o grasas",IF('Volúmenes DIstribuidos '!C1685="Avena","Otros almidones",'Volúmenes DIstribuidos '!C1685)))</f>
        <v>Lácteos</v>
      </c>
      <c r="C2648" s="10" t="s">
        <v>29</v>
      </c>
      <c r="D2648" s="12">
        <f>'Volúmenes DIstribuidos '!D1685</f>
        <v>11.337</v>
      </c>
      <c r="E2648" s="12">
        <f>SUMIF('Parametros Inventario'!$A:$A,B2648,'Parametros Inventario'!$B:$B)+SUMIFS(D$2:D2648,B$2:B2648,B2648,C$2:C2648,"ENTRADA")-SUMIFS(D$2:D2648,B$2:B2648,B2648,C$2:C2648,"SALIDA")</f>
        <v>10406.111000000001</v>
      </c>
    </row>
    <row r="2649" spans="1:5" x14ac:dyDescent="0.3">
      <c r="A2649" s="9">
        <f>'Volúmenes DIstribuidos '!B1683</f>
        <v>45027</v>
      </c>
      <c r="B2649" s="10" t="str">
        <f>IF(OR('Volúmenes DIstribuidos '!C1686="Azúcar",'Volúmenes DIstribuidos '!C1686="azúcar"),"Azúcar o dulce",IF('Volúmenes DIstribuidos '!C1686="Aceite","Aceite o grasas",IF('Volúmenes DIstribuidos '!C1686="Avena","Otros almidones",'Volúmenes DIstribuidos '!C1686)))</f>
        <v>Carnes blancas</v>
      </c>
      <c r="C2649" s="10" t="s">
        <v>29</v>
      </c>
      <c r="D2649" s="12">
        <f>'Volúmenes DIstribuidos '!D1686</f>
        <v>15.29</v>
      </c>
      <c r="E2649" s="12">
        <f>SUMIF('Parametros Inventario'!$A:$A,B2649,'Parametros Inventario'!$B:$B)+SUMIFS(D$2:D2649,B$2:B2649,B2649,C$2:C2649,"ENTRADA")-SUMIFS(D$2:D2649,B$2:B2649,B2649,C$2:C2649,"SALIDA")</f>
        <v>12031.104000000001</v>
      </c>
    </row>
    <row r="2650" spans="1:5" x14ac:dyDescent="0.3">
      <c r="A2650" s="9">
        <f>'Volúmenes DIstribuidos '!B1683</f>
        <v>45027</v>
      </c>
      <c r="B2650" s="10" t="str">
        <f>IF(OR('Volúmenes DIstribuidos '!C1687="Azúcar",'Volúmenes DIstribuidos '!C1687="azúcar"),"Azúcar o dulce",IF('Volúmenes DIstribuidos '!C1687="Aceite","Aceite o grasas",IF('Volúmenes DIstribuidos '!C1687="Avena","Otros almidones",'Volúmenes DIstribuidos '!C1687)))</f>
        <v>Salsas</v>
      </c>
      <c r="C2650" s="10" t="s">
        <v>29</v>
      </c>
      <c r="D2650" s="12">
        <f>'Volúmenes DIstribuidos '!D1687</f>
        <v>20.74</v>
      </c>
      <c r="E2650" s="12">
        <f>SUMIF('Parametros Inventario'!$A:$A,B2650,'Parametros Inventario'!$B:$B)+SUMIFS(D$2:D2650,B$2:B2650,B2650,C$2:C2650,"ENTRADA")-SUMIFS(D$2:D2650,B$2:B2650,B2650,C$2:C2650,"SALIDA")</f>
        <v>11210.929999999997</v>
      </c>
    </row>
    <row r="2651" spans="1:5" x14ac:dyDescent="0.3">
      <c r="A2651" s="9">
        <f>'Volúmenes DIstribuidos '!B1683</f>
        <v>45027</v>
      </c>
      <c r="B2651" s="10" t="str">
        <f>IF(OR('Volúmenes DIstribuidos '!C1688="Azúcar",'Volúmenes DIstribuidos '!C1688="azúcar"),"Azúcar o dulce",IF('Volúmenes DIstribuidos '!C1688="Aceite","Aceite o grasas",IF('Volúmenes DIstribuidos '!C1688="Avena","Otros almidones",'Volúmenes DIstribuidos '!C1688)))</f>
        <v>Fideo</v>
      </c>
      <c r="C2651" s="10" t="s">
        <v>29</v>
      </c>
      <c r="D2651" s="12">
        <f>'Volúmenes DIstribuidos '!D1688</f>
        <v>26.83</v>
      </c>
      <c r="E2651" s="12">
        <f>SUMIF('Parametros Inventario'!$A:$A,B2651,'Parametros Inventario'!$B:$B)+SUMIFS(D$2:D2651,B$2:B2651,B2651,C$2:C2651,"ENTRADA")-SUMIFS(D$2:D2651,B$2:B2651,B2651,C$2:C2651,"SALIDA")</f>
        <v>12829.063000000002</v>
      </c>
    </row>
    <row r="2652" spans="1:5" x14ac:dyDescent="0.3">
      <c r="A2652" s="9">
        <v>45030</v>
      </c>
      <c r="B2652" s="10" t="s">
        <v>17</v>
      </c>
      <c r="C2652" s="10" t="s">
        <v>28</v>
      </c>
      <c r="D2652" s="12">
        <v>117.26</v>
      </c>
      <c r="E2652" s="12">
        <f>SUMIF('Parametros Inventario'!$A:$A,B2652,'Parametros Inventario'!$B:$B)+SUMIFS(D$2:D2652,B$2:B2652,B2652,C$2:C2652,"ENTRADA")-SUMIFS(D$2:D2652,B$2:B2652,B2652,C$2:C2652,"SALIDA")</f>
        <v>10523.371000000001</v>
      </c>
    </row>
    <row r="2653" spans="1:5" x14ac:dyDescent="0.3">
      <c r="A2653" s="9">
        <v>45030</v>
      </c>
      <c r="B2653" s="10" t="s">
        <v>18</v>
      </c>
      <c r="C2653" s="10" t="s">
        <v>28</v>
      </c>
      <c r="D2653" s="12">
        <v>102.38</v>
      </c>
      <c r="E2653" s="12">
        <f>SUMIF('Parametros Inventario'!$A:$A,B2653,'Parametros Inventario'!$B:$B)+SUMIFS(D$2:D2653,B$2:B2653,B2653,C$2:C2653,"ENTRADA")-SUMIFS(D$2:D2653,B$2:B2653,B2653,C$2:C2653,"SALIDA")</f>
        <v>11313.309999999998</v>
      </c>
    </row>
    <row r="2654" spans="1:5" x14ac:dyDescent="0.3">
      <c r="A2654" s="9">
        <v>45030</v>
      </c>
      <c r="B2654" s="10" t="s">
        <v>10</v>
      </c>
      <c r="C2654" s="10" t="s">
        <v>28</v>
      </c>
      <c r="D2654" s="12">
        <v>237.07</v>
      </c>
      <c r="E2654" s="12">
        <f>SUMIF('Parametros Inventario'!$A:$A,B2654,'Parametros Inventario'!$B:$B)+SUMIFS(D$2:D2654,B$2:B2654,B2654,C$2:C2654,"ENTRADA")-SUMIFS(D$2:D2654,B$2:B2654,B2654,C$2:C2654,"SALIDA")</f>
        <v>13153.902999999997</v>
      </c>
    </row>
    <row r="2655" spans="1:5" x14ac:dyDescent="0.3">
      <c r="A2655" s="9">
        <v>45030</v>
      </c>
      <c r="B2655" s="10" t="s">
        <v>8</v>
      </c>
      <c r="C2655" s="10" t="s">
        <v>28</v>
      </c>
      <c r="D2655" s="12">
        <v>224.75</v>
      </c>
      <c r="E2655" s="12">
        <f>SUMIF('Parametros Inventario'!$A:$A,B2655,'Parametros Inventario'!$B:$B)+SUMIFS(D$2:D2655,B$2:B2655,B2655,C$2:C2655,"ENTRADA")-SUMIFS(D$2:D2655,B$2:B2655,B2655,C$2:C2655,"SALIDA")</f>
        <v>11130.840000000004</v>
      </c>
    </row>
    <row r="2656" spans="1:5" x14ac:dyDescent="0.3">
      <c r="A2656" s="9">
        <v>45030</v>
      </c>
      <c r="B2656" s="10" t="s">
        <v>13</v>
      </c>
      <c r="C2656" s="10" t="s">
        <v>28</v>
      </c>
      <c r="D2656" s="12">
        <v>51.61</v>
      </c>
      <c r="E2656" s="12">
        <f>SUMIF('Parametros Inventario'!$A:$A,B2656,'Parametros Inventario'!$B:$B)+SUMIFS(D$2:D2656,B$2:B2656,B2656,C$2:C2656,"ENTRADA")-SUMIFS(D$2:D2656,B$2:B2656,B2656,C$2:C2656,"SALIDA")</f>
        <v>11597.956000000002</v>
      </c>
    </row>
    <row r="2657" spans="1:5" x14ac:dyDescent="0.3">
      <c r="A2657" s="9">
        <v>45030</v>
      </c>
      <c r="B2657" s="10" t="s">
        <v>15</v>
      </c>
      <c r="C2657" s="10" t="s">
        <v>28</v>
      </c>
      <c r="D2657" s="12">
        <v>92.1</v>
      </c>
      <c r="E2657" s="12">
        <f>SUMIF('Parametros Inventario'!$A:$A,B2657,'Parametros Inventario'!$B:$B)+SUMIFS(D$2:D2657,B$2:B2657,B2657,C$2:C2657,"ENTRADA")-SUMIFS(D$2:D2657,B$2:B2657,B2657,C$2:C2657,"SALIDA")</f>
        <v>12050.693000000003</v>
      </c>
    </row>
    <row r="2658" spans="1:5" x14ac:dyDescent="0.3">
      <c r="A2658" s="9">
        <v>45030</v>
      </c>
      <c r="B2658" s="10" t="s">
        <v>11</v>
      </c>
      <c r="C2658" s="10" t="s">
        <v>28</v>
      </c>
      <c r="D2658" s="12">
        <v>172.93</v>
      </c>
      <c r="E2658" s="12">
        <f>SUMIF('Parametros Inventario'!$A:$A,B2658,'Parametros Inventario'!$B:$B)+SUMIFS(D$2:D2658,B$2:B2658,B2658,C$2:C2658,"ENTRADA")-SUMIFS(D$2:D2658,B$2:B2658,B2658,C$2:C2658,"SALIDA")</f>
        <v>13001.993000000002</v>
      </c>
    </row>
    <row r="2659" spans="1:5" x14ac:dyDescent="0.3">
      <c r="A2659" s="9">
        <v>45030</v>
      </c>
      <c r="B2659" s="10" t="s">
        <v>9</v>
      </c>
      <c r="C2659" s="10" t="s">
        <v>28</v>
      </c>
      <c r="D2659" s="12">
        <v>74.22</v>
      </c>
      <c r="E2659" s="12">
        <f>SUMIF('Parametros Inventario'!$A:$A,B2659,'Parametros Inventario'!$B:$B)+SUMIFS(D$2:D2659,B$2:B2659,B2659,C$2:C2659,"ENTRADA")-SUMIFS(D$2:D2659,B$2:B2659,B2659,C$2:C2659,"SALIDA")</f>
        <v>9498.7920000000013</v>
      </c>
    </row>
    <row r="2660" spans="1:5" x14ac:dyDescent="0.3">
      <c r="A2660" s="9">
        <f>'Volúmenes DIstribuidos '!B1689</f>
        <v>45030</v>
      </c>
      <c r="B2660" s="10" t="str">
        <f>IF(OR('Volúmenes DIstribuidos '!C1689="Azúcar",'Volúmenes DIstribuidos '!C1689="azúcar"),"Azúcar o dulce",IF('Volúmenes DIstribuidos '!C1689="Aceite","Aceite o grasas",IF('Volúmenes DIstribuidos '!C1689="Avena","Otros almidones",'Volúmenes DIstribuidos '!C1689)))</f>
        <v>Panadería</v>
      </c>
      <c r="C2660" s="10" t="s">
        <v>29</v>
      </c>
      <c r="D2660" s="12">
        <f>'Volúmenes DIstribuidos '!D1689</f>
        <v>10.73</v>
      </c>
      <c r="E2660" s="12">
        <f>SUMIF('Parametros Inventario'!$A:$A,B2660,'Parametros Inventario'!$B:$B)+SUMIFS(D$2:D2660,B$2:B2660,B2660,C$2:C2660,"ENTRADA")-SUMIFS(D$2:D2660,B$2:B2660,B2660,C$2:C2660,"SALIDA")</f>
        <v>9488.0620000000017</v>
      </c>
    </row>
    <row r="2661" spans="1:5" x14ac:dyDescent="0.3">
      <c r="A2661" s="9">
        <f>'Volúmenes DIstribuidos '!B1689</f>
        <v>45030</v>
      </c>
      <c r="B2661" s="10" t="str">
        <f>IF(OR('Volúmenes DIstribuidos '!C1690="Azúcar",'Volúmenes DIstribuidos '!C1690="azúcar"),"Azúcar o dulce",IF('Volúmenes DIstribuidos '!C1690="Aceite","Aceite o grasas",IF('Volúmenes DIstribuidos '!C1690="Avena","Otros almidones",'Volúmenes DIstribuidos '!C1690)))</f>
        <v>Carnes rojas</v>
      </c>
      <c r="C2661" s="10" t="s">
        <v>29</v>
      </c>
      <c r="D2661" s="12">
        <f>'Volúmenes DIstribuidos '!D1690</f>
        <v>7.24</v>
      </c>
      <c r="E2661" s="12">
        <f>SUMIF('Parametros Inventario'!$A:$A,B2661,'Parametros Inventario'!$B:$B)+SUMIFS(D$2:D2661,B$2:B2661,B2661,C$2:C2661,"ENTRADA")-SUMIFS(D$2:D2661,B$2:B2661,B2661,C$2:C2661,"SALIDA")</f>
        <v>12195.687</v>
      </c>
    </row>
    <row r="2662" spans="1:5" x14ac:dyDescent="0.3">
      <c r="A2662" s="9">
        <f>'Volúmenes DIstribuidos '!B1689</f>
        <v>45030</v>
      </c>
      <c r="B2662" s="10" t="str">
        <f>IF(OR('Volúmenes DIstribuidos '!C1691="Azúcar",'Volúmenes DIstribuidos '!C1691="azúcar"),"Azúcar o dulce",IF('Volúmenes DIstribuidos '!C1691="Aceite","Aceite o grasas",IF('Volúmenes DIstribuidos '!C1691="Avena","Otros almidones",'Volúmenes DIstribuidos '!C1691)))</f>
        <v>Salsas</v>
      </c>
      <c r="C2662" s="10" t="s">
        <v>29</v>
      </c>
      <c r="D2662" s="12">
        <f>'Volúmenes DIstribuidos '!D1691</f>
        <v>12.51</v>
      </c>
      <c r="E2662" s="12">
        <f>SUMIF('Parametros Inventario'!$A:$A,B2662,'Parametros Inventario'!$B:$B)+SUMIFS(D$2:D2662,B$2:B2662,B2662,C$2:C2662,"ENTRADA")-SUMIFS(D$2:D2662,B$2:B2662,B2662,C$2:C2662,"SALIDA")</f>
        <v>11300.799999999996</v>
      </c>
    </row>
    <row r="2663" spans="1:5" x14ac:dyDescent="0.3">
      <c r="A2663" s="9">
        <f>'Volúmenes DIstribuidos '!B1689</f>
        <v>45030</v>
      </c>
      <c r="B2663" s="10" t="str">
        <f>IF(OR('Volúmenes DIstribuidos '!C1692="Azúcar",'Volúmenes DIstribuidos '!C1692="azúcar"),"Azúcar o dulce",IF('Volúmenes DIstribuidos '!C1692="Aceite","Aceite o grasas",IF('Volúmenes DIstribuidos '!C1692="Avena","Otros almidones",'Volúmenes DIstribuidos '!C1692)))</f>
        <v>Carnes blancas</v>
      </c>
      <c r="C2663" s="10" t="s">
        <v>29</v>
      </c>
      <c r="D2663" s="12">
        <f>'Volúmenes DIstribuidos '!D1692</f>
        <v>37.11</v>
      </c>
      <c r="E2663" s="12">
        <f>SUMIF('Parametros Inventario'!$A:$A,B2663,'Parametros Inventario'!$B:$B)+SUMIFS(D$2:D2663,B$2:B2663,B2663,C$2:C2663,"ENTRADA")-SUMIFS(D$2:D2663,B$2:B2663,B2663,C$2:C2663,"SALIDA")</f>
        <v>11993.994000000002</v>
      </c>
    </row>
    <row r="2664" spans="1:5" x14ac:dyDescent="0.3">
      <c r="A2664" s="9">
        <f>'Volúmenes DIstribuidos '!B1689</f>
        <v>45030</v>
      </c>
      <c r="B2664" s="10" t="str">
        <f>IF(OR('Volúmenes DIstribuidos '!C1693="Azúcar",'Volúmenes DIstribuidos '!C1693="azúcar"),"Azúcar o dulce",IF('Volúmenes DIstribuidos '!C1693="Aceite","Aceite o grasas",IF('Volúmenes DIstribuidos '!C1693="Avena","Otros almidones",'Volúmenes DIstribuidos '!C1693)))</f>
        <v>Otros almidones</v>
      </c>
      <c r="C2664" s="10" t="s">
        <v>29</v>
      </c>
      <c r="D2664" s="12">
        <f>'Volúmenes DIstribuidos '!D1693</f>
        <v>11.96</v>
      </c>
      <c r="E2664" s="12">
        <f>SUMIF('Parametros Inventario'!$A:$A,B2664,'Parametros Inventario'!$B:$B)+SUMIFS(D$2:D2664,B$2:B2664,B2664,C$2:C2664,"ENTRADA")-SUMIFS(D$2:D2664,B$2:B2664,B2664,C$2:C2664,"SALIDA")</f>
        <v>12038.733000000004</v>
      </c>
    </row>
    <row r="2665" spans="1:5" x14ac:dyDescent="0.3">
      <c r="A2665" s="9">
        <f>'Volúmenes DIstribuidos '!B1689</f>
        <v>45030</v>
      </c>
      <c r="B2665" s="10" t="str">
        <f>IF(OR('Volúmenes DIstribuidos '!C1694="Azúcar",'Volúmenes DIstribuidos '!C1694="azúcar"),"Azúcar o dulce",IF('Volúmenes DIstribuidos '!C1694="Aceite","Aceite o grasas",IF('Volúmenes DIstribuidos '!C1694="Avena","Otros almidones",'Volúmenes DIstribuidos '!C1694)))</f>
        <v>Vegetales y hojas</v>
      </c>
      <c r="C2665" s="10" t="s">
        <v>29</v>
      </c>
      <c r="D2665" s="12">
        <f>'Volúmenes DIstribuidos '!D1694</f>
        <v>4.4969999999999999</v>
      </c>
      <c r="E2665" s="12">
        <f>SUMIF('Parametros Inventario'!$A:$A,B2665,'Parametros Inventario'!$B:$B)+SUMIFS(D$2:D2665,B$2:B2665,B2665,C$2:C2665,"ENTRADA")-SUMIFS(D$2:D2665,B$2:B2665,B2665,C$2:C2665,"SALIDA")</f>
        <v>13149.405999999995</v>
      </c>
    </row>
    <row r="2666" spans="1:5" x14ac:dyDescent="0.3">
      <c r="A2666" s="9">
        <f>'Volúmenes DIstribuidos '!B1695</f>
        <v>45034</v>
      </c>
      <c r="B2666" s="10" t="str">
        <f>IF(OR('Volúmenes DIstribuidos '!C1695="Azúcar",'Volúmenes DIstribuidos '!C1695="azúcar"),"Azúcar o dulce",IF('Volúmenes DIstribuidos '!C1695="Aceite","Aceite o grasas",IF('Volúmenes DIstribuidos '!C1695="Avena","Otros almidones",'Volúmenes DIstribuidos '!C1695)))</f>
        <v>Vegetales y hojas</v>
      </c>
      <c r="C2666" s="10" t="s">
        <v>29</v>
      </c>
      <c r="D2666" s="12">
        <f>'Volúmenes DIstribuidos '!D1695</f>
        <v>5.57</v>
      </c>
      <c r="E2666" s="12">
        <f>SUMIF('Parametros Inventario'!$A:$A,B2666,'Parametros Inventario'!$B:$B)+SUMIFS(D$2:D2666,B$2:B2666,B2666,C$2:C2666,"ENTRADA")-SUMIFS(D$2:D2666,B$2:B2666,B2666,C$2:C2666,"SALIDA")</f>
        <v>13143.835999999996</v>
      </c>
    </row>
    <row r="2667" spans="1:5" x14ac:dyDescent="0.3">
      <c r="A2667" s="9">
        <f>'Volúmenes DIstribuidos '!B1695</f>
        <v>45034</v>
      </c>
      <c r="B2667" s="10" t="str">
        <f>IF(OR('Volúmenes DIstribuidos '!C1696="Azúcar",'Volúmenes DIstribuidos '!C1696="azúcar"),"Azúcar o dulce",IF('Volúmenes DIstribuidos '!C1696="Aceite","Aceite o grasas",IF('Volúmenes DIstribuidos '!C1696="Avena","Otros almidones",'Volúmenes DIstribuidos '!C1696)))</f>
        <v>Salsas</v>
      </c>
      <c r="C2667" s="10" t="s">
        <v>29</v>
      </c>
      <c r="D2667" s="12">
        <f>'Volúmenes DIstribuidos '!D1696</f>
        <v>8.2100000000000009</v>
      </c>
      <c r="E2667" s="12">
        <f>SUMIF('Parametros Inventario'!$A:$A,B2667,'Parametros Inventario'!$B:$B)+SUMIFS(D$2:D2667,B$2:B2667,B2667,C$2:C2667,"ENTRADA")-SUMIFS(D$2:D2667,B$2:B2667,B2667,C$2:C2667,"SALIDA")</f>
        <v>11292.589999999997</v>
      </c>
    </row>
    <row r="2668" spans="1:5" x14ac:dyDescent="0.3">
      <c r="A2668" s="9">
        <f>'Volúmenes DIstribuidos '!B1695</f>
        <v>45034</v>
      </c>
      <c r="B2668" s="10" t="str">
        <f>IF(OR('Volúmenes DIstribuidos '!C1697="Azúcar",'Volúmenes DIstribuidos '!C1697="azúcar"),"Azúcar o dulce",IF('Volúmenes DIstribuidos '!C1697="Aceite","Aceite o grasas",IF('Volúmenes DIstribuidos '!C1697="Avena","Otros almidones",'Volúmenes DIstribuidos '!C1697)))</f>
        <v>Panadería</v>
      </c>
      <c r="C2668" s="10" t="s">
        <v>29</v>
      </c>
      <c r="D2668" s="12">
        <f>'Volúmenes DIstribuidos '!D1697</f>
        <v>11.4</v>
      </c>
      <c r="E2668" s="12">
        <f>SUMIF('Parametros Inventario'!$A:$A,B2668,'Parametros Inventario'!$B:$B)+SUMIFS(D$2:D2668,B$2:B2668,B2668,C$2:C2668,"ENTRADA")-SUMIFS(D$2:D2668,B$2:B2668,B2668,C$2:C2668,"SALIDA")</f>
        <v>9476.6620000000021</v>
      </c>
    </row>
    <row r="2669" spans="1:5" x14ac:dyDescent="0.3">
      <c r="A2669" s="9">
        <f>'Volúmenes DIstribuidos '!B1695</f>
        <v>45034</v>
      </c>
      <c r="B2669" s="10" t="str">
        <f>IF(OR('Volúmenes DIstribuidos '!C1698="Azúcar",'Volúmenes DIstribuidos '!C1698="azúcar"),"Azúcar o dulce",IF('Volúmenes DIstribuidos '!C1698="Aceite","Aceite o grasas",IF('Volúmenes DIstribuidos '!C1698="Avena","Otros almidones",'Volúmenes DIstribuidos '!C1698)))</f>
        <v>Carnes rojas</v>
      </c>
      <c r="C2669" s="10" t="s">
        <v>29</v>
      </c>
      <c r="D2669" s="12">
        <f>'Volúmenes DIstribuidos '!D1698</f>
        <v>14.01</v>
      </c>
      <c r="E2669" s="12">
        <f>SUMIF('Parametros Inventario'!$A:$A,B2669,'Parametros Inventario'!$B:$B)+SUMIFS(D$2:D2669,B$2:B2669,B2669,C$2:C2669,"ENTRADA")-SUMIFS(D$2:D2669,B$2:B2669,B2669,C$2:C2669,"SALIDA")</f>
        <v>12181.677</v>
      </c>
    </row>
    <row r="2670" spans="1:5" x14ac:dyDescent="0.3">
      <c r="A2670" s="9">
        <f>'Volúmenes DIstribuidos '!B1695</f>
        <v>45034</v>
      </c>
      <c r="B2670" s="10" t="str">
        <f>IF(OR('Volúmenes DIstribuidos '!C1699="Azúcar",'Volúmenes DIstribuidos '!C1699="azúcar"),"Azúcar o dulce",IF('Volúmenes DIstribuidos '!C1699="Aceite","Aceite o grasas",IF('Volúmenes DIstribuidos '!C1699="Avena","Otros almidones",'Volúmenes DIstribuidos '!C1699)))</f>
        <v>Lácteos</v>
      </c>
      <c r="C2670" s="10" t="s">
        <v>29</v>
      </c>
      <c r="D2670" s="12">
        <f>'Volúmenes DIstribuidos '!D1699</f>
        <v>48.874000000000002</v>
      </c>
      <c r="E2670" s="12">
        <f>SUMIF('Parametros Inventario'!$A:$A,B2670,'Parametros Inventario'!$B:$B)+SUMIFS(D$2:D2670,B$2:B2670,B2670,C$2:C2670,"ENTRADA")-SUMIFS(D$2:D2670,B$2:B2670,B2670,C$2:C2670,"SALIDA")</f>
        <v>10474.497000000001</v>
      </c>
    </row>
    <row r="2671" spans="1:5" x14ac:dyDescent="0.3">
      <c r="A2671" s="9">
        <f>'Volúmenes DIstribuidos '!B1695</f>
        <v>45034</v>
      </c>
      <c r="B2671" s="10" t="str">
        <f>IF(OR('Volúmenes DIstribuidos '!C1700="Azúcar",'Volúmenes DIstribuidos '!C1700="azúcar"),"Azúcar o dulce",IF('Volúmenes DIstribuidos '!C1700="Aceite","Aceite o grasas",IF('Volúmenes DIstribuidos '!C1700="Avena","Otros almidones",'Volúmenes DIstribuidos '!C1700)))</f>
        <v>Lácteos</v>
      </c>
      <c r="C2671" s="10" t="s">
        <v>29</v>
      </c>
      <c r="D2671" s="12">
        <f>'Volúmenes DIstribuidos '!D1700</f>
        <v>140</v>
      </c>
      <c r="E2671" s="12">
        <f>SUMIF('Parametros Inventario'!$A:$A,B2671,'Parametros Inventario'!$B:$B)+SUMIFS(D$2:D2671,B$2:B2671,B2671,C$2:C2671,"ENTRADA")-SUMIFS(D$2:D2671,B$2:B2671,B2671,C$2:C2671,"SALIDA")</f>
        <v>10334.497000000001</v>
      </c>
    </row>
    <row r="2672" spans="1:5" x14ac:dyDescent="0.3">
      <c r="A2672" s="9">
        <v>45037</v>
      </c>
      <c r="B2672" s="10" t="s">
        <v>14</v>
      </c>
      <c r="C2672" s="10" t="s">
        <v>28</v>
      </c>
      <c r="D2672" s="12">
        <v>243.44</v>
      </c>
      <c r="E2672" s="12">
        <f>SUMIF('Parametros Inventario'!$A:$A,B2672,'Parametros Inventario'!$B:$B)+SUMIFS(D$2:D2672,B$2:B2672,B2672,C$2:C2672,"ENTRADA")-SUMIFS(D$2:D2672,B$2:B2672,B2672,C$2:C2672,"SALIDA")</f>
        <v>12254.244999999999</v>
      </c>
    </row>
    <row r="2673" spans="1:5" x14ac:dyDescent="0.3">
      <c r="A2673" s="9">
        <v>45037</v>
      </c>
      <c r="B2673" s="10" t="s">
        <v>12</v>
      </c>
      <c r="C2673" s="10" t="s">
        <v>28</v>
      </c>
      <c r="D2673" s="12">
        <v>154.46</v>
      </c>
      <c r="E2673" s="12">
        <f>SUMIF('Parametros Inventario'!$A:$A,B2673,'Parametros Inventario'!$B:$B)+SUMIFS(D$2:D2673,B$2:B2673,B2673,C$2:C2673,"ENTRADA")-SUMIFS(D$2:D2673,B$2:B2673,B2673,C$2:C2673,"SALIDA")</f>
        <v>12336.136999999999</v>
      </c>
    </row>
    <row r="2674" spans="1:5" x14ac:dyDescent="0.3">
      <c r="A2674" s="9">
        <v>45037</v>
      </c>
      <c r="B2674" s="10" t="s">
        <v>16</v>
      </c>
      <c r="C2674" s="10" t="s">
        <v>28</v>
      </c>
      <c r="D2674" s="12">
        <v>154.21</v>
      </c>
      <c r="E2674" s="12">
        <f>SUMIF('Parametros Inventario'!$A:$A,B2674,'Parametros Inventario'!$B:$B)+SUMIFS(D$2:D2674,B$2:B2674,B2674,C$2:C2674,"ENTRADA")-SUMIFS(D$2:D2674,B$2:B2674,B2674,C$2:C2674,"SALIDA")</f>
        <v>12148.204000000002</v>
      </c>
    </row>
    <row r="2675" spans="1:5" x14ac:dyDescent="0.3">
      <c r="A2675" s="9">
        <v>45037</v>
      </c>
      <c r="B2675" s="10" t="s">
        <v>17</v>
      </c>
      <c r="C2675" s="10" t="s">
        <v>28</v>
      </c>
      <c r="D2675" s="12">
        <v>122.09</v>
      </c>
      <c r="E2675" s="12">
        <f>SUMIF('Parametros Inventario'!$A:$A,B2675,'Parametros Inventario'!$B:$B)+SUMIFS(D$2:D2675,B$2:B2675,B2675,C$2:C2675,"ENTRADA")-SUMIFS(D$2:D2675,B$2:B2675,B2675,C$2:C2675,"SALIDA")</f>
        <v>10456.587000000001</v>
      </c>
    </row>
    <row r="2676" spans="1:5" x14ac:dyDescent="0.3">
      <c r="A2676" s="9">
        <v>45037</v>
      </c>
      <c r="B2676" s="10" t="s">
        <v>18</v>
      </c>
      <c r="C2676" s="10" t="s">
        <v>28</v>
      </c>
      <c r="D2676" s="12">
        <v>157.74</v>
      </c>
      <c r="E2676" s="12">
        <f>SUMIF('Parametros Inventario'!$A:$A,B2676,'Parametros Inventario'!$B:$B)+SUMIFS(D$2:D2676,B$2:B2676,B2676,C$2:C2676,"ENTRADA")-SUMIFS(D$2:D2676,B$2:B2676,B2676,C$2:C2676,"SALIDA")</f>
        <v>11450.329999999996</v>
      </c>
    </row>
    <row r="2677" spans="1:5" x14ac:dyDescent="0.3">
      <c r="A2677" s="9">
        <v>45037</v>
      </c>
      <c r="B2677" s="10" t="s">
        <v>10</v>
      </c>
      <c r="C2677" s="10" t="s">
        <v>28</v>
      </c>
      <c r="D2677" s="12">
        <v>94.1</v>
      </c>
      <c r="E2677" s="12">
        <f>SUMIF('Parametros Inventario'!$A:$A,B2677,'Parametros Inventario'!$B:$B)+SUMIFS(D$2:D2677,B$2:B2677,B2677,C$2:C2677,"ENTRADA")-SUMIFS(D$2:D2677,B$2:B2677,B2677,C$2:C2677,"SALIDA")</f>
        <v>13237.935999999998</v>
      </c>
    </row>
    <row r="2678" spans="1:5" x14ac:dyDescent="0.3">
      <c r="A2678" s="9">
        <v>45037</v>
      </c>
      <c r="B2678" s="10" t="s">
        <v>8</v>
      </c>
      <c r="C2678" s="10" t="s">
        <v>28</v>
      </c>
      <c r="D2678" s="12">
        <v>96.6</v>
      </c>
      <c r="E2678" s="12">
        <f>SUMIF('Parametros Inventario'!$A:$A,B2678,'Parametros Inventario'!$B:$B)+SUMIFS(D$2:D2678,B$2:B2678,B2678,C$2:C2678,"ENTRADA")-SUMIFS(D$2:D2678,B$2:B2678,B2678,C$2:C2678,"SALIDA")</f>
        <v>11227.440000000002</v>
      </c>
    </row>
    <row r="2679" spans="1:5" x14ac:dyDescent="0.3">
      <c r="A2679" s="9">
        <f>'Volúmenes DIstribuidos '!B1701</f>
        <v>45037</v>
      </c>
      <c r="B2679" s="10" t="str">
        <f>IF(OR('Volúmenes DIstribuidos '!C1701="Azúcar",'Volúmenes DIstribuidos '!C1701="azúcar"),"Azúcar o dulce",IF('Volúmenes DIstribuidos '!C1701="Aceite","Aceite o grasas",IF('Volúmenes DIstribuidos '!C1701="Avena","Otros almidones",'Volúmenes DIstribuidos '!C1701)))</f>
        <v>Azúcar o dulce</v>
      </c>
      <c r="C2679" s="10" t="s">
        <v>29</v>
      </c>
      <c r="D2679" s="12">
        <f>'Volúmenes DIstribuidos '!D1701</f>
        <v>110</v>
      </c>
      <c r="E2679" s="12">
        <f>SUMIF('Parametros Inventario'!$A:$A,B2679,'Parametros Inventario'!$B:$B)+SUMIFS(D$2:D2679,B$2:B2679,B2679,C$2:C2679,"ENTRADA")-SUMIFS(D$2:D2679,B$2:B2679,B2679,C$2:C2679,"SALIDA")</f>
        <v>11487.956000000002</v>
      </c>
    </row>
    <row r="2680" spans="1:5" x14ac:dyDescent="0.3">
      <c r="A2680" s="9">
        <f>'Volúmenes DIstribuidos '!B1701</f>
        <v>45037</v>
      </c>
      <c r="B2680" s="10" t="str">
        <f>IF(OR('Volúmenes DIstribuidos '!C1702="Azúcar",'Volúmenes DIstribuidos '!C1702="azúcar"),"Azúcar o dulce",IF('Volúmenes DIstribuidos '!C1702="Aceite","Aceite o grasas",IF('Volúmenes DIstribuidos '!C1702="Avena","Otros almidones",'Volúmenes DIstribuidos '!C1702)))</f>
        <v>Otros almidones</v>
      </c>
      <c r="C2680" s="10" t="s">
        <v>29</v>
      </c>
      <c r="D2680" s="12">
        <f>'Volúmenes DIstribuidos '!D1702</f>
        <v>8.9290000000000003</v>
      </c>
      <c r="E2680" s="12">
        <f>SUMIF('Parametros Inventario'!$A:$A,B2680,'Parametros Inventario'!$B:$B)+SUMIFS(D$2:D2680,B$2:B2680,B2680,C$2:C2680,"ENTRADA")-SUMIFS(D$2:D2680,B$2:B2680,B2680,C$2:C2680,"SALIDA")</f>
        <v>12029.804000000004</v>
      </c>
    </row>
    <row r="2681" spans="1:5" x14ac:dyDescent="0.3">
      <c r="A2681" s="9">
        <f>'Volúmenes DIstribuidos '!B1701</f>
        <v>45037</v>
      </c>
      <c r="B2681" s="10" t="str">
        <f>IF(OR('Volúmenes DIstribuidos '!C1703="Azúcar",'Volúmenes DIstribuidos '!C1703="azúcar"),"Azúcar o dulce",IF('Volúmenes DIstribuidos '!C1703="Aceite","Aceite o grasas",IF('Volúmenes DIstribuidos '!C1703="Avena","Otros almidones",'Volúmenes DIstribuidos '!C1703)))</f>
        <v>Aceite o grasas</v>
      </c>
      <c r="C2681" s="10" t="s">
        <v>29</v>
      </c>
      <c r="D2681" s="12">
        <f>'Volúmenes DIstribuidos '!D1703</f>
        <v>9.51</v>
      </c>
      <c r="E2681" s="12">
        <f>SUMIF('Parametros Inventario'!$A:$A,B2681,'Parametros Inventario'!$B:$B)+SUMIFS(D$2:D2681,B$2:B2681,B2681,C$2:C2681,"ENTRADA")-SUMIFS(D$2:D2681,B$2:B2681,B2681,C$2:C2681,"SALIDA")</f>
        <v>11217.930000000004</v>
      </c>
    </row>
    <row r="2682" spans="1:5" x14ac:dyDescent="0.3">
      <c r="A2682" s="9">
        <f>'Volúmenes DIstribuidos '!B1701</f>
        <v>45037</v>
      </c>
      <c r="B2682" s="10" t="str">
        <f>IF(OR('Volúmenes DIstribuidos '!C1704="Azúcar",'Volúmenes DIstribuidos '!C1704="azúcar"),"Azúcar o dulce",IF('Volúmenes DIstribuidos '!C1704="Aceite","Aceite o grasas",IF('Volúmenes DIstribuidos '!C1704="Avena","Otros almidones",'Volúmenes DIstribuidos '!C1704)))</f>
        <v>Salsas</v>
      </c>
      <c r="C2682" s="10" t="s">
        <v>29</v>
      </c>
      <c r="D2682" s="12">
        <f>'Volúmenes DIstribuidos '!D1704</f>
        <v>11.43</v>
      </c>
      <c r="E2682" s="12">
        <f>SUMIF('Parametros Inventario'!$A:$A,B2682,'Parametros Inventario'!$B:$B)+SUMIFS(D$2:D2682,B$2:B2682,B2682,C$2:C2682,"ENTRADA")-SUMIFS(D$2:D2682,B$2:B2682,B2682,C$2:C2682,"SALIDA")</f>
        <v>11438.899999999996</v>
      </c>
    </row>
    <row r="2683" spans="1:5" x14ac:dyDescent="0.3">
      <c r="A2683" s="9">
        <f>'Volúmenes DIstribuidos '!B1701</f>
        <v>45037</v>
      </c>
      <c r="B2683" s="10" t="str">
        <f>IF(OR('Volúmenes DIstribuidos '!C1705="Azúcar",'Volúmenes DIstribuidos '!C1705="azúcar"),"Azúcar o dulce",IF('Volúmenes DIstribuidos '!C1705="Aceite","Aceite o grasas",IF('Volúmenes DIstribuidos '!C1705="Avena","Otros almidones",'Volúmenes DIstribuidos '!C1705)))</f>
        <v>Otros almidones</v>
      </c>
      <c r="C2683" s="10" t="s">
        <v>29</v>
      </c>
      <c r="D2683" s="12">
        <f>'Volúmenes DIstribuidos '!D1705</f>
        <v>55.726999999999997</v>
      </c>
      <c r="E2683" s="12">
        <f>SUMIF('Parametros Inventario'!$A:$A,B2683,'Parametros Inventario'!$B:$B)+SUMIFS(D$2:D2683,B$2:B2683,B2683,C$2:C2683,"ENTRADA")-SUMIFS(D$2:D2683,B$2:B2683,B2683,C$2:C2683,"SALIDA")</f>
        <v>11974.077000000003</v>
      </c>
    </row>
    <row r="2684" spans="1:5" x14ac:dyDescent="0.3">
      <c r="A2684" s="9">
        <f>'Volúmenes DIstribuidos '!B1701</f>
        <v>45037</v>
      </c>
      <c r="B2684" s="10" t="str">
        <f>IF(OR('Volúmenes DIstribuidos '!C1706="Azúcar",'Volúmenes DIstribuidos '!C1706="azúcar"),"Azúcar o dulce",IF('Volúmenes DIstribuidos '!C1706="Aceite","Aceite o grasas",IF('Volúmenes DIstribuidos '!C1706="Avena","Otros almidones",'Volúmenes DIstribuidos '!C1706)))</f>
        <v>Menestras</v>
      </c>
      <c r="C2684" s="10" t="s">
        <v>29</v>
      </c>
      <c r="D2684" s="12">
        <f>'Volúmenes DIstribuidos '!D1706</f>
        <v>56.92</v>
      </c>
      <c r="E2684" s="12">
        <f>SUMIF('Parametros Inventario'!$A:$A,B2684,'Parametros Inventario'!$B:$B)+SUMIFS(D$2:D2684,B$2:B2684,B2684,C$2:C2684,"ENTRADA")-SUMIFS(D$2:D2684,B$2:B2684,B2684,C$2:C2684,"SALIDA")</f>
        <v>12197.325000000001</v>
      </c>
    </row>
    <row r="2685" spans="1:5" x14ac:dyDescent="0.3">
      <c r="A2685" s="9">
        <f>'Volúmenes DIstribuidos '!B1707</f>
        <v>45041</v>
      </c>
      <c r="B2685" s="10" t="str">
        <f>IF(OR('Volúmenes DIstribuidos '!C1707="Azúcar",'Volúmenes DIstribuidos '!C1707="azúcar"),"Azúcar o dulce",IF('Volúmenes DIstribuidos '!C1707="Aceite","Aceite o grasas",IF('Volúmenes DIstribuidos '!C1707="Avena","Otros almidones",'Volúmenes DIstribuidos '!C1707)))</f>
        <v>Carnes rojas</v>
      </c>
      <c r="C2685" s="10" t="s">
        <v>29</v>
      </c>
      <c r="D2685" s="12">
        <f>'Volúmenes DIstribuidos '!D1707</f>
        <v>42.72</v>
      </c>
      <c r="E2685" s="12">
        <f>SUMIF('Parametros Inventario'!$A:$A,B2685,'Parametros Inventario'!$B:$B)+SUMIFS(D$2:D2685,B$2:B2685,B2685,C$2:C2685,"ENTRADA")-SUMIFS(D$2:D2685,B$2:B2685,B2685,C$2:C2685,"SALIDA")</f>
        <v>12293.416999999999</v>
      </c>
    </row>
    <row r="2686" spans="1:5" x14ac:dyDescent="0.3">
      <c r="A2686" s="9">
        <f>'Volúmenes DIstribuidos '!B1707</f>
        <v>45041</v>
      </c>
      <c r="B2686" s="10" t="str">
        <f>IF(OR('Volúmenes DIstribuidos '!C1708="Azúcar",'Volúmenes DIstribuidos '!C1708="azúcar"),"Azúcar o dulce",IF('Volúmenes DIstribuidos '!C1708="Aceite","Aceite o grasas",IF('Volúmenes DIstribuidos '!C1708="Avena","Otros almidones",'Volúmenes DIstribuidos '!C1708)))</f>
        <v>Aceite o grasas</v>
      </c>
      <c r="C2686" s="10" t="s">
        <v>29</v>
      </c>
      <c r="D2686" s="12">
        <f>'Volúmenes DIstribuidos '!D1708</f>
        <v>33.79</v>
      </c>
      <c r="E2686" s="12">
        <f>SUMIF('Parametros Inventario'!$A:$A,B2686,'Parametros Inventario'!$B:$B)+SUMIFS(D$2:D2686,B$2:B2686,B2686,C$2:C2686,"ENTRADA")-SUMIFS(D$2:D2686,B$2:B2686,B2686,C$2:C2686,"SALIDA")</f>
        <v>11184.140000000003</v>
      </c>
    </row>
    <row r="2687" spans="1:5" x14ac:dyDescent="0.3">
      <c r="A2687" s="9">
        <f>'Volúmenes DIstribuidos '!B1707</f>
        <v>45041</v>
      </c>
      <c r="B2687" s="10" t="str">
        <f>IF(OR('Volúmenes DIstribuidos '!C1709="Azúcar",'Volúmenes DIstribuidos '!C1709="azúcar"),"Azúcar o dulce",IF('Volúmenes DIstribuidos '!C1709="Aceite","Aceite o grasas",IF('Volúmenes DIstribuidos '!C1709="Avena","Otros almidones",'Volúmenes DIstribuidos '!C1709)))</f>
        <v>Salsas</v>
      </c>
      <c r="C2687" s="10" t="s">
        <v>29</v>
      </c>
      <c r="D2687" s="12">
        <f>'Volúmenes DIstribuidos '!D1709</f>
        <v>72.22</v>
      </c>
      <c r="E2687" s="12">
        <f>SUMIF('Parametros Inventario'!$A:$A,B2687,'Parametros Inventario'!$B:$B)+SUMIFS(D$2:D2687,B$2:B2687,B2687,C$2:C2687,"ENTRADA")-SUMIFS(D$2:D2687,B$2:B2687,B2687,C$2:C2687,"SALIDA")</f>
        <v>11366.679999999997</v>
      </c>
    </row>
    <row r="2688" spans="1:5" x14ac:dyDescent="0.3">
      <c r="A2688" s="9">
        <f>'Volúmenes DIstribuidos '!B1707</f>
        <v>45041</v>
      </c>
      <c r="B2688" s="10" t="str">
        <f>IF(OR('Volúmenes DIstribuidos '!C1710="Azúcar",'Volúmenes DIstribuidos '!C1710="azúcar"),"Azúcar o dulce",IF('Volúmenes DIstribuidos '!C1710="Aceite","Aceite o grasas",IF('Volúmenes DIstribuidos '!C1710="Avena","Otros almidones",'Volúmenes DIstribuidos '!C1710)))</f>
        <v>Azúcar o dulce</v>
      </c>
      <c r="C2688" s="10" t="s">
        <v>29</v>
      </c>
      <c r="D2688" s="12">
        <f>'Volúmenes DIstribuidos '!D1710</f>
        <v>43.49</v>
      </c>
      <c r="E2688" s="12">
        <f>SUMIF('Parametros Inventario'!$A:$A,B2688,'Parametros Inventario'!$B:$B)+SUMIFS(D$2:D2688,B$2:B2688,B2688,C$2:C2688,"ENTRADA")-SUMIFS(D$2:D2688,B$2:B2688,B2688,C$2:C2688,"SALIDA")</f>
        <v>11444.466</v>
      </c>
    </row>
    <row r="2689" spans="1:5" x14ac:dyDescent="0.3">
      <c r="A2689" s="9">
        <f>'Volúmenes DIstribuidos '!B1707</f>
        <v>45041</v>
      </c>
      <c r="B2689" s="10" t="str">
        <f>IF(OR('Volúmenes DIstribuidos '!C1711="Azúcar",'Volúmenes DIstribuidos '!C1711="azúcar"),"Azúcar o dulce",IF('Volúmenes DIstribuidos '!C1711="Aceite","Aceite o grasas",IF('Volúmenes DIstribuidos '!C1711="Avena","Otros almidones",'Volúmenes DIstribuidos '!C1711)))</f>
        <v>Lácteos</v>
      </c>
      <c r="C2689" s="10" t="s">
        <v>29</v>
      </c>
      <c r="D2689" s="12">
        <f>'Volúmenes DIstribuidos '!D1711</f>
        <v>13.97</v>
      </c>
      <c r="E2689" s="12">
        <f>SUMIF('Parametros Inventario'!$A:$A,B2689,'Parametros Inventario'!$B:$B)+SUMIFS(D$2:D2689,B$2:B2689,B2689,C$2:C2689,"ENTRADA")-SUMIFS(D$2:D2689,B$2:B2689,B2689,C$2:C2689,"SALIDA")</f>
        <v>10442.617000000002</v>
      </c>
    </row>
    <row r="2690" spans="1:5" x14ac:dyDescent="0.3">
      <c r="A2690" s="9">
        <f>'Volúmenes DIstribuidos '!B1707</f>
        <v>45041</v>
      </c>
      <c r="B2690" s="10" t="str">
        <f>IF(OR('Volúmenes DIstribuidos '!C1712="Azúcar",'Volúmenes DIstribuidos '!C1712="azúcar"),"Azúcar o dulce",IF('Volúmenes DIstribuidos '!C1712="Aceite","Aceite o grasas",IF('Volúmenes DIstribuidos '!C1712="Avena","Otros almidones",'Volúmenes DIstribuidos '!C1712)))</f>
        <v>Carnes blancas</v>
      </c>
      <c r="C2690" s="10" t="s">
        <v>29</v>
      </c>
      <c r="D2690" s="12">
        <f>'Volúmenes DIstribuidos '!D1712</f>
        <v>31.3</v>
      </c>
      <c r="E2690" s="12">
        <f>SUMIF('Parametros Inventario'!$A:$A,B2690,'Parametros Inventario'!$B:$B)+SUMIFS(D$2:D2690,B$2:B2690,B2690,C$2:C2690,"ENTRADA")-SUMIFS(D$2:D2690,B$2:B2690,B2690,C$2:C2690,"SALIDA")</f>
        <v>12116.904</v>
      </c>
    </row>
    <row r="2691" spans="1:5" x14ac:dyDescent="0.3">
      <c r="A2691" s="9">
        <v>45044</v>
      </c>
      <c r="B2691" s="10" t="s">
        <v>13</v>
      </c>
      <c r="C2691" s="10" t="s">
        <v>28</v>
      </c>
      <c r="D2691" s="12">
        <v>83.58</v>
      </c>
      <c r="E2691" s="12">
        <f>SUMIF('Parametros Inventario'!$A:$A,B2691,'Parametros Inventario'!$B:$B)+SUMIFS(D$2:D2691,B$2:B2691,B2691,C$2:C2691,"ENTRADA")-SUMIFS(D$2:D2691,B$2:B2691,B2691,C$2:C2691,"SALIDA")</f>
        <v>11528.046000000002</v>
      </c>
    </row>
    <row r="2692" spans="1:5" x14ac:dyDescent="0.3">
      <c r="A2692" s="9">
        <v>45044</v>
      </c>
      <c r="B2692" s="10" t="s">
        <v>15</v>
      </c>
      <c r="C2692" s="10" t="s">
        <v>28</v>
      </c>
      <c r="D2692" s="12">
        <v>171.62</v>
      </c>
      <c r="E2692" s="12">
        <f>SUMIF('Parametros Inventario'!$A:$A,B2692,'Parametros Inventario'!$B:$B)+SUMIFS(D$2:D2692,B$2:B2692,B2692,C$2:C2692,"ENTRADA")-SUMIFS(D$2:D2692,B$2:B2692,B2692,C$2:C2692,"SALIDA")</f>
        <v>12145.697000000002</v>
      </c>
    </row>
    <row r="2693" spans="1:5" x14ac:dyDescent="0.3">
      <c r="A2693" s="9">
        <v>45044</v>
      </c>
      <c r="B2693" s="10" t="s">
        <v>11</v>
      </c>
      <c r="C2693" s="10" t="s">
        <v>28</v>
      </c>
      <c r="D2693" s="12">
        <v>175.65</v>
      </c>
      <c r="E2693" s="12">
        <f>SUMIF('Parametros Inventario'!$A:$A,B2693,'Parametros Inventario'!$B:$B)+SUMIFS(D$2:D2693,B$2:B2693,B2693,C$2:C2693,"ENTRADA")-SUMIFS(D$2:D2693,B$2:B2693,B2693,C$2:C2693,"SALIDA")</f>
        <v>13177.643000000004</v>
      </c>
    </row>
    <row r="2694" spans="1:5" x14ac:dyDescent="0.3">
      <c r="A2694" s="9">
        <v>45044</v>
      </c>
      <c r="B2694" s="10" t="s">
        <v>9</v>
      </c>
      <c r="C2694" s="10" t="s">
        <v>28</v>
      </c>
      <c r="D2694" s="12">
        <v>77.56</v>
      </c>
      <c r="E2694" s="12">
        <f>SUMIF('Parametros Inventario'!$A:$A,B2694,'Parametros Inventario'!$B:$B)+SUMIFS(D$2:D2694,B$2:B2694,B2694,C$2:C2694,"ENTRADA")-SUMIFS(D$2:D2694,B$2:B2694,B2694,C$2:C2694,"SALIDA")</f>
        <v>9554.2220000000016</v>
      </c>
    </row>
    <row r="2695" spans="1:5" x14ac:dyDescent="0.3">
      <c r="A2695" s="9">
        <v>45044</v>
      </c>
      <c r="B2695" s="10" t="s">
        <v>14</v>
      </c>
      <c r="C2695" s="10" t="s">
        <v>28</v>
      </c>
      <c r="D2695" s="12">
        <v>191.77</v>
      </c>
      <c r="E2695" s="12">
        <f>SUMIF('Parametros Inventario'!$A:$A,B2695,'Parametros Inventario'!$B:$B)+SUMIFS(D$2:D2695,B$2:B2695,B2695,C$2:C2695,"ENTRADA")-SUMIFS(D$2:D2695,B$2:B2695,B2695,C$2:C2695,"SALIDA")</f>
        <v>12389.095000000005</v>
      </c>
    </row>
    <row r="2696" spans="1:5" x14ac:dyDescent="0.3">
      <c r="A2696" s="9">
        <v>45044</v>
      </c>
      <c r="B2696" s="10" t="s">
        <v>12</v>
      </c>
      <c r="C2696" s="10" t="s">
        <v>28</v>
      </c>
      <c r="D2696" s="12">
        <v>103.14</v>
      </c>
      <c r="E2696" s="12">
        <f>SUMIF('Parametros Inventario'!$A:$A,B2696,'Parametros Inventario'!$B:$B)+SUMIFS(D$2:D2696,B$2:B2696,B2696,C$2:C2696,"ENTRADA")-SUMIFS(D$2:D2696,B$2:B2696,B2696,C$2:C2696,"SALIDA")</f>
        <v>12396.556999999999</v>
      </c>
    </row>
    <row r="2697" spans="1:5" x14ac:dyDescent="0.3">
      <c r="A2697" s="9">
        <v>45044</v>
      </c>
      <c r="B2697" s="10" t="s">
        <v>16</v>
      </c>
      <c r="C2697" s="10" t="s">
        <v>28</v>
      </c>
      <c r="D2697" s="12">
        <v>100.24</v>
      </c>
      <c r="E2697" s="12">
        <f>SUMIF('Parametros Inventario'!$A:$A,B2697,'Parametros Inventario'!$B:$B)+SUMIFS(D$2:D2697,B$2:B2697,B2697,C$2:C2697,"ENTRADA")-SUMIFS(D$2:D2697,B$2:B2697,B2697,C$2:C2697,"SALIDA")</f>
        <v>12217.143999999998</v>
      </c>
    </row>
    <row r="2698" spans="1:5" x14ac:dyDescent="0.3">
      <c r="A2698" s="9">
        <v>45044</v>
      </c>
      <c r="B2698" s="10" t="s">
        <v>17</v>
      </c>
      <c r="C2698" s="10" t="s">
        <v>28</v>
      </c>
      <c r="D2698" s="12">
        <v>237.48</v>
      </c>
      <c r="E2698" s="12">
        <f>SUMIF('Parametros Inventario'!$A:$A,B2698,'Parametros Inventario'!$B:$B)+SUMIFS(D$2:D2698,B$2:B2698,B2698,C$2:C2698,"ENTRADA")-SUMIFS(D$2:D2698,B$2:B2698,B2698,C$2:C2698,"SALIDA")</f>
        <v>10680.097000000002</v>
      </c>
    </row>
    <row r="2699" spans="1:5" x14ac:dyDescent="0.3">
      <c r="A2699" s="9">
        <v>45044</v>
      </c>
      <c r="B2699" s="10" t="s">
        <v>18</v>
      </c>
      <c r="C2699" s="10" t="s">
        <v>28</v>
      </c>
      <c r="D2699" s="12">
        <v>252.29</v>
      </c>
      <c r="E2699" s="12">
        <f>SUMIF('Parametros Inventario'!$A:$A,B2699,'Parametros Inventario'!$B:$B)+SUMIFS(D$2:D2699,B$2:B2699,B2699,C$2:C2699,"ENTRADA")-SUMIFS(D$2:D2699,B$2:B2699,B2699,C$2:C2699,"SALIDA")</f>
        <v>11618.969999999998</v>
      </c>
    </row>
    <row r="2700" spans="1:5" x14ac:dyDescent="0.3">
      <c r="A2700" s="9">
        <v>45044</v>
      </c>
      <c r="B2700" s="10" t="s">
        <v>10</v>
      </c>
      <c r="C2700" s="10" t="s">
        <v>28</v>
      </c>
      <c r="D2700" s="12">
        <v>97.97</v>
      </c>
      <c r="E2700" s="12">
        <f>SUMIF('Parametros Inventario'!$A:$A,B2700,'Parametros Inventario'!$B:$B)+SUMIFS(D$2:D2700,B$2:B2700,B2700,C$2:C2700,"ENTRADA")-SUMIFS(D$2:D2700,B$2:B2700,B2700,C$2:C2700,"SALIDA")</f>
        <v>13335.905999999995</v>
      </c>
    </row>
    <row r="2701" spans="1:5" x14ac:dyDescent="0.3">
      <c r="A2701" s="9">
        <v>45044</v>
      </c>
      <c r="B2701" s="10" t="s">
        <v>8</v>
      </c>
      <c r="C2701" s="10" t="s">
        <v>28</v>
      </c>
      <c r="D2701" s="12">
        <v>295.74</v>
      </c>
      <c r="E2701" s="12">
        <f>SUMIF('Parametros Inventario'!$A:$A,B2701,'Parametros Inventario'!$B:$B)+SUMIFS(D$2:D2701,B$2:B2701,B2701,C$2:C2701,"ENTRADA")-SUMIFS(D$2:D2701,B$2:B2701,B2701,C$2:C2701,"SALIDA")</f>
        <v>11479.880000000005</v>
      </c>
    </row>
    <row r="2702" spans="1:5" x14ac:dyDescent="0.3">
      <c r="A2702" s="9">
        <v>45044</v>
      </c>
      <c r="B2702" s="10" t="s">
        <v>13</v>
      </c>
      <c r="C2702" s="10" t="s">
        <v>28</v>
      </c>
      <c r="D2702" s="12">
        <v>267.89999999999998</v>
      </c>
      <c r="E2702" s="12">
        <f>SUMIF('Parametros Inventario'!$A:$A,B2702,'Parametros Inventario'!$B:$B)+SUMIFS(D$2:D2702,B$2:B2702,B2702,C$2:C2702,"ENTRADA")-SUMIFS(D$2:D2702,B$2:B2702,B2702,C$2:C2702,"SALIDA")</f>
        <v>11795.946000000004</v>
      </c>
    </row>
    <row r="2703" spans="1:5" x14ac:dyDescent="0.3">
      <c r="A2703" s="9">
        <v>45044</v>
      </c>
      <c r="B2703" s="10" t="s">
        <v>15</v>
      </c>
      <c r="C2703" s="10" t="s">
        <v>28</v>
      </c>
      <c r="D2703" s="12">
        <v>160.18</v>
      </c>
      <c r="E2703" s="12">
        <f>SUMIF('Parametros Inventario'!$A:$A,B2703,'Parametros Inventario'!$B:$B)+SUMIFS(D$2:D2703,B$2:B2703,B2703,C$2:C2703,"ENTRADA")-SUMIFS(D$2:D2703,B$2:B2703,B2703,C$2:C2703,"SALIDA")</f>
        <v>12305.877000000002</v>
      </c>
    </row>
    <row r="2704" spans="1:5" x14ac:dyDescent="0.3">
      <c r="A2704" s="9">
        <v>45044</v>
      </c>
      <c r="B2704" s="10" t="s">
        <v>11</v>
      </c>
      <c r="C2704" s="10" t="s">
        <v>28</v>
      </c>
      <c r="D2704" s="12">
        <v>278.24</v>
      </c>
      <c r="E2704" s="12">
        <f>SUMIF('Parametros Inventario'!$A:$A,B2704,'Parametros Inventario'!$B:$B)+SUMIFS(D$2:D2704,B$2:B2704,B2704,C$2:C2704,"ENTRADA")-SUMIFS(D$2:D2704,B$2:B2704,B2704,C$2:C2704,"SALIDA")</f>
        <v>13455.883000000002</v>
      </c>
    </row>
    <row r="2705" spans="1:5" x14ac:dyDescent="0.3">
      <c r="A2705" s="9">
        <v>45044</v>
      </c>
      <c r="B2705" s="10" t="s">
        <v>9</v>
      </c>
      <c r="C2705" s="10" t="s">
        <v>28</v>
      </c>
      <c r="D2705" s="12">
        <v>77.3</v>
      </c>
      <c r="E2705" s="12">
        <f>SUMIF('Parametros Inventario'!$A:$A,B2705,'Parametros Inventario'!$B:$B)+SUMIFS(D$2:D2705,B$2:B2705,B2705,C$2:C2705,"ENTRADA")-SUMIFS(D$2:D2705,B$2:B2705,B2705,C$2:C2705,"SALIDA")</f>
        <v>9631.5220000000008</v>
      </c>
    </row>
    <row r="2706" spans="1:5" x14ac:dyDescent="0.3">
      <c r="A2706" s="9">
        <v>45044</v>
      </c>
      <c r="B2706" s="10" t="s">
        <v>14</v>
      </c>
      <c r="C2706" s="10" t="s">
        <v>28</v>
      </c>
      <c r="D2706" s="12">
        <v>209.11</v>
      </c>
      <c r="E2706" s="12">
        <f>SUMIF('Parametros Inventario'!$A:$A,B2706,'Parametros Inventario'!$B:$B)+SUMIFS(D$2:D2706,B$2:B2706,B2706,C$2:C2706,"ENTRADA")-SUMIFS(D$2:D2706,B$2:B2706,B2706,C$2:C2706,"SALIDA")</f>
        <v>12598.205000000005</v>
      </c>
    </row>
    <row r="2707" spans="1:5" x14ac:dyDescent="0.3">
      <c r="A2707" s="9">
        <v>45044</v>
      </c>
      <c r="B2707" s="10" t="s">
        <v>12</v>
      </c>
      <c r="C2707" s="10" t="s">
        <v>28</v>
      </c>
      <c r="D2707" s="12">
        <v>69.95</v>
      </c>
      <c r="E2707" s="12">
        <f>SUMIF('Parametros Inventario'!$A:$A,B2707,'Parametros Inventario'!$B:$B)+SUMIFS(D$2:D2707,B$2:B2707,B2707,C$2:C2707,"ENTRADA")-SUMIFS(D$2:D2707,B$2:B2707,B2707,C$2:C2707,"SALIDA")</f>
        <v>12466.507</v>
      </c>
    </row>
    <row r="2708" spans="1:5" x14ac:dyDescent="0.3">
      <c r="A2708" s="9">
        <v>45044</v>
      </c>
      <c r="B2708" s="10" t="s">
        <v>16</v>
      </c>
      <c r="C2708" s="10" t="s">
        <v>28</v>
      </c>
      <c r="D2708" s="12">
        <v>71.430000000000007</v>
      </c>
      <c r="E2708" s="12">
        <f>SUMIF('Parametros Inventario'!$A:$A,B2708,'Parametros Inventario'!$B:$B)+SUMIFS(D$2:D2708,B$2:B2708,B2708,C$2:C2708,"ENTRADA")-SUMIFS(D$2:D2708,B$2:B2708,B2708,C$2:C2708,"SALIDA")</f>
        <v>12288.573999999999</v>
      </c>
    </row>
    <row r="2709" spans="1:5" x14ac:dyDescent="0.3">
      <c r="A2709" s="9">
        <v>45044</v>
      </c>
      <c r="B2709" s="10" t="s">
        <v>17</v>
      </c>
      <c r="C2709" s="10" t="s">
        <v>28</v>
      </c>
      <c r="D2709" s="12">
        <v>81.17</v>
      </c>
      <c r="E2709" s="12">
        <f>SUMIF('Parametros Inventario'!$A:$A,B2709,'Parametros Inventario'!$B:$B)+SUMIFS(D$2:D2709,B$2:B2709,B2709,C$2:C2709,"ENTRADA")-SUMIFS(D$2:D2709,B$2:B2709,B2709,C$2:C2709,"SALIDA")</f>
        <v>10761.267</v>
      </c>
    </row>
    <row r="2710" spans="1:5" x14ac:dyDescent="0.3">
      <c r="A2710" s="9">
        <f>'Volúmenes DIstribuidos '!B1713</f>
        <v>45044</v>
      </c>
      <c r="B2710" s="10" t="str">
        <f>IF(OR('Volúmenes DIstribuidos '!C1713="Azúcar",'Volúmenes DIstribuidos '!C1713="azúcar"),"Azúcar o dulce",IF('Volúmenes DIstribuidos '!C1713="Aceite","Aceite o grasas",IF('Volúmenes DIstribuidos '!C1713="Avena","Otros almidones",'Volúmenes DIstribuidos '!C1713)))</f>
        <v>Azúcar o dulce</v>
      </c>
      <c r="C2710" s="10" t="s">
        <v>29</v>
      </c>
      <c r="D2710" s="12">
        <f>'Volúmenes DIstribuidos '!D1713</f>
        <v>9.1300000000000008</v>
      </c>
      <c r="E2710" s="12">
        <f>SUMIF('Parametros Inventario'!$A:$A,B2710,'Parametros Inventario'!$B:$B)+SUMIFS(D$2:D2710,B$2:B2710,B2710,C$2:C2710,"ENTRADA")-SUMIFS(D$2:D2710,B$2:B2710,B2710,C$2:C2710,"SALIDA")</f>
        <v>11786.816000000004</v>
      </c>
    </row>
    <row r="2711" spans="1:5" x14ac:dyDescent="0.3">
      <c r="A2711" s="9">
        <f>'Volúmenes DIstribuidos '!B1713</f>
        <v>45044</v>
      </c>
      <c r="B2711" s="10" t="str">
        <f>IF(OR('Volúmenes DIstribuidos '!C1714="Azúcar",'Volúmenes DIstribuidos '!C1714="azúcar"),"Azúcar o dulce",IF('Volúmenes DIstribuidos '!C1714="Aceite","Aceite o grasas",IF('Volúmenes DIstribuidos '!C1714="Avena","Otros almidones",'Volúmenes DIstribuidos '!C1714)))</f>
        <v>Aceite o grasas</v>
      </c>
      <c r="C2711" s="10" t="s">
        <v>29</v>
      </c>
      <c r="D2711" s="12">
        <f>'Volúmenes DIstribuidos '!D1714</f>
        <v>60.180999999999997</v>
      </c>
      <c r="E2711" s="12">
        <f>SUMIF('Parametros Inventario'!$A:$A,B2711,'Parametros Inventario'!$B:$B)+SUMIFS(D$2:D2711,B$2:B2711,B2711,C$2:C2711,"ENTRADA")-SUMIFS(D$2:D2711,B$2:B2711,B2711,C$2:C2711,"SALIDA")</f>
        <v>11419.699000000004</v>
      </c>
    </row>
    <row r="2712" spans="1:5" x14ac:dyDescent="0.3">
      <c r="A2712" s="9">
        <f>'Volúmenes DIstribuidos '!B1713</f>
        <v>45044</v>
      </c>
      <c r="B2712" s="10" t="str">
        <f>IF(OR('Volúmenes DIstribuidos '!C1715="Azúcar",'Volúmenes DIstribuidos '!C1715="azúcar"),"Azúcar o dulce",IF('Volúmenes DIstribuidos '!C1715="Aceite","Aceite o grasas",IF('Volúmenes DIstribuidos '!C1715="Avena","Otros almidones",'Volúmenes DIstribuidos '!C1715)))</f>
        <v>Fideo</v>
      </c>
      <c r="C2712" s="10" t="s">
        <v>29</v>
      </c>
      <c r="D2712" s="12">
        <f>'Volúmenes DIstribuidos '!D1715</f>
        <v>11.25</v>
      </c>
      <c r="E2712" s="12">
        <f>SUMIF('Parametros Inventario'!$A:$A,B2712,'Parametros Inventario'!$B:$B)+SUMIFS(D$2:D2712,B$2:B2712,B2712,C$2:C2712,"ENTRADA")-SUMIFS(D$2:D2712,B$2:B2712,B2712,C$2:C2712,"SALIDA")</f>
        <v>13444.633000000002</v>
      </c>
    </row>
    <row r="2713" spans="1:5" x14ac:dyDescent="0.3">
      <c r="A2713" s="9">
        <f>'Volúmenes DIstribuidos '!B1713</f>
        <v>45044</v>
      </c>
      <c r="B2713" s="10" t="str">
        <f>IF(OR('Volúmenes DIstribuidos '!C1716="Azúcar",'Volúmenes DIstribuidos '!C1716="azúcar"),"Azúcar o dulce",IF('Volúmenes DIstribuidos '!C1716="Aceite","Aceite o grasas",IF('Volúmenes DIstribuidos '!C1716="Avena","Otros almidones",'Volúmenes DIstribuidos '!C1716)))</f>
        <v>Aceite o grasas</v>
      </c>
      <c r="C2713" s="10" t="s">
        <v>29</v>
      </c>
      <c r="D2713" s="12">
        <f>'Volúmenes DIstribuidos '!D1716</f>
        <v>24.47</v>
      </c>
      <c r="E2713" s="12">
        <f>SUMIF('Parametros Inventario'!$A:$A,B2713,'Parametros Inventario'!$B:$B)+SUMIFS(D$2:D2713,B$2:B2713,B2713,C$2:C2713,"ENTRADA")-SUMIFS(D$2:D2713,B$2:B2713,B2713,C$2:C2713,"SALIDA")</f>
        <v>11395.229000000005</v>
      </c>
    </row>
    <row r="2714" spans="1:5" x14ac:dyDescent="0.3">
      <c r="A2714" s="9">
        <f>'Volúmenes DIstribuidos '!B1713</f>
        <v>45044</v>
      </c>
      <c r="B2714" s="10" t="str">
        <f>IF(OR('Volúmenes DIstribuidos '!C1717="Azúcar",'Volúmenes DIstribuidos '!C1717="azúcar"),"Azúcar o dulce",IF('Volúmenes DIstribuidos '!C1717="Aceite","Aceite o grasas",IF('Volúmenes DIstribuidos '!C1717="Avena","Otros almidones",'Volúmenes DIstribuidos '!C1717)))</f>
        <v>Carnes rojas</v>
      </c>
      <c r="C2714" s="10" t="s">
        <v>29</v>
      </c>
      <c r="D2714" s="12">
        <f>'Volúmenes DIstribuidos '!D1717</f>
        <v>69.540000000000006</v>
      </c>
      <c r="E2714" s="12">
        <f>SUMIF('Parametros Inventario'!$A:$A,B2714,'Parametros Inventario'!$B:$B)+SUMIFS(D$2:D2714,B$2:B2714,B2714,C$2:C2714,"ENTRADA")-SUMIFS(D$2:D2714,B$2:B2714,B2714,C$2:C2714,"SALIDA")</f>
        <v>12396.967000000001</v>
      </c>
    </row>
    <row r="2715" spans="1:5" x14ac:dyDescent="0.3">
      <c r="A2715" s="9">
        <f>'Volúmenes DIstribuidos '!B1713</f>
        <v>45044</v>
      </c>
      <c r="B2715" s="10" t="str">
        <f>IF(OR('Volúmenes DIstribuidos '!C1718="Azúcar",'Volúmenes DIstribuidos '!C1718="azúcar"),"Azúcar o dulce",IF('Volúmenes DIstribuidos '!C1718="Aceite","Aceite o grasas",IF('Volúmenes DIstribuidos '!C1718="Avena","Otros almidones",'Volúmenes DIstribuidos '!C1718)))</f>
        <v>Otros almidones</v>
      </c>
      <c r="C2715" s="10" t="s">
        <v>29</v>
      </c>
      <c r="D2715" s="12">
        <f>'Volúmenes DIstribuidos '!D1718</f>
        <v>27.14</v>
      </c>
      <c r="E2715" s="12">
        <f>SUMIF('Parametros Inventario'!$A:$A,B2715,'Parametros Inventario'!$B:$B)+SUMIFS(D$2:D2715,B$2:B2715,B2715,C$2:C2715,"ENTRADA")-SUMIFS(D$2:D2715,B$2:B2715,B2715,C$2:C2715,"SALIDA")</f>
        <v>12278.737000000001</v>
      </c>
    </row>
    <row r="2716" spans="1:5" x14ac:dyDescent="0.3">
      <c r="A2716" s="9">
        <f>'Volúmenes DIstribuidos '!B1719</f>
        <v>45048</v>
      </c>
      <c r="B2716" s="10" t="str">
        <f>IF(OR('Volúmenes DIstribuidos '!C1719="Azúcar",'Volúmenes DIstribuidos '!C1719="azúcar"),"Azúcar o dulce",IF('Volúmenes DIstribuidos '!C1719="Aceite","Aceite o grasas",IF('Volúmenes DIstribuidos '!C1719="Avena","Otros almidones",'Volúmenes DIstribuidos '!C1719)))</f>
        <v>Panadería</v>
      </c>
      <c r="C2716" s="10" t="s">
        <v>29</v>
      </c>
      <c r="D2716" s="12">
        <f>'Volúmenes DIstribuidos '!D1719</f>
        <v>21.43</v>
      </c>
      <c r="E2716" s="12">
        <f>SUMIF('Parametros Inventario'!$A:$A,B2716,'Parametros Inventario'!$B:$B)+SUMIFS(D$2:D2716,B$2:B2716,B2716,C$2:C2716,"ENTRADA")-SUMIFS(D$2:D2716,B$2:B2716,B2716,C$2:C2716,"SALIDA")</f>
        <v>9610.0920000000006</v>
      </c>
    </row>
    <row r="2717" spans="1:5" x14ac:dyDescent="0.3">
      <c r="A2717" s="9">
        <f>'Volúmenes DIstribuidos '!B1719</f>
        <v>45048</v>
      </c>
      <c r="B2717" s="10" t="str">
        <f>IF(OR('Volúmenes DIstribuidos '!C1720="Azúcar",'Volúmenes DIstribuidos '!C1720="azúcar"),"Azúcar o dulce",IF('Volúmenes DIstribuidos '!C1720="Aceite","Aceite o grasas",IF('Volúmenes DIstribuidos '!C1720="Avena","Otros almidones",'Volúmenes DIstribuidos '!C1720)))</f>
        <v>Lácteos</v>
      </c>
      <c r="C2717" s="10" t="s">
        <v>29</v>
      </c>
      <c r="D2717" s="12">
        <f>'Volúmenes DIstribuidos '!D1720</f>
        <v>35.837000000000003</v>
      </c>
      <c r="E2717" s="12">
        <f>SUMIF('Parametros Inventario'!$A:$A,B2717,'Parametros Inventario'!$B:$B)+SUMIFS(D$2:D2717,B$2:B2717,B2717,C$2:C2717,"ENTRADA")-SUMIFS(D$2:D2717,B$2:B2717,B2717,C$2:C2717,"SALIDA")</f>
        <v>10725.43</v>
      </c>
    </row>
    <row r="2718" spans="1:5" x14ac:dyDescent="0.3">
      <c r="A2718" s="9">
        <f>'Volúmenes DIstribuidos '!B1719</f>
        <v>45048</v>
      </c>
      <c r="B2718" s="10" t="str">
        <f>IF(OR('Volúmenes DIstribuidos '!C1721="Azúcar",'Volúmenes DIstribuidos '!C1721="azúcar"),"Azúcar o dulce",IF('Volúmenes DIstribuidos '!C1721="Aceite","Aceite o grasas",IF('Volúmenes DIstribuidos '!C1721="Avena","Otros almidones",'Volúmenes DIstribuidos '!C1721)))</f>
        <v>Lácteos</v>
      </c>
      <c r="C2718" s="10" t="s">
        <v>29</v>
      </c>
      <c r="D2718" s="12">
        <f>'Volúmenes DIstribuidos '!D1721</f>
        <v>75.97</v>
      </c>
      <c r="E2718" s="12">
        <f>SUMIF('Parametros Inventario'!$A:$A,B2718,'Parametros Inventario'!$B:$B)+SUMIFS(D$2:D2718,B$2:B2718,B2718,C$2:C2718,"ENTRADA")-SUMIFS(D$2:D2718,B$2:B2718,B2718,C$2:C2718,"SALIDA")</f>
        <v>10649.46</v>
      </c>
    </row>
    <row r="2719" spans="1:5" x14ac:dyDescent="0.3">
      <c r="A2719" s="9">
        <f>'Volúmenes DIstribuidos '!B1719</f>
        <v>45048</v>
      </c>
      <c r="B2719" s="10" t="str">
        <f>IF(OR('Volúmenes DIstribuidos '!C1722="Azúcar",'Volúmenes DIstribuidos '!C1722="azúcar"),"Azúcar o dulce",IF('Volúmenes DIstribuidos '!C1722="Aceite","Aceite o grasas",IF('Volúmenes DIstribuidos '!C1722="Avena","Otros almidones",'Volúmenes DIstribuidos '!C1722)))</f>
        <v>Otros almidones</v>
      </c>
      <c r="C2719" s="10" t="s">
        <v>29</v>
      </c>
      <c r="D2719" s="12">
        <f>'Volúmenes DIstribuidos '!D1722</f>
        <v>122.57</v>
      </c>
      <c r="E2719" s="12">
        <f>SUMIF('Parametros Inventario'!$A:$A,B2719,'Parametros Inventario'!$B:$B)+SUMIFS(D$2:D2719,B$2:B2719,B2719,C$2:C2719,"ENTRADA")-SUMIFS(D$2:D2719,B$2:B2719,B2719,C$2:C2719,"SALIDA")</f>
        <v>12156.167000000001</v>
      </c>
    </row>
    <row r="2720" spans="1:5" x14ac:dyDescent="0.3">
      <c r="A2720" s="9">
        <f>'Volúmenes DIstribuidos '!B1719</f>
        <v>45048</v>
      </c>
      <c r="B2720" s="10" t="str">
        <f>IF(OR('Volúmenes DIstribuidos '!C1723="Azúcar",'Volúmenes DIstribuidos '!C1723="azúcar"),"Azúcar o dulce",IF('Volúmenes DIstribuidos '!C1723="Aceite","Aceite o grasas",IF('Volúmenes DIstribuidos '!C1723="Avena","Otros almidones",'Volúmenes DIstribuidos '!C1723)))</f>
        <v>Fideo</v>
      </c>
      <c r="C2720" s="10" t="s">
        <v>29</v>
      </c>
      <c r="D2720" s="12">
        <f>'Volúmenes DIstribuidos '!D1723</f>
        <v>35.26</v>
      </c>
      <c r="E2720" s="12">
        <f>SUMIF('Parametros Inventario'!$A:$A,B2720,'Parametros Inventario'!$B:$B)+SUMIFS(D$2:D2720,B$2:B2720,B2720,C$2:C2720,"ENTRADA")-SUMIFS(D$2:D2720,B$2:B2720,B2720,C$2:C2720,"SALIDA")</f>
        <v>13409.373000000001</v>
      </c>
    </row>
    <row r="2721" spans="1:5" x14ac:dyDescent="0.3">
      <c r="A2721" s="9">
        <f>'Volúmenes DIstribuidos '!B1719</f>
        <v>45048</v>
      </c>
      <c r="B2721" s="10" t="str">
        <f>IF(OR('Volúmenes DIstribuidos '!C1724="Azúcar",'Volúmenes DIstribuidos '!C1724="azúcar"),"Azúcar o dulce",IF('Volúmenes DIstribuidos '!C1724="Aceite","Aceite o grasas",IF('Volúmenes DIstribuidos '!C1724="Avena","Otros almidones",'Volúmenes DIstribuidos '!C1724)))</f>
        <v>Azúcar o dulce</v>
      </c>
      <c r="C2721" s="10" t="s">
        <v>29</v>
      </c>
      <c r="D2721" s="12">
        <f>'Volúmenes DIstribuidos '!D1724</f>
        <v>14.653</v>
      </c>
      <c r="E2721" s="12">
        <f>SUMIF('Parametros Inventario'!$A:$A,B2721,'Parametros Inventario'!$B:$B)+SUMIFS(D$2:D2721,B$2:B2721,B2721,C$2:C2721,"ENTRADA")-SUMIFS(D$2:D2721,B$2:B2721,B2721,C$2:C2721,"SALIDA")</f>
        <v>11772.163000000004</v>
      </c>
    </row>
    <row r="2722" spans="1:5" x14ac:dyDescent="0.3">
      <c r="A2722" s="9">
        <v>45051</v>
      </c>
      <c r="B2722" s="10" t="s">
        <v>18</v>
      </c>
      <c r="C2722" s="10" t="s">
        <v>28</v>
      </c>
      <c r="D2722" s="12">
        <v>66.069999999999993</v>
      </c>
      <c r="E2722" s="12">
        <f>SUMIF('Parametros Inventario'!$A:$A,B2722,'Parametros Inventario'!$B:$B)+SUMIFS(D$2:D2722,B$2:B2722,B2722,C$2:C2722,"ENTRADA")-SUMIFS(D$2:D2722,B$2:B2722,B2722,C$2:C2722,"SALIDA")</f>
        <v>11685.039999999997</v>
      </c>
    </row>
    <row r="2723" spans="1:5" x14ac:dyDescent="0.3">
      <c r="A2723" s="9">
        <v>45051</v>
      </c>
      <c r="B2723" s="10" t="s">
        <v>10</v>
      </c>
      <c r="C2723" s="10" t="s">
        <v>28</v>
      </c>
      <c r="D2723" s="12">
        <v>57.42</v>
      </c>
      <c r="E2723" s="12">
        <f>SUMIF('Parametros Inventario'!$A:$A,B2723,'Parametros Inventario'!$B:$B)+SUMIFS(D$2:D2723,B$2:B2723,B2723,C$2:C2723,"ENTRADA")-SUMIFS(D$2:D2723,B$2:B2723,B2723,C$2:C2723,"SALIDA")</f>
        <v>13393.325999999997</v>
      </c>
    </row>
    <row r="2724" spans="1:5" x14ac:dyDescent="0.3">
      <c r="A2724" s="9">
        <v>45051</v>
      </c>
      <c r="B2724" s="10" t="s">
        <v>8</v>
      </c>
      <c r="C2724" s="10" t="s">
        <v>28</v>
      </c>
      <c r="D2724" s="12">
        <v>108.7</v>
      </c>
      <c r="E2724" s="12">
        <f>SUMIF('Parametros Inventario'!$A:$A,B2724,'Parametros Inventario'!$B:$B)+SUMIFS(D$2:D2724,B$2:B2724,B2724,C$2:C2724,"ENTRADA")-SUMIFS(D$2:D2724,B$2:B2724,B2724,C$2:C2724,"SALIDA")</f>
        <v>11503.929000000006</v>
      </c>
    </row>
    <row r="2725" spans="1:5" x14ac:dyDescent="0.3">
      <c r="A2725" s="9">
        <v>45051</v>
      </c>
      <c r="B2725" s="10" t="s">
        <v>13</v>
      </c>
      <c r="C2725" s="10" t="s">
        <v>28</v>
      </c>
      <c r="D2725" s="12">
        <v>171.3</v>
      </c>
      <c r="E2725" s="12">
        <f>SUMIF('Parametros Inventario'!$A:$A,B2725,'Parametros Inventario'!$B:$B)+SUMIFS(D$2:D2725,B$2:B2725,B2725,C$2:C2725,"ENTRADA")-SUMIFS(D$2:D2725,B$2:B2725,B2725,C$2:C2725,"SALIDA")</f>
        <v>11943.463</v>
      </c>
    </row>
    <row r="2726" spans="1:5" x14ac:dyDescent="0.3">
      <c r="A2726" s="9">
        <v>45051</v>
      </c>
      <c r="B2726" s="10" t="s">
        <v>15</v>
      </c>
      <c r="C2726" s="10" t="s">
        <v>28</v>
      </c>
      <c r="D2726" s="12">
        <v>240.13</v>
      </c>
      <c r="E2726" s="12">
        <f>SUMIF('Parametros Inventario'!$A:$A,B2726,'Parametros Inventario'!$B:$B)+SUMIFS(D$2:D2726,B$2:B2726,B2726,C$2:C2726,"ENTRADA")-SUMIFS(D$2:D2726,B$2:B2726,B2726,C$2:C2726,"SALIDA")</f>
        <v>12396.297000000002</v>
      </c>
    </row>
    <row r="2727" spans="1:5" x14ac:dyDescent="0.3">
      <c r="A2727" s="9">
        <v>45051</v>
      </c>
      <c r="B2727" s="10" t="s">
        <v>11</v>
      </c>
      <c r="C2727" s="10" t="s">
        <v>28</v>
      </c>
      <c r="D2727" s="12">
        <v>52.38</v>
      </c>
      <c r="E2727" s="12">
        <f>SUMIF('Parametros Inventario'!$A:$A,B2727,'Parametros Inventario'!$B:$B)+SUMIFS(D$2:D2727,B$2:B2727,B2727,C$2:C2727,"ENTRADA")-SUMIFS(D$2:D2727,B$2:B2727,B2727,C$2:C2727,"SALIDA")</f>
        <v>13461.752999999999</v>
      </c>
    </row>
    <row r="2728" spans="1:5" x14ac:dyDescent="0.3">
      <c r="A2728" s="9">
        <v>45051</v>
      </c>
      <c r="B2728" s="10" t="s">
        <v>9</v>
      </c>
      <c r="C2728" s="10" t="s">
        <v>28</v>
      </c>
      <c r="D2728" s="12">
        <v>116.52</v>
      </c>
      <c r="E2728" s="12">
        <f>SUMIF('Parametros Inventario'!$A:$A,B2728,'Parametros Inventario'!$B:$B)+SUMIFS(D$2:D2728,B$2:B2728,B2728,C$2:C2728,"ENTRADA")-SUMIFS(D$2:D2728,B$2:B2728,B2728,C$2:C2728,"SALIDA")</f>
        <v>9726.612000000001</v>
      </c>
    </row>
    <row r="2729" spans="1:5" x14ac:dyDescent="0.3">
      <c r="A2729" s="9">
        <v>45051</v>
      </c>
      <c r="B2729" s="10" t="s">
        <v>14</v>
      </c>
      <c r="C2729" s="10" t="s">
        <v>28</v>
      </c>
      <c r="D2729" s="12">
        <v>288.8</v>
      </c>
      <c r="E2729" s="12">
        <f>SUMIF('Parametros Inventario'!$A:$A,B2729,'Parametros Inventario'!$B:$B)+SUMIFS(D$2:D2729,B$2:B2729,B2729,C$2:C2729,"ENTRADA")-SUMIFS(D$2:D2729,B$2:B2729,B2729,C$2:C2729,"SALIDA")</f>
        <v>12887.005000000005</v>
      </c>
    </row>
    <row r="2730" spans="1:5" x14ac:dyDescent="0.3">
      <c r="A2730" s="9">
        <v>45051</v>
      </c>
      <c r="B2730" s="10" t="s">
        <v>12</v>
      </c>
      <c r="C2730" s="10" t="s">
        <v>28</v>
      </c>
      <c r="D2730" s="12">
        <v>216.33</v>
      </c>
      <c r="E2730" s="12">
        <f>SUMIF('Parametros Inventario'!$A:$A,B2730,'Parametros Inventario'!$B:$B)+SUMIFS(D$2:D2730,B$2:B2730,B2730,C$2:C2730,"ENTRADA")-SUMIFS(D$2:D2730,B$2:B2730,B2730,C$2:C2730,"SALIDA")</f>
        <v>12613.296999999999</v>
      </c>
    </row>
    <row r="2731" spans="1:5" x14ac:dyDescent="0.3">
      <c r="A2731" s="9">
        <f>'Volúmenes DIstribuidos '!B1725</f>
        <v>45051</v>
      </c>
      <c r="B2731" s="10" t="str">
        <f>IF(OR('Volúmenes DIstribuidos '!C1725="Azúcar",'Volúmenes DIstribuidos '!C1725="azúcar"),"Azúcar o dulce",IF('Volúmenes DIstribuidos '!C1725="Aceite","Aceite o grasas",IF('Volúmenes DIstribuidos '!C1725="Avena","Otros almidones",'Volúmenes DIstribuidos '!C1725)))</f>
        <v>Vegetales y hojas</v>
      </c>
      <c r="C2731" s="10" t="s">
        <v>29</v>
      </c>
      <c r="D2731" s="12">
        <f>'Volúmenes DIstribuidos '!D1725</f>
        <v>89.01</v>
      </c>
      <c r="E2731" s="12">
        <f>SUMIF('Parametros Inventario'!$A:$A,B2731,'Parametros Inventario'!$B:$B)+SUMIFS(D$2:D2731,B$2:B2731,B2731,C$2:C2731,"ENTRADA")-SUMIFS(D$2:D2731,B$2:B2731,B2731,C$2:C2731,"SALIDA")</f>
        <v>13304.315999999997</v>
      </c>
    </row>
    <row r="2732" spans="1:5" x14ac:dyDescent="0.3">
      <c r="A2732" s="9">
        <f>'Volúmenes DIstribuidos '!B1725</f>
        <v>45051</v>
      </c>
      <c r="B2732" s="10" t="str">
        <f>IF(OR('Volúmenes DIstribuidos '!C1726="Azúcar",'Volúmenes DIstribuidos '!C1726="azúcar"),"Azúcar o dulce",IF('Volúmenes DIstribuidos '!C1726="Aceite","Aceite o grasas",IF('Volúmenes DIstribuidos '!C1726="Avena","Otros almidones",'Volúmenes DIstribuidos '!C1726)))</f>
        <v>Fideo</v>
      </c>
      <c r="C2732" s="10" t="s">
        <v>29</v>
      </c>
      <c r="D2732" s="12">
        <f>'Volúmenes DIstribuidos '!D1726</f>
        <v>31.76</v>
      </c>
      <c r="E2732" s="12">
        <f>SUMIF('Parametros Inventario'!$A:$A,B2732,'Parametros Inventario'!$B:$B)+SUMIFS(D$2:D2732,B$2:B2732,B2732,C$2:C2732,"ENTRADA")-SUMIFS(D$2:D2732,B$2:B2732,B2732,C$2:C2732,"SALIDA")</f>
        <v>13429.992999999999</v>
      </c>
    </row>
    <row r="2733" spans="1:5" x14ac:dyDescent="0.3">
      <c r="A2733" s="9">
        <f>'Volúmenes DIstribuidos '!B1725</f>
        <v>45051</v>
      </c>
      <c r="B2733" s="10" t="str">
        <f>IF(OR('Volúmenes DIstribuidos '!C1727="Azúcar",'Volúmenes DIstribuidos '!C1727="azúcar"),"Azúcar o dulce",IF('Volúmenes DIstribuidos '!C1727="Aceite","Aceite o grasas",IF('Volúmenes DIstribuidos '!C1727="Avena","Otros almidones",'Volúmenes DIstribuidos '!C1727)))</f>
        <v>Carnes blancas</v>
      </c>
      <c r="C2733" s="10" t="s">
        <v>29</v>
      </c>
      <c r="D2733" s="12">
        <f>'Volúmenes DIstribuidos '!D1727</f>
        <v>27.64</v>
      </c>
      <c r="E2733" s="12">
        <f>SUMIF('Parametros Inventario'!$A:$A,B2733,'Parametros Inventario'!$B:$B)+SUMIFS(D$2:D2733,B$2:B2733,B2733,C$2:C2733,"ENTRADA")-SUMIFS(D$2:D2733,B$2:B2733,B2733,C$2:C2733,"SALIDA")</f>
        <v>12260.933999999997</v>
      </c>
    </row>
    <row r="2734" spans="1:5" x14ac:dyDescent="0.3">
      <c r="A2734" s="9">
        <f>'Volúmenes DIstribuidos '!B1725</f>
        <v>45051</v>
      </c>
      <c r="B2734" s="10" t="str">
        <f>IF(OR('Volúmenes DIstribuidos '!C1728="Azúcar",'Volúmenes DIstribuidos '!C1728="azúcar"),"Azúcar o dulce",IF('Volúmenes DIstribuidos '!C1728="Aceite","Aceite o grasas",IF('Volúmenes DIstribuidos '!C1728="Avena","Otros almidones",'Volúmenes DIstribuidos '!C1728)))</f>
        <v>Carnes rojas</v>
      </c>
      <c r="C2734" s="10" t="s">
        <v>29</v>
      </c>
      <c r="D2734" s="12">
        <f>'Volúmenes DIstribuidos '!D1728</f>
        <v>36.75</v>
      </c>
      <c r="E2734" s="12">
        <f>SUMIF('Parametros Inventario'!$A:$A,B2734,'Parametros Inventario'!$B:$B)+SUMIFS(D$2:D2734,B$2:B2734,B2734,C$2:C2734,"ENTRADA")-SUMIFS(D$2:D2734,B$2:B2734,B2734,C$2:C2734,"SALIDA")</f>
        <v>12576.546999999999</v>
      </c>
    </row>
    <row r="2735" spans="1:5" x14ac:dyDescent="0.3">
      <c r="A2735" s="9">
        <f>'Volúmenes DIstribuidos '!B1725</f>
        <v>45051</v>
      </c>
      <c r="B2735" s="10" t="str">
        <f>IF(OR('Volúmenes DIstribuidos '!C1729="Azúcar",'Volúmenes DIstribuidos '!C1729="azúcar"),"Azúcar o dulce",IF('Volúmenes DIstribuidos '!C1729="Aceite","Aceite o grasas",IF('Volúmenes DIstribuidos '!C1729="Avena","Otros almidones",'Volúmenes DIstribuidos '!C1729)))</f>
        <v>Menestras</v>
      </c>
      <c r="C2735" s="10" t="s">
        <v>29</v>
      </c>
      <c r="D2735" s="12">
        <f>'Volúmenes DIstribuidos '!D1729</f>
        <v>44.15</v>
      </c>
      <c r="E2735" s="12">
        <f>SUMIF('Parametros Inventario'!$A:$A,B2735,'Parametros Inventario'!$B:$B)+SUMIFS(D$2:D2735,B$2:B2735,B2735,C$2:C2735,"ENTRADA")-SUMIFS(D$2:D2735,B$2:B2735,B2735,C$2:C2735,"SALIDA")</f>
        <v>12842.855000000003</v>
      </c>
    </row>
    <row r="2736" spans="1:5" x14ac:dyDescent="0.3">
      <c r="A2736" s="9">
        <f>'Volúmenes DIstribuidos '!B1725</f>
        <v>45051</v>
      </c>
      <c r="B2736" s="10" t="str">
        <f>IF(OR('Volúmenes DIstribuidos '!C1730="Azúcar",'Volúmenes DIstribuidos '!C1730="azúcar"),"Azúcar o dulce",IF('Volúmenes DIstribuidos '!C1730="Aceite","Aceite o grasas",IF('Volúmenes DIstribuidos '!C1730="Avena","Otros almidones",'Volúmenes DIstribuidos '!C1730)))</f>
        <v>Azúcar o dulce</v>
      </c>
      <c r="C2736" s="10" t="s">
        <v>29</v>
      </c>
      <c r="D2736" s="12">
        <f>'Volúmenes DIstribuidos '!D1730</f>
        <v>5.242</v>
      </c>
      <c r="E2736" s="12">
        <f>SUMIF('Parametros Inventario'!$A:$A,B2736,'Parametros Inventario'!$B:$B)+SUMIFS(D$2:D2736,B$2:B2736,B2736,C$2:C2736,"ENTRADA")-SUMIFS(D$2:D2736,B$2:B2736,B2736,C$2:C2736,"SALIDA")</f>
        <v>11938.221</v>
      </c>
    </row>
    <row r="2737" spans="1:5" x14ac:dyDescent="0.3">
      <c r="A2737" s="9">
        <f>'Volúmenes DIstribuidos '!B1731</f>
        <v>45055</v>
      </c>
      <c r="B2737" s="10" t="str">
        <f>IF(OR('Volúmenes DIstribuidos '!C1731="Azúcar",'Volúmenes DIstribuidos '!C1731="azúcar"),"Azúcar o dulce",IF('Volúmenes DIstribuidos '!C1731="Aceite","Aceite o grasas",IF('Volúmenes DIstribuidos '!C1731="Avena","Otros almidones",'Volúmenes DIstribuidos '!C1731)))</f>
        <v>Lácteos</v>
      </c>
      <c r="C2737" s="10" t="s">
        <v>29</v>
      </c>
      <c r="D2737" s="12">
        <f>'Volúmenes DIstribuidos '!D1731</f>
        <v>4.8600000000000003</v>
      </c>
      <c r="E2737" s="12">
        <f>SUMIF('Parametros Inventario'!$A:$A,B2737,'Parametros Inventario'!$B:$B)+SUMIFS(D$2:D2737,B$2:B2737,B2737,C$2:C2737,"ENTRADA")-SUMIFS(D$2:D2737,B$2:B2737,B2737,C$2:C2737,"SALIDA")</f>
        <v>10644.6</v>
      </c>
    </row>
    <row r="2738" spans="1:5" x14ac:dyDescent="0.3">
      <c r="A2738" s="9">
        <f>'Volúmenes DIstribuidos '!B1731</f>
        <v>45055</v>
      </c>
      <c r="B2738" s="10" t="str">
        <f>IF(OR('Volúmenes DIstribuidos '!C1732="Azúcar",'Volúmenes DIstribuidos '!C1732="azúcar"),"Azúcar o dulce",IF('Volúmenes DIstribuidos '!C1732="Aceite","Aceite o grasas",IF('Volúmenes DIstribuidos '!C1732="Avena","Otros almidones",'Volúmenes DIstribuidos '!C1732)))</f>
        <v>Salsas</v>
      </c>
      <c r="C2738" s="10" t="s">
        <v>29</v>
      </c>
      <c r="D2738" s="12">
        <f>'Volúmenes DIstribuidos '!D1732</f>
        <v>27.61</v>
      </c>
      <c r="E2738" s="12">
        <f>SUMIF('Parametros Inventario'!$A:$A,B2738,'Parametros Inventario'!$B:$B)+SUMIFS(D$2:D2738,B$2:B2738,B2738,C$2:C2738,"ENTRADA")-SUMIFS(D$2:D2738,B$2:B2738,B2738,C$2:C2738,"SALIDA")</f>
        <v>11657.429999999997</v>
      </c>
    </row>
    <row r="2739" spans="1:5" x14ac:dyDescent="0.3">
      <c r="A2739" s="9">
        <f>'Volúmenes DIstribuidos '!B1731</f>
        <v>45055</v>
      </c>
      <c r="B2739" s="10" t="str">
        <f>IF(OR('Volúmenes DIstribuidos '!C1733="Azúcar",'Volúmenes DIstribuidos '!C1733="azúcar"),"Azúcar o dulce",IF('Volúmenes DIstribuidos '!C1733="Aceite","Aceite o grasas",IF('Volúmenes DIstribuidos '!C1733="Avena","Otros almidones",'Volúmenes DIstribuidos '!C1733)))</f>
        <v>Azúcar o dulce</v>
      </c>
      <c r="C2739" s="10" t="s">
        <v>29</v>
      </c>
      <c r="D2739" s="12">
        <f>'Volúmenes DIstribuidos '!D1733</f>
        <v>21.06</v>
      </c>
      <c r="E2739" s="12">
        <f>SUMIF('Parametros Inventario'!$A:$A,B2739,'Parametros Inventario'!$B:$B)+SUMIFS(D$2:D2739,B$2:B2739,B2739,C$2:C2739,"ENTRADA")-SUMIFS(D$2:D2739,B$2:B2739,B2739,C$2:C2739,"SALIDA")</f>
        <v>11917.161</v>
      </c>
    </row>
    <row r="2740" spans="1:5" x14ac:dyDescent="0.3">
      <c r="A2740" s="9">
        <f>'Volúmenes DIstribuidos '!B1731</f>
        <v>45055</v>
      </c>
      <c r="B2740" s="10" t="str">
        <f>IF(OR('Volúmenes DIstribuidos '!C1734="Azúcar",'Volúmenes DIstribuidos '!C1734="azúcar"),"Azúcar o dulce",IF('Volúmenes DIstribuidos '!C1734="Aceite","Aceite o grasas",IF('Volúmenes DIstribuidos '!C1734="Avena","Otros almidones",'Volúmenes DIstribuidos '!C1734)))</f>
        <v>Otros almidones</v>
      </c>
      <c r="C2740" s="10" t="s">
        <v>29</v>
      </c>
      <c r="D2740" s="12">
        <f>'Volúmenes DIstribuidos '!D1734</f>
        <v>40.700000000000003</v>
      </c>
      <c r="E2740" s="12">
        <f>SUMIF('Parametros Inventario'!$A:$A,B2740,'Parametros Inventario'!$B:$B)+SUMIFS(D$2:D2740,B$2:B2740,B2740,C$2:C2740,"ENTRADA")-SUMIFS(D$2:D2740,B$2:B2740,B2740,C$2:C2740,"SALIDA")</f>
        <v>12355.597000000003</v>
      </c>
    </row>
    <row r="2741" spans="1:5" x14ac:dyDescent="0.3">
      <c r="A2741" s="9">
        <f>'Volúmenes DIstribuidos '!B1731</f>
        <v>45055</v>
      </c>
      <c r="B2741" s="10" t="str">
        <f>IF(OR('Volúmenes DIstribuidos '!C1735="Azúcar",'Volúmenes DIstribuidos '!C1735="azúcar"),"Azúcar o dulce",IF('Volúmenes DIstribuidos '!C1735="Aceite","Aceite o grasas",IF('Volúmenes DIstribuidos '!C1735="Avena","Otros almidones",'Volúmenes DIstribuidos '!C1735)))</f>
        <v>Fideo</v>
      </c>
      <c r="C2741" s="10" t="s">
        <v>29</v>
      </c>
      <c r="D2741" s="12">
        <f>'Volúmenes DIstribuidos '!D1735</f>
        <v>11.78</v>
      </c>
      <c r="E2741" s="12">
        <f>SUMIF('Parametros Inventario'!$A:$A,B2741,'Parametros Inventario'!$B:$B)+SUMIFS(D$2:D2741,B$2:B2741,B2741,C$2:C2741,"ENTRADA")-SUMIFS(D$2:D2741,B$2:B2741,B2741,C$2:C2741,"SALIDA")</f>
        <v>13418.212999999998</v>
      </c>
    </row>
    <row r="2742" spans="1:5" x14ac:dyDescent="0.3">
      <c r="A2742" s="9">
        <f>'Volúmenes DIstribuidos '!B1731</f>
        <v>45055</v>
      </c>
      <c r="B2742" s="10" t="str">
        <f>IF(OR('Volúmenes DIstribuidos '!C1736="Azúcar",'Volúmenes DIstribuidos '!C1736="azúcar"),"Azúcar o dulce",IF('Volúmenes DIstribuidos '!C1736="Aceite","Aceite o grasas",IF('Volúmenes DIstribuidos '!C1736="Avena","Otros almidones",'Volúmenes DIstribuidos '!C1736)))</f>
        <v>Carnes rojas</v>
      </c>
      <c r="C2742" s="10" t="s">
        <v>29</v>
      </c>
      <c r="D2742" s="12">
        <f>'Volúmenes DIstribuidos '!D1736</f>
        <v>7.5839999999999996</v>
      </c>
      <c r="E2742" s="12">
        <f>SUMIF('Parametros Inventario'!$A:$A,B2742,'Parametros Inventario'!$B:$B)+SUMIFS(D$2:D2742,B$2:B2742,B2742,C$2:C2742,"ENTRADA")-SUMIFS(D$2:D2742,B$2:B2742,B2742,C$2:C2742,"SALIDA")</f>
        <v>12568.963</v>
      </c>
    </row>
    <row r="2743" spans="1:5" x14ac:dyDescent="0.3">
      <c r="A2743" s="9">
        <v>45058</v>
      </c>
      <c r="B2743" s="10" t="s">
        <v>16</v>
      </c>
      <c r="C2743" s="10" t="s">
        <v>28</v>
      </c>
      <c r="D2743" s="12">
        <v>247.3</v>
      </c>
      <c r="E2743" s="12">
        <f>SUMIF('Parametros Inventario'!$A:$A,B2743,'Parametros Inventario'!$B:$B)+SUMIFS(D$2:D2743,B$2:B2743,B2743,C$2:C2743,"ENTRADA")-SUMIFS(D$2:D2743,B$2:B2743,B2743,C$2:C2743,"SALIDA")</f>
        <v>12508.234</v>
      </c>
    </row>
    <row r="2744" spans="1:5" x14ac:dyDescent="0.3">
      <c r="A2744" s="9">
        <v>45058</v>
      </c>
      <c r="B2744" s="10" t="s">
        <v>17</v>
      </c>
      <c r="C2744" s="10" t="s">
        <v>28</v>
      </c>
      <c r="D2744" s="12">
        <v>60.46</v>
      </c>
      <c r="E2744" s="12">
        <f>SUMIF('Parametros Inventario'!$A:$A,B2744,'Parametros Inventario'!$B:$B)+SUMIFS(D$2:D2744,B$2:B2744,B2744,C$2:C2744,"ENTRADA")-SUMIFS(D$2:D2744,B$2:B2744,B2744,C$2:C2744,"SALIDA")</f>
        <v>10705.06</v>
      </c>
    </row>
    <row r="2745" spans="1:5" x14ac:dyDescent="0.3">
      <c r="A2745" s="9">
        <v>45058</v>
      </c>
      <c r="B2745" s="10" t="s">
        <v>18</v>
      </c>
      <c r="C2745" s="10" t="s">
        <v>28</v>
      </c>
      <c r="D2745" s="12">
        <v>102.77</v>
      </c>
      <c r="E2745" s="12">
        <f>SUMIF('Parametros Inventario'!$A:$A,B2745,'Parametros Inventario'!$B:$B)+SUMIFS(D$2:D2745,B$2:B2745,B2745,C$2:C2745,"ENTRADA")-SUMIFS(D$2:D2745,B$2:B2745,B2745,C$2:C2745,"SALIDA")</f>
        <v>11760.199999999997</v>
      </c>
    </row>
    <row r="2746" spans="1:5" x14ac:dyDescent="0.3">
      <c r="A2746" s="9">
        <v>45058</v>
      </c>
      <c r="B2746" s="10" t="s">
        <v>10</v>
      </c>
      <c r="C2746" s="10" t="s">
        <v>28</v>
      </c>
      <c r="D2746" s="12">
        <v>247.95</v>
      </c>
      <c r="E2746" s="12">
        <f>SUMIF('Parametros Inventario'!$A:$A,B2746,'Parametros Inventario'!$B:$B)+SUMIFS(D$2:D2746,B$2:B2746,B2746,C$2:C2746,"ENTRADA")-SUMIFS(D$2:D2746,B$2:B2746,B2746,C$2:C2746,"SALIDA")</f>
        <v>13552.265999999994</v>
      </c>
    </row>
    <row r="2747" spans="1:5" x14ac:dyDescent="0.3">
      <c r="A2747" s="9">
        <v>45058</v>
      </c>
      <c r="B2747" s="10" t="s">
        <v>8</v>
      </c>
      <c r="C2747" s="10" t="s">
        <v>28</v>
      </c>
      <c r="D2747" s="12">
        <v>143.91999999999999</v>
      </c>
      <c r="E2747" s="12">
        <f>SUMIF('Parametros Inventario'!$A:$A,B2747,'Parametros Inventario'!$B:$B)+SUMIFS(D$2:D2747,B$2:B2747,B2747,C$2:C2747,"ENTRADA")-SUMIFS(D$2:D2747,B$2:B2747,B2747,C$2:C2747,"SALIDA")</f>
        <v>11647.849000000004</v>
      </c>
    </row>
    <row r="2748" spans="1:5" x14ac:dyDescent="0.3">
      <c r="A2748" s="9">
        <v>45058</v>
      </c>
      <c r="B2748" s="10" t="s">
        <v>13</v>
      </c>
      <c r="C2748" s="10" t="s">
        <v>28</v>
      </c>
      <c r="D2748" s="12">
        <v>180.02</v>
      </c>
      <c r="E2748" s="12">
        <f>SUMIF('Parametros Inventario'!$A:$A,B2748,'Parametros Inventario'!$B:$B)+SUMIFS(D$2:D2748,B$2:B2748,B2748,C$2:C2748,"ENTRADA")-SUMIFS(D$2:D2748,B$2:B2748,B2748,C$2:C2748,"SALIDA")</f>
        <v>12097.181000000004</v>
      </c>
    </row>
    <row r="2749" spans="1:5" x14ac:dyDescent="0.3">
      <c r="A2749" s="9">
        <v>45058</v>
      </c>
      <c r="B2749" s="10" t="s">
        <v>15</v>
      </c>
      <c r="C2749" s="10" t="s">
        <v>28</v>
      </c>
      <c r="D2749" s="12">
        <v>290.51</v>
      </c>
      <c r="E2749" s="12">
        <f>SUMIF('Parametros Inventario'!$A:$A,B2749,'Parametros Inventario'!$B:$B)+SUMIFS(D$2:D2749,B$2:B2749,B2749,C$2:C2749,"ENTRADA")-SUMIFS(D$2:D2749,B$2:B2749,B2749,C$2:C2749,"SALIDA")</f>
        <v>12646.107000000002</v>
      </c>
    </row>
    <row r="2750" spans="1:5" x14ac:dyDescent="0.3">
      <c r="A2750" s="9">
        <v>45058</v>
      </c>
      <c r="B2750" s="10" t="s">
        <v>11</v>
      </c>
      <c r="C2750" s="10" t="s">
        <v>28</v>
      </c>
      <c r="D2750" s="12">
        <v>116.46</v>
      </c>
      <c r="E2750" s="12">
        <f>SUMIF('Parametros Inventario'!$A:$A,B2750,'Parametros Inventario'!$B:$B)+SUMIFS(D$2:D2750,B$2:B2750,B2750,C$2:C2750,"ENTRADA")-SUMIFS(D$2:D2750,B$2:B2750,B2750,C$2:C2750,"SALIDA")</f>
        <v>13534.672999999997</v>
      </c>
    </row>
    <row r="2751" spans="1:5" x14ac:dyDescent="0.3">
      <c r="A2751" s="9">
        <v>45058</v>
      </c>
      <c r="B2751" s="10" t="s">
        <v>9</v>
      </c>
      <c r="C2751" s="10" t="s">
        <v>28</v>
      </c>
      <c r="D2751" s="12">
        <v>171.48</v>
      </c>
      <c r="E2751" s="12">
        <f>SUMIF('Parametros Inventario'!$A:$A,B2751,'Parametros Inventario'!$B:$B)+SUMIFS(D$2:D2751,B$2:B2751,B2751,C$2:C2751,"ENTRADA")-SUMIFS(D$2:D2751,B$2:B2751,B2751,C$2:C2751,"SALIDA")</f>
        <v>9898.0920000000006</v>
      </c>
    </row>
    <row r="2752" spans="1:5" x14ac:dyDescent="0.3">
      <c r="A2752" s="9">
        <v>45058</v>
      </c>
      <c r="B2752" s="10" t="s">
        <v>14</v>
      </c>
      <c r="C2752" s="10" t="s">
        <v>28</v>
      </c>
      <c r="D2752" s="12">
        <v>239.23</v>
      </c>
      <c r="E2752" s="12">
        <f>SUMIF('Parametros Inventario'!$A:$A,B2752,'Parametros Inventario'!$B:$B)+SUMIFS(D$2:D2752,B$2:B2752,B2752,C$2:C2752,"ENTRADA")-SUMIFS(D$2:D2752,B$2:B2752,B2752,C$2:C2752,"SALIDA")</f>
        <v>13082.085000000003</v>
      </c>
    </row>
    <row r="2753" spans="1:5" x14ac:dyDescent="0.3">
      <c r="A2753" s="9">
        <v>45058</v>
      </c>
      <c r="B2753" s="10" t="s">
        <v>12</v>
      </c>
      <c r="C2753" s="10" t="s">
        <v>28</v>
      </c>
      <c r="D2753" s="12">
        <v>201.09</v>
      </c>
      <c r="E2753" s="12">
        <f>SUMIF('Parametros Inventario'!$A:$A,B2753,'Parametros Inventario'!$B:$B)+SUMIFS(D$2:D2753,B$2:B2753,B2753,C$2:C2753,"ENTRADA")-SUMIFS(D$2:D2753,B$2:B2753,B2753,C$2:C2753,"SALIDA")</f>
        <v>12770.053</v>
      </c>
    </row>
    <row r="2754" spans="1:5" x14ac:dyDescent="0.3">
      <c r="A2754" s="9">
        <f>'Volúmenes DIstribuidos '!B1737</f>
        <v>45058</v>
      </c>
      <c r="B2754" s="10" t="str">
        <f>IF(OR('Volúmenes DIstribuidos '!C1737="Azúcar",'Volúmenes DIstribuidos '!C1737="azúcar"),"Azúcar o dulce",IF('Volúmenes DIstribuidos '!C1737="Aceite","Aceite o grasas",IF('Volúmenes DIstribuidos '!C1737="Avena","Otros almidones",'Volúmenes DIstribuidos '!C1737)))</f>
        <v>Vegetales y hojas</v>
      </c>
      <c r="C2754" s="10" t="s">
        <v>29</v>
      </c>
      <c r="D2754" s="12">
        <f>'Volúmenes DIstribuidos '!D1737</f>
        <v>11.94</v>
      </c>
      <c r="E2754" s="12">
        <f>SUMIF('Parametros Inventario'!$A:$A,B2754,'Parametros Inventario'!$B:$B)+SUMIFS(D$2:D2754,B$2:B2754,B2754,C$2:C2754,"ENTRADA")-SUMIFS(D$2:D2754,B$2:B2754,B2754,C$2:C2754,"SALIDA")</f>
        <v>13540.325999999994</v>
      </c>
    </row>
    <row r="2755" spans="1:5" x14ac:dyDescent="0.3">
      <c r="A2755" s="9">
        <f>'Volúmenes DIstribuidos '!B1737</f>
        <v>45058</v>
      </c>
      <c r="B2755" s="10" t="str">
        <f>IF(OR('Volúmenes DIstribuidos '!C1738="Azúcar",'Volúmenes DIstribuidos '!C1738="azúcar"),"Azúcar o dulce",IF('Volúmenes DIstribuidos '!C1738="Aceite","Aceite o grasas",IF('Volúmenes DIstribuidos '!C1738="Avena","Otros almidones",'Volúmenes DIstribuidos '!C1738)))</f>
        <v>Salsas</v>
      </c>
      <c r="C2755" s="10" t="s">
        <v>29</v>
      </c>
      <c r="D2755" s="12">
        <f>'Volúmenes DIstribuidos '!D1738</f>
        <v>7.98</v>
      </c>
      <c r="E2755" s="12">
        <f>SUMIF('Parametros Inventario'!$A:$A,B2755,'Parametros Inventario'!$B:$B)+SUMIFS(D$2:D2755,B$2:B2755,B2755,C$2:C2755,"ENTRADA")-SUMIFS(D$2:D2755,B$2:B2755,B2755,C$2:C2755,"SALIDA")</f>
        <v>11752.219999999998</v>
      </c>
    </row>
    <row r="2756" spans="1:5" x14ac:dyDescent="0.3">
      <c r="A2756" s="9">
        <f>'Volúmenes DIstribuidos '!B1737</f>
        <v>45058</v>
      </c>
      <c r="B2756" s="10" t="str">
        <f>IF(OR('Volúmenes DIstribuidos '!C1739="Azúcar",'Volúmenes DIstribuidos '!C1739="azúcar"),"Azúcar o dulce",IF('Volúmenes DIstribuidos '!C1739="Aceite","Aceite o grasas",IF('Volúmenes DIstribuidos '!C1739="Avena","Otros almidones",'Volúmenes DIstribuidos '!C1739)))</f>
        <v>Aceite o grasas</v>
      </c>
      <c r="C2756" s="10" t="s">
        <v>29</v>
      </c>
      <c r="D2756" s="12">
        <f>'Volúmenes DIstribuidos '!D1739</f>
        <v>23.06</v>
      </c>
      <c r="E2756" s="12">
        <f>SUMIF('Parametros Inventario'!$A:$A,B2756,'Parametros Inventario'!$B:$B)+SUMIFS(D$2:D2756,B$2:B2756,B2756,C$2:C2756,"ENTRADA")-SUMIFS(D$2:D2756,B$2:B2756,B2756,C$2:C2756,"SALIDA")</f>
        <v>11624.789000000004</v>
      </c>
    </row>
    <row r="2757" spans="1:5" x14ac:dyDescent="0.3">
      <c r="A2757" s="9">
        <f>'Volúmenes DIstribuidos '!B1737</f>
        <v>45058</v>
      </c>
      <c r="B2757" s="10" t="str">
        <f>IF(OR('Volúmenes DIstribuidos '!C1740="Azúcar",'Volúmenes DIstribuidos '!C1740="azúcar"),"Azúcar o dulce",IF('Volúmenes DIstribuidos '!C1740="Aceite","Aceite o grasas",IF('Volúmenes DIstribuidos '!C1740="Avena","Otros almidones",'Volúmenes DIstribuidos '!C1740)))</f>
        <v>Otros almidones</v>
      </c>
      <c r="C2757" s="10" t="s">
        <v>29</v>
      </c>
      <c r="D2757" s="12">
        <f>'Volúmenes DIstribuidos '!D1740</f>
        <v>29.64</v>
      </c>
      <c r="E2757" s="12">
        <f>SUMIF('Parametros Inventario'!$A:$A,B2757,'Parametros Inventario'!$B:$B)+SUMIFS(D$2:D2757,B$2:B2757,B2757,C$2:C2757,"ENTRADA")-SUMIFS(D$2:D2757,B$2:B2757,B2757,C$2:C2757,"SALIDA")</f>
        <v>12616.467000000001</v>
      </c>
    </row>
    <row r="2758" spans="1:5" x14ac:dyDescent="0.3">
      <c r="A2758" s="9">
        <f>'Volúmenes DIstribuidos '!B1737</f>
        <v>45058</v>
      </c>
      <c r="B2758" s="10" t="str">
        <f>IF(OR('Volúmenes DIstribuidos '!C1741="Azúcar",'Volúmenes DIstribuidos '!C1741="azúcar"),"Azúcar o dulce",IF('Volúmenes DIstribuidos '!C1741="Aceite","Aceite o grasas",IF('Volúmenes DIstribuidos '!C1741="Avena","Otros almidones",'Volúmenes DIstribuidos '!C1741)))</f>
        <v>Panadería</v>
      </c>
      <c r="C2758" s="10" t="s">
        <v>29</v>
      </c>
      <c r="D2758" s="12">
        <f>'Volúmenes DIstribuidos '!D1741</f>
        <v>7.2080000000000002</v>
      </c>
      <c r="E2758" s="12">
        <f>SUMIF('Parametros Inventario'!$A:$A,B2758,'Parametros Inventario'!$B:$B)+SUMIFS(D$2:D2758,B$2:B2758,B2758,C$2:C2758,"ENTRADA")-SUMIFS(D$2:D2758,B$2:B2758,B2758,C$2:C2758,"SALIDA")</f>
        <v>9890.8840000000018</v>
      </c>
    </row>
    <row r="2759" spans="1:5" x14ac:dyDescent="0.3">
      <c r="A2759" s="9">
        <f>'Volúmenes DIstribuidos '!B1737</f>
        <v>45058</v>
      </c>
      <c r="B2759" s="10" t="str">
        <f>IF(OR('Volúmenes DIstribuidos '!C1742="Azúcar",'Volúmenes DIstribuidos '!C1742="azúcar"),"Azúcar o dulce",IF('Volúmenes DIstribuidos '!C1742="Aceite","Aceite o grasas",IF('Volúmenes DIstribuidos '!C1742="Avena","Otros almidones",'Volúmenes DIstribuidos '!C1742)))</f>
        <v>Carnes blancas</v>
      </c>
      <c r="C2759" s="10" t="s">
        <v>29</v>
      </c>
      <c r="D2759" s="12">
        <f>'Volúmenes DIstribuidos '!D1742</f>
        <v>27.17</v>
      </c>
      <c r="E2759" s="12">
        <f>SUMIF('Parametros Inventario'!$A:$A,B2759,'Parametros Inventario'!$B:$B)+SUMIFS(D$2:D2759,B$2:B2759,B2759,C$2:C2759,"ENTRADA")-SUMIFS(D$2:D2759,B$2:B2759,B2759,C$2:C2759,"SALIDA")</f>
        <v>12481.064000000002</v>
      </c>
    </row>
    <row r="2760" spans="1:5" x14ac:dyDescent="0.3">
      <c r="A2760" s="9">
        <f>'Volúmenes DIstribuidos '!B1743</f>
        <v>45062</v>
      </c>
      <c r="B2760" s="10" t="str">
        <f>IF(OR('Volúmenes DIstribuidos '!C1743="Azúcar",'Volúmenes DIstribuidos '!C1743="azúcar"),"Azúcar o dulce",IF('Volúmenes DIstribuidos '!C1743="Aceite","Aceite o grasas",IF('Volúmenes DIstribuidos '!C1743="Avena","Otros almidones",'Volúmenes DIstribuidos '!C1743)))</f>
        <v>Azúcar o dulce</v>
      </c>
      <c r="C2760" s="10" t="s">
        <v>29</v>
      </c>
      <c r="D2760" s="12">
        <f>'Volúmenes DIstribuidos '!D1743</f>
        <v>34.53</v>
      </c>
      <c r="E2760" s="12">
        <f>SUMIF('Parametros Inventario'!$A:$A,B2760,'Parametros Inventario'!$B:$B)+SUMIFS(D$2:D2760,B$2:B2760,B2760,C$2:C2760,"ENTRADA")-SUMIFS(D$2:D2760,B$2:B2760,B2760,C$2:C2760,"SALIDA")</f>
        <v>12062.651000000003</v>
      </c>
    </row>
    <row r="2761" spans="1:5" x14ac:dyDescent="0.3">
      <c r="A2761" s="9">
        <f>'Volúmenes DIstribuidos '!B1743</f>
        <v>45062</v>
      </c>
      <c r="B2761" s="10" t="str">
        <f>IF(OR('Volúmenes DIstribuidos '!C1744="Azúcar",'Volúmenes DIstribuidos '!C1744="azúcar"),"Azúcar o dulce",IF('Volúmenes DIstribuidos '!C1744="Aceite","Aceite o grasas",IF('Volúmenes DIstribuidos '!C1744="Avena","Otros almidones",'Volúmenes DIstribuidos '!C1744)))</f>
        <v>Fideo</v>
      </c>
      <c r="C2761" s="10" t="s">
        <v>29</v>
      </c>
      <c r="D2761" s="12">
        <f>'Volúmenes DIstribuidos '!D1744</f>
        <v>84.093999999999994</v>
      </c>
      <c r="E2761" s="12">
        <f>SUMIF('Parametros Inventario'!$A:$A,B2761,'Parametros Inventario'!$B:$B)+SUMIFS(D$2:D2761,B$2:B2761,B2761,C$2:C2761,"ENTRADA")-SUMIFS(D$2:D2761,B$2:B2761,B2761,C$2:C2761,"SALIDA")</f>
        <v>13450.578999999998</v>
      </c>
    </row>
    <row r="2762" spans="1:5" x14ac:dyDescent="0.3">
      <c r="A2762" s="9">
        <f>'Volúmenes DIstribuidos '!B1743</f>
        <v>45062</v>
      </c>
      <c r="B2762" s="10" t="str">
        <f>IF(OR('Volúmenes DIstribuidos '!C1745="Azúcar",'Volúmenes DIstribuidos '!C1745="azúcar"),"Azúcar o dulce",IF('Volúmenes DIstribuidos '!C1745="Aceite","Aceite o grasas",IF('Volúmenes DIstribuidos '!C1745="Avena","Otros almidones",'Volúmenes DIstribuidos '!C1745)))</f>
        <v>Lácteos</v>
      </c>
      <c r="C2762" s="10" t="s">
        <v>29</v>
      </c>
      <c r="D2762" s="12">
        <f>'Volúmenes DIstribuidos '!D1745</f>
        <v>26.7</v>
      </c>
      <c r="E2762" s="12">
        <f>SUMIF('Parametros Inventario'!$A:$A,B2762,'Parametros Inventario'!$B:$B)+SUMIFS(D$2:D2762,B$2:B2762,B2762,C$2:C2762,"ENTRADA")-SUMIFS(D$2:D2762,B$2:B2762,B2762,C$2:C2762,"SALIDA")</f>
        <v>10678.36</v>
      </c>
    </row>
    <row r="2763" spans="1:5" x14ac:dyDescent="0.3">
      <c r="A2763" s="9">
        <f>'Volúmenes DIstribuidos '!B1743</f>
        <v>45062</v>
      </c>
      <c r="B2763" s="10" t="str">
        <f>IF(OR('Volúmenes DIstribuidos '!C1746="Azúcar",'Volúmenes DIstribuidos '!C1746="azúcar"),"Azúcar o dulce",IF('Volúmenes DIstribuidos '!C1746="Aceite","Aceite o grasas",IF('Volúmenes DIstribuidos '!C1746="Avena","Otros almidones",'Volúmenes DIstribuidos '!C1746)))</f>
        <v>Salsas</v>
      </c>
      <c r="C2763" s="10" t="s">
        <v>29</v>
      </c>
      <c r="D2763" s="12">
        <f>'Volúmenes DIstribuidos '!D1746</f>
        <v>70</v>
      </c>
      <c r="E2763" s="12">
        <f>SUMIF('Parametros Inventario'!$A:$A,B2763,'Parametros Inventario'!$B:$B)+SUMIFS(D$2:D2763,B$2:B2763,B2763,C$2:C2763,"ENTRADA")-SUMIFS(D$2:D2763,B$2:B2763,B2763,C$2:C2763,"SALIDA")</f>
        <v>11682.219999999998</v>
      </c>
    </row>
    <row r="2764" spans="1:5" x14ac:dyDescent="0.3">
      <c r="A2764" s="9">
        <f>'Volúmenes DIstribuidos '!B1743</f>
        <v>45062</v>
      </c>
      <c r="B2764" s="10" t="str">
        <f>IF(OR('Volúmenes DIstribuidos '!C1747="Azúcar",'Volúmenes DIstribuidos '!C1747="azúcar"),"Azúcar o dulce",IF('Volúmenes DIstribuidos '!C1747="Aceite","Aceite o grasas",IF('Volúmenes DIstribuidos '!C1747="Avena","Otros almidones",'Volúmenes DIstribuidos '!C1747)))</f>
        <v>Carnes rojas</v>
      </c>
      <c r="C2764" s="10" t="s">
        <v>29</v>
      </c>
      <c r="D2764" s="12">
        <f>'Volúmenes DIstribuidos '!D1747</f>
        <v>45.345999999999997</v>
      </c>
      <c r="E2764" s="12">
        <f>SUMIF('Parametros Inventario'!$A:$A,B2764,'Parametros Inventario'!$B:$B)+SUMIFS(D$2:D2764,B$2:B2764,B2764,C$2:C2764,"ENTRADA")-SUMIFS(D$2:D2764,B$2:B2764,B2764,C$2:C2764,"SALIDA")</f>
        <v>12724.707</v>
      </c>
    </row>
    <row r="2765" spans="1:5" x14ac:dyDescent="0.3">
      <c r="A2765" s="9">
        <f>'Volúmenes DIstribuidos '!B1743</f>
        <v>45062</v>
      </c>
      <c r="B2765" s="10" t="str">
        <f>IF(OR('Volúmenes DIstribuidos '!C1748="Azúcar",'Volúmenes DIstribuidos '!C1748="azúcar"),"Azúcar o dulce",IF('Volúmenes DIstribuidos '!C1748="Aceite","Aceite o grasas",IF('Volúmenes DIstribuidos '!C1748="Avena","Otros almidones",'Volúmenes DIstribuidos '!C1748)))</f>
        <v>Azúcar o dulce</v>
      </c>
      <c r="C2765" s="10" t="s">
        <v>29</v>
      </c>
      <c r="D2765" s="12">
        <f>'Volúmenes DIstribuidos '!D1748</f>
        <v>25.63</v>
      </c>
      <c r="E2765" s="12">
        <f>SUMIF('Parametros Inventario'!$A:$A,B2765,'Parametros Inventario'!$B:$B)+SUMIFS(D$2:D2765,B$2:B2765,B2765,C$2:C2765,"ENTRADA")-SUMIFS(D$2:D2765,B$2:B2765,B2765,C$2:C2765,"SALIDA")</f>
        <v>12037.021000000004</v>
      </c>
    </row>
    <row r="2766" spans="1:5" x14ac:dyDescent="0.3">
      <c r="A2766" s="9">
        <v>45065</v>
      </c>
      <c r="B2766" s="10" t="s">
        <v>16</v>
      </c>
      <c r="C2766" s="10" t="s">
        <v>28</v>
      </c>
      <c r="D2766" s="12">
        <v>134.13999999999999</v>
      </c>
      <c r="E2766" s="12">
        <f>SUMIF('Parametros Inventario'!$A:$A,B2766,'Parametros Inventario'!$B:$B)+SUMIFS(D$2:D2766,B$2:B2766,B2766,C$2:C2766,"ENTRADA")-SUMIFS(D$2:D2766,B$2:B2766,B2766,C$2:C2766,"SALIDA")</f>
        <v>12615.204000000002</v>
      </c>
    </row>
    <row r="2767" spans="1:5" x14ac:dyDescent="0.3">
      <c r="A2767" s="9">
        <v>45065</v>
      </c>
      <c r="B2767" s="10" t="s">
        <v>17</v>
      </c>
      <c r="C2767" s="10" t="s">
        <v>28</v>
      </c>
      <c r="D2767" s="12">
        <v>220.46</v>
      </c>
      <c r="E2767" s="12">
        <f>SUMIF('Parametros Inventario'!$A:$A,B2767,'Parametros Inventario'!$B:$B)+SUMIFS(D$2:D2767,B$2:B2767,B2767,C$2:C2767,"ENTRADA")-SUMIFS(D$2:D2767,B$2:B2767,B2767,C$2:C2767,"SALIDA")</f>
        <v>10898.82</v>
      </c>
    </row>
    <row r="2768" spans="1:5" x14ac:dyDescent="0.3">
      <c r="A2768" s="9">
        <v>45065</v>
      </c>
      <c r="B2768" s="10" t="s">
        <v>18</v>
      </c>
      <c r="C2768" s="10" t="s">
        <v>28</v>
      </c>
      <c r="D2768" s="12">
        <v>135.77000000000001</v>
      </c>
      <c r="E2768" s="12">
        <f>SUMIF('Parametros Inventario'!$A:$A,B2768,'Parametros Inventario'!$B:$B)+SUMIFS(D$2:D2768,B$2:B2768,B2768,C$2:C2768,"ENTRADA")-SUMIFS(D$2:D2768,B$2:B2768,B2768,C$2:C2768,"SALIDA")</f>
        <v>11817.989999999998</v>
      </c>
    </row>
    <row r="2769" spans="1:5" x14ac:dyDescent="0.3">
      <c r="A2769" s="9">
        <v>45065</v>
      </c>
      <c r="B2769" s="10" t="s">
        <v>10</v>
      </c>
      <c r="C2769" s="10" t="s">
        <v>28</v>
      </c>
      <c r="D2769" s="12">
        <v>128.81</v>
      </c>
      <c r="E2769" s="12">
        <f>SUMIF('Parametros Inventario'!$A:$A,B2769,'Parametros Inventario'!$B:$B)+SUMIFS(D$2:D2769,B$2:B2769,B2769,C$2:C2769,"ENTRADA")-SUMIFS(D$2:D2769,B$2:B2769,B2769,C$2:C2769,"SALIDA")</f>
        <v>13669.135999999995</v>
      </c>
    </row>
    <row r="2770" spans="1:5" x14ac:dyDescent="0.3">
      <c r="A2770" s="9">
        <v>45065</v>
      </c>
      <c r="B2770" s="10" t="s">
        <v>8</v>
      </c>
      <c r="C2770" s="10" t="s">
        <v>28</v>
      </c>
      <c r="D2770" s="12">
        <v>109.9</v>
      </c>
      <c r="E2770" s="12">
        <f>SUMIF('Parametros Inventario'!$A:$A,B2770,'Parametros Inventario'!$B:$B)+SUMIFS(D$2:D2770,B$2:B2770,B2770,C$2:C2770,"ENTRADA")-SUMIFS(D$2:D2770,B$2:B2770,B2770,C$2:C2770,"SALIDA")</f>
        <v>11734.689000000006</v>
      </c>
    </row>
    <row r="2771" spans="1:5" x14ac:dyDescent="0.3">
      <c r="A2771" s="9">
        <v>45065</v>
      </c>
      <c r="B2771" s="10" t="s">
        <v>13</v>
      </c>
      <c r="C2771" s="10" t="s">
        <v>28</v>
      </c>
      <c r="D2771" s="12">
        <v>140.30000000000001</v>
      </c>
      <c r="E2771" s="12">
        <f>SUMIF('Parametros Inventario'!$A:$A,B2771,'Parametros Inventario'!$B:$B)+SUMIFS(D$2:D2771,B$2:B2771,B2771,C$2:C2771,"ENTRADA")-SUMIFS(D$2:D2771,B$2:B2771,B2771,C$2:C2771,"SALIDA")</f>
        <v>12177.321</v>
      </c>
    </row>
    <row r="2772" spans="1:5" x14ac:dyDescent="0.3">
      <c r="A2772" s="9">
        <v>45065</v>
      </c>
      <c r="B2772" s="10" t="s">
        <v>15</v>
      </c>
      <c r="C2772" s="10" t="s">
        <v>28</v>
      </c>
      <c r="D2772" s="12">
        <v>149.62</v>
      </c>
      <c r="E2772" s="12">
        <f>SUMIF('Parametros Inventario'!$A:$A,B2772,'Parametros Inventario'!$B:$B)+SUMIFS(D$2:D2772,B$2:B2772,B2772,C$2:C2772,"ENTRADA")-SUMIFS(D$2:D2772,B$2:B2772,B2772,C$2:C2772,"SALIDA")</f>
        <v>12766.087</v>
      </c>
    </row>
    <row r="2773" spans="1:5" x14ac:dyDescent="0.3">
      <c r="A2773" s="9">
        <v>45065</v>
      </c>
      <c r="B2773" s="10" t="s">
        <v>11</v>
      </c>
      <c r="C2773" s="10" t="s">
        <v>28</v>
      </c>
      <c r="D2773" s="12">
        <v>202.7</v>
      </c>
      <c r="E2773" s="12">
        <f>SUMIF('Parametros Inventario'!$A:$A,B2773,'Parametros Inventario'!$B:$B)+SUMIFS(D$2:D2773,B$2:B2773,B2773,C$2:C2773,"ENTRADA")-SUMIFS(D$2:D2773,B$2:B2773,B2773,C$2:C2773,"SALIDA")</f>
        <v>13653.278999999999</v>
      </c>
    </row>
    <row r="2774" spans="1:5" x14ac:dyDescent="0.3">
      <c r="A2774" s="9">
        <f>'Volúmenes DIstribuidos '!B1749</f>
        <v>45065</v>
      </c>
      <c r="B2774" s="10" t="str">
        <f>IF(OR('Volúmenes DIstribuidos '!C1749="Azúcar",'Volúmenes DIstribuidos '!C1749="azúcar"),"Azúcar o dulce",IF('Volúmenes DIstribuidos '!C1749="Aceite","Aceite o grasas",IF('Volúmenes DIstribuidos '!C1749="Avena","Otros almidones",'Volúmenes DIstribuidos '!C1749)))</f>
        <v>Lácteos</v>
      </c>
      <c r="C2774" s="10" t="s">
        <v>29</v>
      </c>
      <c r="D2774" s="12">
        <f>'Volúmenes DIstribuidos '!D1749</f>
        <v>23.44</v>
      </c>
      <c r="E2774" s="12">
        <f>SUMIF('Parametros Inventario'!$A:$A,B2774,'Parametros Inventario'!$B:$B)+SUMIFS(D$2:D2774,B$2:B2774,B2774,C$2:C2774,"ENTRADA")-SUMIFS(D$2:D2774,B$2:B2774,B2774,C$2:C2774,"SALIDA")</f>
        <v>10875.380000000001</v>
      </c>
    </row>
    <row r="2775" spans="1:5" x14ac:dyDescent="0.3">
      <c r="A2775" s="9">
        <f>'Volúmenes DIstribuidos '!B1749</f>
        <v>45065</v>
      </c>
      <c r="B2775" s="10" t="str">
        <f>IF(OR('Volúmenes DIstribuidos '!C1750="Azúcar",'Volúmenes DIstribuidos '!C1750="azúcar"),"Azúcar o dulce",IF('Volúmenes DIstribuidos '!C1750="Aceite","Aceite o grasas",IF('Volúmenes DIstribuidos '!C1750="Avena","Otros almidones",'Volúmenes DIstribuidos '!C1750)))</f>
        <v>Menestras</v>
      </c>
      <c r="C2775" s="10" t="s">
        <v>29</v>
      </c>
      <c r="D2775" s="12">
        <f>'Volúmenes DIstribuidos '!D1750</f>
        <v>88.53</v>
      </c>
      <c r="E2775" s="12">
        <f>SUMIF('Parametros Inventario'!$A:$A,B2775,'Parametros Inventario'!$B:$B)+SUMIFS(D$2:D2775,B$2:B2775,B2775,C$2:C2775,"ENTRADA")-SUMIFS(D$2:D2775,B$2:B2775,B2775,C$2:C2775,"SALIDA")</f>
        <v>12993.555000000004</v>
      </c>
    </row>
    <row r="2776" spans="1:5" x14ac:dyDescent="0.3">
      <c r="A2776" s="9">
        <f>'Volúmenes DIstribuidos '!B1749</f>
        <v>45065</v>
      </c>
      <c r="B2776" s="10" t="str">
        <f>IF(OR('Volúmenes DIstribuidos '!C1751="Azúcar",'Volúmenes DIstribuidos '!C1751="azúcar"),"Azúcar o dulce",IF('Volúmenes DIstribuidos '!C1751="Aceite","Aceite o grasas",IF('Volúmenes DIstribuidos '!C1751="Avena","Otros almidones",'Volúmenes DIstribuidos '!C1751)))</f>
        <v>Fideo</v>
      </c>
      <c r="C2776" s="10" t="s">
        <v>29</v>
      </c>
      <c r="D2776" s="12">
        <f>'Volúmenes DIstribuidos '!D1751</f>
        <v>13.94</v>
      </c>
      <c r="E2776" s="12">
        <f>SUMIF('Parametros Inventario'!$A:$A,B2776,'Parametros Inventario'!$B:$B)+SUMIFS(D$2:D2776,B$2:B2776,B2776,C$2:C2776,"ENTRADA")-SUMIFS(D$2:D2776,B$2:B2776,B2776,C$2:C2776,"SALIDA")</f>
        <v>13639.338999999998</v>
      </c>
    </row>
    <row r="2777" spans="1:5" x14ac:dyDescent="0.3">
      <c r="A2777" s="9">
        <f>'Volúmenes DIstribuidos '!B1749</f>
        <v>45065</v>
      </c>
      <c r="B2777" s="10" t="str">
        <f>IF(OR('Volúmenes DIstribuidos '!C1752="Azúcar",'Volúmenes DIstribuidos '!C1752="azúcar"),"Azúcar o dulce",IF('Volúmenes DIstribuidos '!C1752="Aceite","Aceite o grasas",IF('Volúmenes DIstribuidos '!C1752="Avena","Otros almidones",'Volúmenes DIstribuidos '!C1752)))</f>
        <v>Vegetales y hojas</v>
      </c>
      <c r="C2777" s="10" t="s">
        <v>29</v>
      </c>
      <c r="D2777" s="12">
        <f>'Volúmenes DIstribuidos '!D1752</f>
        <v>7.37</v>
      </c>
      <c r="E2777" s="12">
        <f>SUMIF('Parametros Inventario'!$A:$A,B2777,'Parametros Inventario'!$B:$B)+SUMIFS(D$2:D2777,B$2:B2777,B2777,C$2:C2777,"ENTRADA")-SUMIFS(D$2:D2777,B$2:B2777,B2777,C$2:C2777,"SALIDA")</f>
        <v>13661.765999999996</v>
      </c>
    </row>
    <row r="2778" spans="1:5" x14ac:dyDescent="0.3">
      <c r="A2778" s="9">
        <f>'Volúmenes DIstribuidos '!B1749</f>
        <v>45065</v>
      </c>
      <c r="B2778" s="10" t="str">
        <f>IF(OR('Volúmenes DIstribuidos '!C1753="Azúcar",'Volúmenes DIstribuidos '!C1753="azúcar"),"Azúcar o dulce",IF('Volúmenes DIstribuidos '!C1753="Aceite","Aceite o grasas",IF('Volúmenes DIstribuidos '!C1753="Avena","Otros almidones",'Volúmenes DIstribuidos '!C1753)))</f>
        <v>Aceite o grasas</v>
      </c>
      <c r="C2778" s="10" t="s">
        <v>29</v>
      </c>
      <c r="D2778" s="12">
        <f>'Volúmenes DIstribuidos '!D1753</f>
        <v>36.593000000000004</v>
      </c>
      <c r="E2778" s="12">
        <f>SUMIF('Parametros Inventario'!$A:$A,B2778,'Parametros Inventario'!$B:$B)+SUMIFS(D$2:D2778,B$2:B2778,B2778,C$2:C2778,"ENTRADA")-SUMIFS(D$2:D2778,B$2:B2778,B2778,C$2:C2778,"SALIDA")</f>
        <v>11698.096000000005</v>
      </c>
    </row>
    <row r="2779" spans="1:5" x14ac:dyDescent="0.3">
      <c r="A2779" s="9">
        <f>'Volúmenes DIstribuidos '!B1749</f>
        <v>45065</v>
      </c>
      <c r="B2779" s="10" t="str">
        <f>IF(OR('Volúmenes DIstribuidos '!C1754="Azúcar",'Volúmenes DIstribuidos '!C1754="azúcar"),"Azúcar o dulce",IF('Volúmenes DIstribuidos '!C1754="Aceite","Aceite o grasas",IF('Volúmenes DIstribuidos '!C1754="Avena","Otros almidones",'Volúmenes DIstribuidos '!C1754)))</f>
        <v>Lácteos</v>
      </c>
      <c r="C2779" s="10" t="s">
        <v>29</v>
      </c>
      <c r="D2779" s="12">
        <f>'Volúmenes DIstribuidos '!D1754</f>
        <v>47.24</v>
      </c>
      <c r="E2779" s="12">
        <f>SUMIF('Parametros Inventario'!$A:$A,B2779,'Parametros Inventario'!$B:$B)+SUMIFS(D$2:D2779,B$2:B2779,B2779,C$2:C2779,"ENTRADA")-SUMIFS(D$2:D2779,B$2:B2779,B2779,C$2:C2779,"SALIDA")</f>
        <v>10828.140000000001</v>
      </c>
    </row>
    <row r="2780" spans="1:5" x14ac:dyDescent="0.3">
      <c r="A2780" s="9">
        <f>'Volúmenes DIstribuidos '!B1755</f>
        <v>45069</v>
      </c>
      <c r="B2780" s="10" t="str">
        <f>IF(OR('Volúmenes DIstribuidos '!C1755="Azúcar",'Volúmenes DIstribuidos '!C1755="azúcar"),"Azúcar o dulce",IF('Volúmenes DIstribuidos '!C1755="Aceite","Aceite o grasas",IF('Volúmenes DIstribuidos '!C1755="Avena","Otros almidones",'Volúmenes DIstribuidos '!C1755)))</f>
        <v>Otros almidones</v>
      </c>
      <c r="C2780" s="10" t="s">
        <v>29</v>
      </c>
      <c r="D2780" s="12">
        <f>'Volúmenes DIstribuidos '!D1755</f>
        <v>34.56</v>
      </c>
      <c r="E2780" s="12">
        <f>SUMIF('Parametros Inventario'!$A:$A,B2780,'Parametros Inventario'!$B:$B)+SUMIFS(D$2:D2780,B$2:B2780,B2780,C$2:C2780,"ENTRADA")-SUMIFS(D$2:D2780,B$2:B2780,B2780,C$2:C2780,"SALIDA")</f>
        <v>12731.527</v>
      </c>
    </row>
    <row r="2781" spans="1:5" x14ac:dyDescent="0.3">
      <c r="A2781" s="9">
        <f>'Volúmenes DIstribuidos '!B1755</f>
        <v>45069</v>
      </c>
      <c r="B2781" s="10" t="str">
        <f>IF(OR('Volúmenes DIstribuidos '!C1756="Azúcar",'Volúmenes DIstribuidos '!C1756="azúcar"),"Azúcar o dulce",IF('Volúmenes DIstribuidos '!C1756="Aceite","Aceite o grasas",IF('Volúmenes DIstribuidos '!C1756="Avena","Otros almidones",'Volúmenes DIstribuidos '!C1756)))</f>
        <v>Carnes blancas</v>
      </c>
      <c r="C2781" s="10" t="s">
        <v>29</v>
      </c>
      <c r="D2781" s="12">
        <f>'Volúmenes DIstribuidos '!D1756</f>
        <v>159.36799999999999</v>
      </c>
      <c r="E2781" s="12">
        <f>SUMIF('Parametros Inventario'!$A:$A,B2781,'Parametros Inventario'!$B:$B)+SUMIFS(D$2:D2781,B$2:B2781,B2781,C$2:C2781,"ENTRADA")-SUMIFS(D$2:D2781,B$2:B2781,B2781,C$2:C2781,"SALIDA")</f>
        <v>12455.835999999999</v>
      </c>
    </row>
    <row r="2782" spans="1:5" x14ac:dyDescent="0.3">
      <c r="A2782" s="9">
        <f>'Volúmenes DIstribuidos '!B1755</f>
        <v>45069</v>
      </c>
      <c r="B2782" s="10" t="str">
        <f>IF(OR('Volúmenes DIstribuidos '!C1757="Azúcar",'Volúmenes DIstribuidos '!C1757="azúcar"),"Azúcar o dulce",IF('Volúmenes DIstribuidos '!C1757="Aceite","Aceite o grasas",IF('Volúmenes DIstribuidos '!C1757="Avena","Otros almidones",'Volúmenes DIstribuidos '!C1757)))</f>
        <v>Azúcar o dulce</v>
      </c>
      <c r="C2782" s="10" t="s">
        <v>29</v>
      </c>
      <c r="D2782" s="12">
        <f>'Volúmenes DIstribuidos '!D1757</f>
        <v>47.92</v>
      </c>
      <c r="E2782" s="12">
        <f>SUMIF('Parametros Inventario'!$A:$A,B2782,'Parametros Inventario'!$B:$B)+SUMIFS(D$2:D2782,B$2:B2782,B2782,C$2:C2782,"ENTRADA")-SUMIFS(D$2:D2782,B$2:B2782,B2782,C$2:C2782,"SALIDA")</f>
        <v>12129.400999999998</v>
      </c>
    </row>
    <row r="2783" spans="1:5" x14ac:dyDescent="0.3">
      <c r="A2783" s="9">
        <f>'Volúmenes DIstribuidos '!B1755</f>
        <v>45069</v>
      </c>
      <c r="B2783" s="10" t="str">
        <f>IF(OR('Volúmenes DIstribuidos '!C1758="Azúcar",'Volúmenes DIstribuidos '!C1758="azúcar"),"Azúcar o dulce",IF('Volúmenes DIstribuidos '!C1758="Aceite","Aceite o grasas",IF('Volúmenes DIstribuidos '!C1758="Avena","Otros almidones",'Volúmenes DIstribuidos '!C1758)))</f>
        <v>Vegetales y hojas</v>
      </c>
      <c r="C2783" s="10" t="s">
        <v>29</v>
      </c>
      <c r="D2783" s="12">
        <f>'Volúmenes DIstribuidos '!D1758</f>
        <v>50</v>
      </c>
      <c r="E2783" s="12">
        <f>SUMIF('Parametros Inventario'!$A:$A,B2783,'Parametros Inventario'!$B:$B)+SUMIFS(D$2:D2783,B$2:B2783,B2783,C$2:C2783,"ENTRADA")-SUMIFS(D$2:D2783,B$2:B2783,B2783,C$2:C2783,"SALIDA")</f>
        <v>13611.765999999996</v>
      </c>
    </row>
    <row r="2784" spans="1:5" x14ac:dyDescent="0.3">
      <c r="A2784" s="9">
        <f>'Volúmenes DIstribuidos '!B1755</f>
        <v>45069</v>
      </c>
      <c r="B2784" s="10" t="str">
        <f>IF(OR('Volúmenes DIstribuidos '!C1759="Azúcar",'Volúmenes DIstribuidos '!C1759="azúcar"),"Azúcar o dulce",IF('Volúmenes DIstribuidos '!C1759="Aceite","Aceite o grasas",IF('Volúmenes DIstribuidos '!C1759="Avena","Otros almidones",'Volúmenes DIstribuidos '!C1759)))</f>
        <v>Aceite o grasas</v>
      </c>
      <c r="C2784" s="10" t="s">
        <v>29</v>
      </c>
      <c r="D2784" s="12">
        <f>'Volúmenes DIstribuidos '!D1759</f>
        <v>54.34</v>
      </c>
      <c r="E2784" s="12">
        <f>SUMIF('Parametros Inventario'!$A:$A,B2784,'Parametros Inventario'!$B:$B)+SUMIFS(D$2:D2784,B$2:B2784,B2784,C$2:C2784,"ENTRADA")-SUMIFS(D$2:D2784,B$2:B2784,B2784,C$2:C2784,"SALIDA")</f>
        <v>11643.756000000005</v>
      </c>
    </row>
    <row r="2785" spans="1:5" x14ac:dyDescent="0.3">
      <c r="A2785" s="9">
        <f>'Volúmenes DIstribuidos '!B1755</f>
        <v>45069</v>
      </c>
      <c r="B2785" s="10" t="str">
        <f>IF(OR('Volúmenes DIstribuidos '!C1760="Azúcar",'Volúmenes DIstribuidos '!C1760="azúcar"),"Azúcar o dulce",IF('Volúmenes DIstribuidos '!C1760="Aceite","Aceite o grasas",IF('Volúmenes DIstribuidos '!C1760="Avena","Otros almidones",'Volúmenes DIstribuidos '!C1760)))</f>
        <v>Menestras</v>
      </c>
      <c r="C2785" s="10" t="s">
        <v>29</v>
      </c>
      <c r="D2785" s="12">
        <f>'Volúmenes DIstribuidos '!D1760</f>
        <v>24.61</v>
      </c>
      <c r="E2785" s="12">
        <f>SUMIF('Parametros Inventario'!$A:$A,B2785,'Parametros Inventario'!$B:$B)+SUMIFS(D$2:D2785,B$2:B2785,B2785,C$2:C2785,"ENTRADA")-SUMIFS(D$2:D2785,B$2:B2785,B2785,C$2:C2785,"SALIDA")</f>
        <v>12968.945000000003</v>
      </c>
    </row>
    <row r="2786" spans="1:5" x14ac:dyDescent="0.3">
      <c r="A2786" s="9">
        <v>45072</v>
      </c>
      <c r="B2786" s="10" t="s">
        <v>9</v>
      </c>
      <c r="C2786" s="10" t="s">
        <v>28</v>
      </c>
      <c r="D2786" s="12">
        <v>293.83</v>
      </c>
      <c r="E2786" s="12">
        <f>SUMIF('Parametros Inventario'!$A:$A,B2786,'Parametros Inventario'!$B:$B)+SUMIFS(D$2:D2786,B$2:B2786,B2786,C$2:C2786,"ENTRADA")-SUMIFS(D$2:D2786,B$2:B2786,B2786,C$2:C2786,"SALIDA")</f>
        <v>10184.714</v>
      </c>
    </row>
    <row r="2787" spans="1:5" x14ac:dyDescent="0.3">
      <c r="A2787" s="9">
        <v>45072</v>
      </c>
      <c r="B2787" s="10" t="s">
        <v>14</v>
      </c>
      <c r="C2787" s="10" t="s">
        <v>28</v>
      </c>
      <c r="D2787" s="12">
        <v>268.27</v>
      </c>
      <c r="E2787" s="12">
        <f>SUMIF('Parametros Inventario'!$A:$A,B2787,'Parametros Inventario'!$B:$B)+SUMIFS(D$2:D2787,B$2:B2787,B2787,C$2:C2787,"ENTRADA")-SUMIFS(D$2:D2787,B$2:B2787,B2787,C$2:C2787,"SALIDA")</f>
        <v>13237.215000000004</v>
      </c>
    </row>
    <row r="2788" spans="1:5" x14ac:dyDescent="0.3">
      <c r="A2788" s="9">
        <v>45072</v>
      </c>
      <c r="B2788" s="10" t="s">
        <v>12</v>
      </c>
      <c r="C2788" s="10" t="s">
        <v>28</v>
      </c>
      <c r="D2788" s="12">
        <v>251.57</v>
      </c>
      <c r="E2788" s="12">
        <f>SUMIF('Parametros Inventario'!$A:$A,B2788,'Parametros Inventario'!$B:$B)+SUMIFS(D$2:D2788,B$2:B2788,B2788,C$2:C2788,"ENTRADA")-SUMIFS(D$2:D2788,B$2:B2788,B2788,C$2:C2788,"SALIDA")</f>
        <v>12976.277</v>
      </c>
    </row>
    <row r="2789" spans="1:5" x14ac:dyDescent="0.3">
      <c r="A2789" s="9">
        <v>45072</v>
      </c>
      <c r="B2789" s="10" t="s">
        <v>16</v>
      </c>
      <c r="C2789" s="10" t="s">
        <v>28</v>
      </c>
      <c r="D2789" s="12">
        <v>50.77</v>
      </c>
      <c r="E2789" s="12">
        <f>SUMIF('Parametros Inventario'!$A:$A,B2789,'Parametros Inventario'!$B:$B)+SUMIFS(D$2:D2789,B$2:B2789,B2789,C$2:C2789,"ENTRADA")-SUMIFS(D$2:D2789,B$2:B2789,B2789,C$2:C2789,"SALIDA")</f>
        <v>12506.605999999996</v>
      </c>
    </row>
    <row r="2790" spans="1:5" x14ac:dyDescent="0.3">
      <c r="A2790" s="9">
        <v>45072</v>
      </c>
      <c r="B2790" s="10" t="s">
        <v>17</v>
      </c>
      <c r="C2790" s="10" t="s">
        <v>28</v>
      </c>
      <c r="D2790" s="12">
        <v>267.64</v>
      </c>
      <c r="E2790" s="12">
        <f>SUMIF('Parametros Inventario'!$A:$A,B2790,'Parametros Inventario'!$B:$B)+SUMIFS(D$2:D2790,B$2:B2790,B2790,C$2:C2790,"ENTRADA")-SUMIFS(D$2:D2790,B$2:B2790,B2790,C$2:C2790,"SALIDA")</f>
        <v>11095.78</v>
      </c>
    </row>
    <row r="2791" spans="1:5" x14ac:dyDescent="0.3">
      <c r="A2791" s="9">
        <v>45072</v>
      </c>
      <c r="B2791" s="10" t="s">
        <v>18</v>
      </c>
      <c r="C2791" s="10" t="s">
        <v>28</v>
      </c>
      <c r="D2791" s="12">
        <v>150.44999999999999</v>
      </c>
      <c r="E2791" s="12">
        <f>SUMIF('Parametros Inventario'!$A:$A,B2791,'Parametros Inventario'!$B:$B)+SUMIFS(D$2:D2791,B$2:B2791,B2791,C$2:C2791,"ENTRADA")-SUMIFS(D$2:D2791,B$2:B2791,B2791,C$2:C2791,"SALIDA")</f>
        <v>11968.439999999999</v>
      </c>
    </row>
    <row r="2792" spans="1:5" x14ac:dyDescent="0.3">
      <c r="A2792" s="9">
        <v>45072</v>
      </c>
      <c r="B2792" s="10" t="s">
        <v>10</v>
      </c>
      <c r="C2792" s="10" t="s">
        <v>28</v>
      </c>
      <c r="D2792" s="12">
        <v>258.86</v>
      </c>
      <c r="E2792" s="12">
        <f>SUMIF('Parametros Inventario'!$A:$A,B2792,'Parametros Inventario'!$B:$B)+SUMIFS(D$2:D2792,B$2:B2792,B2792,C$2:C2792,"ENTRADA")-SUMIFS(D$2:D2792,B$2:B2792,B2792,C$2:C2792,"SALIDA")</f>
        <v>13870.625999999997</v>
      </c>
    </row>
    <row r="2793" spans="1:5" x14ac:dyDescent="0.3">
      <c r="A2793" s="9">
        <v>45072</v>
      </c>
      <c r="B2793" s="10" t="s">
        <v>8</v>
      </c>
      <c r="C2793" s="10" t="s">
        <v>28</v>
      </c>
      <c r="D2793" s="12">
        <v>281.26</v>
      </c>
      <c r="E2793" s="12">
        <f>SUMIF('Parametros Inventario'!$A:$A,B2793,'Parametros Inventario'!$B:$B)+SUMIFS(D$2:D2793,B$2:B2793,B2793,C$2:C2793,"ENTRADA")-SUMIFS(D$2:D2793,B$2:B2793,B2793,C$2:C2793,"SALIDA")</f>
        <v>11925.016000000003</v>
      </c>
    </row>
    <row r="2794" spans="1:5" x14ac:dyDescent="0.3">
      <c r="A2794" s="9">
        <f>'Volúmenes DIstribuidos '!B1761</f>
        <v>45072</v>
      </c>
      <c r="B2794" s="10" t="str">
        <f>IF(OR('Volúmenes DIstribuidos '!C1761="Azúcar",'Volúmenes DIstribuidos '!C1761="azúcar"),"Azúcar o dulce",IF('Volúmenes DIstribuidos '!C1761="Aceite","Aceite o grasas",IF('Volúmenes DIstribuidos '!C1761="Avena","Otros almidones",'Volúmenes DIstribuidos '!C1761)))</f>
        <v>Carnes blancas</v>
      </c>
      <c r="C2794" s="10" t="s">
        <v>29</v>
      </c>
      <c r="D2794" s="12">
        <f>'Volúmenes DIstribuidos '!D1761</f>
        <v>21.885999999999999</v>
      </c>
      <c r="E2794" s="12">
        <f>SUMIF('Parametros Inventario'!$A:$A,B2794,'Parametros Inventario'!$B:$B)+SUMIFS(D$2:D2794,B$2:B2794,B2794,C$2:C2794,"ENTRADA")-SUMIFS(D$2:D2794,B$2:B2794,B2794,C$2:C2794,"SALIDA")</f>
        <v>12484.719999999998</v>
      </c>
    </row>
    <row r="2795" spans="1:5" x14ac:dyDescent="0.3">
      <c r="A2795" s="9">
        <f>'Volúmenes DIstribuidos '!B1761</f>
        <v>45072</v>
      </c>
      <c r="B2795" s="10" t="str">
        <f>IF(OR('Volúmenes DIstribuidos '!C1762="Azúcar",'Volúmenes DIstribuidos '!C1762="azúcar"),"Azúcar o dulce",IF('Volúmenes DIstribuidos '!C1762="Aceite","Aceite o grasas",IF('Volúmenes DIstribuidos '!C1762="Avena","Otros almidones",'Volúmenes DIstribuidos '!C1762)))</f>
        <v>Panadería</v>
      </c>
      <c r="C2795" s="10" t="s">
        <v>29</v>
      </c>
      <c r="D2795" s="12">
        <f>'Volúmenes DIstribuidos '!D1762</f>
        <v>7.03</v>
      </c>
      <c r="E2795" s="12">
        <f>SUMIF('Parametros Inventario'!$A:$A,B2795,'Parametros Inventario'!$B:$B)+SUMIFS(D$2:D2795,B$2:B2795,B2795,C$2:C2795,"ENTRADA")-SUMIFS(D$2:D2795,B$2:B2795,B2795,C$2:C2795,"SALIDA")</f>
        <v>10177.684000000001</v>
      </c>
    </row>
    <row r="2796" spans="1:5" x14ac:dyDescent="0.3">
      <c r="A2796" s="9">
        <f>'Volúmenes DIstribuidos '!B1761</f>
        <v>45072</v>
      </c>
      <c r="B2796" s="10" t="str">
        <f>IF(OR('Volúmenes DIstribuidos '!C1763="Azúcar",'Volúmenes DIstribuidos '!C1763="azúcar"),"Azúcar o dulce",IF('Volúmenes DIstribuidos '!C1763="Aceite","Aceite o grasas",IF('Volúmenes DIstribuidos '!C1763="Avena","Otros almidones",'Volúmenes DIstribuidos '!C1763)))</f>
        <v>Vegetales y hojas</v>
      </c>
      <c r="C2796" s="10" t="s">
        <v>29</v>
      </c>
      <c r="D2796" s="12">
        <f>'Volúmenes DIstribuidos '!D1763</f>
        <v>3.23</v>
      </c>
      <c r="E2796" s="12">
        <f>SUMIF('Parametros Inventario'!$A:$A,B2796,'Parametros Inventario'!$B:$B)+SUMIFS(D$2:D2796,B$2:B2796,B2796,C$2:C2796,"ENTRADA")-SUMIFS(D$2:D2796,B$2:B2796,B2796,C$2:C2796,"SALIDA")</f>
        <v>13867.395999999997</v>
      </c>
    </row>
    <row r="2797" spans="1:5" x14ac:dyDescent="0.3">
      <c r="A2797" s="9">
        <f>'Volúmenes DIstribuidos '!B1761</f>
        <v>45072</v>
      </c>
      <c r="B2797" s="10" t="str">
        <f>IF(OR('Volúmenes DIstribuidos '!C1764="Azúcar",'Volúmenes DIstribuidos '!C1764="azúcar"),"Azúcar o dulce",IF('Volúmenes DIstribuidos '!C1764="Aceite","Aceite o grasas",IF('Volúmenes DIstribuidos '!C1764="Avena","Otros almidones",'Volúmenes DIstribuidos '!C1764)))</f>
        <v>Salsas</v>
      </c>
      <c r="C2797" s="10" t="s">
        <v>29</v>
      </c>
      <c r="D2797" s="12">
        <f>'Volúmenes DIstribuidos '!D1764</f>
        <v>12.9</v>
      </c>
      <c r="E2797" s="12">
        <f>SUMIF('Parametros Inventario'!$A:$A,B2797,'Parametros Inventario'!$B:$B)+SUMIFS(D$2:D2797,B$2:B2797,B2797,C$2:C2797,"ENTRADA")-SUMIFS(D$2:D2797,B$2:B2797,B2797,C$2:C2797,"SALIDA")</f>
        <v>11955.539999999999</v>
      </c>
    </row>
    <row r="2798" spans="1:5" x14ac:dyDescent="0.3">
      <c r="A2798" s="9">
        <f>'Volúmenes DIstribuidos '!B1761</f>
        <v>45072</v>
      </c>
      <c r="B2798" s="10" t="str">
        <f>IF(OR('Volúmenes DIstribuidos '!C1765="Azúcar",'Volúmenes DIstribuidos '!C1765="azúcar"),"Azúcar o dulce",IF('Volúmenes DIstribuidos '!C1765="Aceite","Aceite o grasas",IF('Volúmenes DIstribuidos '!C1765="Avena","Otros almidones",'Volúmenes DIstribuidos '!C1765)))</f>
        <v>Carnes blancas</v>
      </c>
      <c r="C2798" s="10" t="s">
        <v>29</v>
      </c>
      <c r="D2798" s="12">
        <f>'Volúmenes DIstribuidos '!D1765</f>
        <v>2.52</v>
      </c>
      <c r="E2798" s="12">
        <f>SUMIF('Parametros Inventario'!$A:$A,B2798,'Parametros Inventario'!$B:$B)+SUMIFS(D$2:D2798,B$2:B2798,B2798,C$2:C2798,"ENTRADA")-SUMIFS(D$2:D2798,B$2:B2798,B2798,C$2:C2798,"SALIDA")</f>
        <v>12482.199999999997</v>
      </c>
    </row>
    <row r="2799" spans="1:5" x14ac:dyDescent="0.3">
      <c r="A2799" s="9">
        <f>'Volúmenes DIstribuidos '!B1761</f>
        <v>45072</v>
      </c>
      <c r="B2799" s="10" t="str">
        <f>IF(OR('Volúmenes DIstribuidos '!C1766="Azúcar",'Volúmenes DIstribuidos '!C1766="azúcar"),"Azúcar o dulce",IF('Volúmenes DIstribuidos '!C1766="Aceite","Aceite o grasas",IF('Volúmenes DIstribuidos '!C1766="Avena","Otros almidones",'Volúmenes DIstribuidos '!C1766)))</f>
        <v>Aceite o grasas</v>
      </c>
      <c r="C2799" s="10" t="s">
        <v>29</v>
      </c>
      <c r="D2799" s="12">
        <f>'Volúmenes DIstribuidos '!D1766</f>
        <v>30.407</v>
      </c>
      <c r="E2799" s="12">
        <f>SUMIF('Parametros Inventario'!$A:$A,B2799,'Parametros Inventario'!$B:$B)+SUMIFS(D$2:D2799,B$2:B2799,B2799,C$2:C2799,"ENTRADA")-SUMIFS(D$2:D2799,B$2:B2799,B2799,C$2:C2799,"SALIDA")</f>
        <v>11894.609000000004</v>
      </c>
    </row>
    <row r="2800" spans="1:5" x14ac:dyDescent="0.3">
      <c r="A2800" s="9">
        <f>'Volúmenes DIstribuidos '!B1767</f>
        <v>45076</v>
      </c>
      <c r="B2800" s="10" t="str">
        <f>IF(OR('Volúmenes DIstribuidos '!C1767="Azúcar",'Volúmenes DIstribuidos '!C1767="azúcar"),"Azúcar o dulce",IF('Volúmenes DIstribuidos '!C1767="Aceite","Aceite o grasas",IF('Volúmenes DIstribuidos '!C1767="Avena","Otros almidones",'Volúmenes DIstribuidos '!C1767)))</f>
        <v>Carnes rojas</v>
      </c>
      <c r="C2800" s="10" t="s">
        <v>29</v>
      </c>
      <c r="D2800" s="12">
        <f>'Volúmenes DIstribuidos '!D1767</f>
        <v>7.13</v>
      </c>
      <c r="E2800" s="12">
        <f>SUMIF('Parametros Inventario'!$A:$A,B2800,'Parametros Inventario'!$B:$B)+SUMIFS(D$2:D2800,B$2:B2800,B2800,C$2:C2800,"ENTRADA")-SUMIFS(D$2:D2800,B$2:B2800,B2800,C$2:C2800,"SALIDA")</f>
        <v>12969.146999999999</v>
      </c>
    </row>
    <row r="2801" spans="1:5" x14ac:dyDescent="0.3">
      <c r="A2801" s="9">
        <f>'Volúmenes DIstribuidos '!B1767</f>
        <v>45076</v>
      </c>
      <c r="B2801" s="10" t="str">
        <f>IF(OR('Volúmenes DIstribuidos '!C1768="Azúcar",'Volúmenes DIstribuidos '!C1768="azúcar"),"Azúcar o dulce",IF('Volúmenes DIstribuidos '!C1768="Aceite","Aceite o grasas",IF('Volúmenes DIstribuidos '!C1768="Avena","Otros almidones",'Volúmenes DIstribuidos '!C1768)))</f>
        <v>Vegetales y hojas</v>
      </c>
      <c r="C2801" s="10" t="s">
        <v>29</v>
      </c>
      <c r="D2801" s="12">
        <f>'Volúmenes DIstribuidos '!D1768</f>
        <v>22.94</v>
      </c>
      <c r="E2801" s="12">
        <f>SUMIF('Parametros Inventario'!$A:$A,B2801,'Parametros Inventario'!$B:$B)+SUMIFS(D$2:D2801,B$2:B2801,B2801,C$2:C2801,"ENTRADA")-SUMIFS(D$2:D2801,B$2:B2801,B2801,C$2:C2801,"SALIDA")</f>
        <v>13844.455999999996</v>
      </c>
    </row>
    <row r="2802" spans="1:5" x14ac:dyDescent="0.3">
      <c r="A2802" s="9">
        <f>'Volúmenes DIstribuidos '!B1767</f>
        <v>45076</v>
      </c>
      <c r="B2802" s="10" t="str">
        <f>IF(OR('Volúmenes DIstribuidos '!C1769="Azúcar",'Volúmenes DIstribuidos '!C1769="azúcar"),"Azúcar o dulce",IF('Volúmenes DIstribuidos '!C1769="Aceite","Aceite o grasas",IF('Volúmenes DIstribuidos '!C1769="Avena","Otros almidones",'Volúmenes DIstribuidos '!C1769)))</f>
        <v>Aceite o grasas</v>
      </c>
      <c r="C2802" s="10" t="s">
        <v>29</v>
      </c>
      <c r="D2802" s="12">
        <f>'Volúmenes DIstribuidos '!D1769</f>
        <v>21.3</v>
      </c>
      <c r="E2802" s="12">
        <f>SUMIF('Parametros Inventario'!$A:$A,B2802,'Parametros Inventario'!$B:$B)+SUMIFS(D$2:D2802,B$2:B2802,B2802,C$2:C2802,"ENTRADA")-SUMIFS(D$2:D2802,B$2:B2802,B2802,C$2:C2802,"SALIDA")</f>
        <v>11873.309000000003</v>
      </c>
    </row>
    <row r="2803" spans="1:5" x14ac:dyDescent="0.3">
      <c r="A2803" s="9">
        <f>'Volúmenes DIstribuidos '!B1767</f>
        <v>45076</v>
      </c>
      <c r="B2803" s="10" t="str">
        <f>IF(OR('Volúmenes DIstribuidos '!C1770="Azúcar",'Volúmenes DIstribuidos '!C1770="azúcar"),"Azúcar o dulce",IF('Volúmenes DIstribuidos '!C1770="Aceite","Aceite o grasas",IF('Volúmenes DIstribuidos '!C1770="Avena","Otros almidones",'Volúmenes DIstribuidos '!C1770)))</f>
        <v>Carnes blancas</v>
      </c>
      <c r="C2803" s="10" t="s">
        <v>29</v>
      </c>
      <c r="D2803" s="12">
        <f>'Volúmenes DIstribuidos '!D1770</f>
        <v>17.329999999999998</v>
      </c>
      <c r="E2803" s="12">
        <f>SUMIF('Parametros Inventario'!$A:$A,B2803,'Parametros Inventario'!$B:$B)+SUMIFS(D$2:D2803,B$2:B2803,B2803,C$2:C2803,"ENTRADA")-SUMIFS(D$2:D2803,B$2:B2803,B2803,C$2:C2803,"SALIDA")</f>
        <v>12464.869999999995</v>
      </c>
    </row>
    <row r="2804" spans="1:5" x14ac:dyDescent="0.3">
      <c r="A2804" s="9">
        <f>'Volúmenes DIstribuidos '!B1767</f>
        <v>45076</v>
      </c>
      <c r="B2804" s="10" t="str">
        <f>IF(OR('Volúmenes DIstribuidos '!C1771="Azúcar",'Volúmenes DIstribuidos '!C1771="azúcar"),"Azúcar o dulce",IF('Volúmenes DIstribuidos '!C1771="Aceite","Aceite o grasas",IF('Volúmenes DIstribuidos '!C1771="Avena","Otros almidones",'Volúmenes DIstribuidos '!C1771)))</f>
        <v>Salsas</v>
      </c>
      <c r="C2804" s="10" t="s">
        <v>29</v>
      </c>
      <c r="D2804" s="12">
        <f>'Volúmenes DIstribuidos '!D1771</f>
        <v>8.7100000000000009</v>
      </c>
      <c r="E2804" s="12">
        <f>SUMIF('Parametros Inventario'!$A:$A,B2804,'Parametros Inventario'!$B:$B)+SUMIFS(D$2:D2804,B$2:B2804,B2804,C$2:C2804,"ENTRADA")-SUMIFS(D$2:D2804,B$2:B2804,B2804,C$2:C2804,"SALIDA")</f>
        <v>11946.829999999998</v>
      </c>
    </row>
    <row r="2805" spans="1:5" x14ac:dyDescent="0.3">
      <c r="A2805" s="9">
        <f>'Volúmenes DIstribuidos '!B1767</f>
        <v>45076</v>
      </c>
      <c r="B2805" s="10" t="str">
        <f>IF(OR('Volúmenes DIstribuidos '!C1772="Azúcar",'Volúmenes DIstribuidos '!C1772="azúcar"),"Azúcar o dulce",IF('Volúmenes DIstribuidos '!C1772="Aceite","Aceite o grasas",IF('Volúmenes DIstribuidos '!C1772="Avena","Otros almidones",'Volúmenes DIstribuidos '!C1772)))</f>
        <v>Carnes blancas</v>
      </c>
      <c r="C2805" s="10" t="s">
        <v>29</v>
      </c>
      <c r="D2805" s="12">
        <f>'Volúmenes DIstribuidos '!D1772</f>
        <v>14.9</v>
      </c>
      <c r="E2805" s="12">
        <f>SUMIF('Parametros Inventario'!$A:$A,B2805,'Parametros Inventario'!$B:$B)+SUMIFS(D$2:D2805,B$2:B2805,B2805,C$2:C2805,"ENTRADA")-SUMIFS(D$2:D2805,B$2:B2805,B2805,C$2:C2805,"SALIDA")</f>
        <v>12449.969999999998</v>
      </c>
    </row>
    <row r="2806" spans="1:5" x14ac:dyDescent="0.3">
      <c r="A2806" s="9">
        <f>'Volúmenes DIstribuidos '!B1773</f>
        <v>45079</v>
      </c>
      <c r="B2806" s="10" t="str">
        <f>IF(OR('Volúmenes DIstribuidos '!C1773="Azúcar",'Volúmenes DIstribuidos '!C1773="azúcar"),"Azúcar o dulce",IF('Volúmenes DIstribuidos '!C1773="Aceite","Aceite o grasas",IF('Volúmenes DIstribuidos '!C1773="Avena","Otros almidones",'Volúmenes DIstribuidos '!C1773)))</f>
        <v>Panadería</v>
      </c>
      <c r="C2806" s="10" t="s">
        <v>29</v>
      </c>
      <c r="D2806" s="12">
        <f>'Volúmenes DIstribuidos '!D1773</f>
        <v>38.39</v>
      </c>
      <c r="E2806" s="12">
        <f>SUMIF('Parametros Inventario'!$A:$A,B2806,'Parametros Inventario'!$B:$B)+SUMIFS(D$2:D2806,B$2:B2806,B2806,C$2:C2806,"ENTRADA")-SUMIFS(D$2:D2806,B$2:B2806,B2806,C$2:C2806,"SALIDA")</f>
        <v>10139.294000000002</v>
      </c>
    </row>
    <row r="2807" spans="1:5" x14ac:dyDescent="0.3">
      <c r="A2807" s="9">
        <f>'Volúmenes DIstribuidos '!B1773</f>
        <v>45079</v>
      </c>
      <c r="B2807" s="10" t="str">
        <f>IF(OR('Volúmenes DIstribuidos '!C1774="Azúcar",'Volúmenes DIstribuidos '!C1774="azúcar"),"Azúcar o dulce",IF('Volúmenes DIstribuidos '!C1774="Aceite","Aceite o grasas",IF('Volúmenes DIstribuidos '!C1774="Avena","Otros almidones",'Volúmenes DIstribuidos '!C1774)))</f>
        <v>Otros almidones</v>
      </c>
      <c r="C2807" s="10" t="s">
        <v>29</v>
      </c>
      <c r="D2807" s="12">
        <f>'Volúmenes DIstribuidos '!D1774</f>
        <v>9.75</v>
      </c>
      <c r="E2807" s="12">
        <f>SUMIF('Parametros Inventario'!$A:$A,B2807,'Parametros Inventario'!$B:$B)+SUMIFS(D$2:D2807,B$2:B2807,B2807,C$2:C2807,"ENTRADA")-SUMIFS(D$2:D2807,B$2:B2807,B2807,C$2:C2807,"SALIDA")</f>
        <v>12721.777</v>
      </c>
    </row>
    <row r="2808" spans="1:5" x14ac:dyDescent="0.3">
      <c r="A2808" s="9">
        <f>'Volúmenes DIstribuidos '!B1773</f>
        <v>45079</v>
      </c>
      <c r="B2808" s="10" t="str">
        <f>IF(OR('Volúmenes DIstribuidos '!C1775="Azúcar",'Volúmenes DIstribuidos '!C1775="azúcar"),"Azúcar o dulce",IF('Volúmenes DIstribuidos '!C1775="Aceite","Aceite o grasas",IF('Volúmenes DIstribuidos '!C1775="Avena","Otros almidones",'Volúmenes DIstribuidos '!C1775)))</f>
        <v>Lácteos</v>
      </c>
      <c r="C2808" s="10" t="s">
        <v>29</v>
      </c>
      <c r="D2808" s="12">
        <f>'Volúmenes DIstribuidos '!D1775</f>
        <v>9.8190000000000008</v>
      </c>
      <c r="E2808" s="12">
        <f>SUMIF('Parametros Inventario'!$A:$A,B2808,'Parametros Inventario'!$B:$B)+SUMIFS(D$2:D2808,B$2:B2808,B2808,C$2:C2808,"ENTRADA")-SUMIFS(D$2:D2808,B$2:B2808,B2808,C$2:C2808,"SALIDA")</f>
        <v>11085.960999999999</v>
      </c>
    </row>
    <row r="2809" spans="1:5" x14ac:dyDescent="0.3">
      <c r="A2809" s="9">
        <f>'Volúmenes DIstribuidos '!B1773</f>
        <v>45079</v>
      </c>
      <c r="B2809" s="10" t="str">
        <f>IF(OR('Volúmenes DIstribuidos '!C1776="Azúcar",'Volúmenes DIstribuidos '!C1776="azúcar"),"Azúcar o dulce",IF('Volúmenes DIstribuidos '!C1776="Aceite","Aceite o grasas",IF('Volúmenes DIstribuidos '!C1776="Avena","Otros almidones",'Volúmenes DIstribuidos '!C1776)))</f>
        <v>Carnes rojas</v>
      </c>
      <c r="C2809" s="10" t="s">
        <v>29</v>
      </c>
      <c r="D2809" s="12">
        <f>'Volúmenes DIstribuidos '!D1776</f>
        <v>44.52</v>
      </c>
      <c r="E2809" s="12">
        <f>SUMIF('Parametros Inventario'!$A:$A,B2809,'Parametros Inventario'!$B:$B)+SUMIFS(D$2:D2809,B$2:B2809,B2809,C$2:C2809,"ENTRADA")-SUMIFS(D$2:D2809,B$2:B2809,B2809,C$2:C2809,"SALIDA")</f>
        <v>12924.627</v>
      </c>
    </row>
    <row r="2810" spans="1:5" x14ac:dyDescent="0.3">
      <c r="A2810" s="9">
        <f>'Volúmenes DIstribuidos '!B1773</f>
        <v>45079</v>
      </c>
      <c r="B2810" s="10" t="str">
        <f>IF(OR('Volúmenes DIstribuidos '!C1777="Azúcar",'Volúmenes DIstribuidos '!C1777="azúcar"),"Azúcar o dulce",IF('Volúmenes DIstribuidos '!C1777="Aceite","Aceite o grasas",IF('Volúmenes DIstribuidos '!C1777="Avena","Otros almidones",'Volúmenes DIstribuidos '!C1777)))</f>
        <v>Azúcar o dulce</v>
      </c>
      <c r="C2810" s="10" t="s">
        <v>29</v>
      </c>
      <c r="D2810" s="12">
        <f>'Volúmenes DIstribuidos '!D1777</f>
        <v>31.65</v>
      </c>
      <c r="E2810" s="12">
        <f>SUMIF('Parametros Inventario'!$A:$A,B2810,'Parametros Inventario'!$B:$B)+SUMIFS(D$2:D2810,B$2:B2810,B2810,C$2:C2810,"ENTRADA")-SUMIFS(D$2:D2810,B$2:B2810,B2810,C$2:C2810,"SALIDA")</f>
        <v>12097.751</v>
      </c>
    </row>
    <row r="2811" spans="1:5" x14ac:dyDescent="0.3">
      <c r="A2811" s="9">
        <f>'Volúmenes DIstribuidos '!B1773</f>
        <v>45079</v>
      </c>
      <c r="B2811" s="10" t="str">
        <f>IF(OR('Volúmenes DIstribuidos '!C1778="Azúcar",'Volúmenes DIstribuidos '!C1778="azúcar"),"Azúcar o dulce",IF('Volúmenes DIstribuidos '!C1778="Aceite","Aceite o grasas",IF('Volúmenes DIstribuidos '!C1778="Avena","Otros almidones",'Volúmenes DIstribuidos '!C1778)))</f>
        <v>Otros almidones</v>
      </c>
      <c r="C2811" s="10" t="s">
        <v>29</v>
      </c>
      <c r="D2811" s="12">
        <f>'Volúmenes DIstribuidos '!D1778</f>
        <v>17.510000000000002</v>
      </c>
      <c r="E2811" s="12">
        <f>SUMIF('Parametros Inventario'!$A:$A,B2811,'Parametros Inventario'!$B:$B)+SUMIFS(D$2:D2811,B$2:B2811,B2811,C$2:C2811,"ENTRADA")-SUMIFS(D$2:D2811,B$2:B2811,B2811,C$2:C2811,"SALIDA")</f>
        <v>12704.267</v>
      </c>
    </row>
    <row r="2812" spans="1:5" x14ac:dyDescent="0.3">
      <c r="A2812" s="9">
        <v>45083</v>
      </c>
      <c r="B2812" s="10" t="s">
        <v>13</v>
      </c>
      <c r="C2812" s="10" t="s">
        <v>28</v>
      </c>
      <c r="D2812" s="12">
        <v>56.42</v>
      </c>
      <c r="E2812" s="12">
        <f>SUMIF('Parametros Inventario'!$A:$A,B2812,'Parametros Inventario'!$B:$B)+SUMIFS(D$2:D2812,B$2:B2812,B2812,C$2:C2812,"ENTRADA")-SUMIFS(D$2:D2812,B$2:B2812,B2812,C$2:C2812,"SALIDA")</f>
        <v>12154.171000000002</v>
      </c>
    </row>
    <row r="2813" spans="1:5" x14ac:dyDescent="0.3">
      <c r="A2813" s="9">
        <v>45083</v>
      </c>
      <c r="B2813" s="10" t="s">
        <v>15</v>
      </c>
      <c r="C2813" s="10" t="s">
        <v>28</v>
      </c>
      <c r="D2813" s="12">
        <v>80.72</v>
      </c>
      <c r="E2813" s="12">
        <f>SUMIF('Parametros Inventario'!$A:$A,B2813,'Parametros Inventario'!$B:$B)+SUMIFS(D$2:D2813,B$2:B2813,B2813,C$2:C2813,"ENTRADA")-SUMIFS(D$2:D2813,B$2:B2813,B2813,C$2:C2813,"SALIDA")</f>
        <v>12784.987000000001</v>
      </c>
    </row>
    <row r="2814" spans="1:5" x14ac:dyDescent="0.3">
      <c r="A2814" s="9">
        <v>45083</v>
      </c>
      <c r="B2814" s="10" t="s">
        <v>11</v>
      </c>
      <c r="C2814" s="10" t="s">
        <v>28</v>
      </c>
      <c r="D2814" s="12">
        <v>182.66</v>
      </c>
      <c r="E2814" s="12">
        <f>SUMIF('Parametros Inventario'!$A:$A,B2814,'Parametros Inventario'!$B:$B)+SUMIFS(D$2:D2814,B$2:B2814,B2814,C$2:C2814,"ENTRADA")-SUMIFS(D$2:D2814,B$2:B2814,B2814,C$2:C2814,"SALIDA")</f>
        <v>13821.998999999998</v>
      </c>
    </row>
    <row r="2815" spans="1:5" x14ac:dyDescent="0.3">
      <c r="A2815" s="9">
        <v>45083</v>
      </c>
      <c r="B2815" s="10" t="s">
        <v>9</v>
      </c>
      <c r="C2815" s="10" t="s">
        <v>28</v>
      </c>
      <c r="D2815" s="12">
        <v>287.77</v>
      </c>
      <c r="E2815" s="12">
        <f>SUMIF('Parametros Inventario'!$A:$A,B2815,'Parametros Inventario'!$B:$B)+SUMIFS(D$2:D2815,B$2:B2815,B2815,C$2:C2815,"ENTRADA")-SUMIFS(D$2:D2815,B$2:B2815,B2815,C$2:C2815,"SALIDA")</f>
        <v>10427.064000000002</v>
      </c>
    </row>
    <row r="2816" spans="1:5" x14ac:dyDescent="0.3">
      <c r="A2816" s="9">
        <v>45083</v>
      </c>
      <c r="B2816" s="10" t="s">
        <v>14</v>
      </c>
      <c r="C2816" s="10" t="s">
        <v>28</v>
      </c>
      <c r="D2816" s="12">
        <v>237.86</v>
      </c>
      <c r="E2816" s="12">
        <f>SUMIF('Parametros Inventario'!$A:$A,B2816,'Parametros Inventario'!$B:$B)+SUMIFS(D$2:D2816,B$2:B2816,B2816,C$2:C2816,"ENTRADA")-SUMIFS(D$2:D2816,B$2:B2816,B2816,C$2:C2816,"SALIDA")</f>
        <v>13475.075000000004</v>
      </c>
    </row>
    <row r="2817" spans="1:5" x14ac:dyDescent="0.3">
      <c r="A2817" s="9">
        <v>45083</v>
      </c>
      <c r="B2817" s="10" t="s">
        <v>12</v>
      </c>
      <c r="C2817" s="10" t="s">
        <v>28</v>
      </c>
      <c r="D2817" s="12">
        <v>112.13</v>
      </c>
      <c r="E2817" s="12">
        <f>SUMIF('Parametros Inventario'!$A:$A,B2817,'Parametros Inventario'!$B:$B)+SUMIFS(D$2:D2817,B$2:B2817,B2817,C$2:C2817,"ENTRADA")-SUMIFS(D$2:D2817,B$2:B2817,B2817,C$2:C2817,"SALIDA")</f>
        <v>13036.757000000001</v>
      </c>
    </row>
    <row r="2818" spans="1:5" x14ac:dyDescent="0.3">
      <c r="A2818" s="9">
        <v>45083</v>
      </c>
      <c r="B2818" s="10" t="s">
        <v>16</v>
      </c>
      <c r="C2818" s="10" t="s">
        <v>28</v>
      </c>
      <c r="D2818" s="12">
        <v>162.97999999999999</v>
      </c>
      <c r="E2818" s="12">
        <f>SUMIF('Parametros Inventario'!$A:$A,B2818,'Parametros Inventario'!$B:$B)+SUMIFS(D$2:D2818,B$2:B2818,B2818,C$2:C2818,"ENTRADA")-SUMIFS(D$2:D2818,B$2:B2818,B2818,C$2:C2818,"SALIDA")</f>
        <v>12612.95</v>
      </c>
    </row>
    <row r="2819" spans="1:5" x14ac:dyDescent="0.3">
      <c r="A2819" s="9">
        <v>45083</v>
      </c>
      <c r="B2819" s="10" t="s">
        <v>17</v>
      </c>
      <c r="C2819" s="10" t="s">
        <v>28</v>
      </c>
      <c r="D2819" s="12">
        <v>221.55</v>
      </c>
      <c r="E2819" s="12">
        <f>SUMIF('Parametros Inventario'!$A:$A,B2819,'Parametros Inventario'!$B:$B)+SUMIFS(D$2:D2819,B$2:B2819,B2819,C$2:C2819,"ENTRADA")-SUMIFS(D$2:D2819,B$2:B2819,B2819,C$2:C2819,"SALIDA")</f>
        <v>11307.510999999995</v>
      </c>
    </row>
    <row r="2820" spans="1:5" x14ac:dyDescent="0.3">
      <c r="A2820" s="9">
        <f>'Volúmenes DIstribuidos '!B1779</f>
        <v>45083</v>
      </c>
      <c r="B2820" s="10" t="str">
        <f>IF(OR('Volúmenes DIstribuidos '!C1779="Azúcar",'Volúmenes DIstribuidos '!C1779="azúcar"),"Azúcar o dulce",IF('Volúmenes DIstribuidos '!C1779="Aceite","Aceite o grasas",IF('Volúmenes DIstribuidos '!C1779="Avena","Otros almidones",'Volúmenes DIstribuidos '!C1779)))</f>
        <v>Salsas</v>
      </c>
      <c r="C2820" s="10" t="s">
        <v>29</v>
      </c>
      <c r="D2820" s="12">
        <f>'Volúmenes DIstribuidos '!D1779</f>
        <v>9.16</v>
      </c>
      <c r="E2820" s="12">
        <f>SUMIF('Parametros Inventario'!$A:$A,B2820,'Parametros Inventario'!$B:$B)+SUMIFS(D$2:D2820,B$2:B2820,B2820,C$2:C2820,"ENTRADA")-SUMIFS(D$2:D2820,B$2:B2820,B2820,C$2:C2820,"SALIDA")</f>
        <v>11937.669999999998</v>
      </c>
    </row>
    <row r="2821" spans="1:5" x14ac:dyDescent="0.3">
      <c r="A2821" s="9">
        <f>'Volúmenes DIstribuidos '!B1779</f>
        <v>45083</v>
      </c>
      <c r="B2821" s="10" t="str">
        <f>IF(OR('Volúmenes DIstribuidos '!C1780="Azúcar",'Volúmenes DIstribuidos '!C1780="azúcar"),"Azúcar o dulce",IF('Volúmenes DIstribuidos '!C1780="Aceite","Aceite o grasas",IF('Volúmenes DIstribuidos '!C1780="Avena","Otros almidones",'Volúmenes DIstribuidos '!C1780)))</f>
        <v>Panadería</v>
      </c>
      <c r="C2821" s="10" t="s">
        <v>29</v>
      </c>
      <c r="D2821" s="12">
        <f>'Volúmenes DIstribuidos '!D1780</f>
        <v>25.09</v>
      </c>
      <c r="E2821" s="12">
        <f>SUMIF('Parametros Inventario'!$A:$A,B2821,'Parametros Inventario'!$B:$B)+SUMIFS(D$2:D2821,B$2:B2821,B2821,C$2:C2821,"ENTRADA")-SUMIFS(D$2:D2821,B$2:B2821,B2821,C$2:C2821,"SALIDA")</f>
        <v>10401.974000000002</v>
      </c>
    </row>
    <row r="2822" spans="1:5" x14ac:dyDescent="0.3">
      <c r="A2822" s="9">
        <f>'Volúmenes DIstribuidos '!B1779</f>
        <v>45083</v>
      </c>
      <c r="B2822" s="10" t="str">
        <f>IF(OR('Volúmenes DIstribuidos '!C1781="Azúcar",'Volúmenes DIstribuidos '!C1781="azúcar"),"Azúcar o dulce",IF('Volúmenes DIstribuidos '!C1781="Aceite","Aceite o grasas",IF('Volúmenes DIstribuidos '!C1781="Avena","Otros almidones",'Volúmenes DIstribuidos '!C1781)))</f>
        <v>Carnes blancas</v>
      </c>
      <c r="C2822" s="10" t="s">
        <v>29</v>
      </c>
      <c r="D2822" s="12">
        <f>'Volúmenes DIstribuidos '!D1781</f>
        <v>15.224</v>
      </c>
      <c r="E2822" s="12">
        <f>SUMIF('Parametros Inventario'!$A:$A,B2822,'Parametros Inventario'!$B:$B)+SUMIFS(D$2:D2822,B$2:B2822,B2822,C$2:C2822,"ENTRADA")-SUMIFS(D$2:D2822,B$2:B2822,B2822,C$2:C2822,"SALIDA")</f>
        <v>12597.725999999999</v>
      </c>
    </row>
    <row r="2823" spans="1:5" x14ac:dyDescent="0.3">
      <c r="A2823" s="9">
        <f>'Volúmenes DIstribuidos '!B1779</f>
        <v>45083</v>
      </c>
      <c r="B2823" s="10" t="str">
        <f>IF(OR('Volúmenes DIstribuidos '!C1782="Azúcar",'Volúmenes DIstribuidos '!C1782="azúcar"),"Azúcar o dulce",IF('Volúmenes DIstribuidos '!C1782="Aceite","Aceite o grasas",IF('Volúmenes DIstribuidos '!C1782="Avena","Otros almidones",'Volúmenes DIstribuidos '!C1782)))</f>
        <v>Salsas</v>
      </c>
      <c r="C2823" s="10" t="s">
        <v>29</v>
      </c>
      <c r="D2823" s="12">
        <f>'Volúmenes DIstribuidos '!D1782</f>
        <v>5.66</v>
      </c>
      <c r="E2823" s="12">
        <f>SUMIF('Parametros Inventario'!$A:$A,B2823,'Parametros Inventario'!$B:$B)+SUMIFS(D$2:D2823,B$2:B2823,B2823,C$2:C2823,"ENTRADA")-SUMIFS(D$2:D2823,B$2:B2823,B2823,C$2:C2823,"SALIDA")</f>
        <v>11932.009999999998</v>
      </c>
    </row>
    <row r="2824" spans="1:5" x14ac:dyDescent="0.3">
      <c r="A2824" s="9">
        <f>'Volúmenes DIstribuidos '!B1779</f>
        <v>45083</v>
      </c>
      <c r="B2824" s="10" t="str">
        <f>IF(OR('Volúmenes DIstribuidos '!C1783="Azúcar",'Volúmenes DIstribuidos '!C1783="azúcar"),"Azúcar o dulce",IF('Volúmenes DIstribuidos '!C1783="Aceite","Aceite o grasas",IF('Volúmenes DIstribuidos '!C1783="Avena","Otros almidones",'Volúmenes DIstribuidos '!C1783)))</f>
        <v>Vegetales y hojas</v>
      </c>
      <c r="C2824" s="10" t="s">
        <v>29</v>
      </c>
      <c r="D2824" s="12">
        <f>'Volúmenes DIstribuidos '!D1783</f>
        <v>58.08</v>
      </c>
      <c r="E2824" s="12">
        <f>SUMIF('Parametros Inventario'!$A:$A,B2824,'Parametros Inventario'!$B:$B)+SUMIFS(D$2:D2824,B$2:B2824,B2824,C$2:C2824,"ENTRADA")-SUMIFS(D$2:D2824,B$2:B2824,B2824,C$2:C2824,"SALIDA")</f>
        <v>13786.375999999997</v>
      </c>
    </row>
    <row r="2825" spans="1:5" x14ac:dyDescent="0.3">
      <c r="A2825" s="9">
        <f>'Volúmenes DIstribuidos '!B1779</f>
        <v>45083</v>
      </c>
      <c r="B2825" s="10" t="str">
        <f>IF(OR('Volúmenes DIstribuidos '!C1784="Azúcar",'Volúmenes DIstribuidos '!C1784="azúcar"),"Azúcar o dulce",IF('Volúmenes DIstribuidos '!C1784="Aceite","Aceite o grasas",IF('Volúmenes DIstribuidos '!C1784="Avena","Otros almidones",'Volúmenes DIstribuidos '!C1784)))</f>
        <v>Fideo</v>
      </c>
      <c r="C2825" s="10" t="s">
        <v>29</v>
      </c>
      <c r="D2825" s="12">
        <f>'Volúmenes DIstribuidos '!D1784</f>
        <v>13.7</v>
      </c>
      <c r="E2825" s="12">
        <f>SUMIF('Parametros Inventario'!$A:$A,B2825,'Parametros Inventario'!$B:$B)+SUMIFS(D$2:D2825,B$2:B2825,B2825,C$2:C2825,"ENTRADA")-SUMIFS(D$2:D2825,B$2:B2825,B2825,C$2:C2825,"SALIDA")</f>
        <v>13808.298999999999</v>
      </c>
    </row>
    <row r="2826" spans="1:5" x14ac:dyDescent="0.3">
      <c r="A2826" s="9">
        <f>'Volúmenes DIstribuidos '!B1785</f>
        <v>45086</v>
      </c>
      <c r="B2826" s="10" t="str">
        <f>IF(OR('Volúmenes DIstribuidos '!C1785="Azúcar",'Volúmenes DIstribuidos '!C1785="azúcar"),"Azúcar o dulce",IF('Volúmenes DIstribuidos '!C1785="Aceite","Aceite o grasas",IF('Volúmenes DIstribuidos '!C1785="Avena","Otros almidones",'Volúmenes DIstribuidos '!C1785)))</f>
        <v>Aceite o grasas</v>
      </c>
      <c r="C2826" s="10" t="s">
        <v>29</v>
      </c>
      <c r="D2826" s="12">
        <f>'Volúmenes DIstribuidos '!D1785</f>
        <v>13.35</v>
      </c>
      <c r="E2826" s="12">
        <f>SUMIF('Parametros Inventario'!$A:$A,B2826,'Parametros Inventario'!$B:$B)+SUMIFS(D$2:D2826,B$2:B2826,B2826,C$2:C2826,"ENTRADA")-SUMIFS(D$2:D2826,B$2:B2826,B2826,C$2:C2826,"SALIDA")</f>
        <v>11859.959000000003</v>
      </c>
    </row>
    <row r="2827" spans="1:5" x14ac:dyDescent="0.3">
      <c r="A2827" s="9">
        <f>'Volúmenes DIstribuidos '!B1785</f>
        <v>45086</v>
      </c>
      <c r="B2827" s="10" t="str">
        <f>IF(OR('Volúmenes DIstribuidos '!C1786="Azúcar",'Volúmenes DIstribuidos '!C1786="azúcar"),"Azúcar o dulce",IF('Volúmenes DIstribuidos '!C1786="Aceite","Aceite o grasas",IF('Volúmenes DIstribuidos '!C1786="Avena","Otros almidones",'Volúmenes DIstribuidos '!C1786)))</f>
        <v>Carnes rojas</v>
      </c>
      <c r="C2827" s="10" t="s">
        <v>29</v>
      </c>
      <c r="D2827" s="12">
        <f>'Volúmenes DIstribuidos '!D1786</f>
        <v>40.200000000000003</v>
      </c>
      <c r="E2827" s="12">
        <f>SUMIF('Parametros Inventario'!$A:$A,B2827,'Parametros Inventario'!$B:$B)+SUMIFS(D$2:D2827,B$2:B2827,B2827,C$2:C2827,"ENTRADA")-SUMIFS(D$2:D2827,B$2:B2827,B2827,C$2:C2827,"SALIDA")</f>
        <v>12996.557000000001</v>
      </c>
    </row>
    <row r="2828" spans="1:5" x14ac:dyDescent="0.3">
      <c r="A2828" s="9">
        <f>'Volúmenes DIstribuidos '!B1785</f>
        <v>45086</v>
      </c>
      <c r="B2828" s="10" t="str">
        <f>IF(OR('Volúmenes DIstribuidos '!C1787="Azúcar",'Volúmenes DIstribuidos '!C1787="azúcar"),"Azúcar o dulce",IF('Volúmenes DIstribuidos '!C1787="Aceite","Aceite o grasas",IF('Volúmenes DIstribuidos '!C1787="Avena","Otros almidones",'Volúmenes DIstribuidos '!C1787)))</f>
        <v>Otros almidones</v>
      </c>
      <c r="C2828" s="10" t="s">
        <v>29</v>
      </c>
      <c r="D2828" s="12">
        <f>'Volúmenes DIstribuidos '!D1787</f>
        <v>17.222999999999999</v>
      </c>
      <c r="E2828" s="12">
        <f>SUMIF('Parametros Inventario'!$A:$A,B2828,'Parametros Inventario'!$B:$B)+SUMIFS(D$2:D2828,B$2:B2828,B2828,C$2:C2828,"ENTRADA")-SUMIFS(D$2:D2828,B$2:B2828,B2828,C$2:C2828,"SALIDA")</f>
        <v>12767.764000000001</v>
      </c>
    </row>
    <row r="2829" spans="1:5" x14ac:dyDescent="0.3">
      <c r="A2829" s="9">
        <f>'Volúmenes DIstribuidos '!B1785</f>
        <v>45086</v>
      </c>
      <c r="B2829" s="10" t="str">
        <f>IF(OR('Volúmenes DIstribuidos '!C1788="Azúcar",'Volúmenes DIstribuidos '!C1788="azúcar"),"Azúcar o dulce",IF('Volúmenes DIstribuidos '!C1788="Aceite","Aceite o grasas",IF('Volúmenes DIstribuidos '!C1788="Avena","Otros almidones",'Volúmenes DIstribuidos '!C1788)))</f>
        <v>Carnes blancas</v>
      </c>
      <c r="C2829" s="10" t="s">
        <v>29</v>
      </c>
      <c r="D2829" s="12">
        <f>'Volúmenes DIstribuidos '!D1788</f>
        <v>19.559999999999999</v>
      </c>
      <c r="E2829" s="12">
        <f>SUMIF('Parametros Inventario'!$A:$A,B2829,'Parametros Inventario'!$B:$B)+SUMIFS(D$2:D2829,B$2:B2829,B2829,C$2:C2829,"ENTRADA")-SUMIFS(D$2:D2829,B$2:B2829,B2829,C$2:C2829,"SALIDA")</f>
        <v>12578.165999999999</v>
      </c>
    </row>
    <row r="2830" spans="1:5" x14ac:dyDescent="0.3">
      <c r="A2830" s="9">
        <f>'Volúmenes DIstribuidos '!B1785</f>
        <v>45086</v>
      </c>
      <c r="B2830" s="10" t="str">
        <f>IF(OR('Volúmenes DIstribuidos '!C1789="Azúcar",'Volúmenes DIstribuidos '!C1789="azúcar"),"Azúcar o dulce",IF('Volúmenes DIstribuidos '!C1789="Aceite","Aceite o grasas",IF('Volúmenes DIstribuidos '!C1789="Avena","Otros almidones",'Volúmenes DIstribuidos '!C1789)))</f>
        <v>Menestras</v>
      </c>
      <c r="C2830" s="10" t="s">
        <v>29</v>
      </c>
      <c r="D2830" s="12">
        <f>'Volúmenes DIstribuidos '!D1789</f>
        <v>8.98</v>
      </c>
      <c r="E2830" s="12">
        <f>SUMIF('Parametros Inventario'!$A:$A,B2830,'Parametros Inventario'!$B:$B)+SUMIFS(D$2:D2830,B$2:B2830,B2830,C$2:C2830,"ENTRADA")-SUMIFS(D$2:D2830,B$2:B2830,B2830,C$2:C2830,"SALIDA")</f>
        <v>13466.095000000005</v>
      </c>
    </row>
    <row r="2831" spans="1:5" x14ac:dyDescent="0.3">
      <c r="A2831" s="9">
        <f>'Volúmenes DIstribuidos '!B1785</f>
        <v>45086</v>
      </c>
      <c r="B2831" s="10" t="str">
        <f>IF(OR('Volúmenes DIstribuidos '!C1790="Azúcar",'Volúmenes DIstribuidos '!C1790="azúcar"),"Azúcar o dulce",IF('Volúmenes DIstribuidos '!C1790="Aceite","Aceite o grasas",IF('Volúmenes DIstribuidos '!C1790="Avena","Otros almidones",'Volúmenes DIstribuidos '!C1790)))</f>
        <v>Lácteos</v>
      </c>
      <c r="C2831" s="10" t="s">
        <v>29</v>
      </c>
      <c r="D2831" s="12">
        <f>'Volúmenes DIstribuidos '!D1790</f>
        <v>5.8</v>
      </c>
      <c r="E2831" s="12">
        <f>SUMIF('Parametros Inventario'!$A:$A,B2831,'Parametros Inventario'!$B:$B)+SUMIFS(D$2:D2831,B$2:B2831,B2831,C$2:C2831,"ENTRADA")-SUMIFS(D$2:D2831,B$2:B2831,B2831,C$2:C2831,"SALIDA")</f>
        <v>11301.710999999996</v>
      </c>
    </row>
    <row r="2832" spans="1:5" x14ac:dyDescent="0.3">
      <c r="A2832" s="9">
        <f>'Volúmenes DIstribuidos '!B1791</f>
        <v>45090</v>
      </c>
      <c r="B2832" s="10" t="str">
        <f>IF(OR('Volúmenes DIstribuidos '!C1791="Azúcar",'Volúmenes DIstribuidos '!C1791="azúcar"),"Azúcar o dulce",IF('Volúmenes DIstribuidos '!C1791="Aceite","Aceite o grasas",IF('Volúmenes DIstribuidos '!C1791="Avena","Otros almidones",'Volúmenes DIstribuidos '!C1791)))</f>
        <v>Carnes rojas</v>
      </c>
      <c r="C2832" s="10" t="s">
        <v>29</v>
      </c>
      <c r="D2832" s="12">
        <f>'Volúmenes DIstribuidos '!D1791</f>
        <v>29.122</v>
      </c>
      <c r="E2832" s="12">
        <f>SUMIF('Parametros Inventario'!$A:$A,B2832,'Parametros Inventario'!$B:$B)+SUMIFS(D$2:D2832,B$2:B2832,B2832,C$2:C2832,"ENTRADA")-SUMIFS(D$2:D2832,B$2:B2832,B2832,C$2:C2832,"SALIDA")</f>
        <v>12967.435000000001</v>
      </c>
    </row>
    <row r="2833" spans="1:5" x14ac:dyDescent="0.3">
      <c r="A2833" s="9">
        <f>'Volúmenes DIstribuidos '!B1791</f>
        <v>45090</v>
      </c>
      <c r="B2833" s="10" t="str">
        <f>IF(OR('Volúmenes DIstribuidos '!C1792="Azúcar",'Volúmenes DIstribuidos '!C1792="azúcar"),"Azúcar o dulce",IF('Volúmenes DIstribuidos '!C1792="Aceite","Aceite o grasas",IF('Volúmenes DIstribuidos '!C1792="Avena","Otros almidones",'Volúmenes DIstribuidos '!C1792)))</f>
        <v>Carnes blancas</v>
      </c>
      <c r="C2833" s="10" t="s">
        <v>29</v>
      </c>
      <c r="D2833" s="12">
        <f>'Volúmenes DIstribuidos '!D1792</f>
        <v>11.03</v>
      </c>
      <c r="E2833" s="12">
        <f>SUMIF('Parametros Inventario'!$A:$A,B2833,'Parametros Inventario'!$B:$B)+SUMIFS(D$2:D2833,B$2:B2833,B2833,C$2:C2833,"ENTRADA")-SUMIFS(D$2:D2833,B$2:B2833,B2833,C$2:C2833,"SALIDA")</f>
        <v>12567.135999999999</v>
      </c>
    </row>
    <row r="2834" spans="1:5" x14ac:dyDescent="0.3">
      <c r="A2834" s="9">
        <f>'Volúmenes DIstribuidos '!B1791</f>
        <v>45090</v>
      </c>
      <c r="B2834" s="10" t="str">
        <f>IF(OR('Volúmenes DIstribuidos '!C1793="Azúcar",'Volúmenes DIstribuidos '!C1793="azúcar"),"Azúcar o dulce",IF('Volúmenes DIstribuidos '!C1793="Aceite","Aceite o grasas",IF('Volúmenes DIstribuidos '!C1793="Avena","Otros almidones",'Volúmenes DIstribuidos '!C1793)))</f>
        <v>Vegetales y hojas</v>
      </c>
      <c r="C2834" s="10" t="s">
        <v>29</v>
      </c>
      <c r="D2834" s="12">
        <f>'Volúmenes DIstribuidos '!D1793</f>
        <v>32.75</v>
      </c>
      <c r="E2834" s="12">
        <f>SUMIF('Parametros Inventario'!$A:$A,B2834,'Parametros Inventario'!$B:$B)+SUMIFS(D$2:D2834,B$2:B2834,B2834,C$2:C2834,"ENTRADA")-SUMIFS(D$2:D2834,B$2:B2834,B2834,C$2:C2834,"SALIDA")</f>
        <v>13753.625999999997</v>
      </c>
    </row>
    <row r="2835" spans="1:5" x14ac:dyDescent="0.3">
      <c r="A2835" s="9">
        <f>'Volúmenes DIstribuidos '!B1791</f>
        <v>45090</v>
      </c>
      <c r="B2835" s="10" t="str">
        <f>IF(OR('Volúmenes DIstribuidos '!C1794="Azúcar",'Volúmenes DIstribuidos '!C1794="azúcar"),"Azúcar o dulce",IF('Volúmenes DIstribuidos '!C1794="Aceite","Aceite o grasas",IF('Volúmenes DIstribuidos '!C1794="Avena","Otros almidones",'Volúmenes DIstribuidos '!C1794)))</f>
        <v>Carnes rojas</v>
      </c>
      <c r="C2835" s="10" t="s">
        <v>29</v>
      </c>
      <c r="D2835" s="12">
        <f>'Volúmenes DIstribuidos '!D1794</f>
        <v>44.96</v>
      </c>
      <c r="E2835" s="12">
        <f>SUMIF('Parametros Inventario'!$A:$A,B2835,'Parametros Inventario'!$B:$B)+SUMIFS(D$2:D2835,B$2:B2835,B2835,C$2:C2835,"ENTRADA")-SUMIFS(D$2:D2835,B$2:B2835,B2835,C$2:C2835,"SALIDA")</f>
        <v>12922.475000000002</v>
      </c>
    </row>
    <row r="2836" spans="1:5" x14ac:dyDescent="0.3">
      <c r="A2836" s="9">
        <f>'Volúmenes DIstribuidos '!B1791</f>
        <v>45090</v>
      </c>
      <c r="B2836" s="10" t="str">
        <f>IF(OR('Volúmenes DIstribuidos '!C1795="Azúcar",'Volúmenes DIstribuidos '!C1795="azúcar"),"Azúcar o dulce",IF('Volúmenes DIstribuidos '!C1795="Aceite","Aceite o grasas",IF('Volúmenes DIstribuidos '!C1795="Avena","Otros almidones",'Volúmenes DIstribuidos '!C1795)))</f>
        <v>Panadería</v>
      </c>
      <c r="C2836" s="10" t="s">
        <v>29</v>
      </c>
      <c r="D2836" s="12">
        <f>'Volúmenes DIstribuidos '!D1795</f>
        <v>62.22</v>
      </c>
      <c r="E2836" s="12">
        <f>SUMIF('Parametros Inventario'!$A:$A,B2836,'Parametros Inventario'!$B:$B)+SUMIFS(D$2:D2836,B$2:B2836,B2836,C$2:C2836,"ENTRADA")-SUMIFS(D$2:D2836,B$2:B2836,B2836,C$2:C2836,"SALIDA")</f>
        <v>10339.754000000001</v>
      </c>
    </row>
    <row r="2837" spans="1:5" x14ac:dyDescent="0.3">
      <c r="A2837" s="9">
        <f>'Volúmenes DIstribuidos '!B1791</f>
        <v>45090</v>
      </c>
      <c r="B2837" s="10" t="str">
        <f>IF(OR('Volúmenes DIstribuidos '!C1796="Azúcar",'Volúmenes DIstribuidos '!C1796="azúcar"),"Azúcar o dulce",IF('Volúmenes DIstribuidos '!C1796="Aceite","Aceite o grasas",IF('Volúmenes DIstribuidos '!C1796="Avena","Otros almidones",'Volúmenes DIstribuidos '!C1796)))</f>
        <v>Otros almidones</v>
      </c>
      <c r="C2837" s="10" t="s">
        <v>29</v>
      </c>
      <c r="D2837" s="12">
        <f>'Volúmenes DIstribuidos '!D1796</f>
        <v>49.253</v>
      </c>
      <c r="E2837" s="12">
        <f>SUMIF('Parametros Inventario'!$A:$A,B2837,'Parametros Inventario'!$B:$B)+SUMIFS(D$2:D2837,B$2:B2837,B2837,C$2:C2837,"ENTRADA")-SUMIFS(D$2:D2837,B$2:B2837,B2837,C$2:C2837,"SALIDA")</f>
        <v>12718.511000000002</v>
      </c>
    </row>
    <row r="2838" spans="1:5" x14ac:dyDescent="0.3">
      <c r="A2838" s="9">
        <v>45093</v>
      </c>
      <c r="B2838" s="10" t="s">
        <v>18</v>
      </c>
      <c r="C2838" s="10" t="s">
        <v>28</v>
      </c>
      <c r="D2838" s="12">
        <v>267.45999999999998</v>
      </c>
      <c r="E2838" s="12">
        <f>SUMIF('Parametros Inventario'!$A:$A,B2838,'Parametros Inventario'!$B:$B)+SUMIFS(D$2:D2838,B$2:B2838,B2838,C$2:C2838,"ENTRADA")-SUMIFS(D$2:D2838,B$2:B2838,B2838,C$2:C2838,"SALIDA")</f>
        <v>12199.469999999998</v>
      </c>
    </row>
    <row r="2839" spans="1:5" x14ac:dyDescent="0.3">
      <c r="A2839" s="9">
        <v>45093</v>
      </c>
      <c r="B2839" s="10" t="s">
        <v>10</v>
      </c>
      <c r="C2839" s="10" t="s">
        <v>28</v>
      </c>
      <c r="D2839" s="12">
        <v>178.73</v>
      </c>
      <c r="E2839" s="12">
        <f>SUMIF('Parametros Inventario'!$A:$A,B2839,'Parametros Inventario'!$B:$B)+SUMIFS(D$2:D2839,B$2:B2839,B2839,C$2:C2839,"ENTRADA")-SUMIFS(D$2:D2839,B$2:B2839,B2839,C$2:C2839,"SALIDA")</f>
        <v>13932.355999999996</v>
      </c>
    </row>
    <row r="2840" spans="1:5" x14ac:dyDescent="0.3">
      <c r="A2840" s="9">
        <v>45093</v>
      </c>
      <c r="B2840" s="10" t="s">
        <v>8</v>
      </c>
      <c r="C2840" s="10" t="s">
        <v>28</v>
      </c>
      <c r="D2840" s="12">
        <v>215.06</v>
      </c>
      <c r="E2840" s="12">
        <f>SUMIF('Parametros Inventario'!$A:$A,B2840,'Parametros Inventario'!$B:$B)+SUMIFS(D$2:D2840,B$2:B2840,B2840,C$2:C2840,"ENTRADA")-SUMIFS(D$2:D2840,B$2:B2840,B2840,C$2:C2840,"SALIDA")</f>
        <v>12075.019000000004</v>
      </c>
    </row>
    <row r="2841" spans="1:5" x14ac:dyDescent="0.3">
      <c r="A2841" s="9">
        <v>45093</v>
      </c>
      <c r="B2841" s="10" t="s">
        <v>13</v>
      </c>
      <c r="C2841" s="10" t="s">
        <v>28</v>
      </c>
      <c r="D2841" s="12">
        <v>50.78</v>
      </c>
      <c r="E2841" s="12">
        <f>SUMIF('Parametros Inventario'!$A:$A,B2841,'Parametros Inventario'!$B:$B)+SUMIFS(D$2:D2841,B$2:B2841,B2841,C$2:C2841,"ENTRADA")-SUMIFS(D$2:D2841,B$2:B2841,B2841,C$2:C2841,"SALIDA")</f>
        <v>12204.951000000005</v>
      </c>
    </row>
    <row r="2842" spans="1:5" x14ac:dyDescent="0.3">
      <c r="A2842" s="9">
        <v>45093</v>
      </c>
      <c r="B2842" s="10" t="s">
        <v>15</v>
      </c>
      <c r="C2842" s="10" t="s">
        <v>28</v>
      </c>
      <c r="D2842" s="12">
        <v>209.52</v>
      </c>
      <c r="E2842" s="12">
        <f>SUMIF('Parametros Inventario'!$A:$A,B2842,'Parametros Inventario'!$B:$B)+SUMIFS(D$2:D2842,B$2:B2842,B2842,C$2:C2842,"ENTRADA")-SUMIFS(D$2:D2842,B$2:B2842,B2842,C$2:C2842,"SALIDA")</f>
        <v>12928.031000000003</v>
      </c>
    </row>
    <row r="2843" spans="1:5" x14ac:dyDescent="0.3">
      <c r="A2843" s="9">
        <v>45093</v>
      </c>
      <c r="B2843" s="10" t="s">
        <v>11</v>
      </c>
      <c r="C2843" s="10" t="s">
        <v>28</v>
      </c>
      <c r="D2843" s="12">
        <v>285.48</v>
      </c>
      <c r="E2843" s="12">
        <f>SUMIF('Parametros Inventario'!$A:$A,B2843,'Parametros Inventario'!$B:$B)+SUMIFS(D$2:D2843,B$2:B2843,B2843,C$2:C2843,"ENTRADA")-SUMIFS(D$2:D2843,B$2:B2843,B2843,C$2:C2843,"SALIDA")</f>
        <v>14093.778999999999</v>
      </c>
    </row>
    <row r="2844" spans="1:5" x14ac:dyDescent="0.3">
      <c r="A2844" s="9">
        <f>'Volúmenes DIstribuidos '!B1797</f>
        <v>45093</v>
      </c>
      <c r="B2844" s="10" t="str">
        <f>IF(OR('Volúmenes DIstribuidos '!C1797="Azúcar",'Volúmenes DIstribuidos '!C1797="azúcar"),"Azúcar o dulce",IF('Volúmenes DIstribuidos '!C1797="Aceite","Aceite o grasas",IF('Volúmenes DIstribuidos '!C1797="Avena","Otros almidones",'Volúmenes DIstribuidos '!C1797)))</f>
        <v>Fideo</v>
      </c>
      <c r="C2844" s="10" t="s">
        <v>29</v>
      </c>
      <c r="D2844" s="12">
        <f>'Volúmenes DIstribuidos '!D1797</f>
        <v>9.6</v>
      </c>
      <c r="E2844" s="12">
        <f>SUMIF('Parametros Inventario'!$A:$A,B2844,'Parametros Inventario'!$B:$B)+SUMIFS(D$2:D2844,B$2:B2844,B2844,C$2:C2844,"ENTRADA")-SUMIFS(D$2:D2844,B$2:B2844,B2844,C$2:C2844,"SALIDA")</f>
        <v>14084.178999999996</v>
      </c>
    </row>
    <row r="2845" spans="1:5" x14ac:dyDescent="0.3">
      <c r="A2845" s="9">
        <f>'Volúmenes DIstribuidos '!B1797</f>
        <v>45093</v>
      </c>
      <c r="B2845" s="10" t="str">
        <f>IF(OR('Volúmenes DIstribuidos '!C1798="Azúcar",'Volúmenes DIstribuidos '!C1798="azúcar"),"Azúcar o dulce",IF('Volúmenes DIstribuidos '!C1798="Aceite","Aceite o grasas",IF('Volúmenes DIstribuidos '!C1798="Avena","Otros almidones",'Volúmenes DIstribuidos '!C1798)))</f>
        <v>Vegetales y hojas</v>
      </c>
      <c r="C2845" s="10" t="s">
        <v>29</v>
      </c>
      <c r="D2845" s="12">
        <f>'Volúmenes DIstribuidos '!D1798</f>
        <v>10.11</v>
      </c>
      <c r="E2845" s="12">
        <f>SUMIF('Parametros Inventario'!$A:$A,B2845,'Parametros Inventario'!$B:$B)+SUMIFS(D$2:D2845,B$2:B2845,B2845,C$2:C2845,"ENTRADA")-SUMIFS(D$2:D2845,B$2:B2845,B2845,C$2:C2845,"SALIDA")</f>
        <v>13922.245999999996</v>
      </c>
    </row>
    <row r="2846" spans="1:5" x14ac:dyDescent="0.3">
      <c r="A2846" s="9">
        <f>'Volúmenes DIstribuidos '!B1797</f>
        <v>45093</v>
      </c>
      <c r="B2846" s="10" t="str">
        <f>IF(OR('Volúmenes DIstribuidos '!C1799="Azúcar",'Volúmenes DIstribuidos '!C1799="azúcar"),"Azúcar o dulce",IF('Volúmenes DIstribuidos '!C1799="Aceite","Aceite o grasas",IF('Volúmenes DIstribuidos '!C1799="Avena","Otros almidones",'Volúmenes DIstribuidos '!C1799)))</f>
        <v>Aceite o grasas</v>
      </c>
      <c r="C2846" s="10" t="s">
        <v>29</v>
      </c>
      <c r="D2846" s="12">
        <f>'Volúmenes DIstribuidos '!D1799</f>
        <v>11.59</v>
      </c>
      <c r="E2846" s="12">
        <f>SUMIF('Parametros Inventario'!$A:$A,B2846,'Parametros Inventario'!$B:$B)+SUMIFS(D$2:D2846,B$2:B2846,B2846,C$2:C2846,"ENTRADA")-SUMIFS(D$2:D2846,B$2:B2846,B2846,C$2:C2846,"SALIDA")</f>
        <v>12063.429000000004</v>
      </c>
    </row>
    <row r="2847" spans="1:5" x14ac:dyDescent="0.3">
      <c r="A2847" s="9">
        <f>'Volúmenes DIstribuidos '!B1797</f>
        <v>45093</v>
      </c>
      <c r="B2847" s="10" t="str">
        <f>IF(OR('Volúmenes DIstribuidos '!C1800="Azúcar",'Volúmenes DIstribuidos '!C1800="azúcar"),"Azúcar o dulce",IF('Volúmenes DIstribuidos '!C1800="Aceite","Aceite o grasas",IF('Volúmenes DIstribuidos '!C1800="Avena","Otros almidones",'Volúmenes DIstribuidos '!C1800)))</f>
        <v>Carnes blancas</v>
      </c>
      <c r="C2847" s="10" t="s">
        <v>29</v>
      </c>
      <c r="D2847" s="12">
        <f>'Volúmenes DIstribuidos '!D1800</f>
        <v>31.184000000000001</v>
      </c>
      <c r="E2847" s="12">
        <f>SUMIF('Parametros Inventario'!$A:$A,B2847,'Parametros Inventario'!$B:$B)+SUMIFS(D$2:D2847,B$2:B2847,B2847,C$2:C2847,"ENTRADA")-SUMIFS(D$2:D2847,B$2:B2847,B2847,C$2:C2847,"SALIDA")</f>
        <v>12535.951999999999</v>
      </c>
    </row>
    <row r="2848" spans="1:5" x14ac:dyDescent="0.3">
      <c r="A2848" s="9">
        <f>'Volúmenes DIstribuidos '!B1797</f>
        <v>45093</v>
      </c>
      <c r="B2848" s="10" t="str">
        <f>IF(OR('Volúmenes DIstribuidos '!C1801="Azúcar",'Volúmenes DIstribuidos '!C1801="azúcar"),"Azúcar o dulce",IF('Volúmenes DIstribuidos '!C1801="Aceite","Aceite o grasas",IF('Volúmenes DIstribuidos '!C1801="Avena","Otros almidones",'Volúmenes DIstribuidos '!C1801)))</f>
        <v>Vegetales y hojas</v>
      </c>
      <c r="C2848" s="10" t="s">
        <v>29</v>
      </c>
      <c r="D2848" s="12">
        <f>'Volúmenes DIstribuidos '!D1801</f>
        <v>24.4</v>
      </c>
      <c r="E2848" s="12">
        <f>SUMIF('Parametros Inventario'!$A:$A,B2848,'Parametros Inventario'!$B:$B)+SUMIFS(D$2:D2848,B$2:B2848,B2848,C$2:C2848,"ENTRADA")-SUMIFS(D$2:D2848,B$2:B2848,B2848,C$2:C2848,"SALIDA")</f>
        <v>13897.845999999998</v>
      </c>
    </row>
    <row r="2849" spans="1:5" x14ac:dyDescent="0.3">
      <c r="A2849" s="9">
        <f>'Volúmenes DIstribuidos '!B1797</f>
        <v>45093</v>
      </c>
      <c r="B2849" s="10" t="str">
        <f>IF(OR('Volúmenes DIstribuidos '!C1802="Azúcar",'Volúmenes DIstribuidos '!C1802="azúcar"),"Azúcar o dulce",IF('Volúmenes DIstribuidos '!C1802="Aceite","Aceite o grasas",IF('Volúmenes DIstribuidos '!C1802="Avena","Otros almidones",'Volúmenes DIstribuidos '!C1802)))</f>
        <v>Salsas</v>
      </c>
      <c r="C2849" s="10" t="s">
        <v>29</v>
      </c>
      <c r="D2849" s="12">
        <f>'Volúmenes DIstribuidos '!D1802</f>
        <v>20.440000000000001</v>
      </c>
      <c r="E2849" s="12">
        <f>SUMIF('Parametros Inventario'!$A:$A,B2849,'Parametros Inventario'!$B:$B)+SUMIFS(D$2:D2849,B$2:B2849,B2849,C$2:C2849,"ENTRADA")-SUMIFS(D$2:D2849,B$2:B2849,B2849,C$2:C2849,"SALIDA")</f>
        <v>12179.029999999999</v>
      </c>
    </row>
    <row r="2850" spans="1:5" x14ac:dyDescent="0.3">
      <c r="A2850" s="9">
        <f>'Volúmenes DIstribuidos '!B1803</f>
        <v>45097</v>
      </c>
      <c r="B2850" s="10" t="str">
        <f>IF(OR('Volúmenes DIstribuidos '!C1803="Azúcar",'Volúmenes DIstribuidos '!C1803="azúcar"),"Azúcar o dulce",IF('Volúmenes DIstribuidos '!C1803="Aceite","Aceite o grasas",IF('Volúmenes DIstribuidos '!C1803="Avena","Otros almidones",'Volúmenes DIstribuidos '!C1803)))</f>
        <v>Menestras</v>
      </c>
      <c r="C2850" s="10" t="s">
        <v>29</v>
      </c>
      <c r="D2850" s="12">
        <f>'Volúmenes DIstribuidos '!D1803</f>
        <v>22.66</v>
      </c>
      <c r="E2850" s="12">
        <f>SUMIF('Parametros Inventario'!$A:$A,B2850,'Parametros Inventario'!$B:$B)+SUMIFS(D$2:D2850,B$2:B2850,B2850,C$2:C2850,"ENTRADA")-SUMIFS(D$2:D2850,B$2:B2850,B2850,C$2:C2850,"SALIDA")</f>
        <v>13443.435000000005</v>
      </c>
    </row>
    <row r="2851" spans="1:5" x14ac:dyDescent="0.3">
      <c r="A2851" s="9">
        <f>'Volúmenes DIstribuidos '!B1803</f>
        <v>45097</v>
      </c>
      <c r="B2851" s="10" t="str">
        <f>IF(OR('Volúmenes DIstribuidos '!C1804="Azúcar",'Volúmenes DIstribuidos '!C1804="azúcar"),"Azúcar o dulce",IF('Volúmenes DIstribuidos '!C1804="Aceite","Aceite o grasas",IF('Volúmenes DIstribuidos '!C1804="Avena","Otros almidones",'Volúmenes DIstribuidos '!C1804)))</f>
        <v>Carnes blancas</v>
      </c>
      <c r="C2851" s="10" t="s">
        <v>29</v>
      </c>
      <c r="D2851" s="12">
        <f>'Volúmenes DIstribuidos '!D1804</f>
        <v>43.22</v>
      </c>
      <c r="E2851" s="12">
        <f>SUMIF('Parametros Inventario'!$A:$A,B2851,'Parametros Inventario'!$B:$B)+SUMIFS(D$2:D2851,B$2:B2851,B2851,C$2:C2851,"ENTRADA")-SUMIFS(D$2:D2851,B$2:B2851,B2851,C$2:C2851,"SALIDA")</f>
        <v>12492.732</v>
      </c>
    </row>
    <row r="2852" spans="1:5" x14ac:dyDescent="0.3">
      <c r="A2852" s="9">
        <f>'Volúmenes DIstribuidos '!B1803</f>
        <v>45097</v>
      </c>
      <c r="B2852" s="10" t="str">
        <f>IF(OR('Volúmenes DIstribuidos '!C1805="Azúcar",'Volúmenes DIstribuidos '!C1805="azúcar"),"Azúcar o dulce",IF('Volúmenes DIstribuidos '!C1805="Aceite","Aceite o grasas",IF('Volúmenes DIstribuidos '!C1805="Avena","Otros almidones",'Volúmenes DIstribuidos '!C1805)))</f>
        <v>Lácteos</v>
      </c>
      <c r="C2852" s="10" t="s">
        <v>29</v>
      </c>
      <c r="D2852" s="12">
        <f>'Volúmenes DIstribuidos '!D1805</f>
        <v>56.99</v>
      </c>
      <c r="E2852" s="12">
        <f>SUMIF('Parametros Inventario'!$A:$A,B2852,'Parametros Inventario'!$B:$B)+SUMIFS(D$2:D2852,B$2:B2852,B2852,C$2:C2852,"ENTRADA")-SUMIFS(D$2:D2852,B$2:B2852,B2852,C$2:C2852,"SALIDA")</f>
        <v>11244.720999999996</v>
      </c>
    </row>
    <row r="2853" spans="1:5" x14ac:dyDescent="0.3">
      <c r="A2853" s="9">
        <f>'Volúmenes DIstribuidos '!B1803</f>
        <v>45097</v>
      </c>
      <c r="B2853" s="10" t="str">
        <f>IF(OR('Volúmenes DIstribuidos '!C1806="Azúcar",'Volúmenes DIstribuidos '!C1806="azúcar"),"Azúcar o dulce",IF('Volúmenes DIstribuidos '!C1806="Aceite","Aceite o grasas",IF('Volúmenes DIstribuidos '!C1806="Avena","Otros almidones",'Volúmenes DIstribuidos '!C1806)))</f>
        <v>Azúcar o dulce</v>
      </c>
      <c r="C2853" s="10" t="s">
        <v>29</v>
      </c>
      <c r="D2853" s="12">
        <f>'Volúmenes DIstribuidos '!D1806</f>
        <v>148.024</v>
      </c>
      <c r="E2853" s="12">
        <f>SUMIF('Parametros Inventario'!$A:$A,B2853,'Parametros Inventario'!$B:$B)+SUMIFS(D$2:D2853,B$2:B2853,B2853,C$2:C2853,"ENTRADA")-SUMIFS(D$2:D2853,B$2:B2853,B2853,C$2:C2853,"SALIDA")</f>
        <v>12056.927000000003</v>
      </c>
    </row>
    <row r="2854" spans="1:5" x14ac:dyDescent="0.3">
      <c r="A2854" s="9">
        <f>'Volúmenes DIstribuidos '!B1803</f>
        <v>45097</v>
      </c>
      <c r="B2854" s="10" t="str">
        <f>IF(OR('Volúmenes DIstribuidos '!C1807="Azúcar",'Volúmenes DIstribuidos '!C1807="azúcar"),"Azúcar o dulce",IF('Volúmenes DIstribuidos '!C1807="Aceite","Aceite o grasas",IF('Volúmenes DIstribuidos '!C1807="Avena","Otros almidones",'Volúmenes DIstribuidos '!C1807)))</f>
        <v>Fideo</v>
      </c>
      <c r="C2854" s="10" t="s">
        <v>29</v>
      </c>
      <c r="D2854" s="12">
        <f>'Volúmenes DIstribuidos '!D1807</f>
        <v>60.22</v>
      </c>
      <c r="E2854" s="12">
        <f>SUMIF('Parametros Inventario'!$A:$A,B2854,'Parametros Inventario'!$B:$B)+SUMIFS(D$2:D2854,B$2:B2854,B2854,C$2:C2854,"ENTRADA")-SUMIFS(D$2:D2854,B$2:B2854,B2854,C$2:C2854,"SALIDA")</f>
        <v>14023.958999999997</v>
      </c>
    </row>
    <row r="2855" spans="1:5" x14ac:dyDescent="0.3">
      <c r="A2855" s="9">
        <f>'Volúmenes DIstribuidos '!B1803</f>
        <v>45097</v>
      </c>
      <c r="B2855" s="10" t="str">
        <f>IF(OR('Volúmenes DIstribuidos '!C1808="Azúcar",'Volúmenes DIstribuidos '!C1808="azúcar"),"Azúcar o dulce",IF('Volúmenes DIstribuidos '!C1808="Aceite","Aceite o grasas",IF('Volúmenes DIstribuidos '!C1808="Avena","Otros almidones",'Volúmenes DIstribuidos '!C1808)))</f>
        <v>Panadería</v>
      </c>
      <c r="C2855" s="10" t="s">
        <v>29</v>
      </c>
      <c r="D2855" s="12">
        <f>'Volúmenes DIstribuidos '!D1808</f>
        <v>32.42</v>
      </c>
      <c r="E2855" s="12">
        <f>SUMIF('Parametros Inventario'!$A:$A,B2855,'Parametros Inventario'!$B:$B)+SUMIFS(D$2:D2855,B$2:B2855,B2855,C$2:C2855,"ENTRADA")-SUMIFS(D$2:D2855,B$2:B2855,B2855,C$2:C2855,"SALIDA")</f>
        <v>10307.334000000001</v>
      </c>
    </row>
    <row r="2856" spans="1:5" x14ac:dyDescent="0.3">
      <c r="A2856" s="9">
        <f>'Volúmenes DIstribuidos '!B1809</f>
        <v>45100</v>
      </c>
      <c r="B2856" s="10" t="str">
        <f>IF(OR('Volúmenes DIstribuidos '!C1809="Azúcar",'Volúmenes DIstribuidos '!C1809="azúcar"),"Azúcar o dulce",IF('Volúmenes DIstribuidos '!C1809="Aceite","Aceite o grasas",IF('Volúmenes DIstribuidos '!C1809="Avena","Otros almidones",'Volúmenes DIstribuidos '!C1809)))</f>
        <v>Azúcar o dulce</v>
      </c>
      <c r="C2856" s="10" t="s">
        <v>29</v>
      </c>
      <c r="D2856" s="12">
        <f>'Volúmenes DIstribuidos '!D1809</f>
        <v>44.97</v>
      </c>
      <c r="E2856" s="12">
        <f>SUMIF('Parametros Inventario'!$A:$A,B2856,'Parametros Inventario'!$B:$B)+SUMIFS(D$2:D2856,B$2:B2856,B2856,C$2:C2856,"ENTRADA")-SUMIFS(D$2:D2856,B$2:B2856,B2856,C$2:C2856,"SALIDA")</f>
        <v>12011.957000000002</v>
      </c>
    </row>
    <row r="2857" spans="1:5" x14ac:dyDescent="0.3">
      <c r="A2857" s="9">
        <f>'Volúmenes DIstribuidos '!B1809</f>
        <v>45100</v>
      </c>
      <c r="B2857" s="10" t="str">
        <f>IF(OR('Volúmenes DIstribuidos '!C1810="Azúcar",'Volúmenes DIstribuidos '!C1810="azúcar"),"Azúcar o dulce",IF('Volúmenes DIstribuidos '!C1810="Aceite","Aceite o grasas",IF('Volúmenes DIstribuidos '!C1810="Avena","Otros almidones",'Volúmenes DIstribuidos '!C1810)))</f>
        <v>Carnes rojas</v>
      </c>
      <c r="C2857" s="10" t="s">
        <v>29</v>
      </c>
      <c r="D2857" s="12">
        <f>'Volúmenes DIstribuidos '!D1810</f>
        <v>28.65</v>
      </c>
      <c r="E2857" s="12">
        <f>SUMIF('Parametros Inventario'!$A:$A,B2857,'Parametros Inventario'!$B:$B)+SUMIFS(D$2:D2857,B$2:B2857,B2857,C$2:C2857,"ENTRADA")-SUMIFS(D$2:D2857,B$2:B2857,B2857,C$2:C2857,"SALIDA")</f>
        <v>12893.825000000001</v>
      </c>
    </row>
    <row r="2858" spans="1:5" x14ac:dyDescent="0.3">
      <c r="A2858" s="9">
        <f>'Volúmenes DIstribuidos '!B1809</f>
        <v>45100</v>
      </c>
      <c r="B2858" s="10" t="str">
        <f>IF(OR('Volúmenes DIstribuidos '!C1811="Azúcar",'Volúmenes DIstribuidos '!C1811="azúcar"),"Azúcar o dulce",IF('Volúmenes DIstribuidos '!C1811="Aceite","Aceite o grasas",IF('Volúmenes DIstribuidos '!C1811="Avena","Otros almidones",'Volúmenes DIstribuidos '!C1811)))</f>
        <v>Otros almidones</v>
      </c>
      <c r="C2858" s="10" t="s">
        <v>29</v>
      </c>
      <c r="D2858" s="12">
        <f>'Volúmenes DIstribuidos '!D1811</f>
        <v>11.874000000000001</v>
      </c>
      <c r="E2858" s="12">
        <f>SUMIF('Parametros Inventario'!$A:$A,B2858,'Parametros Inventario'!$B:$B)+SUMIFS(D$2:D2858,B$2:B2858,B2858,C$2:C2858,"ENTRADA")-SUMIFS(D$2:D2858,B$2:B2858,B2858,C$2:C2858,"SALIDA")</f>
        <v>12916.157000000003</v>
      </c>
    </row>
    <row r="2859" spans="1:5" x14ac:dyDescent="0.3">
      <c r="A2859" s="9">
        <f>'Volúmenes DIstribuidos '!B1809</f>
        <v>45100</v>
      </c>
      <c r="B2859" s="10" t="str">
        <f>IF(OR('Volúmenes DIstribuidos '!C1812="Azúcar",'Volúmenes DIstribuidos '!C1812="azúcar"),"Azúcar o dulce",IF('Volúmenes DIstribuidos '!C1812="Aceite","Aceite o grasas",IF('Volúmenes DIstribuidos '!C1812="Avena","Otros almidones",'Volúmenes DIstribuidos '!C1812)))</f>
        <v>Aceite o grasas</v>
      </c>
      <c r="C2859" s="10" t="s">
        <v>29</v>
      </c>
      <c r="D2859" s="12">
        <f>'Volúmenes DIstribuidos '!D1812</f>
        <v>7.6</v>
      </c>
      <c r="E2859" s="12">
        <f>SUMIF('Parametros Inventario'!$A:$A,B2859,'Parametros Inventario'!$B:$B)+SUMIFS(D$2:D2859,B$2:B2859,B2859,C$2:C2859,"ENTRADA")-SUMIFS(D$2:D2859,B$2:B2859,B2859,C$2:C2859,"SALIDA")</f>
        <v>12055.829000000003</v>
      </c>
    </row>
    <row r="2860" spans="1:5" x14ac:dyDescent="0.3">
      <c r="A2860" s="9">
        <f>'Volúmenes DIstribuidos '!B1809</f>
        <v>45100</v>
      </c>
      <c r="B2860" s="10" t="str">
        <f>IF(OR('Volúmenes DIstribuidos '!C1813="Azúcar",'Volúmenes DIstribuidos '!C1813="azúcar"),"Azúcar o dulce",IF('Volúmenes DIstribuidos '!C1813="Aceite","Aceite o grasas",IF('Volúmenes DIstribuidos '!C1813="Avena","Otros almidones",'Volúmenes DIstribuidos '!C1813)))</f>
        <v>Salsas</v>
      </c>
      <c r="C2860" s="10" t="s">
        <v>29</v>
      </c>
      <c r="D2860" s="12">
        <f>'Volúmenes DIstribuidos '!D1813</f>
        <v>17.71</v>
      </c>
      <c r="E2860" s="12">
        <f>SUMIF('Parametros Inventario'!$A:$A,B2860,'Parametros Inventario'!$B:$B)+SUMIFS(D$2:D2860,B$2:B2860,B2860,C$2:C2860,"ENTRADA")-SUMIFS(D$2:D2860,B$2:B2860,B2860,C$2:C2860,"SALIDA")</f>
        <v>12161.32</v>
      </c>
    </row>
    <row r="2861" spans="1:5" x14ac:dyDescent="0.3">
      <c r="A2861" s="9">
        <f>'Volúmenes DIstribuidos '!B1809</f>
        <v>45100</v>
      </c>
      <c r="B2861" s="10" t="str">
        <f>IF(OR('Volúmenes DIstribuidos '!C1814="Azúcar",'Volúmenes DIstribuidos '!C1814="azúcar"),"Azúcar o dulce",IF('Volúmenes DIstribuidos '!C1814="Aceite","Aceite o grasas",IF('Volúmenes DIstribuidos '!C1814="Avena","Otros almidones",'Volúmenes DIstribuidos '!C1814)))</f>
        <v>Carnes blancas</v>
      </c>
      <c r="C2861" s="10" t="s">
        <v>29</v>
      </c>
      <c r="D2861" s="12">
        <f>'Volúmenes DIstribuidos '!D1814</f>
        <v>22.71</v>
      </c>
      <c r="E2861" s="12">
        <f>SUMIF('Parametros Inventario'!$A:$A,B2861,'Parametros Inventario'!$B:$B)+SUMIFS(D$2:D2861,B$2:B2861,B2861,C$2:C2861,"ENTRADA")-SUMIFS(D$2:D2861,B$2:B2861,B2861,C$2:C2861,"SALIDA")</f>
        <v>12470.021999999999</v>
      </c>
    </row>
    <row r="2862" spans="1:5" x14ac:dyDescent="0.3">
      <c r="A2862" s="9">
        <f>'Volúmenes DIstribuidos '!B1815</f>
        <v>45104</v>
      </c>
      <c r="B2862" s="10" t="str">
        <f>IF(OR('Volúmenes DIstribuidos '!C1815="Azúcar",'Volúmenes DIstribuidos '!C1815="azúcar"),"Azúcar o dulce",IF('Volúmenes DIstribuidos '!C1815="Aceite","Aceite o grasas",IF('Volúmenes DIstribuidos '!C1815="Avena","Otros almidones",'Volúmenes DIstribuidos '!C1815)))</f>
        <v>Panadería</v>
      </c>
      <c r="C2862" s="10" t="s">
        <v>29</v>
      </c>
      <c r="D2862" s="12">
        <f>'Volúmenes DIstribuidos '!D1815</f>
        <v>3.5640000000000001</v>
      </c>
      <c r="E2862" s="12">
        <f>SUMIF('Parametros Inventario'!$A:$A,B2862,'Parametros Inventario'!$B:$B)+SUMIFS(D$2:D2862,B$2:B2862,B2862,C$2:C2862,"ENTRADA")-SUMIFS(D$2:D2862,B$2:B2862,B2862,C$2:C2862,"SALIDA")</f>
        <v>10303.77</v>
      </c>
    </row>
    <row r="2863" spans="1:5" x14ac:dyDescent="0.3">
      <c r="A2863" s="9">
        <f>'Volúmenes DIstribuidos '!B1815</f>
        <v>45104</v>
      </c>
      <c r="B2863" s="10" t="str">
        <f>IF(OR('Volúmenes DIstribuidos '!C1816="Azúcar",'Volúmenes DIstribuidos '!C1816="azúcar"),"Azúcar o dulce",IF('Volúmenes DIstribuidos '!C1816="Aceite","Aceite o grasas",IF('Volúmenes DIstribuidos '!C1816="Avena","Otros almidones",'Volúmenes DIstribuidos '!C1816)))</f>
        <v>Aceite o grasas</v>
      </c>
      <c r="C2863" s="10" t="s">
        <v>29</v>
      </c>
      <c r="D2863" s="12">
        <f>'Volúmenes DIstribuidos '!D1816</f>
        <v>5.01</v>
      </c>
      <c r="E2863" s="12">
        <f>SUMIF('Parametros Inventario'!$A:$A,B2863,'Parametros Inventario'!$B:$B)+SUMIFS(D$2:D2863,B$2:B2863,B2863,C$2:C2863,"ENTRADA")-SUMIFS(D$2:D2863,B$2:B2863,B2863,C$2:C2863,"SALIDA")</f>
        <v>12050.819000000003</v>
      </c>
    </row>
    <row r="2864" spans="1:5" x14ac:dyDescent="0.3">
      <c r="A2864" s="9">
        <f>'Volúmenes DIstribuidos '!B1815</f>
        <v>45104</v>
      </c>
      <c r="B2864" s="10" t="str">
        <f>IF(OR('Volúmenes DIstribuidos '!C1817="Azúcar",'Volúmenes DIstribuidos '!C1817="azúcar"),"Azúcar o dulce",IF('Volúmenes DIstribuidos '!C1817="Aceite","Aceite o grasas",IF('Volúmenes DIstribuidos '!C1817="Avena","Otros almidones",'Volúmenes DIstribuidos '!C1817)))</f>
        <v>Carnes blancas</v>
      </c>
      <c r="C2864" s="10" t="s">
        <v>29</v>
      </c>
      <c r="D2864" s="12">
        <f>'Volúmenes DIstribuidos '!D1817</f>
        <v>6.02</v>
      </c>
      <c r="E2864" s="12">
        <f>SUMIF('Parametros Inventario'!$A:$A,B2864,'Parametros Inventario'!$B:$B)+SUMIFS(D$2:D2864,B$2:B2864,B2864,C$2:C2864,"ENTRADA")-SUMIFS(D$2:D2864,B$2:B2864,B2864,C$2:C2864,"SALIDA")</f>
        <v>12464.001999999999</v>
      </c>
    </row>
    <row r="2865" spans="1:5" x14ac:dyDescent="0.3">
      <c r="A2865" s="9">
        <f>'Volúmenes DIstribuidos '!B1815</f>
        <v>45104</v>
      </c>
      <c r="B2865" s="10" t="str">
        <f>IF(OR('Volúmenes DIstribuidos '!C1818="Azúcar",'Volúmenes DIstribuidos '!C1818="azúcar"),"Azúcar o dulce",IF('Volúmenes DIstribuidos '!C1818="Aceite","Aceite o grasas",IF('Volúmenes DIstribuidos '!C1818="Avena","Otros almidones",'Volúmenes DIstribuidos '!C1818)))</f>
        <v>Vegetales y hojas</v>
      </c>
      <c r="C2865" s="10" t="s">
        <v>29</v>
      </c>
      <c r="D2865" s="12">
        <f>'Volúmenes DIstribuidos '!D1818</f>
        <v>14.85</v>
      </c>
      <c r="E2865" s="12">
        <f>SUMIF('Parametros Inventario'!$A:$A,B2865,'Parametros Inventario'!$B:$B)+SUMIFS(D$2:D2865,B$2:B2865,B2865,C$2:C2865,"ENTRADA")-SUMIFS(D$2:D2865,B$2:B2865,B2865,C$2:C2865,"SALIDA")</f>
        <v>13882.995999999996</v>
      </c>
    </row>
    <row r="2866" spans="1:5" x14ac:dyDescent="0.3">
      <c r="A2866" s="9">
        <f>'Volúmenes DIstribuidos '!B1815</f>
        <v>45104</v>
      </c>
      <c r="B2866" s="10" t="str">
        <f>IF(OR('Volúmenes DIstribuidos '!C1819="Azúcar",'Volúmenes DIstribuidos '!C1819="azúcar"),"Azúcar o dulce",IF('Volúmenes DIstribuidos '!C1819="Aceite","Aceite o grasas",IF('Volúmenes DIstribuidos '!C1819="Avena","Otros almidones",'Volúmenes DIstribuidos '!C1819)))</f>
        <v>Carnes rojas</v>
      </c>
      <c r="C2866" s="10" t="s">
        <v>29</v>
      </c>
      <c r="D2866" s="12">
        <f>'Volúmenes DIstribuidos '!D1819</f>
        <v>20.059999999999999</v>
      </c>
      <c r="E2866" s="12">
        <f>SUMIF('Parametros Inventario'!$A:$A,B2866,'Parametros Inventario'!$B:$B)+SUMIFS(D$2:D2866,B$2:B2866,B2866,C$2:C2866,"ENTRADA")-SUMIFS(D$2:D2866,B$2:B2866,B2866,C$2:C2866,"SALIDA")</f>
        <v>12873.765000000001</v>
      </c>
    </row>
    <row r="2867" spans="1:5" x14ac:dyDescent="0.3">
      <c r="A2867" s="9">
        <f>'Volúmenes DIstribuidos '!B1815</f>
        <v>45104</v>
      </c>
      <c r="B2867" s="10" t="str">
        <f>IF(OR('Volúmenes DIstribuidos '!C1820="Azúcar",'Volúmenes DIstribuidos '!C1820="azúcar"),"Azúcar o dulce",IF('Volúmenes DIstribuidos '!C1820="Aceite","Aceite o grasas",IF('Volúmenes DIstribuidos '!C1820="Avena","Otros almidones",'Volúmenes DIstribuidos '!C1820)))</f>
        <v>Menestras</v>
      </c>
      <c r="C2867" s="10" t="s">
        <v>29</v>
      </c>
      <c r="D2867" s="12">
        <f>'Volúmenes DIstribuidos '!D1820</f>
        <v>38.1</v>
      </c>
      <c r="E2867" s="12">
        <f>SUMIF('Parametros Inventario'!$A:$A,B2867,'Parametros Inventario'!$B:$B)+SUMIFS(D$2:D2867,B$2:B2867,B2867,C$2:C2867,"ENTRADA")-SUMIFS(D$2:D2867,B$2:B2867,B2867,C$2:C2867,"SALIDA")</f>
        <v>13405.335000000006</v>
      </c>
    </row>
    <row r="2868" spans="1:5" x14ac:dyDescent="0.3">
      <c r="A2868" s="9">
        <v>45107</v>
      </c>
      <c r="B2868" s="10" t="s">
        <v>9</v>
      </c>
      <c r="C2868" s="10" t="s">
        <v>28</v>
      </c>
      <c r="D2868" s="12">
        <v>130.55000000000001</v>
      </c>
      <c r="E2868" s="12">
        <f>SUMIF('Parametros Inventario'!$A:$A,B2868,'Parametros Inventario'!$B:$B)+SUMIFS(D$2:D2868,B$2:B2868,B2868,C$2:C2868,"ENTRADA")-SUMIFS(D$2:D2868,B$2:B2868,B2868,C$2:C2868,"SALIDA")</f>
        <v>10434.32</v>
      </c>
    </row>
    <row r="2869" spans="1:5" x14ac:dyDescent="0.3">
      <c r="A2869" s="9">
        <v>45107</v>
      </c>
      <c r="B2869" s="10" t="s">
        <v>14</v>
      </c>
      <c r="C2869" s="10" t="s">
        <v>28</v>
      </c>
      <c r="D2869" s="12">
        <v>208.44</v>
      </c>
      <c r="E2869" s="12">
        <f>SUMIF('Parametros Inventario'!$A:$A,B2869,'Parametros Inventario'!$B:$B)+SUMIFS(D$2:D2869,B$2:B2869,B2869,C$2:C2869,"ENTRADA")-SUMIFS(D$2:D2869,B$2:B2869,B2869,C$2:C2869,"SALIDA")</f>
        <v>13613.775000000005</v>
      </c>
    </row>
    <row r="2870" spans="1:5" x14ac:dyDescent="0.3">
      <c r="A2870" s="9">
        <v>45107</v>
      </c>
      <c r="B2870" s="10" t="s">
        <v>12</v>
      </c>
      <c r="C2870" s="10" t="s">
        <v>28</v>
      </c>
      <c r="D2870" s="12">
        <v>268.36</v>
      </c>
      <c r="E2870" s="12">
        <f>SUMIF('Parametros Inventario'!$A:$A,B2870,'Parametros Inventario'!$B:$B)+SUMIFS(D$2:D2870,B$2:B2870,B2870,C$2:C2870,"ENTRADA")-SUMIFS(D$2:D2870,B$2:B2870,B2870,C$2:C2870,"SALIDA")</f>
        <v>13142.125000000002</v>
      </c>
    </row>
    <row r="2871" spans="1:5" x14ac:dyDescent="0.3">
      <c r="A2871" s="9">
        <v>45107</v>
      </c>
      <c r="B2871" s="10" t="s">
        <v>16</v>
      </c>
      <c r="C2871" s="10" t="s">
        <v>28</v>
      </c>
      <c r="D2871" s="12">
        <v>292.39999999999998</v>
      </c>
      <c r="E2871" s="12">
        <f>SUMIF('Parametros Inventario'!$A:$A,B2871,'Parametros Inventario'!$B:$B)+SUMIFS(D$2:D2871,B$2:B2871,B2871,C$2:C2871,"ENTRADA")-SUMIFS(D$2:D2871,B$2:B2871,B2871,C$2:C2871,"SALIDA")</f>
        <v>12756.401999999996</v>
      </c>
    </row>
    <row r="2872" spans="1:5" x14ac:dyDescent="0.3">
      <c r="A2872" s="9">
        <v>45107</v>
      </c>
      <c r="B2872" s="10" t="s">
        <v>17</v>
      </c>
      <c r="C2872" s="10" t="s">
        <v>28</v>
      </c>
      <c r="D2872" s="12">
        <v>233.95</v>
      </c>
      <c r="E2872" s="12">
        <f>SUMIF('Parametros Inventario'!$A:$A,B2872,'Parametros Inventario'!$B:$B)+SUMIFS(D$2:D2872,B$2:B2872,B2872,C$2:C2872,"ENTRADA")-SUMIFS(D$2:D2872,B$2:B2872,B2872,C$2:C2872,"SALIDA")</f>
        <v>11478.670999999997</v>
      </c>
    </row>
    <row r="2873" spans="1:5" x14ac:dyDescent="0.3">
      <c r="A2873" s="9">
        <v>45107</v>
      </c>
      <c r="B2873" s="10" t="s">
        <v>18</v>
      </c>
      <c r="C2873" s="10" t="s">
        <v>28</v>
      </c>
      <c r="D2873" s="12">
        <v>219.48</v>
      </c>
      <c r="E2873" s="12">
        <f>SUMIF('Parametros Inventario'!$A:$A,B2873,'Parametros Inventario'!$B:$B)+SUMIFS(D$2:D2873,B$2:B2873,B2873,C$2:C2873,"ENTRADA")-SUMIFS(D$2:D2873,B$2:B2873,B2873,C$2:C2873,"SALIDA")</f>
        <v>12380.8</v>
      </c>
    </row>
    <row r="2874" spans="1:5" x14ac:dyDescent="0.3">
      <c r="A2874" s="9">
        <v>45107</v>
      </c>
      <c r="B2874" s="10" t="s">
        <v>10</v>
      </c>
      <c r="C2874" s="10" t="s">
        <v>28</v>
      </c>
      <c r="D2874" s="12">
        <v>108.39</v>
      </c>
      <c r="E2874" s="12">
        <f>SUMIF('Parametros Inventario'!$A:$A,B2874,'Parametros Inventario'!$B:$B)+SUMIFS(D$2:D2874,B$2:B2874,B2874,C$2:C2874,"ENTRADA")-SUMIFS(D$2:D2874,B$2:B2874,B2874,C$2:C2874,"SALIDA")</f>
        <v>13991.385999999995</v>
      </c>
    </row>
    <row r="2875" spans="1:5" x14ac:dyDescent="0.3">
      <c r="A2875" s="9">
        <v>45107</v>
      </c>
      <c r="B2875" s="10" t="s">
        <v>8</v>
      </c>
      <c r="C2875" s="10" t="s">
        <v>28</v>
      </c>
      <c r="D2875" s="12">
        <v>171.13</v>
      </c>
      <c r="E2875" s="12">
        <f>SUMIF('Parametros Inventario'!$A:$A,B2875,'Parametros Inventario'!$B:$B)+SUMIFS(D$2:D2875,B$2:B2875,B2875,C$2:C2875,"ENTRADA")-SUMIFS(D$2:D2875,B$2:B2875,B2875,C$2:C2875,"SALIDA")</f>
        <v>12221.949000000004</v>
      </c>
    </row>
    <row r="2876" spans="1:5" x14ac:dyDescent="0.3">
      <c r="A2876" s="9">
        <f>'Volúmenes DIstribuidos '!B1821</f>
        <v>45107</v>
      </c>
      <c r="B2876" s="10" t="str">
        <f>IF(OR('Volúmenes DIstribuidos '!C1821="Azúcar",'Volúmenes DIstribuidos '!C1821="azúcar"),"Azúcar o dulce",IF('Volúmenes DIstribuidos '!C1821="Aceite","Aceite o grasas",IF('Volúmenes DIstribuidos '!C1821="Avena","Otros almidones",'Volúmenes DIstribuidos '!C1821)))</f>
        <v>Azúcar o dulce</v>
      </c>
      <c r="C2876" s="10" t="s">
        <v>29</v>
      </c>
      <c r="D2876" s="12">
        <f>'Volúmenes DIstribuidos '!D1821</f>
        <v>55.750999999999998</v>
      </c>
      <c r="E2876" s="12">
        <f>SUMIF('Parametros Inventario'!$A:$A,B2876,'Parametros Inventario'!$B:$B)+SUMIFS(D$2:D2876,B$2:B2876,B2876,C$2:C2876,"ENTRADA")-SUMIFS(D$2:D2876,B$2:B2876,B2876,C$2:C2876,"SALIDA")</f>
        <v>11956.206000000002</v>
      </c>
    </row>
    <row r="2877" spans="1:5" x14ac:dyDescent="0.3">
      <c r="A2877" s="9">
        <f>'Volúmenes DIstribuidos '!B1821</f>
        <v>45107</v>
      </c>
      <c r="B2877" s="10" t="str">
        <f>IF(OR('Volúmenes DIstribuidos '!C1822="Azúcar",'Volúmenes DIstribuidos '!C1822="azúcar"),"Azúcar o dulce",IF('Volúmenes DIstribuidos '!C1822="Aceite","Aceite o grasas",IF('Volúmenes DIstribuidos '!C1822="Avena","Otros almidones",'Volúmenes DIstribuidos '!C1822)))</f>
        <v>Panadería</v>
      </c>
      <c r="C2877" s="10" t="s">
        <v>29</v>
      </c>
      <c r="D2877" s="12">
        <f>'Volúmenes DIstribuidos '!D1822</f>
        <v>23.4</v>
      </c>
      <c r="E2877" s="12">
        <f>SUMIF('Parametros Inventario'!$A:$A,B2877,'Parametros Inventario'!$B:$B)+SUMIFS(D$2:D2877,B$2:B2877,B2877,C$2:C2877,"ENTRADA")-SUMIFS(D$2:D2877,B$2:B2877,B2877,C$2:C2877,"SALIDA")</f>
        <v>10410.92</v>
      </c>
    </row>
    <row r="2878" spans="1:5" x14ac:dyDescent="0.3">
      <c r="A2878" s="9">
        <f>'Volúmenes DIstribuidos '!B1821</f>
        <v>45107</v>
      </c>
      <c r="B2878" s="10" t="str">
        <f>IF(OR('Volúmenes DIstribuidos '!C1823="Azúcar",'Volúmenes DIstribuidos '!C1823="azúcar"),"Azúcar o dulce",IF('Volúmenes DIstribuidos '!C1823="Aceite","Aceite o grasas",IF('Volúmenes DIstribuidos '!C1823="Avena","Otros almidones",'Volúmenes DIstribuidos '!C1823)))</f>
        <v>Aceite o grasas</v>
      </c>
      <c r="C2878" s="10" t="s">
        <v>29</v>
      </c>
      <c r="D2878" s="12">
        <f>'Volúmenes DIstribuidos '!D1823</f>
        <v>10.64</v>
      </c>
      <c r="E2878" s="12">
        <f>SUMIF('Parametros Inventario'!$A:$A,B2878,'Parametros Inventario'!$B:$B)+SUMIFS(D$2:D2878,B$2:B2878,B2878,C$2:C2878,"ENTRADA")-SUMIFS(D$2:D2878,B$2:B2878,B2878,C$2:C2878,"SALIDA")</f>
        <v>12211.309000000005</v>
      </c>
    </row>
    <row r="2879" spans="1:5" x14ac:dyDescent="0.3">
      <c r="A2879" s="9">
        <f>'Volúmenes DIstribuidos '!B1821</f>
        <v>45107</v>
      </c>
      <c r="B2879" s="10" t="str">
        <f>IF(OR('Volúmenes DIstribuidos '!C1824="Azúcar",'Volúmenes DIstribuidos '!C1824="azúcar"),"Azúcar o dulce",IF('Volúmenes DIstribuidos '!C1824="Aceite","Aceite o grasas",IF('Volúmenes DIstribuidos '!C1824="Avena","Otros almidones",'Volúmenes DIstribuidos '!C1824)))</f>
        <v>Vegetales y hojas</v>
      </c>
      <c r="C2879" s="10" t="s">
        <v>29</v>
      </c>
      <c r="D2879" s="12">
        <f>'Volúmenes DIstribuidos '!D1824</f>
        <v>28.16</v>
      </c>
      <c r="E2879" s="12">
        <f>SUMIF('Parametros Inventario'!$A:$A,B2879,'Parametros Inventario'!$B:$B)+SUMIFS(D$2:D2879,B$2:B2879,B2879,C$2:C2879,"ENTRADA")-SUMIFS(D$2:D2879,B$2:B2879,B2879,C$2:C2879,"SALIDA")</f>
        <v>13963.225999999995</v>
      </c>
    </row>
    <row r="2880" spans="1:5" x14ac:dyDescent="0.3">
      <c r="A2880" s="9">
        <f>'Volúmenes DIstribuidos '!B1821</f>
        <v>45107</v>
      </c>
      <c r="B2880" s="10" t="str">
        <f>IF(OR('Volúmenes DIstribuidos '!C1825="Azúcar",'Volúmenes DIstribuidos '!C1825="azúcar"),"Azúcar o dulce",IF('Volúmenes DIstribuidos '!C1825="Aceite","Aceite o grasas",IF('Volúmenes DIstribuidos '!C1825="Avena","Otros almidones",'Volúmenes DIstribuidos '!C1825)))</f>
        <v>Menestras</v>
      </c>
      <c r="C2880" s="10" t="s">
        <v>29</v>
      </c>
      <c r="D2880" s="12">
        <f>'Volúmenes DIstribuidos '!D1825</f>
        <v>35.56</v>
      </c>
      <c r="E2880" s="12">
        <f>SUMIF('Parametros Inventario'!$A:$A,B2880,'Parametros Inventario'!$B:$B)+SUMIFS(D$2:D2880,B$2:B2880,B2880,C$2:C2880,"ENTRADA")-SUMIFS(D$2:D2880,B$2:B2880,B2880,C$2:C2880,"SALIDA")</f>
        <v>13578.215000000004</v>
      </c>
    </row>
    <row r="2881" spans="1:5" x14ac:dyDescent="0.3">
      <c r="A2881" s="9">
        <f>'Volúmenes DIstribuidos '!B1821</f>
        <v>45107</v>
      </c>
      <c r="B2881" s="10" t="str">
        <f>IF(OR('Volúmenes DIstribuidos '!C1826="Azúcar",'Volúmenes DIstribuidos '!C1826="azúcar"),"Azúcar o dulce",IF('Volúmenes DIstribuidos '!C1826="Aceite","Aceite o grasas",IF('Volúmenes DIstribuidos '!C1826="Avena","Otros almidones",'Volúmenes DIstribuidos '!C1826)))</f>
        <v>Lácteos</v>
      </c>
      <c r="C2881" s="10" t="s">
        <v>29</v>
      </c>
      <c r="D2881" s="12">
        <f>'Volúmenes DIstribuidos '!D1826</f>
        <v>11.24</v>
      </c>
      <c r="E2881" s="12">
        <f>SUMIF('Parametros Inventario'!$A:$A,B2881,'Parametros Inventario'!$B:$B)+SUMIFS(D$2:D2881,B$2:B2881,B2881,C$2:C2881,"ENTRADA")-SUMIFS(D$2:D2881,B$2:B2881,B2881,C$2:C2881,"SALIDA")</f>
        <v>11467.430999999997</v>
      </c>
    </row>
    <row r="2882" spans="1:5" x14ac:dyDescent="0.3">
      <c r="A2882" s="9">
        <v>45111</v>
      </c>
      <c r="B2882" s="10" t="s">
        <v>13</v>
      </c>
      <c r="C2882" s="10" t="s">
        <v>28</v>
      </c>
      <c r="D2882" s="12">
        <v>234.8</v>
      </c>
      <c r="E2882" s="12">
        <f>SUMIF('Parametros Inventario'!$A:$A,B2882,'Parametros Inventario'!$B:$B)+SUMIFS(D$2:D2882,B$2:B2882,B2882,C$2:C2882,"ENTRADA")-SUMIFS(D$2:D2882,B$2:B2882,B2882,C$2:C2882,"SALIDA")</f>
        <v>12191.006000000001</v>
      </c>
    </row>
    <row r="2883" spans="1:5" x14ac:dyDescent="0.3">
      <c r="A2883" s="9">
        <v>45111</v>
      </c>
      <c r="B2883" s="10" t="s">
        <v>15</v>
      </c>
      <c r="C2883" s="10" t="s">
        <v>28</v>
      </c>
      <c r="D2883" s="12">
        <v>248.49</v>
      </c>
      <c r="E2883" s="12">
        <f>SUMIF('Parametros Inventario'!$A:$A,B2883,'Parametros Inventario'!$B:$B)+SUMIFS(D$2:D2883,B$2:B2883,B2883,C$2:C2883,"ENTRADA")-SUMIFS(D$2:D2883,B$2:B2883,B2883,C$2:C2883,"SALIDA")</f>
        <v>13164.647000000004</v>
      </c>
    </row>
    <row r="2884" spans="1:5" x14ac:dyDescent="0.3">
      <c r="A2884" s="9">
        <v>45111</v>
      </c>
      <c r="B2884" s="10" t="s">
        <v>11</v>
      </c>
      <c r="C2884" s="10" t="s">
        <v>28</v>
      </c>
      <c r="D2884" s="12">
        <v>137.08000000000001</v>
      </c>
      <c r="E2884" s="12">
        <f>SUMIF('Parametros Inventario'!$A:$A,B2884,'Parametros Inventario'!$B:$B)+SUMIFS(D$2:D2884,B$2:B2884,B2884,C$2:C2884,"ENTRADA")-SUMIFS(D$2:D2884,B$2:B2884,B2884,C$2:C2884,"SALIDA")</f>
        <v>14161.038999999999</v>
      </c>
    </row>
    <row r="2885" spans="1:5" x14ac:dyDescent="0.3">
      <c r="A2885" s="9">
        <v>45111</v>
      </c>
      <c r="B2885" s="10" t="s">
        <v>9</v>
      </c>
      <c r="C2885" s="10" t="s">
        <v>28</v>
      </c>
      <c r="D2885" s="12">
        <v>284.77</v>
      </c>
      <c r="E2885" s="12">
        <f>SUMIF('Parametros Inventario'!$A:$A,B2885,'Parametros Inventario'!$B:$B)+SUMIFS(D$2:D2885,B$2:B2885,B2885,C$2:C2885,"ENTRADA")-SUMIFS(D$2:D2885,B$2:B2885,B2885,C$2:C2885,"SALIDA")</f>
        <v>10695.69</v>
      </c>
    </row>
    <row r="2886" spans="1:5" x14ac:dyDescent="0.3">
      <c r="A2886" s="9">
        <v>45111</v>
      </c>
      <c r="B2886" s="10" t="s">
        <v>14</v>
      </c>
      <c r="C2886" s="10" t="s">
        <v>28</v>
      </c>
      <c r="D2886" s="12">
        <v>285.37</v>
      </c>
      <c r="E2886" s="12">
        <f>SUMIF('Parametros Inventario'!$A:$A,B2886,'Parametros Inventario'!$B:$B)+SUMIFS(D$2:D2886,B$2:B2886,B2886,C$2:C2886,"ENTRADA")-SUMIFS(D$2:D2886,B$2:B2886,B2886,C$2:C2886,"SALIDA")</f>
        <v>13863.585000000003</v>
      </c>
    </row>
    <row r="2887" spans="1:5" x14ac:dyDescent="0.3">
      <c r="A2887" s="9">
        <v>45111</v>
      </c>
      <c r="B2887" s="10" t="s">
        <v>12</v>
      </c>
      <c r="C2887" s="10" t="s">
        <v>28</v>
      </c>
      <c r="D2887" s="12">
        <v>169.03</v>
      </c>
      <c r="E2887" s="12">
        <f>SUMIF('Parametros Inventario'!$A:$A,B2887,'Parametros Inventario'!$B:$B)+SUMIFS(D$2:D2887,B$2:B2887,B2887,C$2:C2887,"ENTRADA")-SUMIFS(D$2:D2887,B$2:B2887,B2887,C$2:C2887,"SALIDA")</f>
        <v>13311.155000000001</v>
      </c>
    </row>
    <row r="2888" spans="1:5" x14ac:dyDescent="0.3">
      <c r="A2888" s="9">
        <v>45111</v>
      </c>
      <c r="B2888" s="10" t="s">
        <v>16</v>
      </c>
      <c r="C2888" s="10" t="s">
        <v>28</v>
      </c>
      <c r="D2888" s="12">
        <v>214.58</v>
      </c>
      <c r="E2888" s="12">
        <f>SUMIF('Parametros Inventario'!$A:$A,B2888,'Parametros Inventario'!$B:$B)+SUMIFS(D$2:D2888,B$2:B2888,B2888,C$2:C2888,"ENTRADA")-SUMIFS(D$2:D2888,B$2:B2888,B2888,C$2:C2888,"SALIDA")</f>
        <v>12970.981999999998</v>
      </c>
    </row>
    <row r="2889" spans="1:5" x14ac:dyDescent="0.3">
      <c r="A2889" s="9">
        <v>45111</v>
      </c>
      <c r="B2889" s="10" t="s">
        <v>17</v>
      </c>
      <c r="C2889" s="10" t="s">
        <v>28</v>
      </c>
      <c r="D2889" s="12">
        <v>224.87</v>
      </c>
      <c r="E2889" s="12">
        <f>SUMIF('Parametros Inventario'!$A:$A,B2889,'Parametros Inventario'!$B:$B)+SUMIFS(D$2:D2889,B$2:B2889,B2889,C$2:C2889,"ENTRADA")-SUMIFS(D$2:D2889,B$2:B2889,B2889,C$2:C2889,"SALIDA")</f>
        <v>11692.300999999996</v>
      </c>
    </row>
    <row r="2890" spans="1:5" x14ac:dyDescent="0.3">
      <c r="A2890" s="9">
        <v>45111</v>
      </c>
      <c r="B2890" s="10" t="s">
        <v>18</v>
      </c>
      <c r="C2890" s="10" t="s">
        <v>28</v>
      </c>
      <c r="D2890" s="12">
        <v>75.11</v>
      </c>
      <c r="E2890" s="12">
        <f>SUMIF('Parametros Inventario'!$A:$A,B2890,'Parametros Inventario'!$B:$B)+SUMIFS(D$2:D2890,B$2:B2890,B2890,C$2:C2890,"ENTRADA")-SUMIFS(D$2:D2890,B$2:B2890,B2890,C$2:C2890,"SALIDA")</f>
        <v>12455.91</v>
      </c>
    </row>
    <row r="2891" spans="1:5" x14ac:dyDescent="0.3">
      <c r="A2891" s="9">
        <v>45111</v>
      </c>
      <c r="B2891" s="10" t="s">
        <v>10</v>
      </c>
      <c r="C2891" s="10" t="s">
        <v>28</v>
      </c>
      <c r="D2891" s="12">
        <v>146.21</v>
      </c>
      <c r="E2891" s="12">
        <f>SUMIF('Parametros Inventario'!$A:$A,B2891,'Parametros Inventario'!$B:$B)+SUMIFS(D$2:D2891,B$2:B2891,B2891,C$2:C2891,"ENTRADA")-SUMIFS(D$2:D2891,B$2:B2891,B2891,C$2:C2891,"SALIDA")</f>
        <v>14109.435999999994</v>
      </c>
    </row>
    <row r="2892" spans="1:5" x14ac:dyDescent="0.3">
      <c r="A2892" s="9">
        <v>45111</v>
      </c>
      <c r="B2892" s="10" t="s">
        <v>8</v>
      </c>
      <c r="C2892" s="10" t="s">
        <v>28</v>
      </c>
      <c r="D2892" s="12">
        <v>201.79</v>
      </c>
      <c r="E2892" s="12">
        <f>SUMIF('Parametros Inventario'!$A:$A,B2892,'Parametros Inventario'!$B:$B)+SUMIFS(D$2:D2892,B$2:B2892,B2892,C$2:C2892,"ENTRADA")-SUMIFS(D$2:D2892,B$2:B2892,B2892,C$2:C2892,"SALIDA")</f>
        <v>12413.099000000006</v>
      </c>
    </row>
    <row r="2893" spans="1:5" x14ac:dyDescent="0.3">
      <c r="A2893" s="9">
        <f>'Volúmenes DIstribuidos '!B1827</f>
        <v>45111</v>
      </c>
      <c r="B2893" s="10" t="str">
        <f>IF(OR('Volúmenes DIstribuidos '!C1827="Azúcar",'Volúmenes DIstribuidos '!C1827="azúcar"),"Azúcar o dulce",IF('Volúmenes DIstribuidos '!C1827="Aceite","Aceite o grasas",IF('Volúmenes DIstribuidos '!C1827="Avena","Otros almidones",'Volúmenes DIstribuidos '!C1827)))</f>
        <v>Otros almidones</v>
      </c>
      <c r="C2893" s="10" t="s">
        <v>29</v>
      </c>
      <c r="D2893" s="12">
        <f>'Volúmenes DIstribuidos '!D1827</f>
        <v>2.91</v>
      </c>
      <c r="E2893" s="12">
        <f>SUMIF('Parametros Inventario'!$A:$A,B2893,'Parametros Inventario'!$B:$B)+SUMIFS(D$2:D2893,B$2:B2893,B2893,C$2:C2893,"ENTRADA")-SUMIFS(D$2:D2893,B$2:B2893,B2893,C$2:C2893,"SALIDA")</f>
        <v>13161.737000000005</v>
      </c>
    </row>
    <row r="2894" spans="1:5" x14ac:dyDescent="0.3">
      <c r="A2894" s="9">
        <f>'Volúmenes DIstribuidos '!B1827</f>
        <v>45111</v>
      </c>
      <c r="B2894" s="10" t="str">
        <f>IF(OR('Volúmenes DIstribuidos '!C1828="Azúcar",'Volúmenes DIstribuidos '!C1828="azúcar"),"Azúcar o dulce",IF('Volúmenes DIstribuidos '!C1828="Aceite","Aceite o grasas",IF('Volúmenes DIstribuidos '!C1828="Avena","Otros almidones",'Volúmenes DIstribuidos '!C1828)))</f>
        <v>Vegetales y hojas</v>
      </c>
      <c r="C2894" s="10" t="s">
        <v>29</v>
      </c>
      <c r="D2894" s="12">
        <f>'Volúmenes DIstribuidos '!D1828</f>
        <v>21.16</v>
      </c>
      <c r="E2894" s="12">
        <f>SUMIF('Parametros Inventario'!$A:$A,B2894,'Parametros Inventario'!$B:$B)+SUMIFS(D$2:D2894,B$2:B2894,B2894,C$2:C2894,"ENTRADA")-SUMIFS(D$2:D2894,B$2:B2894,B2894,C$2:C2894,"SALIDA")</f>
        <v>14088.275999999994</v>
      </c>
    </row>
    <row r="2895" spans="1:5" x14ac:dyDescent="0.3">
      <c r="A2895" s="9">
        <f>'Volúmenes DIstribuidos '!B1827</f>
        <v>45111</v>
      </c>
      <c r="B2895" s="10" t="str">
        <f>IF(OR('Volúmenes DIstribuidos '!C1829="Azúcar",'Volúmenes DIstribuidos '!C1829="azúcar"),"Azúcar o dulce",IF('Volúmenes DIstribuidos '!C1829="Aceite","Aceite o grasas",IF('Volúmenes DIstribuidos '!C1829="Avena","Otros almidones",'Volúmenes DIstribuidos '!C1829)))</f>
        <v>Fideo</v>
      </c>
      <c r="C2895" s="10" t="s">
        <v>29</v>
      </c>
      <c r="D2895" s="12">
        <f>'Volúmenes DIstribuidos '!D1829</f>
        <v>6.91</v>
      </c>
      <c r="E2895" s="12">
        <f>SUMIF('Parametros Inventario'!$A:$A,B2895,'Parametros Inventario'!$B:$B)+SUMIFS(D$2:D2895,B$2:B2895,B2895,C$2:C2895,"ENTRADA")-SUMIFS(D$2:D2895,B$2:B2895,B2895,C$2:C2895,"SALIDA")</f>
        <v>14154.128999999999</v>
      </c>
    </row>
    <row r="2896" spans="1:5" x14ac:dyDescent="0.3">
      <c r="A2896" s="9">
        <f>'Volúmenes DIstribuidos '!B1827</f>
        <v>45111</v>
      </c>
      <c r="B2896" s="10" t="str">
        <f>IF(OR('Volúmenes DIstribuidos '!C1830="Azúcar",'Volúmenes DIstribuidos '!C1830="azúcar"),"Azúcar o dulce",IF('Volúmenes DIstribuidos '!C1830="Aceite","Aceite o grasas",IF('Volúmenes DIstribuidos '!C1830="Avena","Otros almidones",'Volúmenes DIstribuidos '!C1830)))</f>
        <v>Lácteos</v>
      </c>
      <c r="C2896" s="10" t="s">
        <v>29</v>
      </c>
      <c r="D2896" s="12">
        <f>'Volúmenes DIstribuidos '!D1830</f>
        <v>173.46899999999999</v>
      </c>
      <c r="E2896" s="12">
        <f>SUMIF('Parametros Inventario'!$A:$A,B2896,'Parametros Inventario'!$B:$B)+SUMIFS(D$2:D2896,B$2:B2896,B2896,C$2:C2896,"ENTRADA")-SUMIFS(D$2:D2896,B$2:B2896,B2896,C$2:C2896,"SALIDA")</f>
        <v>11518.831999999995</v>
      </c>
    </row>
    <row r="2897" spans="1:5" x14ac:dyDescent="0.3">
      <c r="A2897" s="9">
        <f>'Volúmenes DIstribuidos '!B1827</f>
        <v>45111</v>
      </c>
      <c r="B2897" s="10" t="str">
        <f>IF(OR('Volúmenes DIstribuidos '!C1831="Azúcar",'Volúmenes DIstribuidos '!C1831="azúcar"),"Azúcar o dulce",IF('Volúmenes DIstribuidos '!C1831="Aceite","Aceite o grasas",IF('Volúmenes DIstribuidos '!C1831="Avena","Otros almidones",'Volúmenes DIstribuidos '!C1831)))</f>
        <v>Fideo</v>
      </c>
      <c r="C2897" s="10" t="s">
        <v>29</v>
      </c>
      <c r="D2897" s="12">
        <f>'Volúmenes DIstribuidos '!D1831</f>
        <v>140</v>
      </c>
      <c r="E2897" s="12">
        <f>SUMIF('Parametros Inventario'!$A:$A,B2897,'Parametros Inventario'!$B:$B)+SUMIFS(D$2:D2897,B$2:B2897,B2897,C$2:C2897,"ENTRADA")-SUMIFS(D$2:D2897,B$2:B2897,B2897,C$2:C2897,"SALIDA")</f>
        <v>14014.128999999999</v>
      </c>
    </row>
    <row r="2898" spans="1:5" x14ac:dyDescent="0.3">
      <c r="A2898" s="9">
        <f>'Volúmenes DIstribuidos '!B1827</f>
        <v>45111</v>
      </c>
      <c r="B2898" s="10" t="str">
        <f>IF(OR('Volúmenes DIstribuidos '!C1832="Azúcar",'Volúmenes DIstribuidos '!C1832="azúcar"),"Azúcar o dulce",IF('Volúmenes DIstribuidos '!C1832="Aceite","Aceite o grasas",IF('Volúmenes DIstribuidos '!C1832="Avena","Otros almidones",'Volúmenes DIstribuidos '!C1832)))</f>
        <v>Azúcar o dulce</v>
      </c>
      <c r="C2898" s="10" t="s">
        <v>29</v>
      </c>
      <c r="D2898" s="12">
        <f>'Volúmenes DIstribuidos '!D1832</f>
        <v>23.6</v>
      </c>
      <c r="E2898" s="12">
        <f>SUMIF('Parametros Inventario'!$A:$A,B2898,'Parametros Inventario'!$B:$B)+SUMIFS(D$2:D2898,B$2:B2898,B2898,C$2:C2898,"ENTRADA")-SUMIFS(D$2:D2898,B$2:B2898,B2898,C$2:C2898,"SALIDA")</f>
        <v>12167.406000000003</v>
      </c>
    </row>
    <row r="2899" spans="1:5" x14ac:dyDescent="0.3">
      <c r="A2899" s="9">
        <v>45114</v>
      </c>
      <c r="B2899" s="10" t="s">
        <v>13</v>
      </c>
      <c r="C2899" s="10" t="s">
        <v>28</v>
      </c>
      <c r="D2899" s="12">
        <v>227.99</v>
      </c>
      <c r="E2899" s="12">
        <f>SUMIF('Parametros Inventario'!$A:$A,B2899,'Parametros Inventario'!$B:$B)+SUMIFS(D$2:D2899,B$2:B2899,B2899,C$2:C2899,"ENTRADA")-SUMIFS(D$2:D2899,B$2:B2899,B2899,C$2:C2899,"SALIDA")</f>
        <v>12395.396000000004</v>
      </c>
    </row>
    <row r="2900" spans="1:5" x14ac:dyDescent="0.3">
      <c r="A2900" s="9">
        <v>45114</v>
      </c>
      <c r="B2900" s="10" t="s">
        <v>15</v>
      </c>
      <c r="C2900" s="10" t="s">
        <v>28</v>
      </c>
      <c r="D2900" s="12">
        <v>267.45999999999998</v>
      </c>
      <c r="E2900" s="12">
        <f>SUMIF('Parametros Inventario'!$A:$A,B2900,'Parametros Inventario'!$B:$B)+SUMIFS(D$2:D2900,B$2:B2900,B2900,C$2:C2900,"ENTRADA")-SUMIFS(D$2:D2900,B$2:B2900,B2900,C$2:C2900,"SALIDA")</f>
        <v>13429.197000000004</v>
      </c>
    </row>
    <row r="2901" spans="1:5" x14ac:dyDescent="0.3">
      <c r="A2901" s="9">
        <v>45114</v>
      </c>
      <c r="B2901" s="10" t="s">
        <v>11</v>
      </c>
      <c r="C2901" s="10" t="s">
        <v>28</v>
      </c>
      <c r="D2901" s="12">
        <v>269.06</v>
      </c>
      <c r="E2901" s="12">
        <f>SUMIF('Parametros Inventario'!$A:$A,B2901,'Parametros Inventario'!$B:$B)+SUMIFS(D$2:D2901,B$2:B2901,B2901,C$2:C2901,"ENTRADA")-SUMIFS(D$2:D2901,B$2:B2901,B2901,C$2:C2901,"SALIDA")</f>
        <v>14283.189</v>
      </c>
    </row>
    <row r="2902" spans="1:5" x14ac:dyDescent="0.3">
      <c r="A2902" s="9">
        <v>45114</v>
      </c>
      <c r="B2902" s="10" t="s">
        <v>9</v>
      </c>
      <c r="C2902" s="10" t="s">
        <v>28</v>
      </c>
      <c r="D2902" s="12">
        <v>246.22</v>
      </c>
      <c r="E2902" s="12">
        <f>SUMIF('Parametros Inventario'!$A:$A,B2902,'Parametros Inventario'!$B:$B)+SUMIFS(D$2:D2902,B$2:B2902,B2902,C$2:C2902,"ENTRADA")-SUMIFS(D$2:D2902,B$2:B2902,B2902,C$2:C2902,"SALIDA")</f>
        <v>10941.910000000002</v>
      </c>
    </row>
    <row r="2903" spans="1:5" x14ac:dyDescent="0.3">
      <c r="A2903" s="9">
        <v>45114</v>
      </c>
      <c r="B2903" s="10" t="s">
        <v>14</v>
      </c>
      <c r="C2903" s="10" t="s">
        <v>28</v>
      </c>
      <c r="D2903" s="12">
        <v>229.17</v>
      </c>
      <c r="E2903" s="12">
        <f>SUMIF('Parametros Inventario'!$A:$A,B2903,'Parametros Inventario'!$B:$B)+SUMIFS(D$2:D2903,B$2:B2903,B2903,C$2:C2903,"ENTRADA")-SUMIFS(D$2:D2903,B$2:B2903,B2903,C$2:C2903,"SALIDA")</f>
        <v>14092.755000000001</v>
      </c>
    </row>
    <row r="2904" spans="1:5" x14ac:dyDescent="0.3">
      <c r="A2904" s="9">
        <v>45114</v>
      </c>
      <c r="B2904" s="10" t="s">
        <v>12</v>
      </c>
      <c r="C2904" s="10" t="s">
        <v>28</v>
      </c>
      <c r="D2904" s="12">
        <v>57.94</v>
      </c>
      <c r="E2904" s="12">
        <f>SUMIF('Parametros Inventario'!$A:$A,B2904,'Parametros Inventario'!$B:$B)+SUMIFS(D$2:D2904,B$2:B2904,B2904,C$2:C2904,"ENTRADA")-SUMIFS(D$2:D2904,B$2:B2904,B2904,C$2:C2904,"SALIDA")</f>
        <v>13369.094999999999</v>
      </c>
    </row>
    <row r="2905" spans="1:5" x14ac:dyDescent="0.3">
      <c r="A2905" s="9">
        <v>45114</v>
      </c>
      <c r="B2905" s="10" t="s">
        <v>16</v>
      </c>
      <c r="C2905" s="10" t="s">
        <v>28</v>
      </c>
      <c r="D2905" s="12">
        <v>174.48</v>
      </c>
      <c r="E2905" s="12">
        <f>SUMIF('Parametros Inventario'!$A:$A,B2905,'Parametros Inventario'!$B:$B)+SUMIFS(D$2:D2905,B$2:B2905,B2905,C$2:C2905,"ENTRADA")-SUMIFS(D$2:D2905,B$2:B2905,B2905,C$2:C2905,"SALIDA")</f>
        <v>13145.461999999998</v>
      </c>
    </row>
    <row r="2906" spans="1:5" x14ac:dyDescent="0.3">
      <c r="A2906" s="9">
        <v>45114</v>
      </c>
      <c r="B2906" s="10" t="s">
        <v>17</v>
      </c>
      <c r="C2906" s="10" t="s">
        <v>28</v>
      </c>
      <c r="D2906" s="12">
        <v>71.77</v>
      </c>
      <c r="E2906" s="12">
        <f>SUMIF('Parametros Inventario'!$A:$A,B2906,'Parametros Inventario'!$B:$B)+SUMIFS(D$2:D2906,B$2:B2906,B2906,C$2:C2906,"ENTRADA")-SUMIFS(D$2:D2906,B$2:B2906,B2906,C$2:C2906,"SALIDA")</f>
        <v>11590.601999999995</v>
      </c>
    </row>
    <row r="2907" spans="1:5" x14ac:dyDescent="0.3">
      <c r="A2907" s="9">
        <v>45114</v>
      </c>
      <c r="B2907" s="10" t="s">
        <v>18</v>
      </c>
      <c r="C2907" s="10" t="s">
        <v>28</v>
      </c>
      <c r="D2907" s="12">
        <v>258.08999999999997</v>
      </c>
      <c r="E2907" s="12">
        <f>SUMIF('Parametros Inventario'!$A:$A,B2907,'Parametros Inventario'!$B:$B)+SUMIFS(D$2:D2907,B$2:B2907,B2907,C$2:C2907,"ENTRADA")-SUMIFS(D$2:D2907,B$2:B2907,B2907,C$2:C2907,"SALIDA")</f>
        <v>12714</v>
      </c>
    </row>
    <row r="2908" spans="1:5" x14ac:dyDescent="0.3">
      <c r="A2908" s="9">
        <f>'Volúmenes DIstribuidos '!B1833</f>
        <v>45114</v>
      </c>
      <c r="B2908" s="10" t="str">
        <f>IF(OR('Volúmenes DIstribuidos '!C1833="Azúcar",'Volúmenes DIstribuidos '!C1833="azúcar"),"Azúcar o dulce",IF('Volúmenes DIstribuidos '!C1833="Aceite","Aceite o grasas",IF('Volúmenes DIstribuidos '!C1833="Avena","Otros almidones",'Volúmenes DIstribuidos '!C1833)))</f>
        <v>Carnes blancas</v>
      </c>
      <c r="C2908" s="10" t="s">
        <v>29</v>
      </c>
      <c r="D2908" s="12">
        <f>'Volúmenes DIstribuidos '!D1833</f>
        <v>40</v>
      </c>
      <c r="E2908" s="12">
        <f>SUMIF('Parametros Inventario'!$A:$A,B2908,'Parametros Inventario'!$B:$B)+SUMIFS(D$2:D2908,B$2:B2908,B2908,C$2:C2908,"ENTRADA")-SUMIFS(D$2:D2908,B$2:B2908,B2908,C$2:C2908,"SALIDA")</f>
        <v>13105.461999999998</v>
      </c>
    </row>
    <row r="2909" spans="1:5" x14ac:dyDescent="0.3">
      <c r="A2909" s="9">
        <f>'Volúmenes DIstribuidos '!B1833</f>
        <v>45114</v>
      </c>
      <c r="B2909" s="10" t="str">
        <f>IF(OR('Volúmenes DIstribuidos '!C1834="Azúcar",'Volúmenes DIstribuidos '!C1834="azúcar"),"Azúcar o dulce",IF('Volúmenes DIstribuidos '!C1834="Aceite","Aceite o grasas",IF('Volúmenes DIstribuidos '!C1834="Avena","Otros almidones",'Volúmenes DIstribuidos '!C1834)))</f>
        <v>Salsas</v>
      </c>
      <c r="C2909" s="10" t="s">
        <v>29</v>
      </c>
      <c r="D2909" s="12">
        <f>'Volúmenes DIstribuidos '!D1834</f>
        <v>44.04</v>
      </c>
      <c r="E2909" s="12">
        <f>SUMIF('Parametros Inventario'!$A:$A,B2909,'Parametros Inventario'!$B:$B)+SUMIFS(D$2:D2909,B$2:B2909,B2909,C$2:C2909,"ENTRADA")-SUMIFS(D$2:D2909,B$2:B2909,B2909,C$2:C2909,"SALIDA")</f>
        <v>12669.96</v>
      </c>
    </row>
    <row r="2910" spans="1:5" x14ac:dyDescent="0.3">
      <c r="A2910" s="9">
        <f>'Volúmenes DIstribuidos '!B1833</f>
        <v>45114</v>
      </c>
      <c r="B2910" s="10" t="str">
        <f>IF(OR('Volúmenes DIstribuidos '!C1835="Azúcar",'Volúmenes DIstribuidos '!C1835="azúcar"),"Azúcar o dulce",IF('Volúmenes DIstribuidos '!C1835="Aceite","Aceite o grasas",IF('Volúmenes DIstribuidos '!C1835="Avena","Otros almidones",'Volúmenes DIstribuidos '!C1835)))</f>
        <v>Vegetales y hojas</v>
      </c>
      <c r="C2910" s="10" t="s">
        <v>29</v>
      </c>
      <c r="D2910" s="12">
        <f>'Volúmenes DIstribuidos '!D1835</f>
        <v>22.506</v>
      </c>
      <c r="E2910" s="12">
        <f>SUMIF('Parametros Inventario'!$A:$A,B2910,'Parametros Inventario'!$B:$B)+SUMIFS(D$2:D2910,B$2:B2910,B2910,C$2:C2910,"ENTRADA")-SUMIFS(D$2:D2910,B$2:B2910,B2910,C$2:C2910,"SALIDA")</f>
        <v>14065.769999999995</v>
      </c>
    </row>
    <row r="2911" spans="1:5" x14ac:dyDescent="0.3">
      <c r="A2911" s="9">
        <f>'Volúmenes DIstribuidos '!B1833</f>
        <v>45114</v>
      </c>
      <c r="B2911" s="10" t="str">
        <f>IF(OR('Volúmenes DIstribuidos '!C1836="Azúcar",'Volúmenes DIstribuidos '!C1836="azúcar"),"Azúcar o dulce",IF('Volúmenes DIstribuidos '!C1836="Aceite","Aceite o grasas",IF('Volúmenes DIstribuidos '!C1836="Avena","Otros almidones",'Volúmenes DIstribuidos '!C1836)))</f>
        <v>Aceite o grasas</v>
      </c>
      <c r="C2911" s="10" t="s">
        <v>29</v>
      </c>
      <c r="D2911" s="12">
        <f>'Volúmenes DIstribuidos '!D1836</f>
        <v>32.82</v>
      </c>
      <c r="E2911" s="12">
        <f>SUMIF('Parametros Inventario'!$A:$A,B2911,'Parametros Inventario'!$B:$B)+SUMIFS(D$2:D2911,B$2:B2911,B2911,C$2:C2911,"ENTRADA")-SUMIFS(D$2:D2911,B$2:B2911,B2911,C$2:C2911,"SALIDA")</f>
        <v>12380.279000000006</v>
      </c>
    </row>
    <row r="2912" spans="1:5" x14ac:dyDescent="0.3">
      <c r="A2912" s="9">
        <f>'Volúmenes DIstribuidos '!B1833</f>
        <v>45114</v>
      </c>
      <c r="B2912" s="10" t="str">
        <f>IF(OR('Volúmenes DIstribuidos '!C1837="Azúcar",'Volúmenes DIstribuidos '!C1837="azúcar"),"Azúcar o dulce",IF('Volúmenes DIstribuidos '!C1837="Aceite","Aceite o grasas",IF('Volúmenes DIstribuidos '!C1837="Avena","Otros almidones",'Volúmenes DIstribuidos '!C1837)))</f>
        <v>Lácteos</v>
      </c>
      <c r="C2912" s="10" t="s">
        <v>29</v>
      </c>
      <c r="D2912" s="12">
        <f>'Volúmenes DIstribuidos '!D1837</f>
        <v>12.7</v>
      </c>
      <c r="E2912" s="12">
        <f>SUMIF('Parametros Inventario'!$A:$A,B2912,'Parametros Inventario'!$B:$B)+SUMIFS(D$2:D2912,B$2:B2912,B2912,C$2:C2912,"ENTRADA")-SUMIFS(D$2:D2912,B$2:B2912,B2912,C$2:C2912,"SALIDA")</f>
        <v>11577.901999999996</v>
      </c>
    </row>
    <row r="2913" spans="1:5" x14ac:dyDescent="0.3">
      <c r="A2913" s="9">
        <f>'Volúmenes DIstribuidos '!B1833</f>
        <v>45114</v>
      </c>
      <c r="B2913" s="10" t="str">
        <f>IF(OR('Volúmenes DIstribuidos '!C1838="Azúcar",'Volúmenes DIstribuidos '!C1838="azúcar"),"Azúcar o dulce",IF('Volúmenes DIstribuidos '!C1838="Aceite","Aceite o grasas",IF('Volúmenes DIstribuidos '!C1838="Avena","Otros almidones",'Volúmenes DIstribuidos '!C1838)))</f>
        <v>Salsas</v>
      </c>
      <c r="C2913" s="10" t="s">
        <v>29</v>
      </c>
      <c r="D2913" s="12">
        <f>'Volúmenes DIstribuidos '!D1838</f>
        <v>18.12</v>
      </c>
      <c r="E2913" s="12">
        <f>SUMIF('Parametros Inventario'!$A:$A,B2913,'Parametros Inventario'!$B:$B)+SUMIFS(D$2:D2913,B$2:B2913,B2913,C$2:C2913,"ENTRADA")-SUMIFS(D$2:D2913,B$2:B2913,B2913,C$2:C2913,"SALIDA")</f>
        <v>12651.84</v>
      </c>
    </row>
    <row r="2914" spans="1:5" x14ac:dyDescent="0.3">
      <c r="A2914" s="9">
        <f>'Volúmenes DIstribuidos '!B1839</f>
        <v>45118</v>
      </c>
      <c r="B2914" s="10" t="str">
        <f>IF(OR('Volúmenes DIstribuidos '!C1839="Azúcar",'Volúmenes DIstribuidos '!C1839="azúcar"),"Azúcar o dulce",IF('Volúmenes DIstribuidos '!C1839="Aceite","Aceite o grasas",IF('Volúmenes DIstribuidos '!C1839="Avena","Otros almidones",'Volúmenes DIstribuidos '!C1839)))</f>
        <v>Carnes rojas</v>
      </c>
      <c r="C2914" s="10" t="s">
        <v>29</v>
      </c>
      <c r="D2914" s="12">
        <f>'Volúmenes DIstribuidos '!D1839</f>
        <v>37.950000000000003</v>
      </c>
      <c r="E2914" s="12">
        <f>SUMIF('Parametros Inventario'!$A:$A,B2914,'Parametros Inventario'!$B:$B)+SUMIFS(D$2:D2914,B$2:B2914,B2914,C$2:C2914,"ENTRADA")-SUMIFS(D$2:D2914,B$2:B2914,B2914,C$2:C2914,"SALIDA")</f>
        <v>13331.145</v>
      </c>
    </row>
    <row r="2915" spans="1:5" x14ac:dyDescent="0.3">
      <c r="A2915" s="9">
        <f>'Volúmenes DIstribuidos '!B1839</f>
        <v>45118</v>
      </c>
      <c r="B2915" s="10" t="str">
        <f>IF(OR('Volúmenes DIstribuidos '!C1840="Azúcar",'Volúmenes DIstribuidos '!C1840="azúcar"),"Azúcar o dulce",IF('Volúmenes DIstribuidos '!C1840="Aceite","Aceite o grasas",IF('Volúmenes DIstribuidos '!C1840="Avena","Otros almidones",'Volúmenes DIstribuidos '!C1840)))</f>
        <v>Azúcar o dulce</v>
      </c>
      <c r="C2915" s="10" t="s">
        <v>29</v>
      </c>
      <c r="D2915" s="12">
        <f>'Volúmenes DIstribuidos '!D1840</f>
        <v>60.384999999999998</v>
      </c>
      <c r="E2915" s="12">
        <f>SUMIF('Parametros Inventario'!$A:$A,B2915,'Parametros Inventario'!$B:$B)+SUMIFS(D$2:D2915,B$2:B2915,B2915,C$2:C2915,"ENTRADA")-SUMIFS(D$2:D2915,B$2:B2915,B2915,C$2:C2915,"SALIDA")</f>
        <v>12335.011000000002</v>
      </c>
    </row>
    <row r="2916" spans="1:5" x14ac:dyDescent="0.3">
      <c r="A2916" s="9">
        <f>'Volúmenes DIstribuidos '!B1839</f>
        <v>45118</v>
      </c>
      <c r="B2916" s="10" t="str">
        <f>IF(OR('Volúmenes DIstribuidos '!C1841="Azúcar",'Volúmenes DIstribuidos '!C1841="azúcar"),"Azúcar o dulce",IF('Volúmenes DIstribuidos '!C1841="Aceite","Aceite o grasas",IF('Volúmenes DIstribuidos '!C1841="Avena","Otros almidones",'Volúmenes DIstribuidos '!C1841)))</f>
        <v>Otros almidones</v>
      </c>
      <c r="C2916" s="10" t="s">
        <v>29</v>
      </c>
      <c r="D2916" s="12">
        <f>'Volúmenes DIstribuidos '!D1841</f>
        <v>13.03</v>
      </c>
      <c r="E2916" s="12">
        <f>SUMIF('Parametros Inventario'!$A:$A,B2916,'Parametros Inventario'!$B:$B)+SUMIFS(D$2:D2916,B$2:B2916,B2916,C$2:C2916,"ENTRADA")-SUMIFS(D$2:D2916,B$2:B2916,B2916,C$2:C2916,"SALIDA")</f>
        <v>13416.167000000003</v>
      </c>
    </row>
    <row r="2917" spans="1:5" x14ac:dyDescent="0.3">
      <c r="A2917" s="9">
        <f>'Volúmenes DIstribuidos '!B1839</f>
        <v>45118</v>
      </c>
      <c r="B2917" s="10" t="str">
        <f>IF(OR('Volúmenes DIstribuidos '!C1842="Azúcar",'Volúmenes DIstribuidos '!C1842="azúcar"),"Azúcar o dulce",IF('Volúmenes DIstribuidos '!C1842="Aceite","Aceite o grasas",IF('Volúmenes DIstribuidos '!C1842="Avena","Otros almidones",'Volúmenes DIstribuidos '!C1842)))</f>
        <v>Lácteos</v>
      </c>
      <c r="C2917" s="10" t="s">
        <v>29</v>
      </c>
      <c r="D2917" s="12">
        <f>'Volúmenes DIstribuidos '!D1842</f>
        <v>12.25</v>
      </c>
      <c r="E2917" s="12">
        <f>SUMIF('Parametros Inventario'!$A:$A,B2917,'Parametros Inventario'!$B:$B)+SUMIFS(D$2:D2917,B$2:B2917,B2917,C$2:C2917,"ENTRADA")-SUMIFS(D$2:D2917,B$2:B2917,B2917,C$2:C2917,"SALIDA")</f>
        <v>11565.651999999996</v>
      </c>
    </row>
    <row r="2918" spans="1:5" x14ac:dyDescent="0.3">
      <c r="A2918" s="9">
        <f>'Volúmenes DIstribuidos '!B1839</f>
        <v>45118</v>
      </c>
      <c r="B2918" s="10" t="str">
        <f>IF(OR('Volúmenes DIstribuidos '!C1843="Azúcar",'Volúmenes DIstribuidos '!C1843="azúcar"),"Azúcar o dulce",IF('Volúmenes DIstribuidos '!C1843="Aceite","Aceite o grasas",IF('Volúmenes DIstribuidos '!C1843="Avena","Otros almidones",'Volúmenes DIstribuidos '!C1843)))</f>
        <v>Vegetales y hojas</v>
      </c>
      <c r="C2918" s="10" t="s">
        <v>29</v>
      </c>
      <c r="D2918" s="12">
        <f>'Volúmenes DIstribuidos '!D1843</f>
        <v>12.05</v>
      </c>
      <c r="E2918" s="12">
        <f>SUMIF('Parametros Inventario'!$A:$A,B2918,'Parametros Inventario'!$B:$B)+SUMIFS(D$2:D2918,B$2:B2918,B2918,C$2:C2918,"ENTRADA")-SUMIFS(D$2:D2918,B$2:B2918,B2918,C$2:C2918,"SALIDA")</f>
        <v>14053.719999999994</v>
      </c>
    </row>
    <row r="2919" spans="1:5" x14ac:dyDescent="0.3">
      <c r="A2919" s="9">
        <f>'Volúmenes DIstribuidos '!B1839</f>
        <v>45118</v>
      </c>
      <c r="B2919" s="10" t="str">
        <f>IF(OR('Volúmenes DIstribuidos '!C1844="Azúcar",'Volúmenes DIstribuidos '!C1844="azúcar"),"Azúcar o dulce",IF('Volúmenes DIstribuidos '!C1844="Aceite","Aceite o grasas",IF('Volúmenes DIstribuidos '!C1844="Avena","Otros almidones",'Volúmenes DIstribuidos '!C1844)))</f>
        <v>Aceite o grasas</v>
      </c>
      <c r="C2919" s="10" t="s">
        <v>29</v>
      </c>
      <c r="D2919" s="12">
        <f>'Volúmenes DIstribuidos '!D1844</f>
        <v>27.102</v>
      </c>
      <c r="E2919" s="12">
        <f>SUMIF('Parametros Inventario'!$A:$A,B2919,'Parametros Inventario'!$B:$B)+SUMIFS(D$2:D2919,B$2:B2919,B2919,C$2:C2919,"ENTRADA")-SUMIFS(D$2:D2919,B$2:B2919,B2919,C$2:C2919,"SALIDA")</f>
        <v>12353.177000000005</v>
      </c>
    </row>
    <row r="2920" spans="1:5" x14ac:dyDescent="0.3">
      <c r="A2920" s="9">
        <v>45121</v>
      </c>
      <c r="B2920" s="10" t="s">
        <v>10</v>
      </c>
      <c r="C2920" s="10" t="s">
        <v>28</v>
      </c>
      <c r="D2920" s="12">
        <v>299.08</v>
      </c>
      <c r="E2920" s="12">
        <f>SUMIF('Parametros Inventario'!$A:$A,B2920,'Parametros Inventario'!$B:$B)+SUMIFS(D$2:D2920,B$2:B2920,B2920,C$2:C2920,"ENTRADA")-SUMIFS(D$2:D2920,B$2:B2920,B2920,C$2:C2920,"SALIDA")</f>
        <v>14352.799999999996</v>
      </c>
    </row>
    <row r="2921" spans="1:5" x14ac:dyDescent="0.3">
      <c r="A2921" s="9">
        <v>45121</v>
      </c>
      <c r="B2921" s="10" t="s">
        <v>8</v>
      </c>
      <c r="C2921" s="10" t="s">
        <v>28</v>
      </c>
      <c r="D2921" s="12">
        <v>296.8</v>
      </c>
      <c r="E2921" s="12">
        <f>SUMIF('Parametros Inventario'!$A:$A,B2921,'Parametros Inventario'!$B:$B)+SUMIFS(D$2:D2921,B$2:B2921,B2921,C$2:C2921,"ENTRADA")-SUMIFS(D$2:D2921,B$2:B2921,B2921,C$2:C2921,"SALIDA")</f>
        <v>12649.977000000004</v>
      </c>
    </row>
    <row r="2922" spans="1:5" x14ac:dyDescent="0.3">
      <c r="A2922" s="9">
        <v>45121</v>
      </c>
      <c r="B2922" s="10" t="s">
        <v>13</v>
      </c>
      <c r="C2922" s="10" t="s">
        <v>28</v>
      </c>
      <c r="D2922" s="12">
        <v>166.7</v>
      </c>
      <c r="E2922" s="12">
        <f>SUMIF('Parametros Inventario'!$A:$A,B2922,'Parametros Inventario'!$B:$B)+SUMIFS(D$2:D2922,B$2:B2922,B2922,C$2:C2922,"ENTRADA")-SUMIFS(D$2:D2922,B$2:B2922,B2922,C$2:C2922,"SALIDA")</f>
        <v>12501.711000000003</v>
      </c>
    </row>
    <row r="2923" spans="1:5" x14ac:dyDescent="0.3">
      <c r="A2923" s="9">
        <v>45121</v>
      </c>
      <c r="B2923" s="10" t="s">
        <v>15</v>
      </c>
      <c r="C2923" s="10" t="s">
        <v>28</v>
      </c>
      <c r="D2923" s="12">
        <v>274.10000000000002</v>
      </c>
      <c r="E2923" s="12">
        <f>SUMIF('Parametros Inventario'!$A:$A,B2923,'Parametros Inventario'!$B:$B)+SUMIFS(D$2:D2923,B$2:B2923,B2923,C$2:C2923,"ENTRADA")-SUMIFS(D$2:D2923,B$2:B2923,B2923,C$2:C2923,"SALIDA")</f>
        <v>13690.267000000002</v>
      </c>
    </row>
    <row r="2924" spans="1:5" x14ac:dyDescent="0.3">
      <c r="A2924" s="9">
        <v>45121</v>
      </c>
      <c r="B2924" s="10" t="s">
        <v>11</v>
      </c>
      <c r="C2924" s="10" t="s">
        <v>28</v>
      </c>
      <c r="D2924" s="12">
        <v>288.76</v>
      </c>
      <c r="E2924" s="12">
        <f>SUMIF('Parametros Inventario'!$A:$A,B2924,'Parametros Inventario'!$B:$B)+SUMIFS(D$2:D2924,B$2:B2924,B2924,C$2:C2924,"ENTRADA")-SUMIFS(D$2:D2924,B$2:B2924,B2924,C$2:C2924,"SALIDA")</f>
        <v>14571.948999999999</v>
      </c>
    </row>
    <row r="2925" spans="1:5" x14ac:dyDescent="0.3">
      <c r="A2925" s="9">
        <v>45121</v>
      </c>
      <c r="B2925" s="10" t="s">
        <v>9</v>
      </c>
      <c r="C2925" s="10" t="s">
        <v>28</v>
      </c>
      <c r="D2925" s="12">
        <v>170.54</v>
      </c>
      <c r="E2925" s="12">
        <f>SUMIF('Parametros Inventario'!$A:$A,B2925,'Parametros Inventario'!$B:$B)+SUMIFS(D$2:D2925,B$2:B2925,B2925,C$2:C2925,"ENTRADA")-SUMIFS(D$2:D2925,B$2:B2925,B2925,C$2:C2925,"SALIDA")</f>
        <v>11112.450000000003</v>
      </c>
    </row>
    <row r="2926" spans="1:5" x14ac:dyDescent="0.3">
      <c r="A2926" s="9">
        <v>45121</v>
      </c>
      <c r="B2926" s="10" t="s">
        <v>14</v>
      </c>
      <c r="C2926" s="10" t="s">
        <v>28</v>
      </c>
      <c r="D2926" s="12">
        <v>185.17</v>
      </c>
      <c r="E2926" s="12">
        <f>SUMIF('Parametros Inventario'!$A:$A,B2926,'Parametros Inventario'!$B:$B)+SUMIFS(D$2:D2926,B$2:B2926,B2926,C$2:C2926,"ENTRADA")-SUMIFS(D$2:D2926,B$2:B2926,B2926,C$2:C2926,"SALIDA")</f>
        <v>14277.924999999999</v>
      </c>
    </row>
    <row r="2927" spans="1:5" x14ac:dyDescent="0.3">
      <c r="A2927" s="9">
        <v>45121</v>
      </c>
      <c r="B2927" s="10" t="s">
        <v>12</v>
      </c>
      <c r="C2927" s="10" t="s">
        <v>28</v>
      </c>
      <c r="D2927" s="12">
        <v>110.84</v>
      </c>
      <c r="E2927" s="12">
        <f>SUMIF('Parametros Inventario'!$A:$A,B2927,'Parametros Inventario'!$B:$B)+SUMIFS(D$2:D2927,B$2:B2927,B2927,C$2:C2927,"ENTRADA")-SUMIFS(D$2:D2927,B$2:B2927,B2927,C$2:C2927,"SALIDA")</f>
        <v>13441.985000000001</v>
      </c>
    </row>
    <row r="2928" spans="1:5" x14ac:dyDescent="0.3">
      <c r="A2928" s="9">
        <f>'Volúmenes DIstribuidos '!B1845</f>
        <v>45121</v>
      </c>
      <c r="B2928" s="10" t="str">
        <f>IF(OR('Volúmenes DIstribuidos '!C1845="Azúcar",'Volúmenes DIstribuidos '!C1845="azúcar"),"Azúcar o dulce",IF('Volúmenes DIstribuidos '!C1845="Aceite","Aceite o grasas",IF('Volúmenes DIstribuidos '!C1845="Avena","Otros almidones",'Volúmenes DIstribuidos '!C1845)))</f>
        <v>Carnes rojas</v>
      </c>
      <c r="C2928" s="10" t="s">
        <v>29</v>
      </c>
      <c r="D2928" s="12">
        <f>'Volúmenes DIstribuidos '!D1845</f>
        <v>68.72</v>
      </c>
      <c r="E2928" s="12">
        <f>SUMIF('Parametros Inventario'!$A:$A,B2928,'Parametros Inventario'!$B:$B)+SUMIFS(D$2:D2928,B$2:B2928,B2928,C$2:C2928,"ENTRADA")-SUMIFS(D$2:D2928,B$2:B2928,B2928,C$2:C2928,"SALIDA")</f>
        <v>13373.264999999999</v>
      </c>
    </row>
    <row r="2929" spans="1:5" x14ac:dyDescent="0.3">
      <c r="A2929" s="9">
        <f>'Volúmenes DIstribuidos '!B1845</f>
        <v>45121</v>
      </c>
      <c r="B2929" s="10" t="str">
        <f>IF(OR('Volúmenes DIstribuidos '!C1846="Azúcar",'Volúmenes DIstribuidos '!C1846="azúcar"),"Azúcar o dulce",IF('Volúmenes DIstribuidos '!C1846="Aceite","Aceite o grasas",IF('Volúmenes DIstribuidos '!C1846="Avena","Otros almidones",'Volúmenes DIstribuidos '!C1846)))</f>
        <v>Panadería</v>
      </c>
      <c r="C2929" s="10" t="s">
        <v>29</v>
      </c>
      <c r="D2929" s="12">
        <f>'Volúmenes DIstribuidos '!D1846</f>
        <v>39.4</v>
      </c>
      <c r="E2929" s="12">
        <f>SUMIF('Parametros Inventario'!$A:$A,B2929,'Parametros Inventario'!$B:$B)+SUMIFS(D$2:D2929,B$2:B2929,B2929,C$2:C2929,"ENTRADA")-SUMIFS(D$2:D2929,B$2:B2929,B2929,C$2:C2929,"SALIDA")</f>
        <v>11073.050000000003</v>
      </c>
    </row>
    <row r="2930" spans="1:5" x14ac:dyDescent="0.3">
      <c r="A2930" s="9">
        <f>'Volúmenes DIstribuidos '!B1845</f>
        <v>45121</v>
      </c>
      <c r="B2930" s="10" t="str">
        <f>IF(OR('Volúmenes DIstribuidos '!C1847="Azúcar",'Volúmenes DIstribuidos '!C1847="azúcar"),"Azúcar o dulce",IF('Volúmenes DIstribuidos '!C1847="Aceite","Aceite o grasas",IF('Volúmenes DIstribuidos '!C1847="Avena","Otros almidones",'Volúmenes DIstribuidos '!C1847)))</f>
        <v>Vegetales y hojas</v>
      </c>
      <c r="C2930" s="10" t="s">
        <v>29</v>
      </c>
      <c r="D2930" s="12">
        <f>'Volúmenes DIstribuidos '!D1847</f>
        <v>8.2100000000000009</v>
      </c>
      <c r="E2930" s="12">
        <f>SUMIF('Parametros Inventario'!$A:$A,B2930,'Parametros Inventario'!$B:$B)+SUMIFS(D$2:D2930,B$2:B2930,B2930,C$2:C2930,"ENTRADA")-SUMIFS(D$2:D2930,B$2:B2930,B2930,C$2:C2930,"SALIDA")</f>
        <v>14344.589999999997</v>
      </c>
    </row>
    <row r="2931" spans="1:5" x14ac:dyDescent="0.3">
      <c r="A2931" s="9">
        <f>'Volúmenes DIstribuidos '!B1845</f>
        <v>45121</v>
      </c>
      <c r="B2931" s="10" t="str">
        <f>IF(OR('Volúmenes DIstribuidos '!C1848="Azúcar",'Volúmenes DIstribuidos '!C1848="azúcar"),"Azúcar o dulce",IF('Volúmenes DIstribuidos '!C1848="Aceite","Aceite o grasas",IF('Volúmenes DIstribuidos '!C1848="Avena","Otros almidones",'Volúmenes DIstribuidos '!C1848)))</f>
        <v>Salsas</v>
      </c>
      <c r="C2931" s="10" t="s">
        <v>29</v>
      </c>
      <c r="D2931" s="12">
        <f>'Volúmenes DIstribuidos '!D1848</f>
        <v>48.11</v>
      </c>
      <c r="E2931" s="12">
        <f>SUMIF('Parametros Inventario'!$A:$A,B2931,'Parametros Inventario'!$B:$B)+SUMIFS(D$2:D2931,B$2:B2931,B2931,C$2:C2931,"ENTRADA")-SUMIFS(D$2:D2931,B$2:B2931,B2931,C$2:C2931,"SALIDA")</f>
        <v>12603.73</v>
      </c>
    </row>
    <row r="2932" spans="1:5" x14ac:dyDescent="0.3">
      <c r="A2932" s="9">
        <f>'Volúmenes DIstribuidos '!B1845</f>
        <v>45121</v>
      </c>
      <c r="B2932" s="10" t="str">
        <f>IF(OR('Volúmenes DIstribuidos '!C1849="Azúcar",'Volúmenes DIstribuidos '!C1849="azúcar"),"Azúcar o dulce",IF('Volúmenes DIstribuidos '!C1849="Aceite","Aceite o grasas",IF('Volúmenes DIstribuidos '!C1849="Avena","Otros almidones",'Volúmenes DIstribuidos '!C1849)))</f>
        <v>Menestras</v>
      </c>
      <c r="C2932" s="10" t="s">
        <v>29</v>
      </c>
      <c r="D2932" s="12">
        <f>'Volúmenes DIstribuidos '!D1849</f>
        <v>6.6440000000000001</v>
      </c>
      <c r="E2932" s="12">
        <f>SUMIF('Parametros Inventario'!$A:$A,B2932,'Parametros Inventario'!$B:$B)+SUMIFS(D$2:D2932,B$2:B2932,B2932,C$2:C2932,"ENTRADA")-SUMIFS(D$2:D2932,B$2:B2932,B2932,C$2:C2932,"SALIDA")</f>
        <v>14271.280999999999</v>
      </c>
    </row>
    <row r="2933" spans="1:5" x14ac:dyDescent="0.3">
      <c r="A2933" s="9">
        <f>'Volúmenes DIstribuidos '!B1845</f>
        <v>45121</v>
      </c>
      <c r="B2933" s="10" t="str">
        <f>IF(OR('Volúmenes DIstribuidos '!C1850="Azúcar",'Volúmenes DIstribuidos '!C1850="azúcar"),"Azúcar o dulce",IF('Volúmenes DIstribuidos '!C1850="Aceite","Aceite o grasas",IF('Volúmenes DIstribuidos '!C1850="Avena","Otros almidones",'Volúmenes DIstribuidos '!C1850)))</f>
        <v>Lácteos</v>
      </c>
      <c r="C2933" s="10" t="s">
        <v>29</v>
      </c>
      <c r="D2933" s="12">
        <f>'Volúmenes DIstribuidos '!D1850</f>
        <v>32.9</v>
      </c>
      <c r="E2933" s="12">
        <f>SUMIF('Parametros Inventario'!$A:$A,B2933,'Parametros Inventario'!$B:$B)+SUMIFS(D$2:D2933,B$2:B2933,B2933,C$2:C2933,"ENTRADA")-SUMIFS(D$2:D2933,B$2:B2933,B2933,C$2:C2933,"SALIDA")</f>
        <v>11532.751999999997</v>
      </c>
    </row>
    <row r="2934" spans="1:5" x14ac:dyDescent="0.3">
      <c r="A2934" s="9">
        <f>'Volúmenes DIstribuidos '!B1851</f>
        <v>45125</v>
      </c>
      <c r="B2934" s="10" t="str">
        <f>IF(OR('Volúmenes DIstribuidos '!C1851="Azúcar",'Volúmenes DIstribuidos '!C1851="azúcar"),"Azúcar o dulce",IF('Volúmenes DIstribuidos '!C1851="Aceite","Aceite o grasas",IF('Volúmenes DIstribuidos '!C1851="Avena","Otros almidones",'Volúmenes DIstribuidos '!C1851)))</f>
        <v>Azúcar o dulce</v>
      </c>
      <c r="C2934" s="10" t="s">
        <v>29</v>
      </c>
      <c r="D2934" s="12">
        <f>'Volúmenes DIstribuidos '!D1851</f>
        <v>16.760000000000002</v>
      </c>
      <c r="E2934" s="12">
        <f>SUMIF('Parametros Inventario'!$A:$A,B2934,'Parametros Inventario'!$B:$B)+SUMIFS(D$2:D2934,B$2:B2934,B2934,C$2:C2934,"ENTRADA")-SUMIFS(D$2:D2934,B$2:B2934,B2934,C$2:C2934,"SALIDA")</f>
        <v>12484.951000000005</v>
      </c>
    </row>
    <row r="2935" spans="1:5" x14ac:dyDescent="0.3">
      <c r="A2935" s="9">
        <f>'Volúmenes DIstribuidos '!B1851</f>
        <v>45125</v>
      </c>
      <c r="B2935" s="10" t="str">
        <f>IF(OR('Volúmenes DIstribuidos '!C1852="Azúcar",'Volúmenes DIstribuidos '!C1852="azúcar"),"Azúcar o dulce",IF('Volúmenes DIstribuidos '!C1852="Aceite","Aceite o grasas",IF('Volúmenes DIstribuidos '!C1852="Avena","Otros almidones",'Volúmenes DIstribuidos '!C1852)))</f>
        <v>Carnes rojas</v>
      </c>
      <c r="C2935" s="10" t="s">
        <v>29</v>
      </c>
      <c r="D2935" s="12">
        <f>'Volúmenes DIstribuidos '!D1852</f>
        <v>9.2100000000000009</v>
      </c>
      <c r="E2935" s="12">
        <f>SUMIF('Parametros Inventario'!$A:$A,B2935,'Parametros Inventario'!$B:$B)+SUMIFS(D$2:D2935,B$2:B2935,B2935,C$2:C2935,"ENTRADA")-SUMIFS(D$2:D2935,B$2:B2935,B2935,C$2:C2935,"SALIDA")</f>
        <v>13364.055</v>
      </c>
    </row>
    <row r="2936" spans="1:5" x14ac:dyDescent="0.3">
      <c r="A2936" s="9">
        <f>'Volúmenes DIstribuidos '!B1851</f>
        <v>45125</v>
      </c>
      <c r="B2936" s="10" t="str">
        <f>IF(OR('Volúmenes DIstribuidos '!C1853="Azúcar",'Volúmenes DIstribuidos '!C1853="azúcar"),"Azúcar o dulce",IF('Volúmenes DIstribuidos '!C1853="Aceite","Aceite o grasas",IF('Volúmenes DIstribuidos '!C1853="Avena","Otros almidones",'Volúmenes DIstribuidos '!C1853)))</f>
        <v>Carnes blancas</v>
      </c>
      <c r="C2936" s="10" t="s">
        <v>29</v>
      </c>
      <c r="D2936" s="12">
        <f>'Volúmenes DIstribuidos '!D1853</f>
        <v>31.719000000000001</v>
      </c>
      <c r="E2936" s="12">
        <f>SUMIF('Parametros Inventario'!$A:$A,B2936,'Parametros Inventario'!$B:$B)+SUMIFS(D$2:D2936,B$2:B2936,B2936,C$2:C2936,"ENTRADA")-SUMIFS(D$2:D2936,B$2:B2936,B2936,C$2:C2936,"SALIDA")</f>
        <v>13073.742999999999</v>
      </c>
    </row>
    <row r="2937" spans="1:5" x14ac:dyDescent="0.3">
      <c r="A2937" s="9">
        <f>'Volúmenes DIstribuidos '!B1851</f>
        <v>45125</v>
      </c>
      <c r="B2937" s="10" t="str">
        <f>IF(OR('Volúmenes DIstribuidos '!C1854="Azúcar",'Volúmenes DIstribuidos '!C1854="azúcar"),"Azúcar o dulce",IF('Volúmenes DIstribuidos '!C1854="Aceite","Aceite o grasas",IF('Volúmenes DIstribuidos '!C1854="Avena","Otros almidones",'Volúmenes DIstribuidos '!C1854)))</f>
        <v>Salsas</v>
      </c>
      <c r="C2937" s="10" t="s">
        <v>29</v>
      </c>
      <c r="D2937" s="12">
        <f>'Volúmenes DIstribuidos '!D1854</f>
        <v>30.57</v>
      </c>
      <c r="E2937" s="12">
        <f>SUMIF('Parametros Inventario'!$A:$A,B2937,'Parametros Inventario'!$B:$B)+SUMIFS(D$2:D2937,B$2:B2937,B2937,C$2:C2937,"ENTRADA")-SUMIFS(D$2:D2937,B$2:B2937,B2937,C$2:C2937,"SALIDA")</f>
        <v>12573.16</v>
      </c>
    </row>
    <row r="2938" spans="1:5" x14ac:dyDescent="0.3">
      <c r="A2938" s="9">
        <f>'Volúmenes DIstribuidos '!B1851</f>
        <v>45125</v>
      </c>
      <c r="B2938" s="10" t="str">
        <f>IF(OR('Volúmenes DIstribuidos '!C1855="Azúcar",'Volúmenes DIstribuidos '!C1855="azúcar"),"Azúcar o dulce",IF('Volúmenes DIstribuidos '!C1855="Aceite","Aceite o grasas",IF('Volúmenes DIstribuidos '!C1855="Avena","Otros almidones",'Volúmenes DIstribuidos '!C1855)))</f>
        <v>Vegetales y hojas</v>
      </c>
      <c r="C2938" s="10" t="s">
        <v>29</v>
      </c>
      <c r="D2938" s="12">
        <f>'Volúmenes DIstribuidos '!D1855</f>
        <v>43.47</v>
      </c>
      <c r="E2938" s="12">
        <f>SUMIF('Parametros Inventario'!$A:$A,B2938,'Parametros Inventario'!$B:$B)+SUMIFS(D$2:D2938,B$2:B2938,B2938,C$2:C2938,"ENTRADA")-SUMIFS(D$2:D2938,B$2:B2938,B2938,C$2:C2938,"SALIDA")</f>
        <v>14301.119999999995</v>
      </c>
    </row>
    <row r="2939" spans="1:5" x14ac:dyDescent="0.3">
      <c r="A2939" s="9">
        <f>'Volúmenes DIstribuidos '!B1851</f>
        <v>45125</v>
      </c>
      <c r="B2939" s="10" t="str">
        <f>IF(OR('Volúmenes DIstribuidos '!C1856="Azúcar",'Volúmenes DIstribuidos '!C1856="azúcar"),"Azúcar o dulce",IF('Volúmenes DIstribuidos '!C1856="Aceite","Aceite o grasas",IF('Volúmenes DIstribuidos '!C1856="Avena","Otros almidones",'Volúmenes DIstribuidos '!C1856)))</f>
        <v>Carnes rojas</v>
      </c>
      <c r="C2939" s="10" t="s">
        <v>29</v>
      </c>
      <c r="D2939" s="12">
        <f>'Volúmenes DIstribuidos '!D1856</f>
        <v>9.8610000000000007</v>
      </c>
      <c r="E2939" s="12">
        <f>SUMIF('Parametros Inventario'!$A:$A,B2939,'Parametros Inventario'!$B:$B)+SUMIFS(D$2:D2939,B$2:B2939,B2939,C$2:C2939,"ENTRADA")-SUMIFS(D$2:D2939,B$2:B2939,B2939,C$2:C2939,"SALIDA")</f>
        <v>13354.194</v>
      </c>
    </row>
    <row r="2940" spans="1:5" x14ac:dyDescent="0.3">
      <c r="A2940" s="9">
        <v>45128</v>
      </c>
      <c r="B2940" s="10" t="s">
        <v>16</v>
      </c>
      <c r="C2940" s="10" t="s">
        <v>28</v>
      </c>
      <c r="D2940" s="12">
        <v>92.61</v>
      </c>
      <c r="E2940" s="12">
        <f>SUMIF('Parametros Inventario'!$A:$A,B2940,'Parametros Inventario'!$B:$B)+SUMIFS(D$2:D2940,B$2:B2940,B2940,C$2:C2940,"ENTRADA")-SUMIFS(D$2:D2940,B$2:B2940,B2940,C$2:C2940,"SALIDA")</f>
        <v>13166.352999999999</v>
      </c>
    </row>
    <row r="2941" spans="1:5" x14ac:dyDescent="0.3">
      <c r="A2941" s="9">
        <v>45128</v>
      </c>
      <c r="B2941" s="10" t="s">
        <v>17</v>
      </c>
      <c r="C2941" s="10" t="s">
        <v>28</v>
      </c>
      <c r="D2941" s="12">
        <v>286.05</v>
      </c>
      <c r="E2941" s="12">
        <f>SUMIF('Parametros Inventario'!$A:$A,B2941,'Parametros Inventario'!$B:$B)+SUMIFS(D$2:D2941,B$2:B2941,B2941,C$2:C2941,"ENTRADA")-SUMIFS(D$2:D2941,B$2:B2941,B2941,C$2:C2941,"SALIDA")</f>
        <v>11818.801999999996</v>
      </c>
    </row>
    <row r="2942" spans="1:5" x14ac:dyDescent="0.3">
      <c r="A2942" s="9">
        <v>45128</v>
      </c>
      <c r="B2942" s="10" t="s">
        <v>18</v>
      </c>
      <c r="C2942" s="10" t="s">
        <v>28</v>
      </c>
      <c r="D2942" s="12">
        <v>224.98</v>
      </c>
      <c r="E2942" s="12">
        <f>SUMIF('Parametros Inventario'!$A:$A,B2942,'Parametros Inventario'!$B:$B)+SUMIFS(D$2:D2942,B$2:B2942,B2942,C$2:C2942,"ENTRADA")-SUMIFS(D$2:D2942,B$2:B2942,B2942,C$2:C2942,"SALIDA")</f>
        <v>12798.14</v>
      </c>
    </row>
    <row r="2943" spans="1:5" x14ac:dyDescent="0.3">
      <c r="A2943" s="9">
        <v>45128</v>
      </c>
      <c r="B2943" s="10" t="s">
        <v>10</v>
      </c>
      <c r="C2943" s="10" t="s">
        <v>28</v>
      </c>
      <c r="D2943" s="12">
        <v>76.37</v>
      </c>
      <c r="E2943" s="12">
        <f>SUMIF('Parametros Inventario'!$A:$A,B2943,'Parametros Inventario'!$B:$B)+SUMIFS(D$2:D2943,B$2:B2943,B2943,C$2:C2943,"ENTRADA")-SUMIFS(D$2:D2943,B$2:B2943,B2943,C$2:C2943,"SALIDA")</f>
        <v>14377.489999999994</v>
      </c>
    </row>
    <row r="2944" spans="1:5" x14ac:dyDescent="0.3">
      <c r="A2944" s="9">
        <v>45128</v>
      </c>
      <c r="B2944" s="10" t="s">
        <v>8</v>
      </c>
      <c r="C2944" s="10" t="s">
        <v>28</v>
      </c>
      <c r="D2944" s="12">
        <v>298.33999999999997</v>
      </c>
      <c r="E2944" s="12">
        <f>SUMIF('Parametros Inventario'!$A:$A,B2944,'Parametros Inventario'!$B:$B)+SUMIFS(D$2:D2944,B$2:B2944,B2944,C$2:C2944,"ENTRADA")-SUMIFS(D$2:D2944,B$2:B2944,B2944,C$2:C2944,"SALIDA")</f>
        <v>12948.317000000005</v>
      </c>
    </row>
    <row r="2945" spans="1:5" x14ac:dyDescent="0.3">
      <c r="A2945" s="9">
        <v>45128</v>
      </c>
      <c r="B2945" s="10" t="s">
        <v>13</v>
      </c>
      <c r="C2945" s="10" t="s">
        <v>28</v>
      </c>
      <c r="D2945" s="12">
        <v>57.31</v>
      </c>
      <c r="E2945" s="12">
        <f>SUMIF('Parametros Inventario'!$A:$A,B2945,'Parametros Inventario'!$B:$B)+SUMIFS(D$2:D2945,B$2:B2945,B2945,C$2:C2945,"ENTRADA")-SUMIFS(D$2:D2945,B$2:B2945,B2945,C$2:C2945,"SALIDA")</f>
        <v>12542.261000000006</v>
      </c>
    </row>
    <row r="2946" spans="1:5" x14ac:dyDescent="0.3">
      <c r="A2946" s="9">
        <v>45128</v>
      </c>
      <c r="B2946" s="10" t="s">
        <v>15</v>
      </c>
      <c r="C2946" s="10" t="s">
        <v>28</v>
      </c>
      <c r="D2946" s="12">
        <v>282.25</v>
      </c>
      <c r="E2946" s="12">
        <f>SUMIF('Parametros Inventario'!$A:$A,B2946,'Parametros Inventario'!$B:$B)+SUMIFS(D$2:D2946,B$2:B2946,B2946,C$2:C2946,"ENTRADA")-SUMIFS(D$2:D2946,B$2:B2946,B2946,C$2:C2946,"SALIDA")</f>
        <v>13972.517000000002</v>
      </c>
    </row>
    <row r="2947" spans="1:5" x14ac:dyDescent="0.3">
      <c r="A2947" s="9">
        <v>45128</v>
      </c>
      <c r="B2947" s="10" t="s">
        <v>11</v>
      </c>
      <c r="C2947" s="10" t="s">
        <v>28</v>
      </c>
      <c r="D2947" s="12">
        <v>131.63</v>
      </c>
      <c r="E2947" s="12">
        <f>SUMIF('Parametros Inventario'!$A:$A,B2947,'Parametros Inventario'!$B:$B)+SUMIFS(D$2:D2947,B$2:B2947,B2947,C$2:C2947,"ENTRADA")-SUMIFS(D$2:D2947,B$2:B2947,B2947,C$2:C2947,"SALIDA")</f>
        <v>14703.579</v>
      </c>
    </row>
    <row r="2948" spans="1:5" x14ac:dyDescent="0.3">
      <c r="A2948" s="9">
        <f>'Volúmenes DIstribuidos '!B1857</f>
        <v>45128</v>
      </c>
      <c r="B2948" s="10" t="str">
        <f>IF(OR('Volúmenes DIstribuidos '!C1857="Azúcar",'Volúmenes DIstribuidos '!C1857="azúcar"),"Azúcar o dulce",IF('Volúmenes DIstribuidos '!C1857="Aceite","Aceite o grasas",IF('Volúmenes DIstribuidos '!C1857="Avena","Otros almidones",'Volúmenes DIstribuidos '!C1857)))</f>
        <v>Lácteos</v>
      </c>
      <c r="C2948" s="10" t="s">
        <v>29</v>
      </c>
      <c r="D2948" s="12">
        <f>'Volúmenes DIstribuidos '!D1857</f>
        <v>36.96</v>
      </c>
      <c r="E2948" s="12">
        <f>SUMIF('Parametros Inventario'!$A:$A,B2948,'Parametros Inventario'!$B:$B)+SUMIFS(D$2:D2948,B$2:B2948,B2948,C$2:C2948,"ENTRADA")-SUMIFS(D$2:D2948,B$2:B2948,B2948,C$2:C2948,"SALIDA")</f>
        <v>11781.841999999997</v>
      </c>
    </row>
    <row r="2949" spans="1:5" x14ac:dyDescent="0.3">
      <c r="A2949" s="9">
        <f>'Volúmenes DIstribuidos '!B1857</f>
        <v>45128</v>
      </c>
      <c r="B2949" s="10" t="str">
        <f>IF(OR('Volúmenes DIstribuidos '!C1858="Azúcar",'Volúmenes DIstribuidos '!C1858="azúcar"),"Azúcar o dulce",IF('Volúmenes DIstribuidos '!C1858="Aceite","Aceite o grasas",IF('Volúmenes DIstribuidos '!C1858="Avena","Otros almidones",'Volúmenes DIstribuidos '!C1858)))</f>
        <v>Carnes rojas</v>
      </c>
      <c r="C2949" s="10" t="s">
        <v>29</v>
      </c>
      <c r="D2949" s="12">
        <f>'Volúmenes DIstribuidos '!D1858</f>
        <v>9.18</v>
      </c>
      <c r="E2949" s="12">
        <f>SUMIF('Parametros Inventario'!$A:$A,B2949,'Parametros Inventario'!$B:$B)+SUMIFS(D$2:D2949,B$2:B2949,B2949,C$2:C2949,"ENTRADA")-SUMIFS(D$2:D2949,B$2:B2949,B2949,C$2:C2949,"SALIDA")</f>
        <v>13345.013999999999</v>
      </c>
    </row>
    <row r="2950" spans="1:5" x14ac:dyDescent="0.3">
      <c r="A2950" s="9">
        <f>'Volúmenes DIstribuidos '!B1857</f>
        <v>45128</v>
      </c>
      <c r="B2950" s="10" t="str">
        <f>IF(OR('Volúmenes DIstribuidos '!C1859="Azúcar",'Volúmenes DIstribuidos '!C1859="azúcar"),"Azúcar o dulce",IF('Volúmenes DIstribuidos '!C1859="Aceite","Aceite o grasas",IF('Volúmenes DIstribuidos '!C1859="Avena","Otros almidones",'Volúmenes DIstribuidos '!C1859)))</f>
        <v>Vegetales y hojas</v>
      </c>
      <c r="C2950" s="10" t="s">
        <v>29</v>
      </c>
      <c r="D2950" s="12">
        <f>'Volúmenes DIstribuidos '!D1859</f>
        <v>58.58</v>
      </c>
      <c r="E2950" s="12">
        <f>SUMIF('Parametros Inventario'!$A:$A,B2950,'Parametros Inventario'!$B:$B)+SUMIFS(D$2:D2950,B$2:B2950,B2950,C$2:C2950,"ENTRADA")-SUMIFS(D$2:D2950,B$2:B2950,B2950,C$2:C2950,"SALIDA")</f>
        <v>14318.909999999996</v>
      </c>
    </row>
    <row r="2951" spans="1:5" x14ac:dyDescent="0.3">
      <c r="A2951" s="9">
        <f>'Volúmenes DIstribuidos '!B1857</f>
        <v>45128</v>
      </c>
      <c r="B2951" s="10" t="str">
        <f>IF(OR('Volúmenes DIstribuidos '!C1860="Azúcar",'Volúmenes DIstribuidos '!C1860="azúcar"),"Azúcar o dulce",IF('Volúmenes DIstribuidos '!C1860="Aceite","Aceite o grasas",IF('Volúmenes DIstribuidos '!C1860="Avena","Otros almidones",'Volúmenes DIstribuidos '!C1860)))</f>
        <v>Otros almidones</v>
      </c>
      <c r="C2951" s="10" t="s">
        <v>29</v>
      </c>
      <c r="D2951" s="12">
        <f>'Volúmenes DIstribuidos '!D1860</f>
        <v>23.396999999999998</v>
      </c>
      <c r="E2951" s="12">
        <f>SUMIF('Parametros Inventario'!$A:$A,B2951,'Parametros Inventario'!$B:$B)+SUMIFS(D$2:D2951,B$2:B2951,B2951,C$2:C2951,"ENTRADA")-SUMIFS(D$2:D2951,B$2:B2951,B2951,C$2:C2951,"SALIDA")</f>
        <v>13949.120000000003</v>
      </c>
    </row>
    <row r="2952" spans="1:5" x14ac:dyDescent="0.3">
      <c r="A2952" s="9">
        <f>'Volúmenes DIstribuidos '!B1857</f>
        <v>45128</v>
      </c>
      <c r="B2952" s="10" t="str">
        <f>IF(OR('Volúmenes DIstribuidos '!C1861="Azúcar",'Volúmenes DIstribuidos '!C1861="azúcar"),"Azúcar o dulce",IF('Volúmenes DIstribuidos '!C1861="Aceite","Aceite o grasas",IF('Volúmenes DIstribuidos '!C1861="Avena","Otros almidones",'Volúmenes DIstribuidos '!C1861)))</f>
        <v>Salsas</v>
      </c>
      <c r="C2952" s="10" t="s">
        <v>29</v>
      </c>
      <c r="D2952" s="12">
        <f>'Volúmenes DIstribuidos '!D1861</f>
        <v>80.28</v>
      </c>
      <c r="E2952" s="12">
        <f>SUMIF('Parametros Inventario'!$A:$A,B2952,'Parametros Inventario'!$B:$B)+SUMIFS(D$2:D2952,B$2:B2952,B2952,C$2:C2952,"ENTRADA")-SUMIFS(D$2:D2952,B$2:B2952,B2952,C$2:C2952,"SALIDA")</f>
        <v>12717.86</v>
      </c>
    </row>
    <row r="2953" spans="1:5" x14ac:dyDescent="0.3">
      <c r="A2953" s="9">
        <f>'Volúmenes DIstribuidos '!B1857</f>
        <v>45128</v>
      </c>
      <c r="B2953" s="10" t="str">
        <f>IF(OR('Volúmenes DIstribuidos '!C1862="Azúcar",'Volúmenes DIstribuidos '!C1862="azúcar"),"Azúcar o dulce",IF('Volúmenes DIstribuidos '!C1862="Aceite","Aceite o grasas",IF('Volúmenes DIstribuidos '!C1862="Avena","Otros almidones",'Volúmenes DIstribuidos '!C1862)))</f>
        <v>Panadería</v>
      </c>
      <c r="C2953" s="10" t="s">
        <v>29</v>
      </c>
      <c r="D2953" s="12">
        <f>'Volúmenes DIstribuidos '!D1862</f>
        <v>24.27</v>
      </c>
      <c r="E2953" s="12">
        <f>SUMIF('Parametros Inventario'!$A:$A,B2953,'Parametros Inventario'!$B:$B)+SUMIFS(D$2:D2953,B$2:B2953,B2953,C$2:C2953,"ENTRADA")-SUMIFS(D$2:D2953,B$2:B2953,B2953,C$2:C2953,"SALIDA")</f>
        <v>11048.780000000002</v>
      </c>
    </row>
    <row r="2954" spans="1:5" x14ac:dyDescent="0.3">
      <c r="A2954" s="9">
        <f>'Volúmenes DIstribuidos '!B1863</f>
        <v>45132</v>
      </c>
      <c r="B2954" s="10" t="str">
        <f>IF(OR('Volúmenes DIstribuidos '!C1863="Azúcar",'Volúmenes DIstribuidos '!C1863="azúcar"),"Azúcar o dulce",IF('Volúmenes DIstribuidos '!C1863="Aceite","Aceite o grasas",IF('Volúmenes DIstribuidos '!C1863="Avena","Otros almidones",'Volúmenes DIstribuidos '!C1863)))</f>
        <v>Aceite o grasas</v>
      </c>
      <c r="C2954" s="10" t="s">
        <v>29</v>
      </c>
      <c r="D2954" s="12">
        <f>'Volúmenes DIstribuidos '!D1863</f>
        <v>18.579000000000001</v>
      </c>
      <c r="E2954" s="12">
        <f>SUMIF('Parametros Inventario'!$A:$A,B2954,'Parametros Inventario'!$B:$B)+SUMIFS(D$2:D2954,B$2:B2954,B2954,C$2:C2954,"ENTRADA")-SUMIFS(D$2:D2954,B$2:B2954,B2954,C$2:C2954,"SALIDA")</f>
        <v>12929.738000000005</v>
      </c>
    </row>
    <row r="2955" spans="1:5" x14ac:dyDescent="0.3">
      <c r="A2955" s="9">
        <f>'Volúmenes DIstribuidos '!B1863</f>
        <v>45132</v>
      </c>
      <c r="B2955" s="10" t="str">
        <f>IF(OR('Volúmenes DIstribuidos '!C1864="Azúcar",'Volúmenes DIstribuidos '!C1864="azúcar"),"Azúcar o dulce",IF('Volúmenes DIstribuidos '!C1864="Aceite","Aceite o grasas",IF('Volúmenes DIstribuidos '!C1864="Avena","Otros almidones",'Volúmenes DIstribuidos '!C1864)))</f>
        <v>Otros almidones</v>
      </c>
      <c r="C2955" s="10" t="s">
        <v>29</v>
      </c>
      <c r="D2955" s="12">
        <f>'Volúmenes DIstribuidos '!D1864</f>
        <v>37.229999999999997</v>
      </c>
      <c r="E2955" s="12">
        <f>SUMIF('Parametros Inventario'!$A:$A,B2955,'Parametros Inventario'!$B:$B)+SUMIFS(D$2:D2955,B$2:B2955,B2955,C$2:C2955,"ENTRADA")-SUMIFS(D$2:D2955,B$2:B2955,B2955,C$2:C2955,"SALIDA")</f>
        <v>13911.890000000003</v>
      </c>
    </row>
    <row r="2956" spans="1:5" x14ac:dyDescent="0.3">
      <c r="A2956" s="9">
        <f>'Volúmenes DIstribuidos '!B1863</f>
        <v>45132</v>
      </c>
      <c r="B2956" s="10" t="str">
        <f>IF(OR('Volúmenes DIstribuidos '!C1865="Azúcar",'Volúmenes DIstribuidos '!C1865="azúcar"),"Azúcar o dulce",IF('Volúmenes DIstribuidos '!C1865="Aceite","Aceite o grasas",IF('Volúmenes DIstribuidos '!C1865="Avena","Otros almidones",'Volúmenes DIstribuidos '!C1865)))</f>
        <v>Fideo</v>
      </c>
      <c r="C2956" s="10" t="s">
        <v>29</v>
      </c>
      <c r="D2956" s="12">
        <f>'Volúmenes DIstribuidos '!D1865</f>
        <v>10.8</v>
      </c>
      <c r="E2956" s="12">
        <f>SUMIF('Parametros Inventario'!$A:$A,B2956,'Parametros Inventario'!$B:$B)+SUMIFS(D$2:D2956,B$2:B2956,B2956,C$2:C2956,"ENTRADA")-SUMIFS(D$2:D2956,B$2:B2956,B2956,C$2:C2956,"SALIDA")</f>
        <v>14692.778999999999</v>
      </c>
    </row>
    <row r="2957" spans="1:5" x14ac:dyDescent="0.3">
      <c r="A2957" s="9">
        <f>'Volúmenes DIstribuidos '!B1863</f>
        <v>45132</v>
      </c>
      <c r="B2957" s="10" t="str">
        <f>IF(OR('Volúmenes DIstribuidos '!C1866="Azúcar",'Volúmenes DIstribuidos '!C1866="azúcar"),"Azúcar o dulce",IF('Volúmenes DIstribuidos '!C1866="Aceite","Aceite o grasas",IF('Volúmenes DIstribuidos '!C1866="Avena","Otros almidones",'Volúmenes DIstribuidos '!C1866)))</f>
        <v>Panadería</v>
      </c>
      <c r="C2957" s="10" t="s">
        <v>29</v>
      </c>
      <c r="D2957" s="12">
        <f>'Volúmenes DIstribuidos '!D1866</f>
        <v>18.170000000000002</v>
      </c>
      <c r="E2957" s="12">
        <f>SUMIF('Parametros Inventario'!$A:$A,B2957,'Parametros Inventario'!$B:$B)+SUMIFS(D$2:D2957,B$2:B2957,B2957,C$2:C2957,"ENTRADA")-SUMIFS(D$2:D2957,B$2:B2957,B2957,C$2:C2957,"SALIDA")</f>
        <v>11030.610000000002</v>
      </c>
    </row>
    <row r="2958" spans="1:5" x14ac:dyDescent="0.3">
      <c r="A2958" s="9">
        <f>'Volúmenes DIstribuidos '!B1863</f>
        <v>45132</v>
      </c>
      <c r="B2958" s="10" t="str">
        <f>IF(OR('Volúmenes DIstribuidos '!C1867="Azúcar",'Volúmenes DIstribuidos '!C1867="azúcar"),"Azúcar o dulce",IF('Volúmenes DIstribuidos '!C1867="Aceite","Aceite o grasas",IF('Volúmenes DIstribuidos '!C1867="Avena","Otros almidones",'Volúmenes DIstribuidos '!C1867)))</f>
        <v>Azúcar o dulce</v>
      </c>
      <c r="C2958" s="10" t="s">
        <v>29</v>
      </c>
      <c r="D2958" s="12">
        <f>'Volúmenes DIstribuidos '!D1867</f>
        <v>27.06</v>
      </c>
      <c r="E2958" s="12">
        <f>SUMIF('Parametros Inventario'!$A:$A,B2958,'Parametros Inventario'!$B:$B)+SUMIFS(D$2:D2958,B$2:B2958,B2958,C$2:C2958,"ENTRADA")-SUMIFS(D$2:D2958,B$2:B2958,B2958,C$2:C2958,"SALIDA")</f>
        <v>12515.201000000005</v>
      </c>
    </row>
    <row r="2959" spans="1:5" x14ac:dyDescent="0.3">
      <c r="A2959" s="9">
        <f>'Volúmenes DIstribuidos '!B1863</f>
        <v>45132</v>
      </c>
      <c r="B2959" s="10" t="str">
        <f>IF(OR('Volúmenes DIstribuidos '!C1868="Azúcar",'Volúmenes DIstribuidos '!C1868="azúcar"),"Azúcar o dulce",IF('Volúmenes DIstribuidos '!C1868="Aceite","Aceite o grasas",IF('Volúmenes DIstribuidos '!C1868="Avena","Otros almidones",'Volúmenes DIstribuidos '!C1868)))</f>
        <v>Menestras</v>
      </c>
      <c r="C2959" s="10" t="s">
        <v>29</v>
      </c>
      <c r="D2959" s="12">
        <f>'Volúmenes DIstribuidos '!D1868</f>
        <v>18.45</v>
      </c>
      <c r="E2959" s="12">
        <f>SUMIF('Parametros Inventario'!$A:$A,B2959,'Parametros Inventario'!$B:$B)+SUMIFS(D$2:D2959,B$2:B2959,B2959,C$2:C2959,"ENTRADA")-SUMIFS(D$2:D2959,B$2:B2959,B2959,C$2:C2959,"SALIDA")</f>
        <v>14252.830999999998</v>
      </c>
    </row>
    <row r="2960" spans="1:5" x14ac:dyDescent="0.3">
      <c r="A2960" s="9">
        <v>45135</v>
      </c>
      <c r="B2960" s="10" t="s">
        <v>9</v>
      </c>
      <c r="C2960" s="10" t="s">
        <v>28</v>
      </c>
      <c r="D2960" s="12">
        <v>145.87</v>
      </c>
      <c r="E2960" s="12">
        <f>SUMIF('Parametros Inventario'!$A:$A,B2960,'Parametros Inventario'!$B:$B)+SUMIFS(D$2:D2960,B$2:B2960,B2960,C$2:C2960,"ENTRADA")-SUMIFS(D$2:D2960,B$2:B2960,B2960,C$2:C2960,"SALIDA")</f>
        <v>11176.480000000001</v>
      </c>
    </row>
    <row r="2961" spans="1:5" x14ac:dyDescent="0.3">
      <c r="A2961" s="9">
        <v>45135</v>
      </c>
      <c r="B2961" s="10" t="s">
        <v>14</v>
      </c>
      <c r="C2961" s="10" t="s">
        <v>28</v>
      </c>
      <c r="D2961" s="12">
        <v>120.09</v>
      </c>
      <c r="E2961" s="12">
        <f>SUMIF('Parametros Inventario'!$A:$A,B2961,'Parametros Inventario'!$B:$B)+SUMIFS(D$2:D2961,B$2:B2961,B2961,C$2:C2961,"ENTRADA")-SUMIFS(D$2:D2961,B$2:B2961,B2961,C$2:C2961,"SALIDA")</f>
        <v>14372.920999999998</v>
      </c>
    </row>
    <row r="2962" spans="1:5" x14ac:dyDescent="0.3">
      <c r="A2962" s="9">
        <v>45135</v>
      </c>
      <c r="B2962" s="10" t="s">
        <v>12</v>
      </c>
      <c r="C2962" s="10" t="s">
        <v>28</v>
      </c>
      <c r="D2962" s="12">
        <v>229.79</v>
      </c>
      <c r="E2962" s="12">
        <f>SUMIF('Parametros Inventario'!$A:$A,B2962,'Parametros Inventario'!$B:$B)+SUMIFS(D$2:D2962,B$2:B2962,B2962,C$2:C2962,"ENTRADA")-SUMIFS(D$2:D2962,B$2:B2962,B2962,C$2:C2962,"SALIDA")</f>
        <v>13574.804</v>
      </c>
    </row>
    <row r="2963" spans="1:5" x14ac:dyDescent="0.3">
      <c r="A2963" s="9">
        <v>45135</v>
      </c>
      <c r="B2963" s="10" t="s">
        <v>16</v>
      </c>
      <c r="C2963" s="10" t="s">
        <v>28</v>
      </c>
      <c r="D2963" s="12">
        <v>216.48</v>
      </c>
      <c r="E2963" s="12">
        <f>SUMIF('Parametros Inventario'!$A:$A,B2963,'Parametros Inventario'!$B:$B)+SUMIFS(D$2:D2963,B$2:B2963,B2963,C$2:C2963,"ENTRADA")-SUMIFS(D$2:D2963,B$2:B2963,B2963,C$2:C2963,"SALIDA")</f>
        <v>13382.832999999999</v>
      </c>
    </row>
    <row r="2964" spans="1:5" x14ac:dyDescent="0.3">
      <c r="A2964" s="9">
        <v>45135</v>
      </c>
      <c r="B2964" s="10" t="s">
        <v>17</v>
      </c>
      <c r="C2964" s="10" t="s">
        <v>28</v>
      </c>
      <c r="D2964" s="12">
        <v>287.88</v>
      </c>
      <c r="E2964" s="12">
        <f>SUMIF('Parametros Inventario'!$A:$A,B2964,'Parametros Inventario'!$B:$B)+SUMIFS(D$2:D2964,B$2:B2964,B2964,C$2:C2964,"ENTRADA")-SUMIFS(D$2:D2964,B$2:B2964,B2964,C$2:C2964,"SALIDA")</f>
        <v>12069.721999999998</v>
      </c>
    </row>
    <row r="2965" spans="1:5" x14ac:dyDescent="0.3">
      <c r="A2965" s="9">
        <v>45135</v>
      </c>
      <c r="B2965" s="10" t="s">
        <v>18</v>
      </c>
      <c r="C2965" s="10" t="s">
        <v>28</v>
      </c>
      <c r="D2965" s="12">
        <v>217.65</v>
      </c>
      <c r="E2965" s="12">
        <f>SUMIF('Parametros Inventario'!$A:$A,B2965,'Parametros Inventario'!$B:$B)+SUMIFS(D$2:D2965,B$2:B2965,B2965,C$2:C2965,"ENTRADA")-SUMIFS(D$2:D2965,B$2:B2965,B2965,C$2:C2965,"SALIDA")</f>
        <v>12935.510000000002</v>
      </c>
    </row>
    <row r="2966" spans="1:5" x14ac:dyDescent="0.3">
      <c r="A2966" s="9">
        <v>45135</v>
      </c>
      <c r="B2966" s="10" t="s">
        <v>10</v>
      </c>
      <c r="C2966" s="10" t="s">
        <v>28</v>
      </c>
      <c r="D2966" s="12">
        <v>216.37</v>
      </c>
      <c r="E2966" s="12">
        <f>SUMIF('Parametros Inventario'!$A:$A,B2966,'Parametros Inventario'!$B:$B)+SUMIFS(D$2:D2966,B$2:B2966,B2966,C$2:C2966,"ENTRADA")-SUMIFS(D$2:D2966,B$2:B2966,B2966,C$2:C2966,"SALIDA")</f>
        <v>14535.279999999995</v>
      </c>
    </row>
    <row r="2967" spans="1:5" x14ac:dyDescent="0.3">
      <c r="A2967" s="9">
        <v>45135</v>
      </c>
      <c r="B2967" s="10" t="s">
        <v>8</v>
      </c>
      <c r="C2967" s="10" t="s">
        <v>28</v>
      </c>
      <c r="D2967" s="12">
        <v>280.68</v>
      </c>
      <c r="E2967" s="12">
        <f>SUMIF('Parametros Inventario'!$A:$A,B2967,'Parametros Inventario'!$B:$B)+SUMIFS(D$2:D2967,B$2:B2967,B2967,C$2:C2967,"ENTRADA")-SUMIFS(D$2:D2967,B$2:B2967,B2967,C$2:C2967,"SALIDA")</f>
        <v>13210.418000000005</v>
      </c>
    </row>
    <row r="2968" spans="1:5" x14ac:dyDescent="0.3">
      <c r="A2968" s="9">
        <f>'Volúmenes DIstribuidos '!B1869</f>
        <v>45135</v>
      </c>
      <c r="B2968" s="10" t="str">
        <f>IF(OR('Volúmenes DIstribuidos '!C1869="Azúcar",'Volúmenes DIstribuidos '!C1869="azúcar"),"Azúcar o dulce",IF('Volúmenes DIstribuidos '!C1869="Aceite","Aceite o grasas",IF('Volúmenes DIstribuidos '!C1869="Avena","Otros almidones",'Volúmenes DIstribuidos '!C1869)))</f>
        <v>Carnes blancas</v>
      </c>
      <c r="C2968" s="10" t="s">
        <v>29</v>
      </c>
      <c r="D2968" s="12">
        <f>'Volúmenes DIstribuidos '!D1869</f>
        <v>47.151000000000003</v>
      </c>
      <c r="E2968" s="12">
        <f>SUMIF('Parametros Inventario'!$A:$A,B2968,'Parametros Inventario'!$B:$B)+SUMIFS(D$2:D2968,B$2:B2968,B2968,C$2:C2968,"ENTRADA")-SUMIFS(D$2:D2968,B$2:B2968,B2968,C$2:C2968,"SALIDA")</f>
        <v>13335.681999999997</v>
      </c>
    </row>
    <row r="2969" spans="1:5" x14ac:dyDescent="0.3">
      <c r="A2969" s="9">
        <f>'Volúmenes DIstribuidos '!B1869</f>
        <v>45135</v>
      </c>
      <c r="B2969" s="10" t="str">
        <f>IF(OR('Volúmenes DIstribuidos '!C1870="Azúcar",'Volúmenes DIstribuidos '!C1870="azúcar"),"Azúcar o dulce",IF('Volúmenes DIstribuidos '!C1870="Aceite","Aceite o grasas",IF('Volúmenes DIstribuidos '!C1870="Avena","Otros almidones",'Volúmenes DIstribuidos '!C1870)))</f>
        <v>Vegetales y hojas</v>
      </c>
      <c r="C2969" s="10" t="s">
        <v>29</v>
      </c>
      <c r="D2969" s="12">
        <f>'Volúmenes DIstribuidos '!D1870</f>
        <v>41.62</v>
      </c>
      <c r="E2969" s="12">
        <f>SUMIF('Parametros Inventario'!$A:$A,B2969,'Parametros Inventario'!$B:$B)+SUMIFS(D$2:D2969,B$2:B2969,B2969,C$2:C2969,"ENTRADA")-SUMIFS(D$2:D2969,B$2:B2969,B2969,C$2:C2969,"SALIDA")</f>
        <v>14493.659999999994</v>
      </c>
    </row>
    <row r="2970" spans="1:5" x14ac:dyDescent="0.3">
      <c r="A2970" s="9">
        <f>'Volúmenes DIstribuidos '!B1869</f>
        <v>45135</v>
      </c>
      <c r="B2970" s="10" t="str">
        <f>IF(OR('Volúmenes DIstribuidos '!C1871="Azúcar",'Volúmenes DIstribuidos '!C1871="azúcar"),"Azúcar o dulce",IF('Volúmenes DIstribuidos '!C1871="Aceite","Aceite o grasas",IF('Volúmenes DIstribuidos '!C1871="Avena","Otros almidones",'Volúmenes DIstribuidos '!C1871)))</f>
        <v>Carnes blancas</v>
      </c>
      <c r="C2970" s="10" t="s">
        <v>29</v>
      </c>
      <c r="D2970" s="12">
        <f>'Volúmenes DIstribuidos '!D1871</f>
        <v>24.92</v>
      </c>
      <c r="E2970" s="12">
        <f>SUMIF('Parametros Inventario'!$A:$A,B2970,'Parametros Inventario'!$B:$B)+SUMIFS(D$2:D2970,B$2:B2970,B2970,C$2:C2970,"ENTRADA")-SUMIFS(D$2:D2970,B$2:B2970,B2970,C$2:C2970,"SALIDA")</f>
        <v>13310.761999999999</v>
      </c>
    </row>
    <row r="2971" spans="1:5" x14ac:dyDescent="0.3">
      <c r="A2971" s="9">
        <f>'Volúmenes DIstribuidos '!B1869</f>
        <v>45135</v>
      </c>
      <c r="B2971" s="10" t="str">
        <f>IF(OR('Volúmenes DIstribuidos '!C1872="Azúcar",'Volúmenes DIstribuidos '!C1872="azúcar"),"Azúcar o dulce",IF('Volúmenes DIstribuidos '!C1872="Aceite","Aceite o grasas",IF('Volúmenes DIstribuidos '!C1872="Avena","Otros almidones",'Volúmenes DIstribuidos '!C1872)))</f>
        <v>Aceite o grasas</v>
      </c>
      <c r="C2971" s="10" t="s">
        <v>29</v>
      </c>
      <c r="D2971" s="12">
        <f>'Volúmenes DIstribuidos '!D1872</f>
        <v>36.450000000000003</v>
      </c>
      <c r="E2971" s="12">
        <f>SUMIF('Parametros Inventario'!$A:$A,B2971,'Parametros Inventario'!$B:$B)+SUMIFS(D$2:D2971,B$2:B2971,B2971,C$2:C2971,"ENTRADA")-SUMIFS(D$2:D2971,B$2:B2971,B2971,C$2:C2971,"SALIDA")</f>
        <v>13173.968000000004</v>
      </c>
    </row>
    <row r="2972" spans="1:5" x14ac:dyDescent="0.3">
      <c r="A2972" s="9">
        <f>'Volúmenes DIstribuidos '!B1869</f>
        <v>45135</v>
      </c>
      <c r="B2972" s="10" t="str">
        <f>IF(OR('Volúmenes DIstribuidos '!C1873="Azúcar",'Volúmenes DIstribuidos '!C1873="azúcar"),"Azúcar o dulce",IF('Volúmenes DIstribuidos '!C1873="Aceite","Aceite o grasas",IF('Volúmenes DIstribuidos '!C1873="Avena","Otros almidones",'Volúmenes DIstribuidos '!C1873)))</f>
        <v>Lácteos</v>
      </c>
      <c r="C2972" s="10" t="s">
        <v>29</v>
      </c>
      <c r="D2972" s="12">
        <f>'Volúmenes DIstribuidos '!D1873</f>
        <v>24.63</v>
      </c>
      <c r="E2972" s="12">
        <f>SUMIF('Parametros Inventario'!$A:$A,B2972,'Parametros Inventario'!$B:$B)+SUMIFS(D$2:D2972,B$2:B2972,B2972,C$2:C2972,"ENTRADA")-SUMIFS(D$2:D2972,B$2:B2972,B2972,C$2:C2972,"SALIDA")</f>
        <v>12045.091999999997</v>
      </c>
    </row>
    <row r="2973" spans="1:5" x14ac:dyDescent="0.3">
      <c r="A2973" s="9">
        <f>'Volúmenes DIstribuidos '!B1869</f>
        <v>45135</v>
      </c>
      <c r="B2973" s="10" t="str">
        <f>IF(OR('Volúmenes DIstribuidos '!C1874="Azúcar",'Volúmenes DIstribuidos '!C1874="azúcar"),"Azúcar o dulce",IF('Volúmenes DIstribuidos '!C1874="Aceite","Aceite o grasas",IF('Volúmenes DIstribuidos '!C1874="Avena","Otros almidones",'Volúmenes DIstribuidos '!C1874)))</f>
        <v>Carnes rojas</v>
      </c>
      <c r="C2973" s="10" t="s">
        <v>29</v>
      </c>
      <c r="D2973" s="12">
        <f>'Volúmenes DIstribuidos '!D1874</f>
        <v>72.900000000000006</v>
      </c>
      <c r="E2973" s="12">
        <f>SUMIF('Parametros Inventario'!$A:$A,B2973,'Parametros Inventario'!$B:$B)+SUMIFS(D$2:D2973,B$2:B2973,B2973,C$2:C2973,"ENTRADA")-SUMIFS(D$2:D2973,B$2:B2973,B2973,C$2:C2973,"SALIDA")</f>
        <v>13501.904</v>
      </c>
    </row>
    <row r="2974" spans="1:5" x14ac:dyDescent="0.3">
      <c r="A2974" s="9">
        <v>45139</v>
      </c>
      <c r="B2974" s="10" t="s">
        <v>13</v>
      </c>
      <c r="C2974" s="10" t="s">
        <v>28</v>
      </c>
      <c r="D2974" s="12">
        <v>208.39</v>
      </c>
      <c r="E2974" s="12">
        <f>SUMIF('Parametros Inventario'!$A:$A,B2974,'Parametros Inventario'!$B:$B)+SUMIFS(D$2:D2974,B$2:B2974,B2974,C$2:C2974,"ENTRADA")-SUMIFS(D$2:D2974,B$2:B2974,B2974,C$2:C2974,"SALIDA")</f>
        <v>12723.591000000004</v>
      </c>
    </row>
    <row r="2975" spans="1:5" x14ac:dyDescent="0.3">
      <c r="A2975" s="9">
        <v>45139</v>
      </c>
      <c r="B2975" s="10" t="s">
        <v>15</v>
      </c>
      <c r="C2975" s="10" t="s">
        <v>28</v>
      </c>
      <c r="D2975" s="12">
        <v>172.99</v>
      </c>
      <c r="E2975" s="12">
        <f>SUMIF('Parametros Inventario'!$A:$A,B2975,'Parametros Inventario'!$B:$B)+SUMIFS(D$2:D2975,B$2:B2975,B2975,C$2:C2975,"ENTRADA")-SUMIFS(D$2:D2975,B$2:B2975,B2975,C$2:C2975,"SALIDA")</f>
        <v>14084.880000000005</v>
      </c>
    </row>
    <row r="2976" spans="1:5" x14ac:dyDescent="0.3">
      <c r="A2976" s="9">
        <v>45139</v>
      </c>
      <c r="B2976" s="10" t="s">
        <v>11</v>
      </c>
      <c r="C2976" s="10" t="s">
        <v>28</v>
      </c>
      <c r="D2976" s="12">
        <v>248.89</v>
      </c>
      <c r="E2976" s="12">
        <f>SUMIF('Parametros Inventario'!$A:$A,B2976,'Parametros Inventario'!$B:$B)+SUMIFS(D$2:D2976,B$2:B2976,B2976,C$2:C2976,"ENTRADA")-SUMIFS(D$2:D2976,B$2:B2976,B2976,C$2:C2976,"SALIDA")</f>
        <v>14941.668999999998</v>
      </c>
    </row>
    <row r="2977" spans="1:5" x14ac:dyDescent="0.3">
      <c r="A2977" s="9">
        <v>45139</v>
      </c>
      <c r="B2977" s="10" t="s">
        <v>9</v>
      </c>
      <c r="C2977" s="10" t="s">
        <v>28</v>
      </c>
      <c r="D2977" s="12">
        <v>133.19999999999999</v>
      </c>
      <c r="E2977" s="12">
        <f>SUMIF('Parametros Inventario'!$A:$A,B2977,'Parametros Inventario'!$B:$B)+SUMIFS(D$2:D2977,B$2:B2977,B2977,C$2:C2977,"ENTRADA")-SUMIFS(D$2:D2977,B$2:B2977,B2977,C$2:C2977,"SALIDA")</f>
        <v>11309.680000000002</v>
      </c>
    </row>
    <row r="2978" spans="1:5" x14ac:dyDescent="0.3">
      <c r="A2978" s="9">
        <f>'Volúmenes DIstribuidos '!B1875</f>
        <v>45139</v>
      </c>
      <c r="B2978" s="10" t="str">
        <f>IF(OR('Volúmenes DIstribuidos '!C1875="Azúcar",'Volúmenes DIstribuidos '!C1875="azúcar"),"Azúcar o dulce",IF('Volúmenes DIstribuidos '!C1875="Aceite","Aceite o grasas",IF('Volúmenes DIstribuidos '!C1875="Avena","Otros almidones",'Volúmenes DIstribuidos '!C1875)))</f>
        <v>Azúcar o dulce</v>
      </c>
      <c r="C2978" s="10" t="s">
        <v>29</v>
      </c>
      <c r="D2978" s="12">
        <f>'Volúmenes DIstribuidos '!D1875</f>
        <v>26.62</v>
      </c>
      <c r="E2978" s="12">
        <f>SUMIF('Parametros Inventario'!$A:$A,B2978,'Parametros Inventario'!$B:$B)+SUMIFS(D$2:D2978,B$2:B2978,B2978,C$2:C2978,"ENTRADA")-SUMIFS(D$2:D2978,B$2:B2978,B2978,C$2:C2978,"SALIDA")</f>
        <v>12696.971000000005</v>
      </c>
    </row>
    <row r="2979" spans="1:5" x14ac:dyDescent="0.3">
      <c r="A2979" s="9">
        <f>'Volúmenes DIstribuidos '!B1875</f>
        <v>45139</v>
      </c>
      <c r="B2979" s="10" t="str">
        <f>IF(OR('Volúmenes DIstribuidos '!C1876="Azúcar",'Volúmenes DIstribuidos '!C1876="azúcar"),"Azúcar o dulce",IF('Volúmenes DIstribuidos '!C1876="Aceite","Aceite o grasas",IF('Volúmenes DIstribuidos '!C1876="Avena","Otros almidones",'Volúmenes DIstribuidos '!C1876)))</f>
        <v>Aceite o grasas</v>
      </c>
      <c r="C2979" s="10" t="s">
        <v>29</v>
      </c>
      <c r="D2979" s="12">
        <f>'Volúmenes DIstribuidos '!D1876</f>
        <v>25.07</v>
      </c>
      <c r="E2979" s="12">
        <f>SUMIF('Parametros Inventario'!$A:$A,B2979,'Parametros Inventario'!$B:$B)+SUMIFS(D$2:D2979,B$2:B2979,B2979,C$2:C2979,"ENTRADA")-SUMIFS(D$2:D2979,B$2:B2979,B2979,C$2:C2979,"SALIDA")</f>
        <v>13148.898000000005</v>
      </c>
    </row>
    <row r="2980" spans="1:5" x14ac:dyDescent="0.3">
      <c r="A2980" s="9">
        <f>'Volúmenes DIstribuidos '!B1875</f>
        <v>45139</v>
      </c>
      <c r="B2980" s="10" t="str">
        <f>IF(OR('Volúmenes DIstribuidos '!C1877="Azúcar",'Volúmenes DIstribuidos '!C1877="azúcar"),"Azúcar o dulce",IF('Volúmenes DIstribuidos '!C1877="Aceite","Aceite o grasas",IF('Volúmenes DIstribuidos '!C1877="Avena","Otros almidones",'Volúmenes DIstribuidos '!C1877)))</f>
        <v>Otros almidones</v>
      </c>
      <c r="C2980" s="10" t="s">
        <v>29</v>
      </c>
      <c r="D2980" s="12">
        <f>'Volúmenes DIstribuidos '!D1877</f>
        <v>19.117000000000001</v>
      </c>
      <c r="E2980" s="12">
        <f>SUMIF('Parametros Inventario'!$A:$A,B2980,'Parametros Inventario'!$B:$B)+SUMIFS(D$2:D2980,B$2:B2980,B2980,C$2:C2980,"ENTRADA")-SUMIFS(D$2:D2980,B$2:B2980,B2980,C$2:C2980,"SALIDA")</f>
        <v>14065.763000000003</v>
      </c>
    </row>
    <row r="2981" spans="1:5" x14ac:dyDescent="0.3">
      <c r="A2981" s="9">
        <f>'Volúmenes DIstribuidos '!B1875</f>
        <v>45139</v>
      </c>
      <c r="B2981" s="10" t="str">
        <f>IF(OR('Volúmenes DIstribuidos '!C1878="Azúcar",'Volúmenes DIstribuidos '!C1878="azúcar"),"Azúcar o dulce",IF('Volúmenes DIstribuidos '!C1878="Aceite","Aceite o grasas",IF('Volúmenes DIstribuidos '!C1878="Avena","Otros almidones",'Volúmenes DIstribuidos '!C1878)))</f>
        <v>Salsas</v>
      </c>
      <c r="C2981" s="10" t="s">
        <v>29</v>
      </c>
      <c r="D2981" s="12">
        <f>'Volúmenes DIstribuidos '!D1878</f>
        <v>50</v>
      </c>
      <c r="E2981" s="12">
        <f>SUMIF('Parametros Inventario'!$A:$A,B2981,'Parametros Inventario'!$B:$B)+SUMIFS(D$2:D2981,B$2:B2981,B2981,C$2:C2981,"ENTRADA")-SUMIFS(D$2:D2981,B$2:B2981,B2981,C$2:C2981,"SALIDA")</f>
        <v>12885.510000000002</v>
      </c>
    </row>
    <row r="2982" spans="1:5" x14ac:dyDescent="0.3">
      <c r="A2982" s="9">
        <f>'Volúmenes DIstribuidos '!B1875</f>
        <v>45139</v>
      </c>
      <c r="B2982" s="10" t="str">
        <f>IF(OR('Volúmenes DIstribuidos '!C1879="Azúcar",'Volúmenes DIstribuidos '!C1879="azúcar"),"Azúcar o dulce",IF('Volúmenes DIstribuidos '!C1879="Aceite","Aceite o grasas",IF('Volúmenes DIstribuidos '!C1879="Avena","Otros almidones",'Volúmenes DIstribuidos '!C1879)))</f>
        <v>Aceite o grasas</v>
      </c>
      <c r="C2982" s="10" t="s">
        <v>29</v>
      </c>
      <c r="D2982" s="12">
        <f>'Volúmenes DIstribuidos '!D1879</f>
        <v>87.74</v>
      </c>
      <c r="E2982" s="12">
        <f>SUMIF('Parametros Inventario'!$A:$A,B2982,'Parametros Inventario'!$B:$B)+SUMIFS(D$2:D2982,B$2:B2982,B2982,C$2:C2982,"ENTRADA")-SUMIFS(D$2:D2982,B$2:B2982,B2982,C$2:C2982,"SALIDA")</f>
        <v>13061.158000000007</v>
      </c>
    </row>
    <row r="2983" spans="1:5" x14ac:dyDescent="0.3">
      <c r="A2983" s="9">
        <f>'Volúmenes DIstribuidos '!B1875</f>
        <v>45139</v>
      </c>
      <c r="B2983" s="10" t="str">
        <f>IF(OR('Volúmenes DIstribuidos '!C1880="Azúcar",'Volúmenes DIstribuidos '!C1880="azúcar"),"Azúcar o dulce",IF('Volúmenes DIstribuidos '!C1880="Aceite","Aceite o grasas",IF('Volúmenes DIstribuidos '!C1880="Avena","Otros almidones",'Volúmenes DIstribuidos '!C1880)))</f>
        <v>Otros almidones</v>
      </c>
      <c r="C2983" s="10" t="s">
        <v>29</v>
      </c>
      <c r="D2983" s="12">
        <f>'Volúmenes DIstribuidos '!D1880</f>
        <v>80</v>
      </c>
      <c r="E2983" s="12">
        <f>SUMIF('Parametros Inventario'!$A:$A,B2983,'Parametros Inventario'!$B:$B)+SUMIFS(D$2:D2983,B$2:B2983,B2983,C$2:C2983,"ENTRADA")-SUMIFS(D$2:D2983,B$2:B2983,B2983,C$2:C2983,"SALIDA")</f>
        <v>13985.763000000003</v>
      </c>
    </row>
    <row r="2984" spans="1:5" x14ac:dyDescent="0.3">
      <c r="A2984" s="9">
        <f>'Volúmenes DIstribuidos '!B1881</f>
        <v>45142</v>
      </c>
      <c r="B2984" s="10" t="str">
        <f>IF(OR('Volúmenes DIstribuidos '!C1881="Azúcar",'Volúmenes DIstribuidos '!C1881="azúcar"),"Azúcar o dulce",IF('Volúmenes DIstribuidos '!C1881="Aceite","Aceite o grasas",IF('Volúmenes DIstribuidos '!C1881="Avena","Otros almidones",'Volúmenes DIstribuidos '!C1881)))</f>
        <v>Menestras</v>
      </c>
      <c r="C2984" s="10" t="s">
        <v>29</v>
      </c>
      <c r="D2984" s="12">
        <f>'Volúmenes DIstribuidos '!D1881</f>
        <v>25.61</v>
      </c>
      <c r="E2984" s="12">
        <f>SUMIF('Parametros Inventario'!$A:$A,B2984,'Parametros Inventario'!$B:$B)+SUMIFS(D$2:D2984,B$2:B2984,B2984,C$2:C2984,"ENTRADA")-SUMIFS(D$2:D2984,B$2:B2984,B2984,C$2:C2984,"SALIDA")</f>
        <v>14347.311</v>
      </c>
    </row>
    <row r="2985" spans="1:5" x14ac:dyDescent="0.3">
      <c r="A2985" s="9">
        <f>'Volúmenes DIstribuidos '!B1881</f>
        <v>45142</v>
      </c>
      <c r="B2985" s="10" t="str">
        <f>IF(OR('Volúmenes DIstribuidos '!C1882="Azúcar",'Volúmenes DIstribuidos '!C1882="azúcar"),"Azúcar o dulce",IF('Volúmenes DIstribuidos '!C1882="Aceite","Aceite o grasas",IF('Volúmenes DIstribuidos '!C1882="Avena","Otros almidones",'Volúmenes DIstribuidos '!C1882)))</f>
        <v>Carnes blancas</v>
      </c>
      <c r="C2985" s="10" t="s">
        <v>29</v>
      </c>
      <c r="D2985" s="12">
        <f>'Volúmenes DIstribuidos '!D1882</f>
        <v>43.874000000000002</v>
      </c>
      <c r="E2985" s="12">
        <f>SUMIF('Parametros Inventario'!$A:$A,B2985,'Parametros Inventario'!$B:$B)+SUMIFS(D$2:D2985,B$2:B2985,B2985,C$2:C2985,"ENTRADA")-SUMIFS(D$2:D2985,B$2:B2985,B2985,C$2:C2985,"SALIDA")</f>
        <v>13266.887999999999</v>
      </c>
    </row>
    <row r="2986" spans="1:5" x14ac:dyDescent="0.3">
      <c r="A2986" s="9">
        <f>'Volúmenes DIstribuidos '!B1881</f>
        <v>45142</v>
      </c>
      <c r="B2986" s="10" t="str">
        <f>IF(OR('Volúmenes DIstribuidos '!C1883="Azúcar",'Volúmenes DIstribuidos '!C1883="azúcar"),"Azúcar o dulce",IF('Volúmenes DIstribuidos '!C1883="Aceite","Aceite o grasas",IF('Volúmenes DIstribuidos '!C1883="Avena","Otros almidones",'Volúmenes DIstribuidos '!C1883)))</f>
        <v>Fideo</v>
      </c>
      <c r="C2986" s="10" t="s">
        <v>29</v>
      </c>
      <c r="D2986" s="12">
        <f>'Volúmenes DIstribuidos '!D1883</f>
        <v>20.39</v>
      </c>
      <c r="E2986" s="12">
        <f>SUMIF('Parametros Inventario'!$A:$A,B2986,'Parametros Inventario'!$B:$B)+SUMIFS(D$2:D2986,B$2:B2986,B2986,C$2:C2986,"ENTRADA")-SUMIFS(D$2:D2986,B$2:B2986,B2986,C$2:C2986,"SALIDA")</f>
        <v>14921.278999999999</v>
      </c>
    </row>
    <row r="2987" spans="1:5" x14ac:dyDescent="0.3">
      <c r="A2987" s="9">
        <f>'Volúmenes DIstribuidos '!B1881</f>
        <v>45142</v>
      </c>
      <c r="B2987" s="10" t="str">
        <f>IF(OR('Volúmenes DIstribuidos '!C1884="Azúcar",'Volúmenes DIstribuidos '!C1884="azúcar"),"Azúcar o dulce",IF('Volúmenes DIstribuidos '!C1884="Aceite","Aceite o grasas",IF('Volúmenes DIstribuidos '!C1884="Avena","Otros almidones",'Volúmenes DIstribuidos '!C1884)))</f>
        <v>Lácteos</v>
      </c>
      <c r="C2987" s="10" t="s">
        <v>29</v>
      </c>
      <c r="D2987" s="12">
        <f>'Volúmenes DIstribuidos '!D1884</f>
        <v>5.52</v>
      </c>
      <c r="E2987" s="12">
        <f>SUMIF('Parametros Inventario'!$A:$A,B2987,'Parametros Inventario'!$B:$B)+SUMIFS(D$2:D2987,B$2:B2987,B2987,C$2:C2987,"ENTRADA")-SUMIFS(D$2:D2987,B$2:B2987,B2987,C$2:C2987,"SALIDA")</f>
        <v>12039.571999999996</v>
      </c>
    </row>
    <row r="2988" spans="1:5" x14ac:dyDescent="0.3">
      <c r="A2988" s="9">
        <f>'Volúmenes DIstribuidos '!B1881</f>
        <v>45142</v>
      </c>
      <c r="B2988" s="10" t="str">
        <f>IF(OR('Volúmenes DIstribuidos '!C1885="Azúcar",'Volúmenes DIstribuidos '!C1885="azúcar"),"Azúcar o dulce",IF('Volúmenes DIstribuidos '!C1885="Aceite","Aceite o grasas",IF('Volúmenes DIstribuidos '!C1885="Avena","Otros almidones",'Volúmenes DIstribuidos '!C1885)))</f>
        <v>Vegetales y hojas</v>
      </c>
      <c r="C2988" s="10" t="s">
        <v>29</v>
      </c>
      <c r="D2988" s="12">
        <f>'Volúmenes DIstribuidos '!D1885</f>
        <v>18.399999999999999</v>
      </c>
      <c r="E2988" s="12">
        <f>SUMIF('Parametros Inventario'!$A:$A,B2988,'Parametros Inventario'!$B:$B)+SUMIFS(D$2:D2988,B$2:B2988,B2988,C$2:C2988,"ENTRADA")-SUMIFS(D$2:D2988,B$2:B2988,B2988,C$2:C2988,"SALIDA")</f>
        <v>14475.259999999995</v>
      </c>
    </row>
    <row r="2989" spans="1:5" x14ac:dyDescent="0.3">
      <c r="A2989" s="9">
        <f>'Volúmenes DIstribuidos '!B1881</f>
        <v>45142</v>
      </c>
      <c r="B2989" s="10" t="str">
        <f>IF(OR('Volúmenes DIstribuidos '!C1886="Azúcar",'Volúmenes DIstribuidos '!C1886="azúcar"),"Azúcar o dulce",IF('Volúmenes DIstribuidos '!C1886="Aceite","Aceite o grasas",IF('Volúmenes DIstribuidos '!C1886="Avena","Otros almidones",'Volúmenes DIstribuidos '!C1886)))</f>
        <v>Carnes rojas</v>
      </c>
      <c r="C2989" s="10" t="s">
        <v>29</v>
      </c>
      <c r="D2989" s="12">
        <f>'Volúmenes DIstribuidos '!D1886</f>
        <v>14.955</v>
      </c>
      <c r="E2989" s="12">
        <f>SUMIF('Parametros Inventario'!$A:$A,B2989,'Parametros Inventario'!$B:$B)+SUMIFS(D$2:D2989,B$2:B2989,B2989,C$2:C2989,"ENTRADA")-SUMIFS(D$2:D2989,B$2:B2989,B2989,C$2:C2989,"SALIDA")</f>
        <v>13486.949000000001</v>
      </c>
    </row>
    <row r="2990" spans="1:5" x14ac:dyDescent="0.3">
      <c r="A2990" s="9">
        <f>'Volúmenes DIstribuidos '!B1887</f>
        <v>45146</v>
      </c>
      <c r="B2990" s="10" t="str">
        <f>IF(OR('Volúmenes DIstribuidos '!C1887="Azúcar",'Volúmenes DIstribuidos '!C1887="azúcar"),"Azúcar o dulce",IF('Volúmenes DIstribuidos '!C1887="Aceite","Aceite o grasas",IF('Volúmenes DIstribuidos '!C1887="Avena","Otros almidones",'Volúmenes DIstribuidos '!C1887)))</f>
        <v>Aceite o grasas</v>
      </c>
      <c r="C2990" s="10" t="s">
        <v>29</v>
      </c>
      <c r="D2990" s="12">
        <f>'Volúmenes DIstribuidos '!D1887</f>
        <v>8.5399999999999991</v>
      </c>
      <c r="E2990" s="12">
        <f>SUMIF('Parametros Inventario'!$A:$A,B2990,'Parametros Inventario'!$B:$B)+SUMIFS(D$2:D2990,B$2:B2990,B2990,C$2:C2990,"ENTRADA")-SUMIFS(D$2:D2990,B$2:B2990,B2990,C$2:C2990,"SALIDA")</f>
        <v>13052.618000000006</v>
      </c>
    </row>
    <row r="2991" spans="1:5" x14ac:dyDescent="0.3">
      <c r="A2991" s="9">
        <f>'Volúmenes DIstribuidos '!B1887</f>
        <v>45146</v>
      </c>
      <c r="B2991" s="10" t="str">
        <f>IF(OR('Volúmenes DIstribuidos '!C1888="Azúcar",'Volúmenes DIstribuidos '!C1888="azúcar"),"Azúcar o dulce",IF('Volúmenes DIstribuidos '!C1888="Aceite","Aceite o grasas",IF('Volúmenes DIstribuidos '!C1888="Avena","Otros almidones",'Volúmenes DIstribuidos '!C1888)))</f>
        <v>Salsas</v>
      </c>
      <c r="C2991" s="10" t="s">
        <v>29</v>
      </c>
      <c r="D2991" s="12">
        <f>'Volúmenes DIstribuidos '!D1888</f>
        <v>7</v>
      </c>
      <c r="E2991" s="12">
        <f>SUMIF('Parametros Inventario'!$A:$A,B2991,'Parametros Inventario'!$B:$B)+SUMIFS(D$2:D2991,B$2:B2991,B2991,C$2:C2991,"ENTRADA")-SUMIFS(D$2:D2991,B$2:B2991,B2991,C$2:C2991,"SALIDA")</f>
        <v>12878.510000000002</v>
      </c>
    </row>
    <row r="2992" spans="1:5" x14ac:dyDescent="0.3">
      <c r="A2992" s="9">
        <f>'Volúmenes DIstribuidos '!B1887</f>
        <v>45146</v>
      </c>
      <c r="B2992" s="10" t="str">
        <f>IF(OR('Volúmenes DIstribuidos '!C1889="Azúcar",'Volúmenes DIstribuidos '!C1889="azúcar"),"Azúcar o dulce",IF('Volúmenes DIstribuidos '!C1889="Aceite","Aceite o grasas",IF('Volúmenes DIstribuidos '!C1889="Avena","Otros almidones",'Volúmenes DIstribuidos '!C1889)))</f>
        <v>Vegetales y hojas</v>
      </c>
      <c r="C2992" s="10" t="s">
        <v>29</v>
      </c>
      <c r="D2992" s="12">
        <f>'Volúmenes DIstribuidos '!D1889</f>
        <v>8.4670000000000005</v>
      </c>
      <c r="E2992" s="12">
        <f>SUMIF('Parametros Inventario'!$A:$A,B2992,'Parametros Inventario'!$B:$B)+SUMIFS(D$2:D2992,B$2:B2992,B2992,C$2:C2992,"ENTRADA")-SUMIFS(D$2:D2992,B$2:B2992,B2992,C$2:C2992,"SALIDA")</f>
        <v>14466.792999999994</v>
      </c>
    </row>
    <row r="2993" spans="1:5" x14ac:dyDescent="0.3">
      <c r="A2993" s="9">
        <f>'Volúmenes DIstribuidos '!B1887</f>
        <v>45146</v>
      </c>
      <c r="B2993" s="10" t="str">
        <f>IF(OR('Volúmenes DIstribuidos '!C1890="Azúcar",'Volúmenes DIstribuidos '!C1890="azúcar"),"Azúcar o dulce",IF('Volúmenes DIstribuidos '!C1890="Aceite","Aceite o grasas",IF('Volúmenes DIstribuidos '!C1890="Avena","Otros almidones",'Volúmenes DIstribuidos '!C1890)))</f>
        <v>Vegetales y hojas</v>
      </c>
      <c r="C2993" s="10" t="s">
        <v>29</v>
      </c>
      <c r="D2993" s="12">
        <f>'Volúmenes DIstribuidos '!D1890</f>
        <v>16.22</v>
      </c>
      <c r="E2993" s="12">
        <f>SUMIF('Parametros Inventario'!$A:$A,B2993,'Parametros Inventario'!$B:$B)+SUMIFS(D$2:D2993,B$2:B2993,B2993,C$2:C2993,"ENTRADA")-SUMIFS(D$2:D2993,B$2:B2993,B2993,C$2:C2993,"SALIDA")</f>
        <v>14450.572999999995</v>
      </c>
    </row>
    <row r="2994" spans="1:5" x14ac:dyDescent="0.3">
      <c r="A2994" s="9">
        <f>'Volúmenes DIstribuidos '!B1887</f>
        <v>45146</v>
      </c>
      <c r="B2994" s="10" t="str">
        <f>IF(OR('Volúmenes DIstribuidos '!C1891="Azúcar",'Volúmenes DIstribuidos '!C1891="azúcar"),"Azúcar o dulce",IF('Volúmenes DIstribuidos '!C1891="Aceite","Aceite o grasas",IF('Volúmenes DIstribuidos '!C1891="Avena","Otros almidones",'Volúmenes DIstribuidos '!C1891)))</f>
        <v>Menestras</v>
      </c>
      <c r="C2994" s="10" t="s">
        <v>29</v>
      </c>
      <c r="D2994" s="12">
        <f>'Volúmenes DIstribuidos '!D1891</f>
        <v>23.07</v>
      </c>
      <c r="E2994" s="12">
        <f>SUMIF('Parametros Inventario'!$A:$A,B2994,'Parametros Inventario'!$B:$B)+SUMIFS(D$2:D2994,B$2:B2994,B2994,C$2:C2994,"ENTRADA")-SUMIFS(D$2:D2994,B$2:B2994,B2994,C$2:C2994,"SALIDA")</f>
        <v>14324.241</v>
      </c>
    </row>
    <row r="2995" spans="1:5" x14ac:dyDescent="0.3">
      <c r="A2995" s="9">
        <f>'Volúmenes DIstribuidos '!B1887</f>
        <v>45146</v>
      </c>
      <c r="B2995" s="10" t="str">
        <f>IF(OR('Volúmenes DIstribuidos '!C1892="Azúcar",'Volúmenes DIstribuidos '!C1892="azúcar"),"Azúcar o dulce",IF('Volúmenes DIstribuidos '!C1892="Aceite","Aceite o grasas",IF('Volúmenes DIstribuidos '!C1892="Avena","Otros almidones",'Volúmenes DIstribuidos '!C1892)))</f>
        <v>Panadería</v>
      </c>
      <c r="C2995" s="10" t="s">
        <v>29</v>
      </c>
      <c r="D2995" s="12">
        <f>'Volúmenes DIstribuidos '!D1892</f>
        <v>6.8579999999999997</v>
      </c>
      <c r="E2995" s="12">
        <f>SUMIF('Parametros Inventario'!$A:$A,B2995,'Parametros Inventario'!$B:$B)+SUMIFS(D$2:D2995,B$2:B2995,B2995,C$2:C2995,"ENTRADA")-SUMIFS(D$2:D2995,B$2:B2995,B2995,C$2:C2995,"SALIDA")</f>
        <v>11302.822000000002</v>
      </c>
    </row>
    <row r="2996" spans="1:5" x14ac:dyDescent="0.3">
      <c r="A2996" s="9">
        <f>'Volúmenes DIstribuidos '!B1893</f>
        <v>45149</v>
      </c>
      <c r="B2996" s="10" t="str">
        <f>IF(OR('Volúmenes DIstribuidos '!C1893="Azúcar",'Volúmenes DIstribuidos '!C1893="azúcar"),"Azúcar o dulce",IF('Volúmenes DIstribuidos '!C1893="Aceite","Aceite o grasas",IF('Volúmenes DIstribuidos '!C1893="Avena","Otros almidones",'Volúmenes DIstribuidos '!C1893)))</f>
        <v>Carnes rojas</v>
      </c>
      <c r="C2996" s="10" t="s">
        <v>29</v>
      </c>
      <c r="D2996" s="12">
        <f>'Volúmenes DIstribuidos '!D1893</f>
        <v>34.68</v>
      </c>
      <c r="E2996" s="12">
        <f>SUMIF('Parametros Inventario'!$A:$A,B2996,'Parametros Inventario'!$B:$B)+SUMIFS(D$2:D2996,B$2:B2996,B2996,C$2:C2996,"ENTRADA")-SUMIFS(D$2:D2996,B$2:B2996,B2996,C$2:C2996,"SALIDA")</f>
        <v>13452.269</v>
      </c>
    </row>
    <row r="2997" spans="1:5" x14ac:dyDescent="0.3">
      <c r="A2997" s="9">
        <f>'Volúmenes DIstribuidos '!B1893</f>
        <v>45149</v>
      </c>
      <c r="B2997" s="10" t="str">
        <f>IF(OR('Volúmenes DIstribuidos '!C1894="Azúcar",'Volúmenes DIstribuidos '!C1894="azúcar"),"Azúcar o dulce",IF('Volúmenes DIstribuidos '!C1894="Aceite","Aceite o grasas",IF('Volúmenes DIstribuidos '!C1894="Avena","Otros almidones",'Volúmenes DIstribuidos '!C1894)))</f>
        <v>Fideo</v>
      </c>
      <c r="C2997" s="10" t="s">
        <v>29</v>
      </c>
      <c r="D2997" s="12">
        <f>'Volúmenes DIstribuidos '!D1894</f>
        <v>5.03</v>
      </c>
      <c r="E2997" s="12">
        <f>SUMIF('Parametros Inventario'!$A:$A,B2997,'Parametros Inventario'!$B:$B)+SUMIFS(D$2:D2997,B$2:B2997,B2997,C$2:C2997,"ENTRADA")-SUMIFS(D$2:D2997,B$2:B2997,B2997,C$2:C2997,"SALIDA")</f>
        <v>14916.249</v>
      </c>
    </row>
    <row r="2998" spans="1:5" x14ac:dyDescent="0.3">
      <c r="A2998" s="9">
        <f>'Volúmenes DIstribuidos '!B1893</f>
        <v>45149</v>
      </c>
      <c r="B2998" s="10" t="str">
        <f>IF(OR('Volúmenes DIstribuidos '!C1895="Azúcar",'Volúmenes DIstribuidos '!C1895="azúcar"),"Azúcar o dulce",IF('Volúmenes DIstribuidos '!C1895="Aceite","Aceite o grasas",IF('Volúmenes DIstribuidos '!C1895="Avena","Otros almidones",'Volúmenes DIstribuidos '!C1895)))</f>
        <v>Aceite o grasas</v>
      </c>
      <c r="C2998" s="10" t="s">
        <v>29</v>
      </c>
      <c r="D2998" s="12">
        <f>'Volúmenes DIstribuidos '!D1895</f>
        <v>7.29</v>
      </c>
      <c r="E2998" s="12">
        <f>SUMIF('Parametros Inventario'!$A:$A,B2998,'Parametros Inventario'!$B:$B)+SUMIFS(D$2:D2998,B$2:B2998,B2998,C$2:C2998,"ENTRADA")-SUMIFS(D$2:D2998,B$2:B2998,B2998,C$2:C2998,"SALIDA")</f>
        <v>13045.328000000005</v>
      </c>
    </row>
    <row r="2999" spans="1:5" x14ac:dyDescent="0.3">
      <c r="A2999" s="9">
        <f>'Volúmenes DIstribuidos '!B1893</f>
        <v>45149</v>
      </c>
      <c r="B2999" s="10" t="str">
        <f>IF(OR('Volúmenes DIstribuidos '!C1896="Azúcar",'Volúmenes DIstribuidos '!C1896="azúcar"),"Azúcar o dulce",IF('Volúmenes DIstribuidos '!C1896="Aceite","Aceite o grasas",IF('Volúmenes DIstribuidos '!C1896="Avena","Otros almidones",'Volúmenes DIstribuidos '!C1896)))</f>
        <v>Panadería</v>
      </c>
      <c r="C2999" s="10" t="s">
        <v>29</v>
      </c>
      <c r="D2999" s="12">
        <f>'Volúmenes DIstribuidos '!D1896</f>
        <v>31.49</v>
      </c>
      <c r="E2999" s="12">
        <f>SUMIF('Parametros Inventario'!$A:$A,B2999,'Parametros Inventario'!$B:$B)+SUMIFS(D$2:D2999,B$2:B2999,B2999,C$2:C2999,"ENTRADA")-SUMIFS(D$2:D2999,B$2:B2999,B2999,C$2:C2999,"SALIDA")</f>
        <v>11271.332000000002</v>
      </c>
    </row>
    <row r="3000" spans="1:5" x14ac:dyDescent="0.3">
      <c r="A3000" s="9">
        <f>'Volúmenes DIstribuidos '!B1893</f>
        <v>45149</v>
      </c>
      <c r="B3000" s="10" t="str">
        <f>IF(OR('Volúmenes DIstribuidos '!C1897="Azúcar",'Volúmenes DIstribuidos '!C1897="azúcar"),"Azúcar o dulce",IF('Volúmenes DIstribuidos '!C1897="Aceite","Aceite o grasas",IF('Volúmenes DIstribuidos '!C1897="Avena","Otros almidones",'Volúmenes DIstribuidos '!C1897)))</f>
        <v>Aceite o grasas</v>
      </c>
      <c r="C3000" s="10" t="s">
        <v>29</v>
      </c>
      <c r="D3000" s="12">
        <f>'Volúmenes DIstribuidos '!D1897</f>
        <v>22.01</v>
      </c>
      <c r="E3000" s="12">
        <f>SUMIF('Parametros Inventario'!$A:$A,B3000,'Parametros Inventario'!$B:$B)+SUMIFS(D$2:D3000,B$2:B3000,B3000,C$2:C3000,"ENTRADA")-SUMIFS(D$2:D3000,B$2:B3000,B3000,C$2:C3000,"SALIDA")</f>
        <v>13023.318000000007</v>
      </c>
    </row>
    <row r="3001" spans="1:5" x14ac:dyDescent="0.3">
      <c r="A3001" s="9">
        <f>'Volúmenes DIstribuidos '!B1893</f>
        <v>45149</v>
      </c>
      <c r="B3001" s="10" t="str">
        <f>IF(OR('Volúmenes DIstribuidos '!C1898="Azúcar",'Volúmenes DIstribuidos '!C1898="azúcar"),"Azúcar o dulce",IF('Volúmenes DIstribuidos '!C1898="Aceite","Aceite o grasas",IF('Volúmenes DIstribuidos '!C1898="Avena","Otros almidones",'Volúmenes DIstribuidos '!C1898)))</f>
        <v>Salsas</v>
      </c>
      <c r="C3001" s="10" t="s">
        <v>29</v>
      </c>
      <c r="D3001" s="12">
        <f>'Volúmenes DIstribuidos '!D1898</f>
        <v>14.41</v>
      </c>
      <c r="E3001" s="12">
        <f>SUMIF('Parametros Inventario'!$A:$A,B3001,'Parametros Inventario'!$B:$B)+SUMIFS(D$2:D3001,B$2:B3001,B3001,C$2:C3001,"ENTRADA")-SUMIFS(D$2:D3001,B$2:B3001,B3001,C$2:C3001,"SALIDA")</f>
        <v>12864.100000000002</v>
      </c>
    </row>
    <row r="3002" spans="1:5" x14ac:dyDescent="0.3">
      <c r="A3002" s="9">
        <f>'Volúmenes DIstribuidos '!B1899</f>
        <v>45153</v>
      </c>
      <c r="B3002" s="10" t="str">
        <f>IF(OR('Volúmenes DIstribuidos '!C1899="Azúcar",'Volúmenes DIstribuidos '!C1899="azúcar"),"Azúcar o dulce",IF('Volúmenes DIstribuidos '!C1899="Aceite","Aceite o grasas",IF('Volúmenes DIstribuidos '!C1899="Avena","Otros almidones",'Volúmenes DIstribuidos '!C1899)))</f>
        <v>Lácteos</v>
      </c>
      <c r="C3002" s="10" t="s">
        <v>29</v>
      </c>
      <c r="D3002" s="12">
        <f>'Volúmenes DIstribuidos '!D1899</f>
        <v>12.695</v>
      </c>
      <c r="E3002" s="12">
        <f>SUMIF('Parametros Inventario'!$A:$A,B3002,'Parametros Inventario'!$B:$B)+SUMIFS(D$2:D3002,B$2:B3002,B3002,C$2:C3002,"ENTRADA")-SUMIFS(D$2:D3002,B$2:B3002,B3002,C$2:C3002,"SALIDA")</f>
        <v>12026.876999999997</v>
      </c>
    </row>
    <row r="3003" spans="1:5" x14ac:dyDescent="0.3">
      <c r="A3003" s="9">
        <f>'Volúmenes DIstribuidos '!B1899</f>
        <v>45153</v>
      </c>
      <c r="B3003" s="10" t="str">
        <f>IF(OR('Volúmenes DIstribuidos '!C1900="Azúcar",'Volúmenes DIstribuidos '!C1900="azúcar"),"Azúcar o dulce",IF('Volúmenes DIstribuidos '!C1900="Aceite","Aceite o grasas",IF('Volúmenes DIstribuidos '!C1900="Avena","Otros almidones",'Volúmenes DIstribuidos '!C1900)))</f>
        <v>Aceite o grasas</v>
      </c>
      <c r="C3003" s="10" t="s">
        <v>29</v>
      </c>
      <c r="D3003" s="12">
        <f>'Volúmenes DIstribuidos '!D1900</f>
        <v>96.12</v>
      </c>
      <c r="E3003" s="12">
        <f>SUMIF('Parametros Inventario'!$A:$A,B3003,'Parametros Inventario'!$B:$B)+SUMIFS(D$2:D3003,B$2:B3003,B3003,C$2:C3003,"ENTRADA")-SUMIFS(D$2:D3003,B$2:B3003,B3003,C$2:C3003,"SALIDA")</f>
        <v>12927.198000000006</v>
      </c>
    </row>
    <row r="3004" spans="1:5" x14ac:dyDescent="0.3">
      <c r="A3004" s="9">
        <f>'Volúmenes DIstribuidos '!B1899</f>
        <v>45153</v>
      </c>
      <c r="B3004" s="10" t="str">
        <f>IF(OR('Volúmenes DIstribuidos '!C1901="Azúcar",'Volúmenes DIstribuidos '!C1901="azúcar"),"Azúcar o dulce",IF('Volúmenes DIstribuidos '!C1901="Aceite","Aceite o grasas",IF('Volúmenes DIstribuidos '!C1901="Avena","Otros almidones",'Volúmenes DIstribuidos '!C1901)))</f>
        <v>Panadería</v>
      </c>
      <c r="C3004" s="10" t="s">
        <v>29</v>
      </c>
      <c r="D3004" s="12">
        <f>'Volúmenes DIstribuidos '!D1901</f>
        <v>31.71</v>
      </c>
      <c r="E3004" s="12">
        <f>SUMIF('Parametros Inventario'!$A:$A,B3004,'Parametros Inventario'!$B:$B)+SUMIFS(D$2:D3004,B$2:B3004,B3004,C$2:C3004,"ENTRADA")-SUMIFS(D$2:D3004,B$2:B3004,B3004,C$2:C3004,"SALIDA")</f>
        <v>11239.622000000003</v>
      </c>
    </row>
    <row r="3005" spans="1:5" x14ac:dyDescent="0.3">
      <c r="A3005" s="9">
        <f>'Volúmenes DIstribuidos '!B1899</f>
        <v>45153</v>
      </c>
      <c r="B3005" s="10" t="str">
        <f>IF(OR('Volúmenes DIstribuidos '!C1902="Azúcar",'Volúmenes DIstribuidos '!C1902="azúcar"),"Azúcar o dulce",IF('Volúmenes DIstribuidos '!C1902="Aceite","Aceite o grasas",IF('Volúmenes DIstribuidos '!C1902="Avena","Otros almidones",'Volúmenes DIstribuidos '!C1902)))</f>
        <v>Lácteos</v>
      </c>
      <c r="C3005" s="10" t="s">
        <v>29</v>
      </c>
      <c r="D3005" s="12">
        <f>'Volúmenes DIstribuidos '!D1902</f>
        <v>65.194000000000003</v>
      </c>
      <c r="E3005" s="12">
        <f>SUMIF('Parametros Inventario'!$A:$A,B3005,'Parametros Inventario'!$B:$B)+SUMIFS(D$2:D3005,B$2:B3005,B3005,C$2:C3005,"ENTRADA")-SUMIFS(D$2:D3005,B$2:B3005,B3005,C$2:C3005,"SALIDA")</f>
        <v>11961.682999999997</v>
      </c>
    </row>
    <row r="3006" spans="1:5" x14ac:dyDescent="0.3">
      <c r="A3006" s="9">
        <f>'Volúmenes DIstribuidos '!B1899</f>
        <v>45153</v>
      </c>
      <c r="B3006" s="10" t="str">
        <f>IF(OR('Volúmenes DIstribuidos '!C1903="Azúcar",'Volúmenes DIstribuidos '!C1903="azúcar"),"Azúcar o dulce",IF('Volúmenes DIstribuidos '!C1903="Aceite","Aceite o grasas",IF('Volúmenes DIstribuidos '!C1903="Avena","Otros almidones",'Volúmenes DIstribuidos '!C1903)))</f>
        <v>Aceite o grasas</v>
      </c>
      <c r="C3006" s="10" t="s">
        <v>29</v>
      </c>
      <c r="D3006" s="12">
        <f>'Volúmenes DIstribuidos '!D1903</f>
        <v>80</v>
      </c>
      <c r="E3006" s="12">
        <f>SUMIF('Parametros Inventario'!$A:$A,B3006,'Parametros Inventario'!$B:$B)+SUMIFS(D$2:D3006,B$2:B3006,B3006,C$2:C3006,"ENTRADA")-SUMIFS(D$2:D3006,B$2:B3006,B3006,C$2:C3006,"SALIDA")</f>
        <v>12847.198000000006</v>
      </c>
    </row>
    <row r="3007" spans="1:5" x14ac:dyDescent="0.3">
      <c r="A3007" s="9">
        <f>'Volúmenes DIstribuidos '!B1899</f>
        <v>45153</v>
      </c>
      <c r="B3007" s="10" t="str">
        <f>IF(OR('Volúmenes DIstribuidos '!C1904="Azúcar",'Volúmenes DIstribuidos '!C1904="azúcar"),"Azúcar o dulce",IF('Volúmenes DIstribuidos '!C1904="Aceite","Aceite o grasas",IF('Volúmenes DIstribuidos '!C1904="Avena","Otros almidones",'Volúmenes DIstribuidos '!C1904)))</f>
        <v>Menestras</v>
      </c>
      <c r="C3007" s="10" t="s">
        <v>29</v>
      </c>
      <c r="D3007" s="12">
        <f>'Volúmenes DIstribuidos '!D1904</f>
        <v>99.76</v>
      </c>
      <c r="E3007" s="12">
        <f>SUMIF('Parametros Inventario'!$A:$A,B3007,'Parametros Inventario'!$B:$B)+SUMIFS(D$2:D3007,B$2:B3007,B3007,C$2:C3007,"ENTRADA")-SUMIFS(D$2:D3007,B$2:B3007,B3007,C$2:C3007,"SALIDA")</f>
        <v>14224.481</v>
      </c>
    </row>
    <row r="3008" spans="1:5" x14ac:dyDescent="0.3">
      <c r="A3008" s="9">
        <v>45156</v>
      </c>
      <c r="B3008" s="10" t="s">
        <v>14</v>
      </c>
      <c r="C3008" s="10" t="s">
        <v>28</v>
      </c>
      <c r="D3008" s="12">
        <v>105.95</v>
      </c>
      <c r="E3008" s="12">
        <f>SUMIF('Parametros Inventario'!$A:$A,B3008,'Parametros Inventario'!$B:$B)+SUMIFS(D$2:D3008,B$2:B3008,B3008,C$2:C3008,"ENTRADA")-SUMIFS(D$2:D3008,B$2:B3008,B3008,C$2:C3008,"SALIDA")</f>
        <v>14330.431</v>
      </c>
    </row>
    <row r="3009" spans="1:5" x14ac:dyDescent="0.3">
      <c r="A3009" s="9">
        <v>45156</v>
      </c>
      <c r="B3009" s="10" t="s">
        <v>12</v>
      </c>
      <c r="C3009" s="10" t="s">
        <v>28</v>
      </c>
      <c r="D3009" s="12">
        <v>193.99</v>
      </c>
      <c r="E3009" s="12">
        <f>SUMIF('Parametros Inventario'!$A:$A,B3009,'Parametros Inventario'!$B:$B)+SUMIFS(D$2:D3009,B$2:B3009,B3009,C$2:C3009,"ENTRADA")-SUMIFS(D$2:D3009,B$2:B3009,B3009,C$2:C3009,"SALIDA")</f>
        <v>13646.259000000002</v>
      </c>
    </row>
    <row r="3010" spans="1:5" x14ac:dyDescent="0.3">
      <c r="A3010" s="9">
        <v>45156</v>
      </c>
      <c r="B3010" s="10" t="s">
        <v>16</v>
      </c>
      <c r="C3010" s="10" t="s">
        <v>28</v>
      </c>
      <c r="D3010" s="12">
        <v>280.95999999999998</v>
      </c>
      <c r="E3010" s="12">
        <f>SUMIF('Parametros Inventario'!$A:$A,B3010,'Parametros Inventario'!$B:$B)+SUMIFS(D$2:D3010,B$2:B3010,B3010,C$2:C3010,"ENTRADA")-SUMIFS(D$2:D3010,B$2:B3010,B3010,C$2:C3010,"SALIDA")</f>
        <v>13547.847999999998</v>
      </c>
    </row>
    <row r="3011" spans="1:5" x14ac:dyDescent="0.3">
      <c r="A3011" s="9">
        <v>45156</v>
      </c>
      <c r="B3011" s="10" t="s">
        <v>17</v>
      </c>
      <c r="C3011" s="10" t="s">
        <v>28</v>
      </c>
      <c r="D3011" s="12">
        <v>66.17</v>
      </c>
      <c r="E3011" s="12">
        <f>SUMIF('Parametros Inventario'!$A:$A,B3011,'Parametros Inventario'!$B:$B)+SUMIFS(D$2:D3011,B$2:B3011,B3011,C$2:C3011,"ENTRADA")-SUMIFS(D$2:D3011,B$2:B3011,B3011,C$2:C3011,"SALIDA")</f>
        <v>12027.852999999996</v>
      </c>
    </row>
    <row r="3012" spans="1:5" x14ac:dyDescent="0.3">
      <c r="A3012" s="9">
        <v>45156</v>
      </c>
      <c r="B3012" s="10" t="s">
        <v>18</v>
      </c>
      <c r="C3012" s="10" t="s">
        <v>28</v>
      </c>
      <c r="D3012" s="12">
        <v>135.81</v>
      </c>
      <c r="E3012" s="12">
        <f>SUMIF('Parametros Inventario'!$A:$A,B3012,'Parametros Inventario'!$B:$B)+SUMIFS(D$2:D3012,B$2:B3012,B3012,C$2:C3012,"ENTRADA")-SUMIFS(D$2:D3012,B$2:B3012,B3012,C$2:C3012,"SALIDA")</f>
        <v>12999.910000000003</v>
      </c>
    </row>
    <row r="3013" spans="1:5" x14ac:dyDescent="0.3">
      <c r="A3013" s="9">
        <v>45156</v>
      </c>
      <c r="B3013" s="10" t="s">
        <v>10</v>
      </c>
      <c r="C3013" s="10" t="s">
        <v>28</v>
      </c>
      <c r="D3013" s="12">
        <v>277.54000000000002</v>
      </c>
      <c r="E3013" s="12">
        <f>SUMIF('Parametros Inventario'!$A:$A,B3013,'Parametros Inventario'!$B:$B)+SUMIFS(D$2:D3013,B$2:B3013,B3013,C$2:C3013,"ENTRADA")-SUMIFS(D$2:D3013,B$2:B3013,B3013,C$2:C3013,"SALIDA")</f>
        <v>14728.112999999996</v>
      </c>
    </row>
    <row r="3014" spans="1:5" x14ac:dyDescent="0.3">
      <c r="A3014" s="9">
        <v>45156</v>
      </c>
      <c r="B3014" s="10" t="s">
        <v>8</v>
      </c>
      <c r="C3014" s="10" t="s">
        <v>28</v>
      </c>
      <c r="D3014" s="12">
        <v>235.74</v>
      </c>
      <c r="E3014" s="12">
        <f>SUMIF('Parametros Inventario'!$A:$A,B3014,'Parametros Inventario'!$B:$B)+SUMIFS(D$2:D3014,B$2:B3014,B3014,C$2:C3014,"ENTRADA")-SUMIFS(D$2:D3014,B$2:B3014,B3014,C$2:C3014,"SALIDA")</f>
        <v>13082.938000000007</v>
      </c>
    </row>
    <row r="3015" spans="1:5" x14ac:dyDescent="0.3">
      <c r="A3015" s="9">
        <f>'Volúmenes DIstribuidos '!B1905</f>
        <v>45156</v>
      </c>
      <c r="B3015" s="10" t="str">
        <f>IF(OR('Volúmenes DIstribuidos '!C1905="Azúcar",'Volúmenes DIstribuidos '!C1905="azúcar"),"Azúcar o dulce",IF('Volúmenes DIstribuidos '!C1905="Aceite","Aceite o grasas",IF('Volúmenes DIstribuidos '!C1905="Avena","Otros almidones",'Volúmenes DIstribuidos '!C1905)))</f>
        <v>Otros almidones</v>
      </c>
      <c r="C3015" s="10" t="s">
        <v>29</v>
      </c>
      <c r="D3015" s="12">
        <f>'Volúmenes DIstribuidos '!D1905</f>
        <v>13.701000000000001</v>
      </c>
      <c r="E3015" s="12">
        <f>SUMIF('Parametros Inventario'!$A:$A,B3015,'Parametros Inventario'!$B:$B)+SUMIFS(D$2:D3015,B$2:B3015,B3015,C$2:C3015,"ENTRADA")-SUMIFS(D$2:D3015,B$2:B3015,B3015,C$2:C3015,"SALIDA")</f>
        <v>13972.062000000004</v>
      </c>
    </row>
    <row r="3016" spans="1:5" x14ac:dyDescent="0.3">
      <c r="A3016" s="9">
        <f>'Volúmenes DIstribuidos '!B1905</f>
        <v>45156</v>
      </c>
      <c r="B3016" s="10" t="str">
        <f>IF(OR('Volúmenes DIstribuidos '!C1906="Azúcar",'Volúmenes DIstribuidos '!C1906="azúcar"),"Azúcar o dulce",IF('Volúmenes DIstribuidos '!C1906="Aceite","Aceite o grasas",IF('Volúmenes DIstribuidos '!C1906="Avena","Otros almidones",'Volúmenes DIstribuidos '!C1906)))</f>
        <v>Lácteos</v>
      </c>
      <c r="C3016" s="10" t="s">
        <v>29</v>
      </c>
      <c r="D3016" s="12">
        <f>'Volúmenes DIstribuidos '!D1906</f>
        <v>10.19</v>
      </c>
      <c r="E3016" s="12">
        <f>SUMIF('Parametros Inventario'!$A:$A,B3016,'Parametros Inventario'!$B:$B)+SUMIFS(D$2:D3016,B$2:B3016,B3016,C$2:C3016,"ENTRADA")-SUMIFS(D$2:D3016,B$2:B3016,B3016,C$2:C3016,"SALIDA")</f>
        <v>12017.662999999995</v>
      </c>
    </row>
    <row r="3017" spans="1:5" x14ac:dyDescent="0.3">
      <c r="A3017" s="9">
        <f>'Volúmenes DIstribuidos '!B1905</f>
        <v>45156</v>
      </c>
      <c r="B3017" s="10" t="str">
        <f>IF(OR('Volúmenes DIstribuidos '!C1907="Azúcar",'Volúmenes DIstribuidos '!C1907="azúcar"),"Azúcar o dulce",IF('Volúmenes DIstribuidos '!C1907="Aceite","Aceite o grasas",IF('Volúmenes DIstribuidos '!C1907="Avena","Otros almidones",'Volúmenes DIstribuidos '!C1907)))</f>
        <v>Aceite o grasas</v>
      </c>
      <c r="C3017" s="10" t="s">
        <v>29</v>
      </c>
      <c r="D3017" s="12">
        <f>'Volúmenes DIstribuidos '!D1907</f>
        <v>48.84</v>
      </c>
      <c r="E3017" s="12">
        <f>SUMIF('Parametros Inventario'!$A:$A,B3017,'Parametros Inventario'!$B:$B)+SUMIFS(D$2:D3017,B$2:B3017,B3017,C$2:C3017,"ENTRADA")-SUMIFS(D$2:D3017,B$2:B3017,B3017,C$2:C3017,"SALIDA")</f>
        <v>13034.098000000007</v>
      </c>
    </row>
    <row r="3018" spans="1:5" x14ac:dyDescent="0.3">
      <c r="A3018" s="9">
        <f>'Volúmenes DIstribuidos '!B1905</f>
        <v>45156</v>
      </c>
      <c r="B3018" s="10" t="str">
        <f>IF(OR('Volúmenes DIstribuidos '!C1908="Azúcar",'Volúmenes DIstribuidos '!C1908="azúcar"),"Azúcar o dulce",IF('Volúmenes DIstribuidos '!C1908="Aceite","Aceite o grasas",IF('Volúmenes DIstribuidos '!C1908="Avena","Otros almidones",'Volúmenes DIstribuidos '!C1908)))</f>
        <v>Fideo</v>
      </c>
      <c r="C3018" s="10" t="s">
        <v>29</v>
      </c>
      <c r="D3018" s="12">
        <f>'Volúmenes DIstribuidos '!D1908</f>
        <v>7.32</v>
      </c>
      <c r="E3018" s="12">
        <f>SUMIF('Parametros Inventario'!$A:$A,B3018,'Parametros Inventario'!$B:$B)+SUMIFS(D$2:D3018,B$2:B3018,B3018,C$2:C3018,"ENTRADA")-SUMIFS(D$2:D3018,B$2:B3018,B3018,C$2:C3018,"SALIDA")</f>
        <v>14908.929</v>
      </c>
    </row>
    <row r="3019" spans="1:5" x14ac:dyDescent="0.3">
      <c r="A3019" s="9">
        <f>'Volúmenes DIstribuidos '!B1905</f>
        <v>45156</v>
      </c>
      <c r="B3019" s="10" t="str">
        <f>IF(OR('Volúmenes DIstribuidos '!C1909="Azúcar",'Volúmenes DIstribuidos '!C1909="azúcar"),"Azúcar o dulce",IF('Volúmenes DIstribuidos '!C1909="Aceite","Aceite o grasas",IF('Volúmenes DIstribuidos '!C1909="Avena","Otros almidones",'Volúmenes DIstribuidos '!C1909)))</f>
        <v>Carnes rojas</v>
      </c>
      <c r="C3019" s="10" t="s">
        <v>29</v>
      </c>
      <c r="D3019" s="12">
        <f>'Volúmenes DIstribuidos '!D1909</f>
        <v>13.18</v>
      </c>
      <c r="E3019" s="12">
        <f>SUMIF('Parametros Inventario'!$A:$A,B3019,'Parametros Inventario'!$B:$B)+SUMIFS(D$2:D3019,B$2:B3019,B3019,C$2:C3019,"ENTRADA")-SUMIFS(D$2:D3019,B$2:B3019,B3019,C$2:C3019,"SALIDA")</f>
        <v>13633.079000000002</v>
      </c>
    </row>
    <row r="3020" spans="1:5" x14ac:dyDescent="0.3">
      <c r="A3020" s="9">
        <f>'Volúmenes DIstribuidos '!B1905</f>
        <v>45156</v>
      </c>
      <c r="B3020" s="10" t="str">
        <f>IF(OR('Volúmenes DIstribuidos '!C1910="Azúcar",'Volúmenes DIstribuidos '!C1910="azúcar"),"Azúcar o dulce",IF('Volúmenes DIstribuidos '!C1910="Aceite","Aceite o grasas",IF('Volúmenes DIstribuidos '!C1910="Avena","Otros almidones",'Volúmenes DIstribuidos '!C1910)))</f>
        <v>Carnes blancas</v>
      </c>
      <c r="C3020" s="10" t="s">
        <v>29</v>
      </c>
      <c r="D3020" s="12">
        <f>'Volúmenes DIstribuidos '!D1910</f>
        <v>19.244</v>
      </c>
      <c r="E3020" s="12">
        <f>SUMIF('Parametros Inventario'!$A:$A,B3020,'Parametros Inventario'!$B:$B)+SUMIFS(D$2:D3020,B$2:B3020,B3020,C$2:C3020,"ENTRADA")-SUMIFS(D$2:D3020,B$2:B3020,B3020,C$2:C3020,"SALIDA")</f>
        <v>13528.603999999998</v>
      </c>
    </row>
    <row r="3021" spans="1:5" x14ac:dyDescent="0.3">
      <c r="A3021" s="9">
        <f>'Volúmenes DIstribuidos '!B1911</f>
        <v>45160</v>
      </c>
      <c r="B3021" s="10" t="str">
        <f>IF(OR('Volúmenes DIstribuidos '!C1911="Azúcar",'Volúmenes DIstribuidos '!C1911="azúcar"),"Azúcar o dulce",IF('Volúmenes DIstribuidos '!C1911="Aceite","Aceite o grasas",IF('Volúmenes DIstribuidos '!C1911="Avena","Otros almidones",'Volúmenes DIstribuidos '!C1911)))</f>
        <v>Panadería</v>
      </c>
      <c r="C3021" s="10" t="s">
        <v>29</v>
      </c>
      <c r="D3021" s="12">
        <f>'Volúmenes DIstribuidos '!D1911</f>
        <v>8.48</v>
      </c>
      <c r="E3021" s="12">
        <f>SUMIF('Parametros Inventario'!$A:$A,B3021,'Parametros Inventario'!$B:$B)+SUMIFS(D$2:D3021,B$2:B3021,B3021,C$2:C3021,"ENTRADA")-SUMIFS(D$2:D3021,B$2:B3021,B3021,C$2:C3021,"SALIDA")</f>
        <v>11231.142000000003</v>
      </c>
    </row>
    <row r="3022" spans="1:5" x14ac:dyDescent="0.3">
      <c r="A3022" s="9">
        <f>'Volúmenes DIstribuidos '!B1911</f>
        <v>45160</v>
      </c>
      <c r="B3022" s="10" t="str">
        <f>IF(OR('Volúmenes DIstribuidos '!C1912="Azúcar",'Volúmenes DIstribuidos '!C1912="azúcar"),"Azúcar o dulce",IF('Volúmenes DIstribuidos '!C1912="Aceite","Aceite o grasas",IF('Volúmenes DIstribuidos '!C1912="Avena","Otros almidones",'Volúmenes DIstribuidos '!C1912)))</f>
        <v>Carnes rojas</v>
      </c>
      <c r="C3022" s="10" t="s">
        <v>29</v>
      </c>
      <c r="D3022" s="12">
        <f>'Volúmenes DIstribuidos '!D1912</f>
        <v>10.48</v>
      </c>
      <c r="E3022" s="12">
        <f>SUMIF('Parametros Inventario'!$A:$A,B3022,'Parametros Inventario'!$B:$B)+SUMIFS(D$2:D3022,B$2:B3022,B3022,C$2:C3022,"ENTRADA")-SUMIFS(D$2:D3022,B$2:B3022,B3022,C$2:C3022,"SALIDA")</f>
        <v>13622.599000000002</v>
      </c>
    </row>
    <row r="3023" spans="1:5" x14ac:dyDescent="0.3">
      <c r="A3023" s="9">
        <f>'Volúmenes DIstribuidos '!B1911</f>
        <v>45160</v>
      </c>
      <c r="B3023" s="10" t="str">
        <f>IF(OR('Volúmenes DIstribuidos '!C1913="Azúcar",'Volúmenes DIstribuidos '!C1913="azúcar"),"Azúcar o dulce",IF('Volúmenes DIstribuidos '!C1913="Aceite","Aceite o grasas",IF('Volúmenes DIstribuidos '!C1913="Avena","Otros almidones",'Volúmenes DIstribuidos '!C1913)))</f>
        <v>Carnes blancas</v>
      </c>
      <c r="C3023" s="10" t="s">
        <v>29</v>
      </c>
      <c r="D3023" s="12">
        <f>'Volúmenes DIstribuidos '!D1913</f>
        <v>27.81</v>
      </c>
      <c r="E3023" s="12">
        <f>SUMIF('Parametros Inventario'!$A:$A,B3023,'Parametros Inventario'!$B:$B)+SUMIFS(D$2:D3023,B$2:B3023,B3023,C$2:C3023,"ENTRADA")-SUMIFS(D$2:D3023,B$2:B3023,B3023,C$2:C3023,"SALIDA")</f>
        <v>13500.793999999998</v>
      </c>
    </row>
    <row r="3024" spans="1:5" x14ac:dyDescent="0.3">
      <c r="A3024" s="9">
        <f>'Volúmenes DIstribuidos '!B1911</f>
        <v>45160</v>
      </c>
      <c r="B3024" s="10" t="str">
        <f>IF(OR('Volúmenes DIstribuidos '!C1914="Azúcar",'Volúmenes DIstribuidos '!C1914="azúcar"),"Azúcar o dulce",IF('Volúmenes DIstribuidos '!C1914="Aceite","Aceite o grasas",IF('Volúmenes DIstribuidos '!C1914="Avena","Otros almidones",'Volúmenes DIstribuidos '!C1914)))</f>
        <v>Fideo</v>
      </c>
      <c r="C3024" s="10" t="s">
        <v>29</v>
      </c>
      <c r="D3024" s="12">
        <f>'Volúmenes DIstribuidos '!D1914</f>
        <v>10.25</v>
      </c>
      <c r="E3024" s="12">
        <f>SUMIF('Parametros Inventario'!$A:$A,B3024,'Parametros Inventario'!$B:$B)+SUMIFS(D$2:D3024,B$2:B3024,B3024,C$2:C3024,"ENTRADA")-SUMIFS(D$2:D3024,B$2:B3024,B3024,C$2:C3024,"SALIDA")</f>
        <v>14898.679</v>
      </c>
    </row>
    <row r="3025" spans="1:5" x14ac:dyDescent="0.3">
      <c r="A3025" s="9">
        <f>'Volúmenes DIstribuidos '!B1911</f>
        <v>45160</v>
      </c>
      <c r="B3025" s="10" t="str">
        <f>IF(OR('Volúmenes DIstribuidos '!C1915="Azúcar",'Volúmenes DIstribuidos '!C1915="azúcar"),"Azúcar o dulce",IF('Volúmenes DIstribuidos '!C1915="Aceite","Aceite o grasas",IF('Volúmenes DIstribuidos '!C1915="Avena","Otros almidones",'Volúmenes DIstribuidos '!C1915)))</f>
        <v>Vegetales y hojas</v>
      </c>
      <c r="C3025" s="10" t="s">
        <v>29</v>
      </c>
      <c r="D3025" s="12">
        <f>'Volúmenes DIstribuidos '!D1915</f>
        <v>9.36</v>
      </c>
      <c r="E3025" s="12">
        <f>SUMIF('Parametros Inventario'!$A:$A,B3025,'Parametros Inventario'!$B:$B)+SUMIFS(D$2:D3025,B$2:B3025,B3025,C$2:C3025,"ENTRADA")-SUMIFS(D$2:D3025,B$2:B3025,B3025,C$2:C3025,"SALIDA")</f>
        <v>14718.752999999997</v>
      </c>
    </row>
    <row r="3026" spans="1:5" x14ac:dyDescent="0.3">
      <c r="A3026" s="9">
        <f>'Volúmenes DIstribuidos '!B1911</f>
        <v>45160</v>
      </c>
      <c r="B3026" s="10" t="str">
        <f>IF(OR('Volúmenes DIstribuidos '!C1916="Azúcar",'Volúmenes DIstribuidos '!C1916="azúcar"),"Azúcar o dulce",IF('Volúmenes DIstribuidos '!C1916="Aceite","Aceite o grasas",IF('Volúmenes DIstribuidos '!C1916="Avena","Otros almidones",'Volúmenes DIstribuidos '!C1916)))</f>
        <v>Lácteos</v>
      </c>
      <c r="C3026" s="10" t="s">
        <v>29</v>
      </c>
      <c r="D3026" s="12">
        <f>'Volúmenes DIstribuidos '!D1916</f>
        <v>37.451999999999998</v>
      </c>
      <c r="E3026" s="12">
        <f>SUMIF('Parametros Inventario'!$A:$A,B3026,'Parametros Inventario'!$B:$B)+SUMIFS(D$2:D3026,B$2:B3026,B3026,C$2:C3026,"ENTRADA")-SUMIFS(D$2:D3026,B$2:B3026,B3026,C$2:C3026,"SALIDA")</f>
        <v>11980.210999999996</v>
      </c>
    </row>
    <row r="3027" spans="1:5" x14ac:dyDescent="0.3">
      <c r="A3027" s="9">
        <f>'Volúmenes DIstribuidos '!B1917</f>
        <v>45163</v>
      </c>
      <c r="B3027" s="10" t="str">
        <f>IF(OR('Volúmenes DIstribuidos '!C1917="Azúcar",'Volúmenes DIstribuidos '!C1917="azúcar"),"Azúcar o dulce",IF('Volúmenes DIstribuidos '!C1917="Aceite","Aceite o grasas",IF('Volúmenes DIstribuidos '!C1917="Avena","Otros almidones",'Volúmenes DIstribuidos '!C1917)))</f>
        <v>Otros almidones</v>
      </c>
      <c r="C3027" s="10" t="s">
        <v>29</v>
      </c>
      <c r="D3027" s="12">
        <f>'Volúmenes DIstribuidos '!D1917</f>
        <v>54.51</v>
      </c>
      <c r="E3027" s="12">
        <f>SUMIF('Parametros Inventario'!$A:$A,B3027,'Parametros Inventario'!$B:$B)+SUMIFS(D$2:D3027,B$2:B3027,B3027,C$2:C3027,"ENTRADA")-SUMIFS(D$2:D3027,B$2:B3027,B3027,C$2:C3027,"SALIDA")</f>
        <v>13917.552000000003</v>
      </c>
    </row>
    <row r="3028" spans="1:5" x14ac:dyDescent="0.3">
      <c r="A3028" s="9">
        <f>'Volúmenes DIstribuidos '!B1917</f>
        <v>45163</v>
      </c>
      <c r="B3028" s="10" t="str">
        <f>IF(OR('Volúmenes DIstribuidos '!C1918="Azúcar",'Volúmenes DIstribuidos '!C1918="azúcar"),"Azúcar o dulce",IF('Volúmenes DIstribuidos '!C1918="Aceite","Aceite o grasas",IF('Volúmenes DIstribuidos '!C1918="Avena","Otros almidones",'Volúmenes DIstribuidos '!C1918)))</f>
        <v>Carnes rojas</v>
      </c>
      <c r="C3028" s="10" t="s">
        <v>29</v>
      </c>
      <c r="D3028" s="12">
        <f>'Volúmenes DIstribuidos '!D1918</f>
        <v>30.36</v>
      </c>
      <c r="E3028" s="12">
        <f>SUMIF('Parametros Inventario'!$A:$A,B3028,'Parametros Inventario'!$B:$B)+SUMIFS(D$2:D3028,B$2:B3028,B3028,C$2:C3028,"ENTRADA")-SUMIFS(D$2:D3028,B$2:B3028,B3028,C$2:C3028,"SALIDA")</f>
        <v>13592.239000000001</v>
      </c>
    </row>
    <row r="3029" spans="1:5" x14ac:dyDescent="0.3">
      <c r="A3029" s="9">
        <f>'Volúmenes DIstribuidos '!B1917</f>
        <v>45163</v>
      </c>
      <c r="B3029" s="10" t="str">
        <f>IF(OR('Volúmenes DIstribuidos '!C1919="Azúcar",'Volúmenes DIstribuidos '!C1919="azúcar"),"Azúcar o dulce",IF('Volúmenes DIstribuidos '!C1919="Aceite","Aceite o grasas",IF('Volúmenes DIstribuidos '!C1919="Avena","Otros almidones",'Volúmenes DIstribuidos '!C1919)))</f>
        <v>Panadería</v>
      </c>
      <c r="C3029" s="10" t="s">
        <v>29</v>
      </c>
      <c r="D3029" s="12">
        <f>'Volúmenes DIstribuidos '!D1919</f>
        <v>3.2650000000000001</v>
      </c>
      <c r="E3029" s="12">
        <f>SUMIF('Parametros Inventario'!$A:$A,B3029,'Parametros Inventario'!$B:$B)+SUMIFS(D$2:D3029,B$2:B3029,B3029,C$2:C3029,"ENTRADA")-SUMIFS(D$2:D3029,B$2:B3029,B3029,C$2:C3029,"SALIDA")</f>
        <v>11227.877000000002</v>
      </c>
    </row>
    <row r="3030" spans="1:5" x14ac:dyDescent="0.3">
      <c r="A3030" s="9">
        <f>'Volúmenes DIstribuidos '!B1917</f>
        <v>45163</v>
      </c>
      <c r="B3030" s="10" t="str">
        <f>IF(OR('Volúmenes DIstribuidos '!C1920="Azúcar",'Volúmenes DIstribuidos '!C1920="azúcar"),"Azúcar o dulce",IF('Volúmenes DIstribuidos '!C1920="Aceite","Aceite o grasas",IF('Volúmenes DIstribuidos '!C1920="Avena","Otros almidones",'Volúmenes DIstribuidos '!C1920)))</f>
        <v>Aceite o grasas</v>
      </c>
      <c r="C3030" s="10" t="s">
        <v>29</v>
      </c>
      <c r="D3030" s="12">
        <f>'Volúmenes DIstribuidos '!D1920</f>
        <v>25.79</v>
      </c>
      <c r="E3030" s="12">
        <f>SUMIF('Parametros Inventario'!$A:$A,B3030,'Parametros Inventario'!$B:$B)+SUMIFS(D$2:D3030,B$2:B3030,B3030,C$2:C3030,"ENTRADA")-SUMIFS(D$2:D3030,B$2:B3030,B3030,C$2:C3030,"SALIDA")</f>
        <v>13008.308000000008</v>
      </c>
    </row>
    <row r="3031" spans="1:5" x14ac:dyDescent="0.3">
      <c r="A3031" s="9">
        <f>'Volúmenes DIstribuidos '!B1917</f>
        <v>45163</v>
      </c>
      <c r="B3031" s="10" t="str">
        <f>IF(OR('Volúmenes DIstribuidos '!C1921="Azúcar",'Volúmenes DIstribuidos '!C1921="azúcar"),"Azúcar o dulce",IF('Volúmenes DIstribuidos '!C1921="Aceite","Aceite o grasas",IF('Volúmenes DIstribuidos '!C1921="Avena","Otros almidones",'Volúmenes DIstribuidos '!C1921)))</f>
        <v>Azúcar o dulce</v>
      </c>
      <c r="C3031" s="10" t="s">
        <v>29</v>
      </c>
      <c r="D3031" s="12">
        <f>'Volúmenes DIstribuidos '!D1921</f>
        <v>8.59</v>
      </c>
      <c r="E3031" s="12">
        <f>SUMIF('Parametros Inventario'!$A:$A,B3031,'Parametros Inventario'!$B:$B)+SUMIFS(D$2:D3031,B$2:B3031,B3031,C$2:C3031,"ENTRADA")-SUMIFS(D$2:D3031,B$2:B3031,B3031,C$2:C3031,"SALIDA")</f>
        <v>12688.381000000005</v>
      </c>
    </row>
    <row r="3032" spans="1:5" x14ac:dyDescent="0.3">
      <c r="A3032" s="9">
        <f>'Volúmenes DIstribuidos '!B1917</f>
        <v>45163</v>
      </c>
      <c r="B3032" s="10" t="str">
        <f>IF(OR('Volúmenes DIstribuidos '!C1922="Azúcar",'Volúmenes DIstribuidos '!C1922="azúcar"),"Azúcar o dulce",IF('Volúmenes DIstribuidos '!C1922="Aceite","Aceite o grasas",IF('Volúmenes DIstribuidos '!C1922="Avena","Otros almidones",'Volúmenes DIstribuidos '!C1922)))</f>
        <v>Salsas</v>
      </c>
      <c r="C3032" s="10" t="s">
        <v>29</v>
      </c>
      <c r="D3032" s="12">
        <f>'Volúmenes DIstribuidos '!D1922</f>
        <v>19.654</v>
      </c>
      <c r="E3032" s="12">
        <f>SUMIF('Parametros Inventario'!$A:$A,B3032,'Parametros Inventario'!$B:$B)+SUMIFS(D$2:D3032,B$2:B3032,B3032,C$2:C3032,"ENTRADA")-SUMIFS(D$2:D3032,B$2:B3032,B3032,C$2:C3032,"SALIDA")</f>
        <v>12980.256000000001</v>
      </c>
    </row>
    <row r="3033" spans="1:5" x14ac:dyDescent="0.3">
      <c r="A3033" s="9">
        <v>45167</v>
      </c>
      <c r="B3033" s="10" t="s">
        <v>13</v>
      </c>
      <c r="C3033" s="10" t="s">
        <v>28</v>
      </c>
      <c r="D3033" s="12">
        <v>231.26</v>
      </c>
      <c r="E3033" s="12">
        <f>SUMIF('Parametros Inventario'!$A:$A,B3033,'Parametros Inventario'!$B:$B)+SUMIFS(D$2:D3033,B$2:B3033,B3033,C$2:C3033,"ENTRADA")-SUMIFS(D$2:D3033,B$2:B3033,B3033,C$2:C3033,"SALIDA")</f>
        <v>12919.641000000003</v>
      </c>
    </row>
    <row r="3034" spans="1:5" x14ac:dyDescent="0.3">
      <c r="A3034" s="9">
        <v>45167</v>
      </c>
      <c r="B3034" s="10" t="s">
        <v>15</v>
      </c>
      <c r="C3034" s="10" t="s">
        <v>28</v>
      </c>
      <c r="D3034" s="12">
        <v>213.48</v>
      </c>
      <c r="E3034" s="12">
        <f>SUMIF('Parametros Inventario'!$A:$A,B3034,'Parametros Inventario'!$B:$B)+SUMIFS(D$2:D3034,B$2:B3034,B3034,C$2:C3034,"ENTRADA")-SUMIFS(D$2:D3034,B$2:B3034,B3034,C$2:C3034,"SALIDA")</f>
        <v>14131.032000000003</v>
      </c>
    </row>
    <row r="3035" spans="1:5" x14ac:dyDescent="0.3">
      <c r="A3035" s="9">
        <v>45167</v>
      </c>
      <c r="B3035" s="10" t="s">
        <v>11</v>
      </c>
      <c r="C3035" s="10" t="s">
        <v>28</v>
      </c>
      <c r="D3035" s="12">
        <v>246.27</v>
      </c>
      <c r="E3035" s="12">
        <f>SUMIF('Parametros Inventario'!$A:$A,B3035,'Parametros Inventario'!$B:$B)+SUMIFS(D$2:D3035,B$2:B3035,B3035,C$2:C3035,"ENTRADA")-SUMIFS(D$2:D3035,B$2:B3035,B3035,C$2:C3035,"SALIDA")</f>
        <v>15144.949000000001</v>
      </c>
    </row>
    <row r="3036" spans="1:5" x14ac:dyDescent="0.3">
      <c r="A3036" s="9">
        <v>45167</v>
      </c>
      <c r="B3036" s="10" t="s">
        <v>9</v>
      </c>
      <c r="C3036" s="10" t="s">
        <v>28</v>
      </c>
      <c r="D3036" s="12">
        <v>291.56</v>
      </c>
      <c r="E3036" s="12">
        <f>SUMIF('Parametros Inventario'!$A:$A,B3036,'Parametros Inventario'!$B:$B)+SUMIFS(D$2:D3036,B$2:B3036,B3036,C$2:C3036,"ENTRADA")-SUMIFS(D$2:D3036,B$2:B3036,B3036,C$2:C3036,"SALIDA")</f>
        <v>11519.437000000004</v>
      </c>
    </row>
    <row r="3037" spans="1:5" x14ac:dyDescent="0.3">
      <c r="A3037" s="9">
        <v>45167</v>
      </c>
      <c r="B3037" s="10" t="s">
        <v>14</v>
      </c>
      <c r="C3037" s="10" t="s">
        <v>28</v>
      </c>
      <c r="D3037" s="12">
        <v>159.24</v>
      </c>
      <c r="E3037" s="12">
        <f>SUMIF('Parametros Inventario'!$A:$A,B3037,'Parametros Inventario'!$B:$B)+SUMIFS(D$2:D3037,B$2:B3037,B3037,C$2:C3037,"ENTRADA")-SUMIFS(D$2:D3037,B$2:B3037,B3037,C$2:C3037,"SALIDA")</f>
        <v>14489.671000000002</v>
      </c>
    </row>
    <row r="3038" spans="1:5" x14ac:dyDescent="0.3">
      <c r="A3038" s="9">
        <v>45167</v>
      </c>
      <c r="B3038" s="10" t="s">
        <v>12</v>
      </c>
      <c r="C3038" s="10" t="s">
        <v>28</v>
      </c>
      <c r="D3038" s="12">
        <v>108.34</v>
      </c>
      <c r="E3038" s="12">
        <f>SUMIF('Parametros Inventario'!$A:$A,B3038,'Parametros Inventario'!$B:$B)+SUMIFS(D$2:D3038,B$2:B3038,B3038,C$2:C3038,"ENTRADA")-SUMIFS(D$2:D3038,B$2:B3038,B3038,C$2:C3038,"SALIDA")</f>
        <v>13700.579000000002</v>
      </c>
    </row>
    <row r="3039" spans="1:5" x14ac:dyDescent="0.3">
      <c r="A3039" s="9">
        <v>45167</v>
      </c>
      <c r="B3039" s="10" t="s">
        <v>16</v>
      </c>
      <c r="C3039" s="10" t="s">
        <v>28</v>
      </c>
      <c r="D3039" s="12">
        <v>114.77</v>
      </c>
      <c r="E3039" s="12">
        <f>SUMIF('Parametros Inventario'!$A:$A,B3039,'Parametros Inventario'!$B:$B)+SUMIFS(D$2:D3039,B$2:B3039,B3039,C$2:C3039,"ENTRADA")-SUMIFS(D$2:D3039,B$2:B3039,B3039,C$2:C3039,"SALIDA")</f>
        <v>13615.563999999998</v>
      </c>
    </row>
    <row r="3040" spans="1:5" x14ac:dyDescent="0.3">
      <c r="A3040" s="9">
        <f>'Volúmenes DIstribuidos '!B1923</f>
        <v>45167</v>
      </c>
      <c r="B3040" s="10" t="str">
        <f>IF(OR('Volúmenes DIstribuidos '!C1923="Azúcar",'Volúmenes DIstribuidos '!C1923="azúcar"),"Azúcar o dulce",IF('Volúmenes DIstribuidos '!C1923="Aceite","Aceite o grasas",IF('Volúmenes DIstribuidos '!C1923="Avena","Otros almidones",'Volúmenes DIstribuidos '!C1923)))</f>
        <v>Vegetales y hojas</v>
      </c>
      <c r="C3040" s="10" t="s">
        <v>29</v>
      </c>
      <c r="D3040" s="12">
        <f>'Volúmenes DIstribuidos '!D1923</f>
        <v>70.760000000000005</v>
      </c>
      <c r="E3040" s="12">
        <f>SUMIF('Parametros Inventario'!$A:$A,B3040,'Parametros Inventario'!$B:$B)+SUMIFS(D$2:D3040,B$2:B3040,B3040,C$2:C3040,"ENTRADA")-SUMIFS(D$2:D3040,B$2:B3040,B3040,C$2:C3040,"SALIDA")</f>
        <v>14647.992999999995</v>
      </c>
    </row>
    <row r="3041" spans="1:5" x14ac:dyDescent="0.3">
      <c r="A3041" s="9">
        <f>'Volúmenes DIstribuidos '!B1923</f>
        <v>45167</v>
      </c>
      <c r="B3041" s="10" t="str">
        <f>IF(OR('Volúmenes DIstribuidos '!C1924="Azúcar",'Volúmenes DIstribuidos '!C1924="azúcar"),"Azúcar o dulce",IF('Volúmenes DIstribuidos '!C1924="Aceite","Aceite o grasas",IF('Volúmenes DIstribuidos '!C1924="Avena","Otros almidones",'Volúmenes DIstribuidos '!C1924)))</f>
        <v>Azúcar o dulce</v>
      </c>
      <c r="C3041" s="10" t="s">
        <v>29</v>
      </c>
      <c r="D3041" s="12">
        <f>'Volúmenes DIstribuidos '!D1924</f>
        <v>29.97</v>
      </c>
      <c r="E3041" s="12">
        <f>SUMIF('Parametros Inventario'!$A:$A,B3041,'Parametros Inventario'!$B:$B)+SUMIFS(D$2:D3041,B$2:B3041,B3041,C$2:C3041,"ENTRADA")-SUMIFS(D$2:D3041,B$2:B3041,B3041,C$2:C3041,"SALIDA")</f>
        <v>12889.671000000002</v>
      </c>
    </row>
    <row r="3042" spans="1:5" x14ac:dyDescent="0.3">
      <c r="A3042" s="9">
        <f>'Volúmenes DIstribuidos '!B1923</f>
        <v>45167</v>
      </c>
      <c r="B3042" s="10" t="str">
        <f>IF(OR('Volúmenes DIstribuidos '!C1925="Azúcar",'Volúmenes DIstribuidos '!C1925="azúcar"),"Azúcar o dulce",IF('Volúmenes DIstribuidos '!C1925="Aceite","Aceite o grasas",IF('Volúmenes DIstribuidos '!C1925="Avena","Otros almidones",'Volúmenes DIstribuidos '!C1925)))</f>
        <v>Salsas</v>
      </c>
      <c r="C3042" s="10" t="s">
        <v>29</v>
      </c>
      <c r="D3042" s="12">
        <f>'Volúmenes DIstribuidos '!D1925</f>
        <v>36.24</v>
      </c>
      <c r="E3042" s="12">
        <f>SUMIF('Parametros Inventario'!$A:$A,B3042,'Parametros Inventario'!$B:$B)+SUMIFS(D$2:D3042,B$2:B3042,B3042,C$2:C3042,"ENTRADA")-SUMIFS(D$2:D3042,B$2:B3042,B3042,C$2:C3042,"SALIDA")</f>
        <v>12944.016000000003</v>
      </c>
    </row>
    <row r="3043" spans="1:5" x14ac:dyDescent="0.3">
      <c r="A3043" s="9">
        <f>'Volúmenes DIstribuidos '!B1923</f>
        <v>45167</v>
      </c>
      <c r="B3043" s="10" t="str">
        <f>IF(OR('Volúmenes DIstribuidos '!C1926="Azúcar",'Volúmenes DIstribuidos '!C1926="azúcar"),"Azúcar o dulce",IF('Volúmenes DIstribuidos '!C1926="Aceite","Aceite o grasas",IF('Volúmenes DIstribuidos '!C1926="Avena","Otros almidones",'Volúmenes DIstribuidos '!C1926)))</f>
        <v>Menestras</v>
      </c>
      <c r="C3043" s="10" t="s">
        <v>29</v>
      </c>
      <c r="D3043" s="12">
        <f>'Volúmenes DIstribuidos '!D1926</f>
        <v>24.632999999999999</v>
      </c>
      <c r="E3043" s="12">
        <f>SUMIF('Parametros Inventario'!$A:$A,B3043,'Parametros Inventario'!$B:$B)+SUMIFS(D$2:D3043,B$2:B3043,B3043,C$2:C3043,"ENTRADA")-SUMIFS(D$2:D3043,B$2:B3043,B3043,C$2:C3043,"SALIDA")</f>
        <v>14465.038000000002</v>
      </c>
    </row>
    <row r="3044" spans="1:5" x14ac:dyDescent="0.3">
      <c r="A3044" s="9">
        <f>'Volúmenes DIstribuidos '!B1923</f>
        <v>45167</v>
      </c>
      <c r="B3044" s="10" t="str">
        <f>IF(OR('Volúmenes DIstribuidos '!C1927="Azúcar",'Volúmenes DIstribuidos '!C1927="azúcar"),"Azúcar o dulce",IF('Volúmenes DIstribuidos '!C1927="Aceite","Aceite o grasas",IF('Volúmenes DIstribuidos '!C1927="Avena","Otros almidones",'Volúmenes DIstribuidos '!C1927)))</f>
        <v>Fideo</v>
      </c>
      <c r="C3044" s="10" t="s">
        <v>29</v>
      </c>
      <c r="D3044" s="12">
        <f>'Volúmenes DIstribuidos '!D1927</f>
        <v>7.15</v>
      </c>
      <c r="E3044" s="12">
        <f>SUMIF('Parametros Inventario'!$A:$A,B3044,'Parametros Inventario'!$B:$B)+SUMIFS(D$2:D3044,B$2:B3044,B3044,C$2:C3044,"ENTRADA")-SUMIFS(D$2:D3044,B$2:B3044,B3044,C$2:C3044,"SALIDA")</f>
        <v>15137.798999999999</v>
      </c>
    </row>
    <row r="3045" spans="1:5" x14ac:dyDescent="0.3">
      <c r="A3045" s="9">
        <f>'Volúmenes DIstribuidos '!B1923</f>
        <v>45167</v>
      </c>
      <c r="B3045" s="10" t="str">
        <f>IF(OR('Volúmenes DIstribuidos '!C1928="Azúcar",'Volúmenes DIstribuidos '!C1928="azúcar"),"Azúcar o dulce",IF('Volúmenes DIstribuidos '!C1928="Aceite","Aceite o grasas",IF('Volúmenes DIstribuidos '!C1928="Avena","Otros almidones",'Volúmenes DIstribuidos '!C1928)))</f>
        <v>Aceite o grasas</v>
      </c>
      <c r="C3045" s="10" t="s">
        <v>29</v>
      </c>
      <c r="D3045" s="12">
        <f>'Volúmenes DIstribuidos '!D1928</f>
        <v>10.89</v>
      </c>
      <c r="E3045" s="12">
        <f>SUMIF('Parametros Inventario'!$A:$A,B3045,'Parametros Inventario'!$B:$B)+SUMIFS(D$2:D3045,B$2:B3045,B3045,C$2:C3045,"ENTRADA")-SUMIFS(D$2:D3045,B$2:B3045,B3045,C$2:C3045,"SALIDA")</f>
        <v>12997.418000000007</v>
      </c>
    </row>
    <row r="3046" spans="1:5" x14ac:dyDescent="0.3">
      <c r="A3046" s="9">
        <f>'Volúmenes DIstribuidos '!B1929</f>
        <v>45170</v>
      </c>
      <c r="B3046" s="10" t="str">
        <f>IF(OR('Volúmenes DIstribuidos '!C1929="Azúcar",'Volúmenes DIstribuidos '!C1929="azúcar"),"Azúcar o dulce",IF('Volúmenes DIstribuidos '!C1929="Aceite","Aceite o grasas",IF('Volúmenes DIstribuidos '!C1929="Avena","Otros almidones",'Volúmenes DIstribuidos '!C1929)))</f>
        <v>Carnes rojas</v>
      </c>
      <c r="C3046" s="10" t="s">
        <v>29</v>
      </c>
      <c r="D3046" s="12">
        <f>'Volúmenes DIstribuidos '!D1929</f>
        <v>12.94</v>
      </c>
      <c r="E3046" s="12">
        <f>SUMIF('Parametros Inventario'!$A:$A,B3046,'Parametros Inventario'!$B:$B)+SUMIFS(D$2:D3046,B$2:B3046,B3046,C$2:C3046,"ENTRADA")-SUMIFS(D$2:D3046,B$2:B3046,B3046,C$2:C3046,"SALIDA")</f>
        <v>13687.639000000003</v>
      </c>
    </row>
    <row r="3047" spans="1:5" x14ac:dyDescent="0.3">
      <c r="A3047" s="9">
        <f>'Volúmenes DIstribuidos '!B1929</f>
        <v>45170</v>
      </c>
      <c r="B3047" s="10" t="str">
        <f>IF(OR('Volúmenes DIstribuidos '!C1930="Azúcar",'Volúmenes DIstribuidos '!C1930="azúcar"),"Azúcar o dulce",IF('Volúmenes DIstribuidos '!C1930="Aceite","Aceite o grasas",IF('Volúmenes DIstribuidos '!C1930="Avena","Otros almidones",'Volúmenes DIstribuidos '!C1930)))</f>
        <v>Panadería</v>
      </c>
      <c r="C3047" s="10" t="s">
        <v>29</v>
      </c>
      <c r="D3047" s="12">
        <f>'Volúmenes DIstribuidos '!D1930</f>
        <v>6.1909999999999998</v>
      </c>
      <c r="E3047" s="12">
        <f>SUMIF('Parametros Inventario'!$A:$A,B3047,'Parametros Inventario'!$B:$B)+SUMIFS(D$2:D3047,B$2:B3047,B3047,C$2:C3047,"ENTRADA")-SUMIFS(D$2:D3047,B$2:B3047,B3047,C$2:C3047,"SALIDA")</f>
        <v>11513.246000000003</v>
      </c>
    </row>
    <row r="3048" spans="1:5" x14ac:dyDescent="0.3">
      <c r="A3048" s="9">
        <f>'Volúmenes DIstribuidos '!B1929</f>
        <v>45170</v>
      </c>
      <c r="B3048" s="10" t="str">
        <f>IF(OR('Volúmenes DIstribuidos '!C1931="Azúcar",'Volúmenes DIstribuidos '!C1931="azúcar"),"Azúcar o dulce",IF('Volúmenes DIstribuidos '!C1931="Aceite","Aceite o grasas",IF('Volúmenes DIstribuidos '!C1931="Avena","Otros almidones",'Volúmenes DIstribuidos '!C1931)))</f>
        <v>Salsas</v>
      </c>
      <c r="C3048" s="10" t="s">
        <v>29</v>
      </c>
      <c r="D3048" s="12">
        <f>'Volúmenes DIstribuidos '!D1931</f>
        <v>16.71</v>
      </c>
      <c r="E3048" s="12">
        <f>SUMIF('Parametros Inventario'!$A:$A,B3048,'Parametros Inventario'!$B:$B)+SUMIFS(D$2:D3048,B$2:B3048,B3048,C$2:C3048,"ENTRADA")-SUMIFS(D$2:D3048,B$2:B3048,B3048,C$2:C3048,"SALIDA")</f>
        <v>12927.306000000002</v>
      </c>
    </row>
    <row r="3049" spans="1:5" x14ac:dyDescent="0.3">
      <c r="A3049" s="9">
        <f>'Volúmenes DIstribuidos '!B1929</f>
        <v>45170</v>
      </c>
      <c r="B3049" s="10" t="str">
        <f>IF(OR('Volúmenes DIstribuidos '!C1932="Azúcar",'Volúmenes DIstribuidos '!C1932="azúcar"),"Azúcar o dulce",IF('Volúmenes DIstribuidos '!C1932="Aceite","Aceite o grasas",IF('Volúmenes DIstribuidos '!C1932="Avena","Otros almidones",'Volúmenes DIstribuidos '!C1932)))</f>
        <v>Aceite o grasas</v>
      </c>
      <c r="C3049" s="10" t="s">
        <v>29</v>
      </c>
      <c r="D3049" s="12">
        <f>'Volúmenes DIstribuidos '!D1932</f>
        <v>41.2</v>
      </c>
      <c r="E3049" s="12">
        <f>SUMIF('Parametros Inventario'!$A:$A,B3049,'Parametros Inventario'!$B:$B)+SUMIFS(D$2:D3049,B$2:B3049,B3049,C$2:C3049,"ENTRADA")-SUMIFS(D$2:D3049,B$2:B3049,B3049,C$2:C3049,"SALIDA")</f>
        <v>12956.218000000008</v>
      </c>
    </row>
    <row r="3050" spans="1:5" x14ac:dyDescent="0.3">
      <c r="A3050" s="9">
        <f>'Volúmenes DIstribuidos '!B1929</f>
        <v>45170</v>
      </c>
      <c r="B3050" s="10" t="str">
        <f>IF(OR('Volúmenes DIstribuidos '!C1933="Azúcar",'Volúmenes DIstribuidos '!C1933="azúcar"),"Azúcar o dulce",IF('Volúmenes DIstribuidos '!C1933="Aceite","Aceite o grasas",IF('Volúmenes DIstribuidos '!C1933="Avena","Otros almidones",'Volúmenes DIstribuidos '!C1933)))</f>
        <v>Fideo</v>
      </c>
      <c r="C3050" s="10" t="s">
        <v>29</v>
      </c>
      <c r="D3050" s="12">
        <f>'Volúmenes DIstribuidos '!D1933</f>
        <v>28.77</v>
      </c>
      <c r="E3050" s="12">
        <f>SUMIF('Parametros Inventario'!$A:$A,B3050,'Parametros Inventario'!$B:$B)+SUMIFS(D$2:D3050,B$2:B3050,B3050,C$2:C3050,"ENTRADA")-SUMIFS(D$2:D3050,B$2:B3050,B3050,C$2:C3050,"SALIDA")</f>
        <v>15109.028999999999</v>
      </c>
    </row>
    <row r="3051" spans="1:5" x14ac:dyDescent="0.3">
      <c r="A3051" s="9">
        <f>'Volúmenes DIstribuidos '!B1929</f>
        <v>45170</v>
      </c>
      <c r="B3051" s="10" t="str">
        <f>IF(OR('Volúmenes DIstribuidos '!C1934="Azúcar",'Volúmenes DIstribuidos '!C1934="azúcar"),"Azúcar o dulce",IF('Volúmenes DIstribuidos '!C1934="Aceite","Aceite o grasas",IF('Volúmenes DIstribuidos '!C1934="Avena","Otros almidones",'Volúmenes DIstribuidos '!C1934)))</f>
        <v>Vegetales y hojas</v>
      </c>
      <c r="C3051" s="10" t="s">
        <v>29</v>
      </c>
      <c r="D3051" s="12">
        <f>'Volúmenes DIstribuidos '!D1934</f>
        <v>44.887999999999998</v>
      </c>
      <c r="E3051" s="12">
        <f>SUMIF('Parametros Inventario'!$A:$A,B3051,'Parametros Inventario'!$B:$B)+SUMIFS(D$2:D3051,B$2:B3051,B3051,C$2:C3051,"ENTRADA")-SUMIFS(D$2:D3051,B$2:B3051,B3051,C$2:C3051,"SALIDA")</f>
        <v>14603.104999999996</v>
      </c>
    </row>
    <row r="3052" spans="1:5" x14ac:dyDescent="0.3">
      <c r="A3052" s="9">
        <f>'Volúmenes DIstribuidos '!B1935</f>
        <v>45174</v>
      </c>
      <c r="B3052" s="10" t="str">
        <f>IF(OR('Volúmenes DIstribuidos '!C1935="Azúcar",'Volúmenes DIstribuidos '!C1935="azúcar"),"Azúcar o dulce",IF('Volúmenes DIstribuidos '!C1935="Aceite","Aceite o grasas",IF('Volúmenes DIstribuidos '!C1935="Avena","Otros almidones",'Volúmenes DIstribuidos '!C1935)))</f>
        <v>Aceite o grasas</v>
      </c>
      <c r="C3052" s="10" t="s">
        <v>29</v>
      </c>
      <c r="D3052" s="12">
        <f>'Volúmenes DIstribuidos '!D1935</f>
        <v>25.63</v>
      </c>
      <c r="E3052" s="12">
        <f>SUMIF('Parametros Inventario'!$A:$A,B3052,'Parametros Inventario'!$B:$B)+SUMIFS(D$2:D3052,B$2:B3052,B3052,C$2:C3052,"ENTRADA")-SUMIFS(D$2:D3052,B$2:B3052,B3052,C$2:C3052,"SALIDA")</f>
        <v>12930.588000000007</v>
      </c>
    </row>
    <row r="3053" spans="1:5" x14ac:dyDescent="0.3">
      <c r="A3053" s="9">
        <f>'Volúmenes DIstribuidos '!B1935</f>
        <v>45174</v>
      </c>
      <c r="B3053" s="10" t="str">
        <f>IF(OR('Volúmenes DIstribuidos '!C1936="Azúcar",'Volúmenes DIstribuidos '!C1936="azúcar"),"Azúcar o dulce",IF('Volúmenes DIstribuidos '!C1936="Aceite","Aceite o grasas",IF('Volúmenes DIstribuidos '!C1936="Avena","Otros almidones",'Volúmenes DIstribuidos '!C1936)))</f>
        <v>Lácteos</v>
      </c>
      <c r="C3053" s="10" t="s">
        <v>29</v>
      </c>
      <c r="D3053" s="12">
        <f>'Volúmenes DIstribuidos '!D1936</f>
        <v>42.33</v>
      </c>
      <c r="E3053" s="12">
        <f>SUMIF('Parametros Inventario'!$A:$A,B3053,'Parametros Inventario'!$B:$B)+SUMIFS(D$2:D3053,B$2:B3053,B3053,C$2:C3053,"ENTRADA")-SUMIFS(D$2:D3053,B$2:B3053,B3053,C$2:C3053,"SALIDA")</f>
        <v>11937.880999999994</v>
      </c>
    </row>
    <row r="3054" spans="1:5" x14ac:dyDescent="0.3">
      <c r="A3054" s="9">
        <f>'Volúmenes DIstribuidos '!B1935</f>
        <v>45174</v>
      </c>
      <c r="B3054" s="10" t="str">
        <f>IF(OR('Volúmenes DIstribuidos '!C1937="Azúcar",'Volúmenes DIstribuidos '!C1937="azúcar"),"Azúcar o dulce",IF('Volúmenes DIstribuidos '!C1937="Aceite","Aceite o grasas",IF('Volúmenes DIstribuidos '!C1937="Avena","Otros almidones",'Volúmenes DIstribuidos '!C1937)))</f>
        <v>Carnes rojas</v>
      </c>
      <c r="C3054" s="10" t="s">
        <v>29</v>
      </c>
      <c r="D3054" s="12">
        <f>'Volúmenes DIstribuidos '!D1937</f>
        <v>46.29</v>
      </c>
      <c r="E3054" s="12">
        <f>SUMIF('Parametros Inventario'!$A:$A,B3054,'Parametros Inventario'!$B:$B)+SUMIFS(D$2:D3054,B$2:B3054,B3054,C$2:C3054,"ENTRADA")-SUMIFS(D$2:D3054,B$2:B3054,B3054,C$2:C3054,"SALIDA")</f>
        <v>13641.349000000002</v>
      </c>
    </row>
    <row r="3055" spans="1:5" x14ac:dyDescent="0.3">
      <c r="A3055" s="9">
        <f>'Volúmenes DIstribuidos '!B1935</f>
        <v>45174</v>
      </c>
      <c r="B3055" s="10" t="str">
        <f>IF(OR('Volúmenes DIstribuidos '!C1938="Azúcar",'Volúmenes DIstribuidos '!C1938="azúcar"),"Azúcar o dulce",IF('Volúmenes DIstribuidos '!C1938="Aceite","Aceite o grasas",IF('Volúmenes DIstribuidos '!C1938="Avena","Otros almidones",'Volúmenes DIstribuidos '!C1938)))</f>
        <v>Azúcar o dulce</v>
      </c>
      <c r="C3055" s="10" t="s">
        <v>29</v>
      </c>
      <c r="D3055" s="12">
        <f>'Volúmenes DIstribuidos '!D1938</f>
        <v>12.887</v>
      </c>
      <c r="E3055" s="12">
        <f>SUMIF('Parametros Inventario'!$A:$A,B3055,'Parametros Inventario'!$B:$B)+SUMIFS(D$2:D3055,B$2:B3055,B3055,C$2:C3055,"ENTRADA")-SUMIFS(D$2:D3055,B$2:B3055,B3055,C$2:C3055,"SALIDA")</f>
        <v>12876.784000000003</v>
      </c>
    </row>
    <row r="3056" spans="1:5" x14ac:dyDescent="0.3">
      <c r="A3056" s="9">
        <f>'Volúmenes DIstribuidos '!B1935</f>
        <v>45174</v>
      </c>
      <c r="B3056" s="10" t="str">
        <f>IF(OR('Volúmenes DIstribuidos '!C1939="Azúcar",'Volúmenes DIstribuidos '!C1939="azúcar"),"Azúcar o dulce",IF('Volúmenes DIstribuidos '!C1939="Aceite","Aceite o grasas",IF('Volúmenes DIstribuidos '!C1939="Avena","Otros almidones",'Volúmenes DIstribuidos '!C1939)))</f>
        <v>Carnes rojas</v>
      </c>
      <c r="C3056" s="10" t="s">
        <v>29</v>
      </c>
      <c r="D3056" s="12">
        <f>'Volúmenes DIstribuidos '!D1939</f>
        <v>12.95</v>
      </c>
      <c r="E3056" s="12">
        <f>SUMIF('Parametros Inventario'!$A:$A,B3056,'Parametros Inventario'!$B:$B)+SUMIFS(D$2:D3056,B$2:B3056,B3056,C$2:C3056,"ENTRADA")-SUMIFS(D$2:D3056,B$2:B3056,B3056,C$2:C3056,"SALIDA")</f>
        <v>13628.399000000003</v>
      </c>
    </row>
    <row r="3057" spans="1:5" x14ac:dyDescent="0.3">
      <c r="A3057" s="9">
        <f>'Volúmenes DIstribuidos '!B1935</f>
        <v>45174</v>
      </c>
      <c r="B3057" s="10" t="str">
        <f>IF(OR('Volúmenes DIstribuidos '!C1940="Azúcar",'Volúmenes DIstribuidos '!C1940="azúcar"),"Azúcar o dulce",IF('Volúmenes DIstribuidos '!C1940="Aceite","Aceite o grasas",IF('Volúmenes DIstribuidos '!C1940="Avena","Otros almidones",'Volúmenes DIstribuidos '!C1940)))</f>
        <v>Vegetales y hojas</v>
      </c>
      <c r="C3057" s="10" t="s">
        <v>29</v>
      </c>
      <c r="D3057" s="12">
        <f>'Volúmenes DIstribuidos '!D1940</f>
        <v>18.25</v>
      </c>
      <c r="E3057" s="12">
        <f>SUMIF('Parametros Inventario'!$A:$A,B3057,'Parametros Inventario'!$B:$B)+SUMIFS(D$2:D3057,B$2:B3057,B3057,C$2:C3057,"ENTRADA")-SUMIFS(D$2:D3057,B$2:B3057,B3057,C$2:C3057,"SALIDA")</f>
        <v>14584.854999999996</v>
      </c>
    </row>
    <row r="3058" spans="1:5" x14ac:dyDescent="0.3">
      <c r="A3058" s="9">
        <v>45177</v>
      </c>
      <c r="B3058" s="10" t="s">
        <v>17</v>
      </c>
      <c r="C3058" s="10" t="s">
        <v>28</v>
      </c>
      <c r="D3058" s="12">
        <v>122.74</v>
      </c>
      <c r="E3058" s="12">
        <f>SUMIF('Parametros Inventario'!$A:$A,B3058,'Parametros Inventario'!$B:$B)+SUMIFS(D$2:D3058,B$2:B3058,B3058,C$2:C3058,"ENTRADA")-SUMIFS(D$2:D3058,B$2:B3058,B3058,C$2:C3058,"SALIDA")</f>
        <v>12060.620999999996</v>
      </c>
    </row>
    <row r="3059" spans="1:5" x14ac:dyDescent="0.3">
      <c r="A3059" s="9">
        <v>45177</v>
      </c>
      <c r="B3059" s="10" t="s">
        <v>18</v>
      </c>
      <c r="C3059" s="10" t="s">
        <v>28</v>
      </c>
      <c r="D3059" s="12">
        <v>77.849999999999994</v>
      </c>
      <c r="E3059" s="12">
        <f>SUMIF('Parametros Inventario'!$A:$A,B3059,'Parametros Inventario'!$B:$B)+SUMIFS(D$2:D3059,B$2:B3059,B3059,C$2:C3059,"ENTRADA")-SUMIFS(D$2:D3059,B$2:B3059,B3059,C$2:C3059,"SALIDA")</f>
        <v>13005.156000000001</v>
      </c>
    </row>
    <row r="3060" spans="1:5" x14ac:dyDescent="0.3">
      <c r="A3060" s="9">
        <v>45177</v>
      </c>
      <c r="B3060" s="10" t="s">
        <v>10</v>
      </c>
      <c r="C3060" s="10" t="s">
        <v>28</v>
      </c>
      <c r="D3060" s="12">
        <v>135.06</v>
      </c>
      <c r="E3060" s="12">
        <f>SUMIF('Parametros Inventario'!$A:$A,B3060,'Parametros Inventario'!$B:$B)+SUMIFS(D$2:D3060,B$2:B3060,B3060,C$2:C3060,"ENTRADA")-SUMIFS(D$2:D3060,B$2:B3060,B3060,C$2:C3060,"SALIDA")</f>
        <v>14719.914999999997</v>
      </c>
    </row>
    <row r="3061" spans="1:5" x14ac:dyDescent="0.3">
      <c r="A3061" s="9">
        <v>45177</v>
      </c>
      <c r="B3061" s="10" t="s">
        <v>8</v>
      </c>
      <c r="C3061" s="10" t="s">
        <v>28</v>
      </c>
      <c r="D3061" s="12">
        <v>198.05</v>
      </c>
      <c r="E3061" s="12">
        <f>SUMIF('Parametros Inventario'!$A:$A,B3061,'Parametros Inventario'!$B:$B)+SUMIFS(D$2:D3061,B$2:B3061,B3061,C$2:C3061,"ENTRADA")-SUMIFS(D$2:D3061,B$2:B3061,B3061,C$2:C3061,"SALIDA")</f>
        <v>13128.638000000006</v>
      </c>
    </row>
    <row r="3062" spans="1:5" x14ac:dyDescent="0.3">
      <c r="A3062" s="9">
        <v>45177</v>
      </c>
      <c r="B3062" s="10" t="s">
        <v>13</v>
      </c>
      <c r="C3062" s="10" t="s">
        <v>28</v>
      </c>
      <c r="D3062" s="12">
        <v>97.04</v>
      </c>
      <c r="E3062" s="12">
        <f>SUMIF('Parametros Inventario'!$A:$A,B3062,'Parametros Inventario'!$B:$B)+SUMIFS(D$2:D3062,B$2:B3062,B3062,C$2:C3062,"ENTRADA")-SUMIFS(D$2:D3062,B$2:B3062,B3062,C$2:C3062,"SALIDA")</f>
        <v>12973.824000000004</v>
      </c>
    </row>
    <row r="3063" spans="1:5" x14ac:dyDescent="0.3">
      <c r="A3063" s="9">
        <v>45177</v>
      </c>
      <c r="B3063" s="10" t="s">
        <v>15</v>
      </c>
      <c r="C3063" s="10" t="s">
        <v>28</v>
      </c>
      <c r="D3063" s="12">
        <v>285.5</v>
      </c>
      <c r="E3063" s="12">
        <f>SUMIF('Parametros Inventario'!$A:$A,B3063,'Parametros Inventario'!$B:$B)+SUMIFS(D$2:D3063,B$2:B3063,B3063,C$2:C3063,"ENTRADA")-SUMIFS(D$2:D3063,B$2:B3063,B3063,C$2:C3063,"SALIDA")</f>
        <v>14416.532000000003</v>
      </c>
    </row>
    <row r="3064" spans="1:5" x14ac:dyDescent="0.3">
      <c r="A3064" s="9">
        <v>45177</v>
      </c>
      <c r="B3064" s="10" t="s">
        <v>11</v>
      </c>
      <c r="C3064" s="10" t="s">
        <v>28</v>
      </c>
      <c r="D3064" s="12">
        <v>193.21</v>
      </c>
      <c r="E3064" s="12">
        <f>SUMIF('Parametros Inventario'!$A:$A,B3064,'Parametros Inventario'!$B:$B)+SUMIFS(D$2:D3064,B$2:B3064,B3064,C$2:C3064,"ENTRADA")-SUMIFS(D$2:D3064,B$2:B3064,B3064,C$2:C3064,"SALIDA")</f>
        <v>15302.238999999998</v>
      </c>
    </row>
    <row r="3065" spans="1:5" x14ac:dyDescent="0.3">
      <c r="A3065" s="9">
        <v>45177</v>
      </c>
      <c r="B3065" s="10" t="s">
        <v>9</v>
      </c>
      <c r="C3065" s="10" t="s">
        <v>28</v>
      </c>
      <c r="D3065" s="12">
        <v>81.849999999999994</v>
      </c>
      <c r="E3065" s="12">
        <f>SUMIF('Parametros Inventario'!$A:$A,B3065,'Parametros Inventario'!$B:$B)+SUMIFS(D$2:D3065,B$2:B3065,B3065,C$2:C3065,"ENTRADA")-SUMIFS(D$2:D3065,B$2:B3065,B3065,C$2:C3065,"SALIDA")</f>
        <v>11595.096000000001</v>
      </c>
    </row>
    <row r="3066" spans="1:5" x14ac:dyDescent="0.3">
      <c r="A3066" s="9">
        <v>45177</v>
      </c>
      <c r="B3066" s="10" t="s">
        <v>14</v>
      </c>
      <c r="C3066" s="10" t="s">
        <v>28</v>
      </c>
      <c r="D3066" s="12">
        <v>128.34</v>
      </c>
      <c r="E3066" s="12">
        <f>SUMIF('Parametros Inventario'!$A:$A,B3066,'Parametros Inventario'!$B:$B)+SUMIFS(D$2:D3066,B$2:B3066,B3066,C$2:C3066,"ENTRADA")-SUMIFS(D$2:D3066,B$2:B3066,B3066,C$2:C3066,"SALIDA")</f>
        <v>14593.378000000002</v>
      </c>
    </row>
    <row r="3067" spans="1:5" x14ac:dyDescent="0.3">
      <c r="A3067" s="9">
        <v>45177</v>
      </c>
      <c r="B3067" s="10" t="s">
        <v>12</v>
      </c>
      <c r="C3067" s="10" t="s">
        <v>28</v>
      </c>
      <c r="D3067" s="12">
        <v>145.05000000000001</v>
      </c>
      <c r="E3067" s="12">
        <f>SUMIF('Parametros Inventario'!$A:$A,B3067,'Parametros Inventario'!$B:$B)+SUMIFS(D$2:D3067,B$2:B3067,B3067,C$2:C3067,"ENTRADA")-SUMIFS(D$2:D3067,B$2:B3067,B3067,C$2:C3067,"SALIDA")</f>
        <v>13773.449000000002</v>
      </c>
    </row>
    <row r="3068" spans="1:5" x14ac:dyDescent="0.3">
      <c r="A3068" s="9">
        <v>45177</v>
      </c>
      <c r="B3068" s="10" t="s">
        <v>16</v>
      </c>
      <c r="C3068" s="10" t="s">
        <v>28</v>
      </c>
      <c r="D3068" s="12">
        <v>234.23</v>
      </c>
      <c r="E3068" s="12">
        <f>SUMIF('Parametros Inventario'!$A:$A,B3068,'Parametros Inventario'!$B:$B)+SUMIFS(D$2:D3068,B$2:B3068,B3068,C$2:C3068,"ENTRADA")-SUMIFS(D$2:D3068,B$2:B3068,B3068,C$2:C3068,"SALIDA")</f>
        <v>13849.793999999998</v>
      </c>
    </row>
    <row r="3069" spans="1:5" x14ac:dyDescent="0.3">
      <c r="A3069" s="9">
        <f>'Volúmenes DIstribuidos '!B1941</f>
        <v>45177</v>
      </c>
      <c r="B3069" s="10" t="str">
        <f>IF(OR('Volúmenes DIstribuidos '!C1941="Azúcar",'Volúmenes DIstribuidos '!C1941="azúcar"),"Azúcar o dulce",IF('Volúmenes DIstribuidos '!C1941="Aceite","Aceite o grasas",IF('Volúmenes DIstribuidos '!C1941="Avena","Otros almidones",'Volúmenes DIstribuidos '!C1941)))</f>
        <v>Carnes blancas</v>
      </c>
      <c r="C3069" s="10" t="s">
        <v>29</v>
      </c>
      <c r="D3069" s="12">
        <f>'Volúmenes DIstribuidos '!D1941</f>
        <v>8.1199999999999992</v>
      </c>
      <c r="E3069" s="12">
        <f>SUMIF('Parametros Inventario'!$A:$A,B3069,'Parametros Inventario'!$B:$B)+SUMIFS(D$2:D3069,B$2:B3069,B3069,C$2:C3069,"ENTRADA")-SUMIFS(D$2:D3069,B$2:B3069,B3069,C$2:C3069,"SALIDA")</f>
        <v>13841.673999999997</v>
      </c>
    </row>
    <row r="3070" spans="1:5" x14ac:dyDescent="0.3">
      <c r="A3070" s="9">
        <f>'Volúmenes DIstribuidos '!B1941</f>
        <v>45177</v>
      </c>
      <c r="B3070" s="10" t="str">
        <f>IF(OR('Volúmenes DIstribuidos '!C1942="Azúcar",'Volúmenes DIstribuidos '!C1942="azúcar"),"Azúcar o dulce",IF('Volúmenes DIstribuidos '!C1942="Aceite","Aceite o grasas",IF('Volúmenes DIstribuidos '!C1942="Avena","Otros almidones",'Volúmenes DIstribuidos '!C1942)))</f>
        <v>Lácteos</v>
      </c>
      <c r="C3070" s="10" t="s">
        <v>29</v>
      </c>
      <c r="D3070" s="12">
        <f>'Volúmenes DIstribuidos '!D1942</f>
        <v>20.667000000000002</v>
      </c>
      <c r="E3070" s="12">
        <f>SUMIF('Parametros Inventario'!$A:$A,B3070,'Parametros Inventario'!$B:$B)+SUMIFS(D$2:D3070,B$2:B3070,B3070,C$2:C3070,"ENTRADA")-SUMIFS(D$2:D3070,B$2:B3070,B3070,C$2:C3070,"SALIDA")</f>
        <v>12039.953999999996</v>
      </c>
    </row>
    <row r="3071" spans="1:5" x14ac:dyDescent="0.3">
      <c r="A3071" s="9">
        <f>'Volúmenes DIstribuidos '!B1941</f>
        <v>45177</v>
      </c>
      <c r="B3071" s="10" t="str">
        <f>IF(OR('Volúmenes DIstribuidos '!C1943="Azúcar",'Volúmenes DIstribuidos '!C1943="azúcar"),"Azúcar o dulce",IF('Volúmenes DIstribuidos '!C1943="Aceite","Aceite o grasas",IF('Volúmenes DIstribuidos '!C1943="Avena","Otros almidones",'Volúmenes DIstribuidos '!C1943)))</f>
        <v>Aceite o grasas</v>
      </c>
      <c r="C3071" s="10" t="s">
        <v>29</v>
      </c>
      <c r="D3071" s="12">
        <f>'Volúmenes DIstribuidos '!D1943</f>
        <v>53.3</v>
      </c>
      <c r="E3071" s="12">
        <f>SUMIF('Parametros Inventario'!$A:$A,B3071,'Parametros Inventario'!$B:$B)+SUMIFS(D$2:D3071,B$2:B3071,B3071,C$2:C3071,"ENTRADA")-SUMIFS(D$2:D3071,B$2:B3071,B3071,C$2:C3071,"SALIDA")</f>
        <v>13075.338000000007</v>
      </c>
    </row>
    <row r="3072" spans="1:5" x14ac:dyDescent="0.3">
      <c r="A3072" s="9">
        <f>'Volúmenes DIstribuidos '!B1941</f>
        <v>45177</v>
      </c>
      <c r="B3072" s="10" t="str">
        <f>IF(OR('Volúmenes DIstribuidos '!C1944="Azúcar",'Volúmenes DIstribuidos '!C1944="azúcar"),"Azúcar o dulce",IF('Volúmenes DIstribuidos '!C1944="Aceite","Aceite o grasas",IF('Volúmenes DIstribuidos '!C1944="Avena","Otros almidones",'Volúmenes DIstribuidos '!C1944)))</f>
        <v>Menestras</v>
      </c>
      <c r="C3072" s="10" t="s">
        <v>29</v>
      </c>
      <c r="D3072" s="12">
        <f>'Volúmenes DIstribuidos '!D1944</f>
        <v>18.86</v>
      </c>
      <c r="E3072" s="12">
        <f>SUMIF('Parametros Inventario'!$A:$A,B3072,'Parametros Inventario'!$B:$B)+SUMIFS(D$2:D3072,B$2:B3072,B3072,C$2:C3072,"ENTRADA")-SUMIFS(D$2:D3072,B$2:B3072,B3072,C$2:C3072,"SALIDA")</f>
        <v>14574.518000000004</v>
      </c>
    </row>
    <row r="3073" spans="1:5" x14ac:dyDescent="0.3">
      <c r="A3073" s="9">
        <f>'Volúmenes DIstribuidos '!B1941</f>
        <v>45177</v>
      </c>
      <c r="B3073" s="10" t="str">
        <f>IF(OR('Volúmenes DIstribuidos '!C1945="Azúcar",'Volúmenes DIstribuidos '!C1945="azúcar"),"Azúcar o dulce",IF('Volúmenes DIstribuidos '!C1945="Aceite","Aceite o grasas",IF('Volúmenes DIstribuidos '!C1945="Avena","Otros almidones",'Volúmenes DIstribuidos '!C1945)))</f>
        <v>Salsas</v>
      </c>
      <c r="C3073" s="10" t="s">
        <v>29</v>
      </c>
      <c r="D3073" s="12">
        <f>'Volúmenes DIstribuidos '!D1945</f>
        <v>130.08000000000001</v>
      </c>
      <c r="E3073" s="12">
        <f>SUMIF('Parametros Inventario'!$A:$A,B3073,'Parametros Inventario'!$B:$B)+SUMIFS(D$2:D3073,B$2:B3073,B3073,C$2:C3073,"ENTRADA")-SUMIFS(D$2:D3073,B$2:B3073,B3073,C$2:C3073,"SALIDA")</f>
        <v>12875.076000000001</v>
      </c>
    </row>
    <row r="3074" spans="1:5" x14ac:dyDescent="0.3">
      <c r="A3074" s="9">
        <f>'Volúmenes DIstribuidos '!B1941</f>
        <v>45177</v>
      </c>
      <c r="B3074" s="10" t="str">
        <f>IF(OR('Volúmenes DIstribuidos '!C1946="Azúcar",'Volúmenes DIstribuidos '!C1946="azúcar"),"Azúcar o dulce",IF('Volúmenes DIstribuidos '!C1946="Aceite","Aceite o grasas",IF('Volúmenes DIstribuidos '!C1946="Avena","Otros almidones",'Volúmenes DIstribuidos '!C1946)))</f>
        <v>Fideo</v>
      </c>
      <c r="C3074" s="10" t="s">
        <v>29</v>
      </c>
      <c r="D3074" s="12">
        <f>'Volúmenes DIstribuidos '!D1946</f>
        <v>78.150000000000006</v>
      </c>
      <c r="E3074" s="12">
        <f>SUMIF('Parametros Inventario'!$A:$A,B3074,'Parametros Inventario'!$B:$B)+SUMIFS(D$2:D3074,B$2:B3074,B3074,C$2:C3074,"ENTRADA")-SUMIFS(D$2:D3074,B$2:B3074,B3074,C$2:C3074,"SALIDA")</f>
        <v>15224.089</v>
      </c>
    </row>
    <row r="3075" spans="1:5" x14ac:dyDescent="0.3">
      <c r="A3075" s="9">
        <f>'Volúmenes DIstribuidos '!B1947</f>
        <v>45181</v>
      </c>
      <c r="B3075" s="10" t="str">
        <f>IF(OR('Volúmenes DIstribuidos '!C1947="Azúcar",'Volúmenes DIstribuidos '!C1947="azúcar"),"Azúcar o dulce",IF('Volúmenes DIstribuidos '!C1947="Aceite","Aceite o grasas",IF('Volúmenes DIstribuidos '!C1947="Avena","Otros almidones",'Volúmenes DIstribuidos '!C1947)))</f>
        <v>Panadería</v>
      </c>
      <c r="C3075" s="10" t="s">
        <v>29</v>
      </c>
      <c r="D3075" s="12">
        <f>'Volúmenes DIstribuidos '!D1947</f>
        <v>15.792999999999999</v>
      </c>
      <c r="E3075" s="12">
        <f>SUMIF('Parametros Inventario'!$A:$A,B3075,'Parametros Inventario'!$B:$B)+SUMIFS(D$2:D3075,B$2:B3075,B3075,C$2:C3075,"ENTRADA")-SUMIFS(D$2:D3075,B$2:B3075,B3075,C$2:C3075,"SALIDA")</f>
        <v>11579.303000000004</v>
      </c>
    </row>
    <row r="3076" spans="1:5" x14ac:dyDescent="0.3">
      <c r="A3076" s="9">
        <f>'Volúmenes DIstribuidos '!B1947</f>
        <v>45181</v>
      </c>
      <c r="B3076" s="10" t="str">
        <f>IF(OR('Volúmenes DIstribuidos '!C1948="Azúcar",'Volúmenes DIstribuidos '!C1948="azúcar"),"Azúcar o dulce",IF('Volúmenes DIstribuidos '!C1948="Aceite","Aceite o grasas",IF('Volúmenes DIstribuidos '!C1948="Avena","Otros almidones",'Volúmenes DIstribuidos '!C1948)))</f>
        <v>Salsas</v>
      </c>
      <c r="C3076" s="10" t="s">
        <v>29</v>
      </c>
      <c r="D3076" s="12">
        <f>'Volúmenes DIstribuidos '!D1948</f>
        <v>38.42</v>
      </c>
      <c r="E3076" s="12">
        <f>SUMIF('Parametros Inventario'!$A:$A,B3076,'Parametros Inventario'!$B:$B)+SUMIFS(D$2:D3076,B$2:B3076,B3076,C$2:C3076,"ENTRADA")-SUMIFS(D$2:D3076,B$2:B3076,B3076,C$2:C3076,"SALIDA")</f>
        <v>12836.656000000001</v>
      </c>
    </row>
    <row r="3077" spans="1:5" x14ac:dyDescent="0.3">
      <c r="A3077" s="9">
        <f>'Volúmenes DIstribuidos '!B1947</f>
        <v>45181</v>
      </c>
      <c r="B3077" s="10" t="str">
        <f>IF(OR('Volúmenes DIstribuidos '!C1949="Azúcar",'Volúmenes DIstribuidos '!C1949="azúcar"),"Azúcar o dulce",IF('Volúmenes DIstribuidos '!C1949="Aceite","Aceite o grasas",IF('Volúmenes DIstribuidos '!C1949="Avena","Otros almidones",'Volúmenes DIstribuidos '!C1949)))</f>
        <v>Vegetales y hojas</v>
      </c>
      <c r="C3077" s="10" t="s">
        <v>29</v>
      </c>
      <c r="D3077" s="12">
        <f>'Volúmenes DIstribuidos '!D1949</f>
        <v>31.17</v>
      </c>
      <c r="E3077" s="12">
        <f>SUMIF('Parametros Inventario'!$A:$A,B3077,'Parametros Inventario'!$B:$B)+SUMIFS(D$2:D3077,B$2:B3077,B3077,C$2:C3077,"ENTRADA")-SUMIFS(D$2:D3077,B$2:B3077,B3077,C$2:C3077,"SALIDA")</f>
        <v>14688.744999999997</v>
      </c>
    </row>
    <row r="3078" spans="1:5" x14ac:dyDescent="0.3">
      <c r="A3078" s="9">
        <f>'Volúmenes DIstribuidos '!B1947</f>
        <v>45181</v>
      </c>
      <c r="B3078" s="10" t="str">
        <f>IF(OR('Volúmenes DIstribuidos '!C1950="Azúcar",'Volúmenes DIstribuidos '!C1950="azúcar"),"Azúcar o dulce",IF('Volúmenes DIstribuidos '!C1950="Aceite","Aceite o grasas",IF('Volúmenes DIstribuidos '!C1950="Avena","Otros almidones",'Volúmenes DIstribuidos '!C1950)))</f>
        <v>Carnes blancas</v>
      </c>
      <c r="C3078" s="10" t="s">
        <v>29</v>
      </c>
      <c r="D3078" s="12">
        <f>'Volúmenes DIstribuidos '!D1950</f>
        <v>52.92</v>
      </c>
      <c r="E3078" s="12">
        <f>SUMIF('Parametros Inventario'!$A:$A,B3078,'Parametros Inventario'!$B:$B)+SUMIFS(D$2:D3078,B$2:B3078,B3078,C$2:C3078,"ENTRADA")-SUMIFS(D$2:D3078,B$2:B3078,B3078,C$2:C3078,"SALIDA")</f>
        <v>13788.753999999997</v>
      </c>
    </row>
    <row r="3079" spans="1:5" x14ac:dyDescent="0.3">
      <c r="A3079" s="9">
        <f>'Volúmenes DIstribuidos '!B1947</f>
        <v>45181</v>
      </c>
      <c r="B3079" s="10" t="str">
        <f>IF(OR('Volúmenes DIstribuidos '!C1951="Azúcar",'Volúmenes DIstribuidos '!C1951="azúcar"),"Azúcar o dulce",IF('Volúmenes DIstribuidos '!C1951="Aceite","Aceite o grasas",IF('Volúmenes DIstribuidos '!C1951="Avena","Otros almidones",'Volúmenes DIstribuidos '!C1951)))</f>
        <v>Carnes rojas</v>
      </c>
      <c r="C3079" s="10" t="s">
        <v>29</v>
      </c>
      <c r="D3079" s="12">
        <f>'Volúmenes DIstribuidos '!D1951</f>
        <v>2.5659999999999998</v>
      </c>
      <c r="E3079" s="12">
        <f>SUMIF('Parametros Inventario'!$A:$A,B3079,'Parametros Inventario'!$B:$B)+SUMIFS(D$2:D3079,B$2:B3079,B3079,C$2:C3079,"ENTRADA")-SUMIFS(D$2:D3079,B$2:B3079,B3079,C$2:C3079,"SALIDA")</f>
        <v>13770.883000000002</v>
      </c>
    </row>
    <row r="3080" spans="1:5" x14ac:dyDescent="0.3">
      <c r="A3080" s="9">
        <f>'Volúmenes DIstribuidos '!B1947</f>
        <v>45181</v>
      </c>
      <c r="B3080" s="10" t="str">
        <f>IF(OR('Volúmenes DIstribuidos '!C1952="Azúcar",'Volúmenes DIstribuidos '!C1952="azúcar"),"Azúcar o dulce",IF('Volúmenes DIstribuidos '!C1952="Aceite","Aceite o grasas",IF('Volúmenes DIstribuidos '!C1952="Avena","Otros almidones",'Volúmenes DIstribuidos '!C1952)))</f>
        <v>Vegetales y hojas</v>
      </c>
      <c r="C3080" s="10" t="s">
        <v>29</v>
      </c>
      <c r="D3080" s="12">
        <f>'Volúmenes DIstribuidos '!D1952</f>
        <v>4.8499999999999996</v>
      </c>
      <c r="E3080" s="12">
        <f>SUMIF('Parametros Inventario'!$A:$A,B3080,'Parametros Inventario'!$B:$B)+SUMIFS(D$2:D3080,B$2:B3080,B3080,C$2:C3080,"ENTRADA")-SUMIFS(D$2:D3080,B$2:B3080,B3080,C$2:C3080,"SALIDA")</f>
        <v>14683.894999999997</v>
      </c>
    </row>
    <row r="3081" spans="1:5" x14ac:dyDescent="0.3">
      <c r="A3081" s="9">
        <v>45184</v>
      </c>
      <c r="B3081" s="10" t="s">
        <v>17</v>
      </c>
      <c r="C3081" s="10" t="s">
        <v>28</v>
      </c>
      <c r="D3081" s="12">
        <v>127.7</v>
      </c>
      <c r="E3081" s="12">
        <f>SUMIF('Parametros Inventario'!$A:$A,B3081,'Parametros Inventario'!$B:$B)+SUMIFS(D$2:D3081,B$2:B3081,B3081,C$2:C3081,"ENTRADA")-SUMIFS(D$2:D3081,B$2:B3081,B3081,C$2:C3081,"SALIDA")</f>
        <v>12167.653999999997</v>
      </c>
    </row>
    <row r="3082" spans="1:5" x14ac:dyDescent="0.3">
      <c r="A3082" s="9">
        <v>45184</v>
      </c>
      <c r="B3082" s="10" t="s">
        <v>18</v>
      </c>
      <c r="C3082" s="10" t="s">
        <v>28</v>
      </c>
      <c r="D3082" s="12">
        <v>197.51</v>
      </c>
      <c r="E3082" s="12">
        <f>SUMIF('Parametros Inventario'!$A:$A,B3082,'Parametros Inventario'!$B:$B)+SUMIFS(D$2:D3082,B$2:B3082,B3082,C$2:C3082,"ENTRADA")-SUMIFS(D$2:D3082,B$2:B3082,B3082,C$2:C3082,"SALIDA")</f>
        <v>13034.165999999999</v>
      </c>
    </row>
    <row r="3083" spans="1:5" x14ac:dyDescent="0.3">
      <c r="A3083" s="9">
        <v>45184</v>
      </c>
      <c r="B3083" s="10" t="s">
        <v>10</v>
      </c>
      <c r="C3083" s="10" t="s">
        <v>28</v>
      </c>
      <c r="D3083" s="12">
        <v>97.46</v>
      </c>
      <c r="E3083" s="12">
        <f>SUMIF('Parametros Inventario'!$A:$A,B3083,'Parametros Inventario'!$B:$B)+SUMIFS(D$2:D3083,B$2:B3083,B3083,C$2:C3083,"ENTRADA")-SUMIFS(D$2:D3083,B$2:B3083,B3083,C$2:C3083,"SALIDA")</f>
        <v>14781.354999999996</v>
      </c>
    </row>
    <row r="3084" spans="1:5" x14ac:dyDescent="0.3">
      <c r="A3084" s="9">
        <v>45184</v>
      </c>
      <c r="B3084" s="10" t="s">
        <v>8</v>
      </c>
      <c r="C3084" s="10" t="s">
        <v>28</v>
      </c>
      <c r="D3084" s="12">
        <v>147.04</v>
      </c>
      <c r="E3084" s="12">
        <f>SUMIF('Parametros Inventario'!$A:$A,B3084,'Parametros Inventario'!$B:$B)+SUMIFS(D$2:D3084,B$2:B3084,B3084,C$2:C3084,"ENTRADA")-SUMIFS(D$2:D3084,B$2:B3084,B3084,C$2:C3084,"SALIDA")</f>
        <v>13222.378000000008</v>
      </c>
    </row>
    <row r="3085" spans="1:5" x14ac:dyDescent="0.3">
      <c r="A3085" s="9">
        <v>45184</v>
      </c>
      <c r="B3085" s="10" t="s">
        <v>13</v>
      </c>
      <c r="C3085" s="10" t="s">
        <v>28</v>
      </c>
      <c r="D3085" s="12">
        <v>155.91999999999999</v>
      </c>
      <c r="E3085" s="12">
        <f>SUMIF('Parametros Inventario'!$A:$A,B3085,'Parametros Inventario'!$B:$B)+SUMIFS(D$2:D3085,B$2:B3085,B3085,C$2:C3085,"ENTRADA")-SUMIFS(D$2:D3085,B$2:B3085,B3085,C$2:C3085,"SALIDA")</f>
        <v>13129.744000000002</v>
      </c>
    </row>
    <row r="3086" spans="1:5" x14ac:dyDescent="0.3">
      <c r="A3086" s="9">
        <v>45184</v>
      </c>
      <c r="B3086" s="10" t="s">
        <v>15</v>
      </c>
      <c r="C3086" s="10" t="s">
        <v>28</v>
      </c>
      <c r="D3086" s="12">
        <v>242.82</v>
      </c>
      <c r="E3086" s="12">
        <f>SUMIF('Parametros Inventario'!$A:$A,B3086,'Parametros Inventario'!$B:$B)+SUMIFS(D$2:D3086,B$2:B3086,B3086,C$2:C3086,"ENTRADA")-SUMIFS(D$2:D3086,B$2:B3086,B3086,C$2:C3086,"SALIDA")</f>
        <v>14659.352000000003</v>
      </c>
    </row>
    <row r="3087" spans="1:5" x14ac:dyDescent="0.3">
      <c r="A3087" s="9">
        <v>45184</v>
      </c>
      <c r="B3087" s="10" t="s">
        <v>11</v>
      </c>
      <c r="C3087" s="10" t="s">
        <v>28</v>
      </c>
      <c r="D3087" s="12">
        <v>249.38</v>
      </c>
      <c r="E3087" s="12">
        <f>SUMIF('Parametros Inventario'!$A:$A,B3087,'Parametros Inventario'!$B:$B)+SUMIFS(D$2:D3087,B$2:B3087,B3087,C$2:C3087,"ENTRADA")-SUMIFS(D$2:D3087,B$2:B3087,B3087,C$2:C3087,"SALIDA")</f>
        <v>15473.469000000001</v>
      </c>
    </row>
    <row r="3088" spans="1:5" x14ac:dyDescent="0.3">
      <c r="A3088" s="9">
        <v>45184</v>
      </c>
      <c r="B3088" s="10" t="s">
        <v>9</v>
      </c>
      <c r="C3088" s="10" t="s">
        <v>28</v>
      </c>
      <c r="D3088" s="12">
        <v>283.48</v>
      </c>
      <c r="E3088" s="12">
        <f>SUMIF('Parametros Inventario'!$A:$A,B3088,'Parametros Inventario'!$B:$B)+SUMIFS(D$2:D3088,B$2:B3088,B3088,C$2:C3088,"ENTRADA")-SUMIFS(D$2:D3088,B$2:B3088,B3088,C$2:C3088,"SALIDA")</f>
        <v>11862.783000000003</v>
      </c>
    </row>
    <row r="3089" spans="1:5" x14ac:dyDescent="0.3">
      <c r="A3089" s="9">
        <f>'Volúmenes DIstribuidos '!B1953</f>
        <v>45184</v>
      </c>
      <c r="B3089" s="10" t="str">
        <f>IF(OR('Volúmenes DIstribuidos '!C1953="Azúcar",'Volúmenes DIstribuidos '!C1953="azúcar"),"Azúcar o dulce",IF('Volúmenes DIstribuidos '!C1953="Aceite","Aceite o grasas",IF('Volúmenes DIstribuidos '!C1953="Avena","Otros almidones",'Volúmenes DIstribuidos '!C1953)))</f>
        <v>Lácteos</v>
      </c>
      <c r="C3089" s="10" t="s">
        <v>29</v>
      </c>
      <c r="D3089" s="12">
        <f>'Volúmenes DIstribuidos '!D1953</f>
        <v>35.74</v>
      </c>
      <c r="E3089" s="12">
        <f>SUMIF('Parametros Inventario'!$A:$A,B3089,'Parametros Inventario'!$B:$B)+SUMIFS(D$2:D3089,B$2:B3089,B3089,C$2:C3089,"ENTRADA")-SUMIFS(D$2:D3089,B$2:B3089,B3089,C$2:C3089,"SALIDA")</f>
        <v>12131.913999999997</v>
      </c>
    </row>
    <row r="3090" spans="1:5" x14ac:dyDescent="0.3">
      <c r="A3090" s="9">
        <f>'Volúmenes DIstribuidos '!B1953</f>
        <v>45184</v>
      </c>
      <c r="B3090" s="10" t="str">
        <f>IF(OR('Volúmenes DIstribuidos '!C1954="Azúcar",'Volúmenes DIstribuidos '!C1954="azúcar"),"Azúcar o dulce",IF('Volúmenes DIstribuidos '!C1954="Aceite","Aceite o grasas",IF('Volúmenes DIstribuidos '!C1954="Avena","Otros almidones",'Volúmenes DIstribuidos '!C1954)))</f>
        <v>Fideo</v>
      </c>
      <c r="C3090" s="10" t="s">
        <v>29</v>
      </c>
      <c r="D3090" s="12">
        <f>'Volúmenes DIstribuidos '!D1954</f>
        <v>9.23</v>
      </c>
      <c r="E3090" s="12">
        <f>SUMIF('Parametros Inventario'!$A:$A,B3090,'Parametros Inventario'!$B:$B)+SUMIFS(D$2:D3090,B$2:B3090,B3090,C$2:C3090,"ENTRADA")-SUMIFS(D$2:D3090,B$2:B3090,B3090,C$2:C3090,"SALIDA")</f>
        <v>15464.239000000001</v>
      </c>
    </row>
    <row r="3091" spans="1:5" x14ac:dyDescent="0.3">
      <c r="A3091" s="9">
        <f>'Volúmenes DIstribuidos '!B1953</f>
        <v>45184</v>
      </c>
      <c r="B3091" s="10" t="str">
        <f>IF(OR('Volúmenes DIstribuidos '!C1955="Azúcar",'Volúmenes DIstribuidos '!C1955="azúcar"),"Azúcar o dulce",IF('Volúmenes DIstribuidos '!C1955="Aceite","Aceite o grasas",IF('Volúmenes DIstribuidos '!C1955="Avena","Otros almidones",'Volúmenes DIstribuidos '!C1955)))</f>
        <v>Panadería</v>
      </c>
      <c r="C3091" s="10" t="s">
        <v>29</v>
      </c>
      <c r="D3091" s="12">
        <f>'Volúmenes DIstribuidos '!D1955</f>
        <v>16.294</v>
      </c>
      <c r="E3091" s="12">
        <f>SUMIF('Parametros Inventario'!$A:$A,B3091,'Parametros Inventario'!$B:$B)+SUMIFS(D$2:D3091,B$2:B3091,B3091,C$2:C3091,"ENTRADA")-SUMIFS(D$2:D3091,B$2:B3091,B3091,C$2:C3091,"SALIDA")</f>
        <v>11846.489000000001</v>
      </c>
    </row>
    <row r="3092" spans="1:5" x14ac:dyDescent="0.3">
      <c r="A3092" s="9">
        <f>'Volúmenes DIstribuidos '!B1953</f>
        <v>45184</v>
      </c>
      <c r="B3092" s="10" t="str">
        <f>IF(OR('Volúmenes DIstribuidos '!C1956="Azúcar",'Volúmenes DIstribuidos '!C1956="azúcar"),"Azúcar o dulce",IF('Volúmenes DIstribuidos '!C1956="Aceite","Aceite o grasas",IF('Volúmenes DIstribuidos '!C1956="Avena","Otros almidones",'Volúmenes DIstribuidos '!C1956)))</f>
        <v>Fideo</v>
      </c>
      <c r="C3092" s="10" t="s">
        <v>29</v>
      </c>
      <c r="D3092" s="12">
        <f>'Volúmenes DIstribuidos '!D1956</f>
        <v>17.170000000000002</v>
      </c>
      <c r="E3092" s="12">
        <f>SUMIF('Parametros Inventario'!$A:$A,B3092,'Parametros Inventario'!$B:$B)+SUMIFS(D$2:D3092,B$2:B3092,B3092,C$2:C3092,"ENTRADA")-SUMIFS(D$2:D3092,B$2:B3092,B3092,C$2:C3092,"SALIDA")</f>
        <v>15447.069</v>
      </c>
    </row>
    <row r="3093" spans="1:5" x14ac:dyDescent="0.3">
      <c r="A3093" s="9">
        <f>'Volúmenes DIstribuidos '!B1953</f>
        <v>45184</v>
      </c>
      <c r="B3093" s="10" t="str">
        <f>IF(OR('Volúmenes DIstribuidos '!C1957="Azúcar",'Volúmenes DIstribuidos '!C1957="azúcar"),"Azúcar o dulce",IF('Volúmenes DIstribuidos '!C1957="Aceite","Aceite o grasas",IF('Volúmenes DIstribuidos '!C1957="Avena","Otros almidones",'Volúmenes DIstribuidos '!C1957)))</f>
        <v>Menestras</v>
      </c>
      <c r="C3093" s="10" t="s">
        <v>29</v>
      </c>
      <c r="D3093" s="12">
        <f>'Volúmenes DIstribuidos '!D1957</f>
        <v>11.92</v>
      </c>
      <c r="E3093" s="12">
        <f>SUMIF('Parametros Inventario'!$A:$A,B3093,'Parametros Inventario'!$B:$B)+SUMIFS(D$2:D3093,B$2:B3093,B3093,C$2:C3093,"ENTRADA")-SUMIFS(D$2:D3093,B$2:B3093,B3093,C$2:C3093,"SALIDA")</f>
        <v>14562.598000000002</v>
      </c>
    </row>
    <row r="3094" spans="1:5" x14ac:dyDescent="0.3">
      <c r="A3094" s="9">
        <f>'Volúmenes DIstribuidos '!B1953</f>
        <v>45184</v>
      </c>
      <c r="B3094" s="10" t="str">
        <f>IF(OR('Volúmenes DIstribuidos '!C1958="Azúcar",'Volúmenes DIstribuidos '!C1958="azúcar"),"Azúcar o dulce",IF('Volúmenes DIstribuidos '!C1958="Aceite","Aceite o grasas",IF('Volúmenes DIstribuidos '!C1958="Avena","Otros almidones",'Volúmenes DIstribuidos '!C1958)))</f>
        <v>Lácteos</v>
      </c>
      <c r="C3094" s="10" t="s">
        <v>29</v>
      </c>
      <c r="D3094" s="12">
        <f>'Volúmenes DIstribuidos '!D1958</f>
        <v>11.428000000000001</v>
      </c>
      <c r="E3094" s="12">
        <f>SUMIF('Parametros Inventario'!$A:$A,B3094,'Parametros Inventario'!$B:$B)+SUMIFS(D$2:D3094,B$2:B3094,B3094,C$2:C3094,"ENTRADA")-SUMIFS(D$2:D3094,B$2:B3094,B3094,C$2:C3094,"SALIDA")</f>
        <v>12120.485999999997</v>
      </c>
    </row>
    <row r="3095" spans="1:5" x14ac:dyDescent="0.3">
      <c r="A3095" s="9">
        <f>'Volúmenes DIstribuidos '!B1959</f>
        <v>45188</v>
      </c>
      <c r="B3095" s="10" t="str">
        <f>IF(OR('Volúmenes DIstribuidos '!C1959="Azúcar",'Volúmenes DIstribuidos '!C1959="azúcar"),"Azúcar o dulce",IF('Volúmenes DIstribuidos '!C1959="Aceite","Aceite o grasas",IF('Volúmenes DIstribuidos '!C1959="Avena","Otros almidones",'Volúmenes DIstribuidos '!C1959)))</f>
        <v>Lácteos</v>
      </c>
      <c r="C3095" s="10" t="s">
        <v>29</v>
      </c>
      <c r="D3095" s="12">
        <f>'Volúmenes DIstribuidos '!D1959</f>
        <v>5.86</v>
      </c>
      <c r="E3095" s="12">
        <f>SUMIF('Parametros Inventario'!$A:$A,B3095,'Parametros Inventario'!$B:$B)+SUMIFS(D$2:D3095,B$2:B3095,B3095,C$2:C3095,"ENTRADA")-SUMIFS(D$2:D3095,B$2:B3095,B3095,C$2:C3095,"SALIDA")</f>
        <v>12114.625999999997</v>
      </c>
    </row>
    <row r="3096" spans="1:5" x14ac:dyDescent="0.3">
      <c r="A3096" s="9">
        <f>'Volúmenes DIstribuidos '!B1959</f>
        <v>45188</v>
      </c>
      <c r="B3096" s="10" t="str">
        <f>IF(OR('Volúmenes DIstribuidos '!C1960="Azúcar",'Volúmenes DIstribuidos '!C1960="azúcar"),"Azúcar o dulce",IF('Volúmenes DIstribuidos '!C1960="Aceite","Aceite o grasas",IF('Volúmenes DIstribuidos '!C1960="Avena","Otros almidones",'Volúmenes DIstribuidos '!C1960)))</f>
        <v>Panadería</v>
      </c>
      <c r="C3096" s="10" t="s">
        <v>29</v>
      </c>
      <c r="D3096" s="12">
        <f>'Volúmenes DIstribuidos '!D1960</f>
        <v>32.94</v>
      </c>
      <c r="E3096" s="12">
        <f>SUMIF('Parametros Inventario'!$A:$A,B3096,'Parametros Inventario'!$B:$B)+SUMIFS(D$2:D3096,B$2:B3096,B3096,C$2:C3096,"ENTRADA")-SUMIFS(D$2:D3096,B$2:B3096,B3096,C$2:C3096,"SALIDA")</f>
        <v>11813.549000000003</v>
      </c>
    </row>
    <row r="3097" spans="1:5" x14ac:dyDescent="0.3">
      <c r="A3097" s="9">
        <f>'Volúmenes DIstribuidos '!B1959</f>
        <v>45188</v>
      </c>
      <c r="B3097" s="10" t="str">
        <f>IF(OR('Volúmenes DIstribuidos '!C1961="Azúcar",'Volúmenes DIstribuidos '!C1961="azúcar"),"Azúcar o dulce",IF('Volúmenes DIstribuidos '!C1961="Aceite","Aceite o grasas",IF('Volúmenes DIstribuidos '!C1961="Avena","Otros almidones",'Volúmenes DIstribuidos '!C1961)))</f>
        <v>Fideo</v>
      </c>
      <c r="C3097" s="10" t="s">
        <v>29</v>
      </c>
      <c r="D3097" s="12">
        <f>'Volúmenes DIstribuidos '!D1961</f>
        <v>6.18</v>
      </c>
      <c r="E3097" s="12">
        <f>SUMIF('Parametros Inventario'!$A:$A,B3097,'Parametros Inventario'!$B:$B)+SUMIFS(D$2:D3097,B$2:B3097,B3097,C$2:C3097,"ENTRADA")-SUMIFS(D$2:D3097,B$2:B3097,B3097,C$2:C3097,"SALIDA")</f>
        <v>15440.888999999999</v>
      </c>
    </row>
    <row r="3098" spans="1:5" x14ac:dyDescent="0.3">
      <c r="A3098" s="9">
        <f>'Volúmenes DIstribuidos '!B1959</f>
        <v>45188</v>
      </c>
      <c r="B3098" s="10" t="str">
        <f>IF(OR('Volúmenes DIstribuidos '!C1962="Azúcar",'Volúmenes DIstribuidos '!C1962="azúcar"),"Azúcar o dulce",IF('Volúmenes DIstribuidos '!C1962="Aceite","Aceite o grasas",IF('Volúmenes DIstribuidos '!C1962="Avena","Otros almidones",'Volúmenes DIstribuidos '!C1962)))</f>
        <v>Carnes blancas</v>
      </c>
      <c r="C3098" s="10" t="s">
        <v>29</v>
      </c>
      <c r="D3098" s="12">
        <f>'Volúmenes DIstribuidos '!D1962</f>
        <v>25.74</v>
      </c>
      <c r="E3098" s="12">
        <f>SUMIF('Parametros Inventario'!$A:$A,B3098,'Parametros Inventario'!$B:$B)+SUMIFS(D$2:D3098,B$2:B3098,B3098,C$2:C3098,"ENTRADA")-SUMIFS(D$2:D3098,B$2:B3098,B3098,C$2:C3098,"SALIDA")</f>
        <v>13763.013999999997</v>
      </c>
    </row>
    <row r="3099" spans="1:5" x14ac:dyDescent="0.3">
      <c r="A3099" s="9">
        <f>'Volúmenes DIstribuidos '!B1959</f>
        <v>45188</v>
      </c>
      <c r="B3099" s="10" t="str">
        <f>IF(OR('Volúmenes DIstribuidos '!C1963="Azúcar",'Volúmenes DIstribuidos '!C1963="azúcar"),"Azúcar o dulce",IF('Volúmenes DIstribuidos '!C1963="Aceite","Aceite o grasas",IF('Volúmenes DIstribuidos '!C1963="Avena","Otros almidones",'Volúmenes DIstribuidos '!C1963)))</f>
        <v>Azúcar o dulce</v>
      </c>
      <c r="C3099" s="10" t="s">
        <v>29</v>
      </c>
      <c r="D3099" s="12">
        <f>'Volúmenes DIstribuidos '!D1963</f>
        <v>8.2799999999999994</v>
      </c>
      <c r="E3099" s="12">
        <f>SUMIF('Parametros Inventario'!$A:$A,B3099,'Parametros Inventario'!$B:$B)+SUMIFS(D$2:D3099,B$2:B3099,B3099,C$2:C3099,"ENTRADA")-SUMIFS(D$2:D3099,B$2:B3099,B3099,C$2:C3099,"SALIDA")</f>
        <v>13121.464000000002</v>
      </c>
    </row>
    <row r="3100" spans="1:5" x14ac:dyDescent="0.3">
      <c r="A3100" s="9">
        <f>'Volúmenes DIstribuidos '!B1959</f>
        <v>45188</v>
      </c>
      <c r="B3100" s="10" t="str">
        <f>IF(OR('Volúmenes DIstribuidos '!C1964="Azúcar",'Volúmenes DIstribuidos '!C1964="azúcar"),"Azúcar o dulce",IF('Volúmenes DIstribuidos '!C1964="Aceite","Aceite o grasas",IF('Volúmenes DIstribuidos '!C1964="Avena","Otros almidones",'Volúmenes DIstribuidos '!C1964)))</f>
        <v>Otros almidones</v>
      </c>
      <c r="C3100" s="10" t="s">
        <v>29</v>
      </c>
      <c r="D3100" s="12">
        <f>'Volúmenes DIstribuidos '!D1964</f>
        <v>22.224</v>
      </c>
      <c r="E3100" s="12">
        <f>SUMIF('Parametros Inventario'!$A:$A,B3100,'Parametros Inventario'!$B:$B)+SUMIFS(D$2:D3100,B$2:B3100,B3100,C$2:C3100,"ENTRADA")-SUMIFS(D$2:D3100,B$2:B3100,B3100,C$2:C3100,"SALIDA")</f>
        <v>14637.128000000002</v>
      </c>
    </row>
    <row r="3101" spans="1:5" x14ac:dyDescent="0.3">
      <c r="A3101" s="9">
        <f>'Volúmenes DIstribuidos '!B1965</f>
        <v>45191</v>
      </c>
      <c r="B3101" s="10" t="str">
        <f>IF(OR('Volúmenes DIstribuidos '!C1965="Azúcar",'Volúmenes DIstribuidos '!C1965="azúcar"),"Azúcar o dulce",IF('Volúmenes DIstribuidos '!C1965="Aceite","Aceite o grasas",IF('Volúmenes DIstribuidos '!C1965="Avena","Otros almidones",'Volúmenes DIstribuidos '!C1965)))</f>
        <v>Vegetales y hojas</v>
      </c>
      <c r="C3101" s="10" t="s">
        <v>29</v>
      </c>
      <c r="D3101" s="12">
        <f>'Volúmenes DIstribuidos '!D1965</f>
        <v>78.349999999999994</v>
      </c>
      <c r="E3101" s="12">
        <f>SUMIF('Parametros Inventario'!$A:$A,B3101,'Parametros Inventario'!$B:$B)+SUMIFS(D$2:D3101,B$2:B3101,B3101,C$2:C3101,"ENTRADA")-SUMIFS(D$2:D3101,B$2:B3101,B3101,C$2:C3101,"SALIDA")</f>
        <v>14703.004999999996</v>
      </c>
    </row>
    <row r="3102" spans="1:5" x14ac:dyDescent="0.3">
      <c r="A3102" s="9">
        <f>'Volúmenes DIstribuidos '!B1965</f>
        <v>45191</v>
      </c>
      <c r="B3102" s="10" t="str">
        <f>IF(OR('Volúmenes DIstribuidos '!C1966="Azúcar",'Volúmenes DIstribuidos '!C1966="azúcar"),"Azúcar o dulce",IF('Volúmenes DIstribuidos '!C1966="Aceite","Aceite o grasas",IF('Volúmenes DIstribuidos '!C1966="Avena","Otros almidones",'Volúmenes DIstribuidos '!C1966)))</f>
        <v>Menestras</v>
      </c>
      <c r="C3102" s="10" t="s">
        <v>29</v>
      </c>
      <c r="D3102" s="12">
        <f>'Volúmenes DIstribuidos '!D1966</f>
        <v>182.25</v>
      </c>
      <c r="E3102" s="12">
        <f>SUMIF('Parametros Inventario'!$A:$A,B3102,'Parametros Inventario'!$B:$B)+SUMIFS(D$2:D3102,B$2:B3102,B3102,C$2:C3102,"ENTRADA")-SUMIFS(D$2:D3102,B$2:B3102,B3102,C$2:C3102,"SALIDA")</f>
        <v>14380.348000000002</v>
      </c>
    </row>
    <row r="3103" spans="1:5" x14ac:dyDescent="0.3">
      <c r="A3103" s="9">
        <f>'Volúmenes DIstribuidos '!B1965</f>
        <v>45191</v>
      </c>
      <c r="B3103" s="10" t="str">
        <f>IF(OR('Volúmenes DIstribuidos '!C1967="Azúcar",'Volúmenes DIstribuidos '!C1967="azúcar"),"Azúcar o dulce",IF('Volúmenes DIstribuidos '!C1967="Aceite","Aceite o grasas",IF('Volúmenes DIstribuidos '!C1967="Avena","Otros almidones",'Volúmenes DIstribuidos '!C1967)))</f>
        <v>Fideo</v>
      </c>
      <c r="C3103" s="10" t="s">
        <v>29</v>
      </c>
      <c r="D3103" s="12">
        <f>'Volúmenes DIstribuidos '!D1967</f>
        <v>23.81</v>
      </c>
      <c r="E3103" s="12">
        <f>SUMIF('Parametros Inventario'!$A:$A,B3103,'Parametros Inventario'!$B:$B)+SUMIFS(D$2:D3103,B$2:B3103,B3103,C$2:C3103,"ENTRADA")-SUMIFS(D$2:D3103,B$2:B3103,B3103,C$2:C3103,"SALIDA")</f>
        <v>15417.079</v>
      </c>
    </row>
    <row r="3104" spans="1:5" x14ac:dyDescent="0.3">
      <c r="A3104" s="9">
        <f>'Volúmenes DIstribuidos '!B1965</f>
        <v>45191</v>
      </c>
      <c r="B3104" s="10" t="str">
        <f>IF(OR('Volúmenes DIstribuidos '!C1968="Azúcar",'Volúmenes DIstribuidos '!C1968="azúcar"),"Azúcar o dulce",IF('Volúmenes DIstribuidos '!C1968="Aceite","Aceite o grasas",IF('Volúmenes DIstribuidos '!C1968="Avena","Otros almidones",'Volúmenes DIstribuidos '!C1968)))</f>
        <v>Carnes blancas</v>
      </c>
      <c r="C3104" s="10" t="s">
        <v>29</v>
      </c>
      <c r="D3104" s="12">
        <f>'Volúmenes DIstribuidos '!D1968</f>
        <v>19.283000000000001</v>
      </c>
      <c r="E3104" s="12">
        <f>SUMIF('Parametros Inventario'!$A:$A,B3104,'Parametros Inventario'!$B:$B)+SUMIFS(D$2:D3104,B$2:B3104,B3104,C$2:C3104,"ENTRADA")-SUMIFS(D$2:D3104,B$2:B3104,B3104,C$2:C3104,"SALIDA")</f>
        <v>13743.730999999996</v>
      </c>
    </row>
    <row r="3105" spans="1:5" x14ac:dyDescent="0.3">
      <c r="A3105" s="9">
        <f>'Volúmenes DIstribuidos '!B1965</f>
        <v>45191</v>
      </c>
      <c r="B3105" s="10" t="str">
        <f>IF(OR('Volúmenes DIstribuidos '!C1969="Azúcar",'Volúmenes DIstribuidos '!C1969="azúcar"),"Azúcar o dulce",IF('Volúmenes DIstribuidos '!C1969="Aceite","Aceite o grasas",IF('Volúmenes DIstribuidos '!C1969="Avena","Otros almidones",'Volúmenes DIstribuidos '!C1969)))</f>
        <v>Aceite o grasas</v>
      </c>
      <c r="C3105" s="10" t="s">
        <v>29</v>
      </c>
      <c r="D3105" s="12">
        <f>'Volúmenes DIstribuidos '!D1969</f>
        <v>30.83</v>
      </c>
      <c r="E3105" s="12">
        <f>SUMIF('Parametros Inventario'!$A:$A,B3105,'Parametros Inventario'!$B:$B)+SUMIFS(D$2:D3105,B$2:B3105,B3105,C$2:C3105,"ENTRADA")-SUMIFS(D$2:D3105,B$2:B3105,B3105,C$2:C3105,"SALIDA")</f>
        <v>13191.548000000006</v>
      </c>
    </row>
    <row r="3106" spans="1:5" x14ac:dyDescent="0.3">
      <c r="A3106" s="9">
        <f>'Volúmenes DIstribuidos '!B1965</f>
        <v>45191</v>
      </c>
      <c r="B3106" s="10" t="str">
        <f>IF(OR('Volúmenes DIstribuidos '!C1970="Azúcar",'Volúmenes DIstribuidos '!C1970="azúcar"),"Azúcar o dulce",IF('Volúmenes DIstribuidos '!C1970="Aceite","Aceite o grasas",IF('Volúmenes DIstribuidos '!C1970="Avena","Otros almidones",'Volúmenes DIstribuidos '!C1970)))</f>
        <v>Panadería</v>
      </c>
      <c r="C3106" s="10" t="s">
        <v>29</v>
      </c>
      <c r="D3106" s="12">
        <f>'Volúmenes DIstribuidos '!D1970</f>
        <v>16.53</v>
      </c>
      <c r="E3106" s="12">
        <f>SUMIF('Parametros Inventario'!$A:$A,B3106,'Parametros Inventario'!$B:$B)+SUMIFS(D$2:D3106,B$2:B3106,B3106,C$2:C3106,"ENTRADA")-SUMIFS(D$2:D3106,B$2:B3106,B3106,C$2:C3106,"SALIDA")</f>
        <v>11797.019000000004</v>
      </c>
    </row>
    <row r="3107" spans="1:5" x14ac:dyDescent="0.3">
      <c r="A3107" s="9">
        <f>'Volúmenes DIstribuidos '!B1971</f>
        <v>45195</v>
      </c>
      <c r="B3107" s="10" t="str">
        <f>IF(OR('Volúmenes DIstribuidos '!C1971="Azúcar",'Volúmenes DIstribuidos '!C1971="azúcar"),"Azúcar o dulce",IF('Volúmenes DIstribuidos '!C1971="Aceite","Aceite o grasas",IF('Volúmenes DIstribuidos '!C1971="Avena","Otros almidones",'Volúmenes DIstribuidos '!C1971)))</f>
        <v>Lácteos</v>
      </c>
      <c r="C3107" s="10" t="s">
        <v>29</v>
      </c>
      <c r="D3107" s="12">
        <f>'Volúmenes DIstribuidos '!D1971</f>
        <v>30.556000000000001</v>
      </c>
      <c r="E3107" s="12">
        <f>SUMIF('Parametros Inventario'!$A:$A,B3107,'Parametros Inventario'!$B:$B)+SUMIFS(D$2:D3107,B$2:B3107,B3107,C$2:C3107,"ENTRADA")-SUMIFS(D$2:D3107,B$2:B3107,B3107,C$2:C3107,"SALIDA")</f>
        <v>12084.069999999998</v>
      </c>
    </row>
    <row r="3108" spans="1:5" x14ac:dyDescent="0.3">
      <c r="A3108" s="9">
        <f>'Volúmenes DIstribuidos '!B1971</f>
        <v>45195</v>
      </c>
      <c r="B3108" s="10" t="str">
        <f>IF(OR('Volúmenes DIstribuidos '!C1972="Azúcar",'Volúmenes DIstribuidos '!C1972="azúcar"),"Azúcar o dulce",IF('Volúmenes DIstribuidos '!C1972="Aceite","Aceite o grasas",IF('Volúmenes DIstribuidos '!C1972="Avena","Otros almidones",'Volúmenes DIstribuidos '!C1972)))</f>
        <v>Lácteos</v>
      </c>
      <c r="C3108" s="10" t="s">
        <v>29</v>
      </c>
      <c r="D3108" s="12">
        <f>'Volúmenes DIstribuidos '!D1972</f>
        <v>39.56</v>
      </c>
      <c r="E3108" s="12">
        <f>SUMIF('Parametros Inventario'!$A:$A,B3108,'Parametros Inventario'!$B:$B)+SUMIFS(D$2:D3108,B$2:B3108,B3108,C$2:C3108,"ENTRADA")-SUMIFS(D$2:D3108,B$2:B3108,B3108,C$2:C3108,"SALIDA")</f>
        <v>12044.509999999998</v>
      </c>
    </row>
    <row r="3109" spans="1:5" x14ac:dyDescent="0.3">
      <c r="A3109" s="9">
        <f>'Volúmenes DIstribuidos '!B1971</f>
        <v>45195</v>
      </c>
      <c r="B3109" s="10" t="str">
        <f>IF(OR('Volúmenes DIstribuidos '!C1973="Azúcar",'Volúmenes DIstribuidos '!C1973="azúcar"),"Azúcar o dulce",IF('Volúmenes DIstribuidos '!C1973="Aceite","Aceite o grasas",IF('Volúmenes DIstribuidos '!C1973="Avena","Otros almidones",'Volúmenes DIstribuidos '!C1973)))</f>
        <v>Aceite o grasas</v>
      </c>
      <c r="C3109" s="10" t="s">
        <v>29</v>
      </c>
      <c r="D3109" s="12">
        <f>'Volúmenes DIstribuidos '!D1973</f>
        <v>86.89</v>
      </c>
      <c r="E3109" s="12">
        <f>SUMIF('Parametros Inventario'!$A:$A,B3109,'Parametros Inventario'!$B:$B)+SUMIFS(D$2:D3109,B$2:B3109,B3109,C$2:C3109,"ENTRADA")-SUMIFS(D$2:D3109,B$2:B3109,B3109,C$2:C3109,"SALIDA")</f>
        <v>13104.658000000007</v>
      </c>
    </row>
    <row r="3110" spans="1:5" x14ac:dyDescent="0.3">
      <c r="A3110" s="9">
        <f>'Volúmenes DIstribuidos '!B1971</f>
        <v>45195</v>
      </c>
      <c r="B3110" s="10" t="str">
        <f>IF(OR('Volúmenes DIstribuidos '!C1974="Azúcar",'Volúmenes DIstribuidos '!C1974="azúcar"),"Azúcar o dulce",IF('Volúmenes DIstribuidos '!C1974="Aceite","Aceite o grasas",IF('Volúmenes DIstribuidos '!C1974="Avena","Otros almidones",'Volúmenes DIstribuidos '!C1974)))</f>
        <v>Fideo</v>
      </c>
      <c r="C3110" s="10" t="s">
        <v>29</v>
      </c>
      <c r="D3110" s="12">
        <f>'Volúmenes DIstribuidos '!D1974</f>
        <v>48.65</v>
      </c>
      <c r="E3110" s="12">
        <f>SUMIF('Parametros Inventario'!$A:$A,B3110,'Parametros Inventario'!$B:$B)+SUMIFS(D$2:D3110,B$2:B3110,B3110,C$2:C3110,"ENTRADA")-SUMIFS(D$2:D3110,B$2:B3110,B3110,C$2:C3110,"SALIDA")</f>
        <v>15368.429</v>
      </c>
    </row>
    <row r="3111" spans="1:5" x14ac:dyDescent="0.3">
      <c r="A3111" s="9">
        <f>'Volúmenes DIstribuidos '!B1971</f>
        <v>45195</v>
      </c>
      <c r="B3111" s="10" t="str">
        <f>IF(OR('Volúmenes DIstribuidos '!C1975="Azúcar",'Volúmenes DIstribuidos '!C1975="azúcar"),"Azúcar o dulce",IF('Volúmenes DIstribuidos '!C1975="Aceite","Aceite o grasas",IF('Volúmenes DIstribuidos '!C1975="Avena","Otros almidones",'Volúmenes DIstribuidos '!C1975)))</f>
        <v>Vegetales y hojas</v>
      </c>
      <c r="C3111" s="10" t="s">
        <v>29</v>
      </c>
      <c r="D3111" s="12">
        <f>'Volúmenes DIstribuidos '!D1975</f>
        <v>80</v>
      </c>
      <c r="E3111" s="12">
        <f>SUMIF('Parametros Inventario'!$A:$A,B3111,'Parametros Inventario'!$B:$B)+SUMIFS(D$2:D3111,B$2:B3111,B3111,C$2:C3111,"ENTRADA")-SUMIFS(D$2:D3111,B$2:B3111,B3111,C$2:C3111,"SALIDA")</f>
        <v>14623.004999999996</v>
      </c>
    </row>
    <row r="3112" spans="1:5" x14ac:dyDescent="0.3">
      <c r="A3112" s="9">
        <f>'Volúmenes DIstribuidos '!B1971</f>
        <v>45195</v>
      </c>
      <c r="B3112" s="10" t="str">
        <f>IF(OR('Volúmenes DIstribuidos '!C1976="Azúcar",'Volúmenes DIstribuidos '!C1976="azúcar"),"Azúcar o dulce",IF('Volúmenes DIstribuidos '!C1976="Aceite","Aceite o grasas",IF('Volúmenes DIstribuidos '!C1976="Avena","Otros almidones",'Volúmenes DIstribuidos '!C1976)))</f>
        <v>Menestras</v>
      </c>
      <c r="C3112" s="10" t="s">
        <v>29</v>
      </c>
      <c r="D3112" s="12">
        <f>'Volúmenes DIstribuidos '!D1976</f>
        <v>62.68</v>
      </c>
      <c r="E3112" s="12">
        <f>SUMIF('Parametros Inventario'!$A:$A,B3112,'Parametros Inventario'!$B:$B)+SUMIFS(D$2:D3112,B$2:B3112,B3112,C$2:C3112,"ENTRADA")-SUMIFS(D$2:D3112,B$2:B3112,B3112,C$2:C3112,"SALIDA")</f>
        <v>14317.668000000001</v>
      </c>
    </row>
    <row r="3113" spans="1:5" x14ac:dyDescent="0.3">
      <c r="A3113" s="9">
        <v>45198</v>
      </c>
      <c r="B3113" s="10" t="s">
        <v>14</v>
      </c>
      <c r="C3113" s="10" t="s">
        <v>28</v>
      </c>
      <c r="D3113" s="12">
        <v>81.58</v>
      </c>
      <c r="E3113" s="12">
        <f>SUMIF('Parametros Inventario'!$A:$A,B3113,'Parametros Inventario'!$B:$B)+SUMIFS(D$2:D3113,B$2:B3113,B3113,C$2:C3113,"ENTRADA")-SUMIFS(D$2:D3113,B$2:B3113,B3113,C$2:C3113,"SALIDA")</f>
        <v>14399.248000000003</v>
      </c>
    </row>
    <row r="3114" spans="1:5" x14ac:dyDescent="0.3">
      <c r="A3114" s="9">
        <v>45198</v>
      </c>
      <c r="B3114" s="10" t="s">
        <v>12</v>
      </c>
      <c r="C3114" s="10" t="s">
        <v>28</v>
      </c>
      <c r="D3114" s="12">
        <v>215.94</v>
      </c>
      <c r="E3114" s="12">
        <f>SUMIF('Parametros Inventario'!$A:$A,B3114,'Parametros Inventario'!$B:$B)+SUMIFS(D$2:D3114,B$2:B3114,B3114,C$2:C3114,"ENTRADA")-SUMIFS(D$2:D3114,B$2:B3114,B3114,C$2:C3114,"SALIDA")</f>
        <v>13986.823</v>
      </c>
    </row>
    <row r="3115" spans="1:5" x14ac:dyDescent="0.3">
      <c r="A3115" s="9">
        <v>45198</v>
      </c>
      <c r="B3115" s="10" t="s">
        <v>16</v>
      </c>
      <c r="C3115" s="10" t="s">
        <v>28</v>
      </c>
      <c r="D3115" s="12">
        <v>197.69</v>
      </c>
      <c r="E3115" s="12">
        <f>SUMIF('Parametros Inventario'!$A:$A,B3115,'Parametros Inventario'!$B:$B)+SUMIFS(D$2:D3115,B$2:B3115,B3115,C$2:C3115,"ENTRADA")-SUMIFS(D$2:D3115,B$2:B3115,B3115,C$2:C3115,"SALIDA")</f>
        <v>13941.420999999995</v>
      </c>
    </row>
    <row r="3116" spans="1:5" x14ac:dyDescent="0.3">
      <c r="A3116" s="9">
        <v>45198</v>
      </c>
      <c r="B3116" s="10" t="s">
        <v>17</v>
      </c>
      <c r="C3116" s="10" t="s">
        <v>28</v>
      </c>
      <c r="D3116" s="12">
        <v>76.650000000000006</v>
      </c>
      <c r="E3116" s="12">
        <f>SUMIF('Parametros Inventario'!$A:$A,B3116,'Parametros Inventario'!$B:$B)+SUMIFS(D$2:D3116,B$2:B3116,B3116,C$2:C3116,"ENTRADA")-SUMIFS(D$2:D3116,B$2:B3116,B3116,C$2:C3116,"SALIDA")</f>
        <v>12121.16</v>
      </c>
    </row>
    <row r="3117" spans="1:5" x14ac:dyDescent="0.3">
      <c r="A3117" s="9">
        <v>45198</v>
      </c>
      <c r="B3117" s="10" t="s">
        <v>18</v>
      </c>
      <c r="C3117" s="10" t="s">
        <v>28</v>
      </c>
      <c r="D3117" s="12">
        <v>52.3</v>
      </c>
      <c r="E3117" s="12">
        <f>SUMIF('Parametros Inventario'!$A:$A,B3117,'Parametros Inventario'!$B:$B)+SUMIFS(D$2:D3117,B$2:B3117,B3117,C$2:C3117,"ENTRADA")-SUMIFS(D$2:D3117,B$2:B3117,B3117,C$2:C3117,"SALIDA")</f>
        <v>13086.465999999999</v>
      </c>
    </row>
    <row r="3118" spans="1:5" x14ac:dyDescent="0.3">
      <c r="A3118" s="9">
        <v>45198</v>
      </c>
      <c r="B3118" s="10" t="s">
        <v>10</v>
      </c>
      <c r="C3118" s="10" t="s">
        <v>28</v>
      </c>
      <c r="D3118" s="12">
        <v>263.08999999999997</v>
      </c>
      <c r="E3118" s="12">
        <f>SUMIF('Parametros Inventario'!$A:$A,B3118,'Parametros Inventario'!$B:$B)+SUMIFS(D$2:D3118,B$2:B3118,B3118,C$2:C3118,"ENTRADA")-SUMIFS(D$2:D3118,B$2:B3118,B3118,C$2:C3118,"SALIDA")</f>
        <v>14886.094999999996</v>
      </c>
    </row>
    <row r="3119" spans="1:5" x14ac:dyDescent="0.3">
      <c r="A3119" s="9">
        <v>45198</v>
      </c>
      <c r="B3119" s="10" t="s">
        <v>8</v>
      </c>
      <c r="C3119" s="10" t="s">
        <v>28</v>
      </c>
      <c r="D3119" s="12">
        <v>128.97999999999999</v>
      </c>
      <c r="E3119" s="12">
        <f>SUMIF('Parametros Inventario'!$A:$A,B3119,'Parametros Inventario'!$B:$B)+SUMIFS(D$2:D3119,B$2:B3119,B3119,C$2:C3119,"ENTRADA")-SUMIFS(D$2:D3119,B$2:B3119,B3119,C$2:C3119,"SALIDA")</f>
        <v>13233.638000000006</v>
      </c>
    </row>
    <row r="3120" spans="1:5" x14ac:dyDescent="0.3">
      <c r="A3120" s="9">
        <v>45198</v>
      </c>
      <c r="B3120" s="10" t="s">
        <v>13</v>
      </c>
      <c r="C3120" s="10" t="s">
        <v>28</v>
      </c>
      <c r="D3120" s="12">
        <v>254.04</v>
      </c>
      <c r="E3120" s="12">
        <f>SUMIF('Parametros Inventario'!$A:$A,B3120,'Parametros Inventario'!$B:$B)+SUMIFS(D$2:D3120,B$2:B3120,B3120,C$2:C3120,"ENTRADA")-SUMIFS(D$2:D3120,B$2:B3120,B3120,C$2:C3120,"SALIDA")</f>
        <v>13375.504000000003</v>
      </c>
    </row>
    <row r="3121" spans="1:5" x14ac:dyDescent="0.3">
      <c r="A3121" s="9">
        <v>45198</v>
      </c>
      <c r="B3121" s="10" t="s">
        <v>15</v>
      </c>
      <c r="C3121" s="10" t="s">
        <v>28</v>
      </c>
      <c r="D3121" s="12">
        <v>124.21</v>
      </c>
      <c r="E3121" s="12">
        <f>SUMIF('Parametros Inventario'!$A:$A,B3121,'Parametros Inventario'!$B:$B)+SUMIFS(D$2:D3121,B$2:B3121,B3121,C$2:C3121,"ENTRADA")-SUMIFS(D$2:D3121,B$2:B3121,B3121,C$2:C3121,"SALIDA")</f>
        <v>14761.338000000002</v>
      </c>
    </row>
    <row r="3122" spans="1:5" x14ac:dyDescent="0.3">
      <c r="A3122" s="9">
        <v>45198</v>
      </c>
      <c r="B3122" s="10" t="s">
        <v>11</v>
      </c>
      <c r="C3122" s="10" t="s">
        <v>28</v>
      </c>
      <c r="D3122" s="12">
        <v>104.73</v>
      </c>
      <c r="E3122" s="12">
        <f>SUMIF('Parametros Inventario'!$A:$A,B3122,'Parametros Inventario'!$B:$B)+SUMIFS(D$2:D3122,B$2:B3122,B3122,C$2:C3122,"ENTRADA")-SUMIFS(D$2:D3122,B$2:B3122,B3122,C$2:C3122,"SALIDA")</f>
        <v>15473.159</v>
      </c>
    </row>
    <row r="3123" spans="1:5" x14ac:dyDescent="0.3">
      <c r="A3123" s="9">
        <f>'Volúmenes DIstribuidos '!B1977</f>
        <v>45198</v>
      </c>
      <c r="B3123" s="10" t="str">
        <f>IF(OR('Volúmenes DIstribuidos '!C1977="Azúcar",'Volúmenes DIstribuidos '!C1977="azúcar"),"Azúcar o dulce",IF('Volúmenes DIstribuidos '!C1977="Aceite","Aceite o grasas",IF('Volúmenes DIstribuidos '!C1977="Avena","Otros almidones",'Volúmenes DIstribuidos '!C1977)))</f>
        <v>Carnes rojas</v>
      </c>
      <c r="C3123" s="10" t="s">
        <v>29</v>
      </c>
      <c r="D3123" s="12">
        <f>'Volúmenes DIstribuidos '!D1977</f>
        <v>12.096</v>
      </c>
      <c r="E3123" s="12">
        <f>SUMIF('Parametros Inventario'!$A:$A,B3123,'Parametros Inventario'!$B:$B)+SUMIFS(D$2:D3123,B$2:B3123,B3123,C$2:C3123,"ENTRADA")-SUMIFS(D$2:D3123,B$2:B3123,B3123,C$2:C3123,"SALIDA")</f>
        <v>13974.727000000003</v>
      </c>
    </row>
    <row r="3124" spans="1:5" x14ac:dyDescent="0.3">
      <c r="A3124" s="9">
        <f>'Volúmenes DIstribuidos '!B1977</f>
        <v>45198</v>
      </c>
      <c r="B3124" s="10" t="str">
        <f>IF(OR('Volúmenes DIstribuidos '!C1978="Azúcar",'Volúmenes DIstribuidos '!C1978="azúcar"),"Azúcar o dulce",IF('Volúmenes DIstribuidos '!C1978="Aceite","Aceite o grasas",IF('Volúmenes DIstribuidos '!C1978="Avena","Otros almidones",'Volúmenes DIstribuidos '!C1978)))</f>
        <v>Otros almidones</v>
      </c>
      <c r="C3124" s="10" t="s">
        <v>29</v>
      </c>
      <c r="D3124" s="12">
        <f>'Volúmenes DIstribuidos '!D1978</f>
        <v>22.19</v>
      </c>
      <c r="E3124" s="12">
        <f>SUMIF('Parametros Inventario'!$A:$A,B3124,'Parametros Inventario'!$B:$B)+SUMIFS(D$2:D3124,B$2:B3124,B3124,C$2:C3124,"ENTRADA")-SUMIFS(D$2:D3124,B$2:B3124,B3124,C$2:C3124,"SALIDA")</f>
        <v>14739.148000000001</v>
      </c>
    </row>
    <row r="3125" spans="1:5" x14ac:dyDescent="0.3">
      <c r="A3125" s="9">
        <f>'Volúmenes DIstribuidos '!B1977</f>
        <v>45198</v>
      </c>
      <c r="B3125" s="10" t="str">
        <f>IF(OR('Volúmenes DIstribuidos '!C1979="Azúcar",'Volúmenes DIstribuidos '!C1979="azúcar"),"Azúcar o dulce",IF('Volúmenes DIstribuidos '!C1979="Aceite","Aceite o grasas",IF('Volúmenes DIstribuidos '!C1979="Avena","Otros almidones",'Volúmenes DIstribuidos '!C1979)))</f>
        <v>Panadería</v>
      </c>
      <c r="C3125" s="10" t="s">
        <v>29</v>
      </c>
      <c r="D3125" s="12">
        <f>'Volúmenes DIstribuidos '!D1979</f>
        <v>30.17</v>
      </c>
      <c r="E3125" s="12">
        <f>SUMIF('Parametros Inventario'!$A:$A,B3125,'Parametros Inventario'!$B:$B)+SUMIFS(D$2:D3125,B$2:B3125,B3125,C$2:C3125,"ENTRADA")-SUMIFS(D$2:D3125,B$2:B3125,B3125,C$2:C3125,"SALIDA")</f>
        <v>11766.849000000002</v>
      </c>
    </row>
    <row r="3126" spans="1:5" x14ac:dyDescent="0.3">
      <c r="A3126" s="9">
        <f>'Volúmenes DIstribuidos '!B1977</f>
        <v>45198</v>
      </c>
      <c r="B3126" s="10" t="str">
        <f>IF(OR('Volúmenes DIstribuidos '!C1980="Azúcar",'Volúmenes DIstribuidos '!C1980="azúcar"),"Azúcar o dulce",IF('Volúmenes DIstribuidos '!C1980="Aceite","Aceite o grasas",IF('Volúmenes DIstribuidos '!C1980="Avena","Otros almidones",'Volúmenes DIstribuidos '!C1980)))</f>
        <v>Fideo</v>
      </c>
      <c r="C3126" s="10" t="s">
        <v>29</v>
      </c>
      <c r="D3126" s="12">
        <f>'Volúmenes DIstribuidos '!D1980</f>
        <v>20.49</v>
      </c>
      <c r="E3126" s="12">
        <f>SUMIF('Parametros Inventario'!$A:$A,B3126,'Parametros Inventario'!$B:$B)+SUMIFS(D$2:D3126,B$2:B3126,B3126,C$2:C3126,"ENTRADA")-SUMIFS(D$2:D3126,B$2:B3126,B3126,C$2:C3126,"SALIDA")</f>
        <v>15452.669</v>
      </c>
    </row>
    <row r="3127" spans="1:5" x14ac:dyDescent="0.3">
      <c r="A3127" s="9">
        <f>'Volúmenes DIstribuidos '!B1977</f>
        <v>45198</v>
      </c>
      <c r="B3127" s="10" t="str">
        <f>IF(OR('Volúmenes DIstribuidos '!C1981="Azúcar",'Volúmenes DIstribuidos '!C1981="azúcar"),"Azúcar o dulce",IF('Volúmenes DIstribuidos '!C1981="Aceite","Aceite o grasas",IF('Volúmenes DIstribuidos '!C1981="Avena","Otros almidones",'Volúmenes DIstribuidos '!C1981)))</f>
        <v>Azúcar o dulce</v>
      </c>
      <c r="C3127" s="10" t="s">
        <v>29</v>
      </c>
      <c r="D3127" s="12">
        <f>'Volúmenes DIstribuidos '!D1981</f>
        <v>4</v>
      </c>
      <c r="E3127" s="12">
        <f>SUMIF('Parametros Inventario'!$A:$A,B3127,'Parametros Inventario'!$B:$B)+SUMIFS(D$2:D3127,B$2:B3127,B3127,C$2:C3127,"ENTRADA")-SUMIFS(D$2:D3127,B$2:B3127,B3127,C$2:C3127,"SALIDA")</f>
        <v>13371.504000000003</v>
      </c>
    </row>
    <row r="3128" spans="1:5" x14ac:dyDescent="0.3">
      <c r="A3128" s="9">
        <f>'Volúmenes DIstribuidos '!B1977</f>
        <v>45198</v>
      </c>
      <c r="B3128" s="10" t="str">
        <f>IF(OR('Volúmenes DIstribuidos '!C1982="Azúcar",'Volúmenes DIstribuidos '!C1982="azúcar"),"Azúcar o dulce",IF('Volúmenes DIstribuidos '!C1982="Aceite","Aceite o grasas",IF('Volúmenes DIstribuidos '!C1982="Avena","Otros almidones",'Volúmenes DIstribuidos '!C1982)))</f>
        <v>Vegetales y hojas</v>
      </c>
      <c r="C3128" s="10" t="s">
        <v>29</v>
      </c>
      <c r="D3128" s="12">
        <f>'Volúmenes DIstribuidos '!D1982</f>
        <v>5.3</v>
      </c>
      <c r="E3128" s="12">
        <f>SUMIF('Parametros Inventario'!$A:$A,B3128,'Parametros Inventario'!$B:$B)+SUMIFS(D$2:D3128,B$2:B3128,B3128,C$2:C3128,"ENTRADA")-SUMIFS(D$2:D3128,B$2:B3128,B3128,C$2:C3128,"SALIDA")</f>
        <v>14880.794999999995</v>
      </c>
    </row>
    <row r="3129" spans="1:5" x14ac:dyDescent="0.3">
      <c r="A3129" s="9">
        <f>'Volúmenes DIstribuidos '!B1983</f>
        <v>45202</v>
      </c>
      <c r="B3129" s="10" t="str">
        <f>IF(OR('Volúmenes DIstribuidos '!C1983="Azúcar",'Volúmenes DIstribuidos '!C1983="azúcar"),"Azúcar o dulce",IF('Volúmenes DIstribuidos '!C1983="Aceite","Aceite o grasas",IF('Volúmenes DIstribuidos '!C1983="Avena","Otros almidones",'Volúmenes DIstribuidos '!C1983)))</f>
        <v>Carnes rojas</v>
      </c>
      <c r="C3129" s="10" t="s">
        <v>29</v>
      </c>
      <c r="D3129" s="12">
        <f>'Volúmenes DIstribuidos '!D1983</f>
        <v>13.917999999999999</v>
      </c>
      <c r="E3129" s="12">
        <f>SUMIF('Parametros Inventario'!$A:$A,B3129,'Parametros Inventario'!$B:$B)+SUMIFS(D$2:D3129,B$2:B3129,B3129,C$2:C3129,"ENTRADA")-SUMIFS(D$2:D3129,B$2:B3129,B3129,C$2:C3129,"SALIDA")</f>
        <v>13960.809000000001</v>
      </c>
    </row>
    <row r="3130" spans="1:5" x14ac:dyDescent="0.3">
      <c r="A3130" s="9">
        <f>'Volúmenes DIstribuidos '!B1983</f>
        <v>45202</v>
      </c>
      <c r="B3130" s="10" t="str">
        <f>IF(OR('Volúmenes DIstribuidos '!C1984="Azúcar",'Volúmenes DIstribuidos '!C1984="azúcar"),"Azúcar o dulce",IF('Volúmenes DIstribuidos '!C1984="Aceite","Aceite o grasas",IF('Volúmenes DIstribuidos '!C1984="Avena","Otros almidones",'Volúmenes DIstribuidos '!C1984)))</f>
        <v>Lácteos</v>
      </c>
      <c r="C3130" s="10" t="s">
        <v>29</v>
      </c>
      <c r="D3130" s="12">
        <f>'Volúmenes DIstribuidos '!D1984</f>
        <v>10.02</v>
      </c>
      <c r="E3130" s="12">
        <f>SUMIF('Parametros Inventario'!$A:$A,B3130,'Parametros Inventario'!$B:$B)+SUMIFS(D$2:D3130,B$2:B3130,B3130,C$2:C3130,"ENTRADA")-SUMIFS(D$2:D3130,B$2:B3130,B3130,C$2:C3130,"SALIDA")</f>
        <v>12111.14</v>
      </c>
    </row>
    <row r="3131" spans="1:5" x14ac:dyDescent="0.3">
      <c r="A3131" s="9">
        <f>'Volúmenes DIstribuidos '!B1983</f>
        <v>45202</v>
      </c>
      <c r="B3131" s="10" t="str">
        <f>IF(OR('Volúmenes DIstribuidos '!C1985="Azúcar",'Volúmenes DIstribuidos '!C1985="azúcar"),"Azúcar o dulce",IF('Volúmenes DIstribuidos '!C1985="Aceite","Aceite o grasas",IF('Volúmenes DIstribuidos '!C1985="Avena","Otros almidones",'Volúmenes DIstribuidos '!C1985)))</f>
        <v>Vegetales y hojas</v>
      </c>
      <c r="C3131" s="10" t="s">
        <v>29</v>
      </c>
      <c r="D3131" s="12">
        <f>'Volúmenes DIstribuidos '!D1985</f>
        <v>3.43</v>
      </c>
      <c r="E3131" s="12">
        <f>SUMIF('Parametros Inventario'!$A:$A,B3131,'Parametros Inventario'!$B:$B)+SUMIFS(D$2:D3131,B$2:B3131,B3131,C$2:C3131,"ENTRADA")-SUMIFS(D$2:D3131,B$2:B3131,B3131,C$2:C3131,"SALIDA")</f>
        <v>14877.364999999994</v>
      </c>
    </row>
    <row r="3132" spans="1:5" x14ac:dyDescent="0.3">
      <c r="A3132" s="9">
        <f>'Volúmenes DIstribuidos '!B1983</f>
        <v>45202</v>
      </c>
      <c r="B3132" s="10" t="str">
        <f>IF(OR('Volúmenes DIstribuidos '!C1986="Azúcar",'Volúmenes DIstribuidos '!C1986="azúcar"),"Azúcar o dulce",IF('Volúmenes DIstribuidos '!C1986="Aceite","Aceite o grasas",IF('Volúmenes DIstribuidos '!C1986="Avena","Otros almidones",'Volúmenes DIstribuidos '!C1986)))</f>
        <v>Aceite o grasas</v>
      </c>
      <c r="C3132" s="10" t="s">
        <v>29</v>
      </c>
      <c r="D3132" s="12">
        <f>'Volúmenes DIstribuidos '!D1986</f>
        <v>12.930999999999999</v>
      </c>
      <c r="E3132" s="12">
        <f>SUMIF('Parametros Inventario'!$A:$A,B3132,'Parametros Inventario'!$B:$B)+SUMIFS(D$2:D3132,B$2:B3132,B3132,C$2:C3132,"ENTRADA")-SUMIFS(D$2:D3132,B$2:B3132,B3132,C$2:C3132,"SALIDA")</f>
        <v>13220.707000000006</v>
      </c>
    </row>
    <row r="3133" spans="1:5" x14ac:dyDescent="0.3">
      <c r="A3133" s="9">
        <f>'Volúmenes DIstribuidos '!B1983</f>
        <v>45202</v>
      </c>
      <c r="B3133" s="10" t="str">
        <f>IF(OR('Volúmenes DIstribuidos '!C1987="Azúcar",'Volúmenes DIstribuidos '!C1987="azúcar"),"Azúcar o dulce",IF('Volúmenes DIstribuidos '!C1987="Aceite","Aceite o grasas",IF('Volúmenes DIstribuidos '!C1987="Avena","Otros almidones",'Volúmenes DIstribuidos '!C1987)))</f>
        <v>Aceite o grasas</v>
      </c>
      <c r="C3133" s="10" t="s">
        <v>29</v>
      </c>
      <c r="D3133" s="12">
        <f>'Volúmenes DIstribuidos '!D1987</f>
        <v>32.909999999999997</v>
      </c>
      <c r="E3133" s="12">
        <f>SUMIF('Parametros Inventario'!$A:$A,B3133,'Parametros Inventario'!$B:$B)+SUMIFS(D$2:D3133,B$2:B3133,B3133,C$2:C3133,"ENTRADA")-SUMIFS(D$2:D3133,B$2:B3133,B3133,C$2:C3133,"SALIDA")</f>
        <v>13187.797000000006</v>
      </c>
    </row>
    <row r="3134" spans="1:5" x14ac:dyDescent="0.3">
      <c r="A3134" s="9">
        <f>'Volúmenes DIstribuidos '!B1983</f>
        <v>45202</v>
      </c>
      <c r="B3134" s="10" t="str">
        <f>IF(OR('Volúmenes DIstribuidos '!C1988="Azúcar",'Volúmenes DIstribuidos '!C1988="azúcar"),"Azúcar o dulce",IF('Volúmenes DIstribuidos '!C1988="Aceite","Aceite o grasas",IF('Volúmenes DIstribuidos '!C1988="Avena","Otros almidones",'Volúmenes DIstribuidos '!C1988)))</f>
        <v>Carnes blancas</v>
      </c>
      <c r="C3134" s="10" t="s">
        <v>29</v>
      </c>
      <c r="D3134" s="12">
        <f>'Volúmenes DIstribuidos '!D1988</f>
        <v>30.81</v>
      </c>
      <c r="E3134" s="12">
        <f>SUMIF('Parametros Inventario'!$A:$A,B3134,'Parametros Inventario'!$B:$B)+SUMIFS(D$2:D3134,B$2:B3134,B3134,C$2:C3134,"ENTRADA")-SUMIFS(D$2:D3134,B$2:B3134,B3134,C$2:C3134,"SALIDA")</f>
        <v>13910.610999999995</v>
      </c>
    </row>
    <row r="3135" spans="1:5" x14ac:dyDescent="0.3">
      <c r="A3135" s="9">
        <v>45205</v>
      </c>
      <c r="B3135" s="10" t="s">
        <v>9</v>
      </c>
      <c r="C3135" s="10" t="s">
        <v>28</v>
      </c>
      <c r="D3135" s="12">
        <v>220</v>
      </c>
      <c r="E3135" s="12">
        <f>SUMIF('Parametros Inventario'!$A:$A,B3135,'Parametros Inventario'!$B:$B)+SUMIFS(D$2:D3135,B$2:B3135,B3135,C$2:C3135,"ENTRADA")-SUMIFS(D$2:D3135,B$2:B3135,B3135,C$2:C3135,"SALIDA")</f>
        <v>11986.849000000002</v>
      </c>
    </row>
    <row r="3136" spans="1:5" x14ac:dyDescent="0.3">
      <c r="A3136" s="9">
        <v>45205</v>
      </c>
      <c r="B3136" s="10" t="s">
        <v>14</v>
      </c>
      <c r="C3136" s="10" t="s">
        <v>28</v>
      </c>
      <c r="D3136" s="12">
        <v>86.86</v>
      </c>
      <c r="E3136" s="12">
        <f>SUMIF('Parametros Inventario'!$A:$A,B3136,'Parametros Inventario'!$B:$B)+SUMIFS(D$2:D3136,B$2:B3136,B3136,C$2:C3136,"ENTRADA")-SUMIFS(D$2:D3136,B$2:B3136,B3136,C$2:C3136,"SALIDA")</f>
        <v>14486.108000000004</v>
      </c>
    </row>
    <row r="3137" spans="1:5" x14ac:dyDescent="0.3">
      <c r="A3137" s="9">
        <v>45205</v>
      </c>
      <c r="B3137" s="10" t="s">
        <v>12</v>
      </c>
      <c r="C3137" s="10" t="s">
        <v>28</v>
      </c>
      <c r="D3137" s="12">
        <v>120.85</v>
      </c>
      <c r="E3137" s="12">
        <f>SUMIF('Parametros Inventario'!$A:$A,B3137,'Parametros Inventario'!$B:$B)+SUMIFS(D$2:D3137,B$2:B3137,B3137,C$2:C3137,"ENTRADA")-SUMIFS(D$2:D3137,B$2:B3137,B3137,C$2:C3137,"SALIDA")</f>
        <v>14081.659</v>
      </c>
    </row>
    <row r="3138" spans="1:5" x14ac:dyDescent="0.3">
      <c r="A3138" s="9">
        <v>45205</v>
      </c>
      <c r="B3138" s="10" t="s">
        <v>16</v>
      </c>
      <c r="C3138" s="10" t="s">
        <v>28</v>
      </c>
      <c r="D3138" s="12">
        <v>236.76</v>
      </c>
      <c r="E3138" s="12">
        <f>SUMIF('Parametros Inventario'!$A:$A,B3138,'Parametros Inventario'!$B:$B)+SUMIFS(D$2:D3138,B$2:B3138,B3138,C$2:C3138,"ENTRADA")-SUMIFS(D$2:D3138,B$2:B3138,B3138,C$2:C3138,"SALIDA")</f>
        <v>14147.370999999994</v>
      </c>
    </row>
    <row r="3139" spans="1:5" x14ac:dyDescent="0.3">
      <c r="A3139" s="9">
        <v>45205</v>
      </c>
      <c r="B3139" s="10" t="s">
        <v>17</v>
      </c>
      <c r="C3139" s="10" t="s">
        <v>28</v>
      </c>
      <c r="D3139" s="12">
        <v>262.27999999999997</v>
      </c>
      <c r="E3139" s="12">
        <f>SUMIF('Parametros Inventario'!$A:$A,B3139,'Parametros Inventario'!$B:$B)+SUMIFS(D$2:D3139,B$2:B3139,B3139,C$2:C3139,"ENTRADA")-SUMIFS(D$2:D3139,B$2:B3139,B3139,C$2:C3139,"SALIDA")</f>
        <v>12373.419999999998</v>
      </c>
    </row>
    <row r="3140" spans="1:5" x14ac:dyDescent="0.3">
      <c r="A3140" s="9">
        <v>45205</v>
      </c>
      <c r="B3140" s="10" t="s">
        <v>18</v>
      </c>
      <c r="C3140" s="10" t="s">
        <v>28</v>
      </c>
      <c r="D3140" s="12">
        <v>256.94</v>
      </c>
      <c r="E3140" s="12">
        <f>SUMIF('Parametros Inventario'!$A:$A,B3140,'Parametros Inventario'!$B:$B)+SUMIFS(D$2:D3140,B$2:B3140,B3140,C$2:C3140,"ENTRADA")-SUMIFS(D$2:D3140,B$2:B3140,B3140,C$2:C3140,"SALIDA")</f>
        <v>13343.405999999997</v>
      </c>
    </row>
    <row r="3141" spans="1:5" x14ac:dyDescent="0.3">
      <c r="A3141" s="9">
        <v>45205</v>
      </c>
      <c r="B3141" s="10" t="s">
        <v>10</v>
      </c>
      <c r="C3141" s="10" t="s">
        <v>28</v>
      </c>
      <c r="D3141" s="12">
        <v>58.59</v>
      </c>
      <c r="E3141" s="12">
        <f>SUMIF('Parametros Inventario'!$A:$A,B3141,'Parametros Inventario'!$B:$B)+SUMIFS(D$2:D3141,B$2:B3141,B3141,C$2:C3141,"ENTRADA")-SUMIFS(D$2:D3141,B$2:B3141,B3141,C$2:C3141,"SALIDA")</f>
        <v>14935.954999999994</v>
      </c>
    </row>
    <row r="3142" spans="1:5" x14ac:dyDescent="0.3">
      <c r="A3142" s="9">
        <v>45205</v>
      </c>
      <c r="B3142" s="10" t="s">
        <v>8</v>
      </c>
      <c r="C3142" s="10" t="s">
        <v>28</v>
      </c>
      <c r="D3142" s="12">
        <v>130.03</v>
      </c>
      <c r="E3142" s="12">
        <f>SUMIF('Parametros Inventario'!$A:$A,B3142,'Parametros Inventario'!$B:$B)+SUMIFS(D$2:D3142,B$2:B3142,B3142,C$2:C3142,"ENTRADA")-SUMIFS(D$2:D3142,B$2:B3142,B3142,C$2:C3142,"SALIDA")</f>
        <v>13317.827000000005</v>
      </c>
    </row>
    <row r="3143" spans="1:5" x14ac:dyDescent="0.3">
      <c r="A3143" s="9">
        <v>45205</v>
      </c>
      <c r="B3143" s="10" t="s">
        <v>13</v>
      </c>
      <c r="C3143" s="10" t="s">
        <v>28</v>
      </c>
      <c r="D3143" s="12">
        <v>175.59</v>
      </c>
      <c r="E3143" s="12">
        <f>SUMIF('Parametros Inventario'!$A:$A,B3143,'Parametros Inventario'!$B:$B)+SUMIFS(D$2:D3143,B$2:B3143,B3143,C$2:C3143,"ENTRADA")-SUMIFS(D$2:D3143,B$2:B3143,B3143,C$2:C3143,"SALIDA")</f>
        <v>13547.094000000003</v>
      </c>
    </row>
    <row r="3144" spans="1:5" x14ac:dyDescent="0.3">
      <c r="A3144" s="9">
        <f>'Volúmenes DIstribuidos '!B1989</f>
        <v>45205</v>
      </c>
      <c r="B3144" s="10" t="str">
        <f>IF(OR('Volúmenes DIstribuidos '!C1989="Azúcar",'Volúmenes DIstribuidos '!C1989="azúcar"),"Azúcar o dulce",IF('Volúmenes DIstribuidos '!C1989="Aceite","Aceite o grasas",IF('Volúmenes DIstribuidos '!C1989="Avena","Otros almidones",'Volúmenes DIstribuidos '!C1989)))</f>
        <v>Salsas</v>
      </c>
      <c r="C3144" s="10" t="s">
        <v>29</v>
      </c>
      <c r="D3144" s="12">
        <f>'Volúmenes DIstribuidos '!D1989</f>
        <v>13.721</v>
      </c>
      <c r="E3144" s="12">
        <f>SUMIF('Parametros Inventario'!$A:$A,B3144,'Parametros Inventario'!$B:$B)+SUMIFS(D$2:D3144,B$2:B3144,B3144,C$2:C3144,"ENTRADA")-SUMIFS(D$2:D3144,B$2:B3144,B3144,C$2:C3144,"SALIDA")</f>
        <v>13329.684999999998</v>
      </c>
    </row>
    <row r="3145" spans="1:5" x14ac:dyDescent="0.3">
      <c r="A3145" s="9">
        <f>'Volúmenes DIstribuidos '!B1989</f>
        <v>45205</v>
      </c>
      <c r="B3145" s="10" t="str">
        <f>IF(OR('Volúmenes DIstribuidos '!C1990="Azúcar",'Volúmenes DIstribuidos '!C1990="azúcar"),"Azúcar o dulce",IF('Volúmenes DIstribuidos '!C1990="Aceite","Aceite o grasas",IF('Volúmenes DIstribuidos '!C1990="Avena","Otros almidones",'Volúmenes DIstribuidos '!C1990)))</f>
        <v>Salsas</v>
      </c>
      <c r="C3145" s="10" t="s">
        <v>29</v>
      </c>
      <c r="D3145" s="12">
        <f>'Volúmenes DIstribuidos '!D1990</f>
        <v>17.850000000000001</v>
      </c>
      <c r="E3145" s="12">
        <f>SUMIF('Parametros Inventario'!$A:$A,B3145,'Parametros Inventario'!$B:$B)+SUMIFS(D$2:D3145,B$2:B3145,B3145,C$2:C3145,"ENTRADA")-SUMIFS(D$2:D3145,B$2:B3145,B3145,C$2:C3145,"SALIDA")</f>
        <v>13311.834999999997</v>
      </c>
    </row>
    <row r="3146" spans="1:5" x14ac:dyDescent="0.3">
      <c r="A3146" s="9">
        <f>'Volúmenes DIstribuidos '!B1989</f>
        <v>45205</v>
      </c>
      <c r="B3146" s="10" t="str">
        <f>IF(OR('Volúmenes DIstribuidos '!C1991="Azúcar",'Volúmenes DIstribuidos '!C1991="azúcar"),"Azúcar o dulce",IF('Volúmenes DIstribuidos '!C1991="Aceite","Aceite o grasas",IF('Volúmenes DIstribuidos '!C1991="Avena","Otros almidones",'Volúmenes DIstribuidos '!C1991)))</f>
        <v>Carnes blancas</v>
      </c>
      <c r="C3146" s="10" t="s">
        <v>29</v>
      </c>
      <c r="D3146" s="12">
        <f>'Volúmenes DIstribuidos '!D1991</f>
        <v>34.409999999999997</v>
      </c>
      <c r="E3146" s="12">
        <f>SUMIF('Parametros Inventario'!$A:$A,B3146,'Parametros Inventario'!$B:$B)+SUMIFS(D$2:D3146,B$2:B3146,B3146,C$2:C3146,"ENTRADA")-SUMIFS(D$2:D3146,B$2:B3146,B3146,C$2:C3146,"SALIDA")</f>
        <v>14112.960999999994</v>
      </c>
    </row>
    <row r="3147" spans="1:5" x14ac:dyDescent="0.3">
      <c r="A3147" s="9">
        <f>'Volúmenes DIstribuidos '!B1989</f>
        <v>45205</v>
      </c>
      <c r="B3147" s="10" t="str">
        <f>IF(OR('Volúmenes DIstribuidos '!C1992="Azúcar",'Volúmenes DIstribuidos '!C1992="azúcar"),"Azúcar o dulce",IF('Volúmenes DIstribuidos '!C1992="Aceite","Aceite o grasas",IF('Volúmenes DIstribuidos '!C1992="Avena","Otros almidones",'Volúmenes DIstribuidos '!C1992)))</f>
        <v>Carnes rojas</v>
      </c>
      <c r="C3147" s="10" t="s">
        <v>29</v>
      </c>
      <c r="D3147" s="12">
        <f>'Volúmenes DIstribuidos '!D1992</f>
        <v>61.68</v>
      </c>
      <c r="E3147" s="12">
        <f>SUMIF('Parametros Inventario'!$A:$A,B3147,'Parametros Inventario'!$B:$B)+SUMIFS(D$2:D3147,B$2:B3147,B3147,C$2:C3147,"ENTRADA")-SUMIFS(D$2:D3147,B$2:B3147,B3147,C$2:C3147,"SALIDA")</f>
        <v>14019.978999999999</v>
      </c>
    </row>
    <row r="3148" spans="1:5" x14ac:dyDescent="0.3">
      <c r="A3148" s="9">
        <f>'Volúmenes DIstribuidos '!B1989</f>
        <v>45205</v>
      </c>
      <c r="B3148" s="10" t="str">
        <f>IF(OR('Volúmenes DIstribuidos '!C1993="Azúcar",'Volúmenes DIstribuidos '!C1993="azúcar"),"Azúcar o dulce",IF('Volúmenes DIstribuidos '!C1993="Aceite","Aceite o grasas",IF('Volúmenes DIstribuidos '!C1993="Avena","Otros almidones",'Volúmenes DIstribuidos '!C1993)))</f>
        <v>Otros almidones</v>
      </c>
      <c r="C3148" s="10" t="s">
        <v>29</v>
      </c>
      <c r="D3148" s="12">
        <f>'Volúmenes DIstribuidos '!D1993</f>
        <v>16.02</v>
      </c>
      <c r="E3148" s="12">
        <f>SUMIF('Parametros Inventario'!$A:$A,B3148,'Parametros Inventario'!$B:$B)+SUMIFS(D$2:D3148,B$2:B3148,B3148,C$2:C3148,"ENTRADA")-SUMIFS(D$2:D3148,B$2:B3148,B3148,C$2:C3148,"SALIDA")</f>
        <v>14723.128000000001</v>
      </c>
    </row>
    <row r="3149" spans="1:5" x14ac:dyDescent="0.3">
      <c r="A3149" s="9">
        <f>'Volúmenes DIstribuidos '!B1989</f>
        <v>45205</v>
      </c>
      <c r="B3149" s="10" t="str">
        <f>IF(OR('Volúmenes DIstribuidos '!C1994="Azúcar",'Volúmenes DIstribuidos '!C1994="azúcar"),"Azúcar o dulce",IF('Volúmenes DIstribuidos '!C1994="Aceite","Aceite o grasas",IF('Volúmenes DIstribuidos '!C1994="Avena","Otros almidones",'Volúmenes DIstribuidos '!C1994)))</f>
        <v>Panadería</v>
      </c>
      <c r="C3149" s="10" t="s">
        <v>29</v>
      </c>
      <c r="D3149" s="12">
        <f>'Volúmenes DIstribuidos '!D1994</f>
        <v>25.39</v>
      </c>
      <c r="E3149" s="12">
        <f>SUMIF('Parametros Inventario'!$A:$A,B3149,'Parametros Inventario'!$B:$B)+SUMIFS(D$2:D3149,B$2:B3149,B3149,C$2:C3149,"ENTRADA")-SUMIFS(D$2:D3149,B$2:B3149,B3149,C$2:C3149,"SALIDA")</f>
        <v>11961.459000000003</v>
      </c>
    </row>
    <row r="3150" spans="1:5" x14ac:dyDescent="0.3">
      <c r="A3150" s="9">
        <f>'Volúmenes DIstribuidos '!B1995</f>
        <v>45209</v>
      </c>
      <c r="B3150" s="10" t="str">
        <f>IF(OR('Volúmenes DIstribuidos '!C1995="Azúcar",'Volúmenes DIstribuidos '!C1995="azúcar"),"Azúcar o dulce",IF('Volúmenes DIstribuidos '!C1995="Aceite","Aceite o grasas",IF('Volúmenes DIstribuidos '!C1995="Avena","Otros almidones",'Volúmenes DIstribuidos '!C1995)))</f>
        <v>Lácteos</v>
      </c>
      <c r="C3150" s="10" t="s">
        <v>29</v>
      </c>
      <c r="D3150" s="12">
        <f>'Volúmenes DIstribuidos '!D1995</f>
        <v>16.695</v>
      </c>
      <c r="E3150" s="12">
        <f>SUMIF('Parametros Inventario'!$A:$A,B3150,'Parametros Inventario'!$B:$B)+SUMIFS(D$2:D3150,B$2:B3150,B3150,C$2:C3150,"ENTRADA")-SUMIFS(D$2:D3150,B$2:B3150,B3150,C$2:C3150,"SALIDA")</f>
        <v>12356.724999999999</v>
      </c>
    </row>
    <row r="3151" spans="1:5" x14ac:dyDescent="0.3">
      <c r="A3151" s="9">
        <f>'Volúmenes DIstribuidos '!B1995</f>
        <v>45209</v>
      </c>
      <c r="B3151" s="10" t="str">
        <f>IF(OR('Volúmenes DIstribuidos '!C1996="Azúcar",'Volúmenes DIstribuidos '!C1996="azúcar"),"Azúcar o dulce",IF('Volúmenes DIstribuidos '!C1996="Aceite","Aceite o grasas",IF('Volúmenes DIstribuidos '!C1996="Avena","Otros almidones",'Volúmenes DIstribuidos '!C1996)))</f>
        <v>Salsas</v>
      </c>
      <c r="C3151" s="10" t="s">
        <v>29</v>
      </c>
      <c r="D3151" s="12">
        <f>'Volúmenes DIstribuidos '!D1996</f>
        <v>68.98</v>
      </c>
      <c r="E3151" s="12">
        <f>SUMIF('Parametros Inventario'!$A:$A,B3151,'Parametros Inventario'!$B:$B)+SUMIFS(D$2:D3151,B$2:B3151,B3151,C$2:C3151,"ENTRADA")-SUMIFS(D$2:D3151,B$2:B3151,B3151,C$2:C3151,"SALIDA")</f>
        <v>13242.854999999998</v>
      </c>
    </row>
    <row r="3152" spans="1:5" x14ac:dyDescent="0.3">
      <c r="A3152" s="9">
        <f>'Volúmenes DIstribuidos '!B1995</f>
        <v>45209</v>
      </c>
      <c r="B3152" s="10" t="str">
        <f>IF(OR('Volúmenes DIstribuidos '!C1997="Azúcar",'Volúmenes DIstribuidos '!C1997="azúcar"),"Azúcar o dulce",IF('Volúmenes DIstribuidos '!C1997="Aceite","Aceite o grasas",IF('Volúmenes DIstribuidos '!C1997="Avena","Otros almidones",'Volúmenes DIstribuidos '!C1997)))</f>
        <v>Azúcar o dulce</v>
      </c>
      <c r="C3152" s="10" t="s">
        <v>29</v>
      </c>
      <c r="D3152" s="12">
        <f>'Volúmenes DIstribuidos '!D1997</f>
        <v>18.75</v>
      </c>
      <c r="E3152" s="12">
        <f>SUMIF('Parametros Inventario'!$A:$A,B3152,'Parametros Inventario'!$B:$B)+SUMIFS(D$2:D3152,B$2:B3152,B3152,C$2:C3152,"ENTRADA")-SUMIFS(D$2:D3152,B$2:B3152,B3152,C$2:C3152,"SALIDA")</f>
        <v>13528.344000000003</v>
      </c>
    </row>
    <row r="3153" spans="1:5" x14ac:dyDescent="0.3">
      <c r="A3153" s="9">
        <f>'Volúmenes DIstribuidos '!B1995</f>
        <v>45209</v>
      </c>
      <c r="B3153" s="10" t="str">
        <f>IF(OR('Volúmenes DIstribuidos '!C1998="Azúcar",'Volúmenes DIstribuidos '!C1998="azúcar"),"Azúcar o dulce",IF('Volúmenes DIstribuidos '!C1998="Aceite","Aceite o grasas",IF('Volúmenes DIstribuidos '!C1998="Avena","Otros almidones",'Volúmenes DIstribuidos '!C1998)))</f>
        <v>Aceite o grasas</v>
      </c>
      <c r="C3153" s="10" t="s">
        <v>29</v>
      </c>
      <c r="D3153" s="12">
        <f>'Volúmenes DIstribuidos '!D1998</f>
        <v>34.83</v>
      </c>
      <c r="E3153" s="12">
        <f>SUMIF('Parametros Inventario'!$A:$A,B3153,'Parametros Inventario'!$B:$B)+SUMIFS(D$2:D3153,B$2:B3153,B3153,C$2:C3153,"ENTRADA")-SUMIFS(D$2:D3153,B$2:B3153,B3153,C$2:C3153,"SALIDA")</f>
        <v>13282.997000000007</v>
      </c>
    </row>
    <row r="3154" spans="1:5" x14ac:dyDescent="0.3">
      <c r="A3154" s="9">
        <f>'Volúmenes DIstribuidos '!B1995</f>
        <v>45209</v>
      </c>
      <c r="B3154" s="10" t="str">
        <f>IF(OR('Volúmenes DIstribuidos '!C1999="Azúcar",'Volúmenes DIstribuidos '!C1999="azúcar"),"Azúcar o dulce",IF('Volúmenes DIstribuidos '!C1999="Aceite","Aceite o grasas",IF('Volúmenes DIstribuidos '!C1999="Avena","Otros almidones",'Volúmenes DIstribuidos '!C1999)))</f>
        <v>Otros almidones</v>
      </c>
      <c r="C3154" s="10" t="s">
        <v>29</v>
      </c>
      <c r="D3154" s="12">
        <f>'Volúmenes DIstribuidos '!D1999</f>
        <v>9.5190000000000001</v>
      </c>
      <c r="E3154" s="12">
        <f>SUMIF('Parametros Inventario'!$A:$A,B3154,'Parametros Inventario'!$B:$B)+SUMIFS(D$2:D3154,B$2:B3154,B3154,C$2:C3154,"ENTRADA")-SUMIFS(D$2:D3154,B$2:B3154,B3154,C$2:C3154,"SALIDA")</f>
        <v>14713.609</v>
      </c>
    </row>
    <row r="3155" spans="1:5" x14ac:dyDescent="0.3">
      <c r="A3155" s="9">
        <f>'Volúmenes DIstribuidos '!B1995</f>
        <v>45209</v>
      </c>
      <c r="B3155" s="10" t="str">
        <f>IF(OR('Volúmenes DIstribuidos '!C2000="Azúcar",'Volúmenes DIstribuidos '!C2000="azúcar"),"Azúcar o dulce",IF('Volúmenes DIstribuidos '!C2000="Aceite","Aceite o grasas",IF('Volúmenes DIstribuidos '!C2000="Avena","Otros almidones",'Volúmenes DIstribuidos '!C2000)))</f>
        <v>Carnes rojas</v>
      </c>
      <c r="C3155" s="10" t="s">
        <v>29</v>
      </c>
      <c r="D3155" s="12">
        <f>'Volúmenes DIstribuidos '!D2000</f>
        <v>36.06</v>
      </c>
      <c r="E3155" s="12">
        <f>SUMIF('Parametros Inventario'!$A:$A,B3155,'Parametros Inventario'!$B:$B)+SUMIFS(D$2:D3155,B$2:B3155,B3155,C$2:C3155,"ENTRADA")-SUMIFS(D$2:D3155,B$2:B3155,B3155,C$2:C3155,"SALIDA")</f>
        <v>13983.919</v>
      </c>
    </row>
    <row r="3156" spans="1:5" x14ac:dyDescent="0.3">
      <c r="A3156" s="9">
        <v>45212</v>
      </c>
      <c r="B3156" s="10" t="s">
        <v>15</v>
      </c>
      <c r="C3156" s="10" t="s">
        <v>28</v>
      </c>
      <c r="D3156" s="12">
        <v>222.15</v>
      </c>
      <c r="E3156" s="12">
        <f>SUMIF('Parametros Inventario'!$A:$A,B3156,'Parametros Inventario'!$B:$B)+SUMIFS(D$2:D3156,B$2:B3156,B3156,C$2:C3156,"ENTRADA")-SUMIFS(D$2:D3156,B$2:B3156,B3156,C$2:C3156,"SALIDA")</f>
        <v>14935.759000000002</v>
      </c>
    </row>
    <row r="3157" spans="1:5" x14ac:dyDescent="0.3">
      <c r="A3157" s="9">
        <v>45212</v>
      </c>
      <c r="B3157" s="10" t="s">
        <v>11</v>
      </c>
      <c r="C3157" s="10" t="s">
        <v>28</v>
      </c>
      <c r="D3157" s="12">
        <v>118.36</v>
      </c>
      <c r="E3157" s="12">
        <f>SUMIF('Parametros Inventario'!$A:$A,B3157,'Parametros Inventario'!$B:$B)+SUMIFS(D$2:D3157,B$2:B3157,B3157,C$2:C3157,"ENTRADA")-SUMIFS(D$2:D3157,B$2:B3157,B3157,C$2:C3157,"SALIDA")</f>
        <v>15571.029</v>
      </c>
    </row>
    <row r="3158" spans="1:5" x14ac:dyDescent="0.3">
      <c r="A3158" s="9">
        <v>45212</v>
      </c>
      <c r="B3158" s="10" t="s">
        <v>9</v>
      </c>
      <c r="C3158" s="10" t="s">
        <v>28</v>
      </c>
      <c r="D3158" s="12">
        <v>261.92</v>
      </c>
      <c r="E3158" s="12">
        <f>SUMIF('Parametros Inventario'!$A:$A,B3158,'Parametros Inventario'!$B:$B)+SUMIFS(D$2:D3158,B$2:B3158,B3158,C$2:C3158,"ENTRADA")-SUMIFS(D$2:D3158,B$2:B3158,B3158,C$2:C3158,"SALIDA")</f>
        <v>12223.379000000001</v>
      </c>
    </row>
    <row r="3159" spans="1:5" x14ac:dyDescent="0.3">
      <c r="A3159" s="9">
        <v>45212</v>
      </c>
      <c r="B3159" s="10" t="s">
        <v>14</v>
      </c>
      <c r="C3159" s="10" t="s">
        <v>28</v>
      </c>
      <c r="D3159" s="12">
        <v>193.49</v>
      </c>
      <c r="E3159" s="12">
        <f>SUMIF('Parametros Inventario'!$A:$A,B3159,'Parametros Inventario'!$B:$B)+SUMIFS(D$2:D3159,B$2:B3159,B3159,C$2:C3159,"ENTRADA")-SUMIFS(D$2:D3159,B$2:B3159,B3159,C$2:C3159,"SALIDA")</f>
        <v>14679.598000000005</v>
      </c>
    </row>
    <row r="3160" spans="1:5" x14ac:dyDescent="0.3">
      <c r="A3160" s="9">
        <v>45212</v>
      </c>
      <c r="B3160" s="10" t="s">
        <v>12</v>
      </c>
      <c r="C3160" s="10" t="s">
        <v>28</v>
      </c>
      <c r="D3160" s="12">
        <v>207.77</v>
      </c>
      <c r="E3160" s="12">
        <f>SUMIF('Parametros Inventario'!$A:$A,B3160,'Parametros Inventario'!$B:$B)+SUMIFS(D$2:D3160,B$2:B3160,B3160,C$2:C3160,"ENTRADA")-SUMIFS(D$2:D3160,B$2:B3160,B3160,C$2:C3160,"SALIDA")</f>
        <v>14191.689</v>
      </c>
    </row>
    <row r="3161" spans="1:5" x14ac:dyDescent="0.3">
      <c r="A3161" s="9">
        <v>45212</v>
      </c>
      <c r="B3161" s="10" t="s">
        <v>16</v>
      </c>
      <c r="C3161" s="10" t="s">
        <v>28</v>
      </c>
      <c r="D3161" s="12">
        <v>103.93</v>
      </c>
      <c r="E3161" s="12">
        <f>SUMIF('Parametros Inventario'!$A:$A,B3161,'Parametros Inventario'!$B:$B)+SUMIFS(D$2:D3161,B$2:B3161,B3161,C$2:C3161,"ENTRADA")-SUMIFS(D$2:D3161,B$2:B3161,B3161,C$2:C3161,"SALIDA")</f>
        <v>14216.890999999994</v>
      </c>
    </row>
    <row r="3162" spans="1:5" x14ac:dyDescent="0.3">
      <c r="A3162" s="9">
        <v>45212</v>
      </c>
      <c r="B3162" s="10" t="s">
        <v>17</v>
      </c>
      <c r="C3162" s="10" t="s">
        <v>28</v>
      </c>
      <c r="D3162" s="12">
        <v>122.87</v>
      </c>
      <c r="E3162" s="12">
        <f>SUMIF('Parametros Inventario'!$A:$A,B3162,'Parametros Inventario'!$B:$B)+SUMIFS(D$2:D3162,B$2:B3162,B3162,C$2:C3162,"ENTRADA")-SUMIFS(D$2:D3162,B$2:B3162,B3162,C$2:C3162,"SALIDA")</f>
        <v>12479.594999999998</v>
      </c>
    </row>
    <row r="3163" spans="1:5" x14ac:dyDescent="0.3">
      <c r="A3163" s="9">
        <v>45212</v>
      </c>
      <c r="B3163" s="10" t="s">
        <v>18</v>
      </c>
      <c r="C3163" s="10" t="s">
        <v>28</v>
      </c>
      <c r="D3163" s="12">
        <v>291.62</v>
      </c>
      <c r="E3163" s="12">
        <f>SUMIF('Parametros Inventario'!$A:$A,B3163,'Parametros Inventario'!$B:$B)+SUMIFS(D$2:D3163,B$2:B3163,B3163,C$2:C3163,"ENTRADA")-SUMIFS(D$2:D3163,B$2:B3163,B3163,C$2:C3163,"SALIDA")</f>
        <v>13534.474999999997</v>
      </c>
    </row>
    <row r="3164" spans="1:5" x14ac:dyDescent="0.3">
      <c r="A3164" s="9">
        <v>45212</v>
      </c>
      <c r="B3164" s="10" t="s">
        <v>10</v>
      </c>
      <c r="C3164" s="10" t="s">
        <v>28</v>
      </c>
      <c r="D3164" s="12">
        <v>64.7</v>
      </c>
      <c r="E3164" s="12">
        <f>SUMIF('Parametros Inventario'!$A:$A,B3164,'Parametros Inventario'!$B:$B)+SUMIFS(D$2:D3164,B$2:B3164,B3164,C$2:C3164,"ENTRADA")-SUMIFS(D$2:D3164,B$2:B3164,B3164,C$2:C3164,"SALIDA")</f>
        <v>15000.654999999995</v>
      </c>
    </row>
    <row r="3165" spans="1:5" x14ac:dyDescent="0.3">
      <c r="A3165" s="9">
        <v>45212</v>
      </c>
      <c r="B3165" s="10" t="s">
        <v>8</v>
      </c>
      <c r="C3165" s="10" t="s">
        <v>28</v>
      </c>
      <c r="D3165" s="12">
        <v>252.55</v>
      </c>
      <c r="E3165" s="12">
        <f>SUMIF('Parametros Inventario'!$A:$A,B3165,'Parametros Inventario'!$B:$B)+SUMIFS(D$2:D3165,B$2:B3165,B3165,C$2:C3165,"ENTRADA")-SUMIFS(D$2:D3165,B$2:B3165,B3165,C$2:C3165,"SALIDA")</f>
        <v>13535.547000000006</v>
      </c>
    </row>
    <row r="3166" spans="1:5" x14ac:dyDescent="0.3">
      <c r="A3166" s="9">
        <v>45212</v>
      </c>
      <c r="B3166" s="10" t="s">
        <v>13</v>
      </c>
      <c r="C3166" s="10" t="s">
        <v>28</v>
      </c>
      <c r="D3166" s="12">
        <v>88.18</v>
      </c>
      <c r="E3166" s="12">
        <f>SUMIF('Parametros Inventario'!$A:$A,B3166,'Parametros Inventario'!$B:$B)+SUMIFS(D$2:D3166,B$2:B3166,B3166,C$2:C3166,"ENTRADA")-SUMIFS(D$2:D3166,B$2:B3166,B3166,C$2:C3166,"SALIDA")</f>
        <v>13616.524000000003</v>
      </c>
    </row>
    <row r="3167" spans="1:5" x14ac:dyDescent="0.3">
      <c r="A3167" s="9">
        <f>'Volúmenes DIstribuidos '!B2001</f>
        <v>45212</v>
      </c>
      <c r="B3167" s="10" t="str">
        <f>IF(OR('Volúmenes DIstribuidos '!C2001="Azúcar",'Volúmenes DIstribuidos '!C2001="azúcar"),"Azúcar o dulce",IF('Volúmenes DIstribuidos '!C2001="Aceite","Aceite o grasas",IF('Volúmenes DIstribuidos '!C2001="Avena","Otros almidones",'Volúmenes DIstribuidos '!C2001)))</f>
        <v>Fideo</v>
      </c>
      <c r="C3167" s="10" t="s">
        <v>29</v>
      </c>
      <c r="D3167" s="12">
        <f>'Volúmenes DIstribuidos '!D2001</f>
        <v>6.79</v>
      </c>
      <c r="E3167" s="12">
        <f>SUMIF('Parametros Inventario'!$A:$A,B3167,'Parametros Inventario'!$B:$B)+SUMIFS(D$2:D3167,B$2:B3167,B3167,C$2:C3167,"ENTRADA")-SUMIFS(D$2:D3167,B$2:B3167,B3167,C$2:C3167,"SALIDA")</f>
        <v>15564.239000000001</v>
      </c>
    </row>
    <row r="3168" spans="1:5" x14ac:dyDescent="0.3">
      <c r="A3168" s="9">
        <f>'Volúmenes DIstribuidos '!B2001</f>
        <v>45212</v>
      </c>
      <c r="B3168" s="10" t="str">
        <f>IF(OR('Volúmenes DIstribuidos '!C2002="Azúcar",'Volúmenes DIstribuidos '!C2002="azúcar"),"Azúcar o dulce",IF('Volúmenes DIstribuidos '!C2002="Aceite","Aceite o grasas",IF('Volúmenes DIstribuidos '!C2002="Avena","Otros almidones",'Volúmenes DIstribuidos '!C2002)))</f>
        <v>Lácteos</v>
      </c>
      <c r="C3168" s="10" t="s">
        <v>29</v>
      </c>
      <c r="D3168" s="12">
        <f>'Volúmenes DIstribuidos '!D2002</f>
        <v>24.978000000000002</v>
      </c>
      <c r="E3168" s="12">
        <f>SUMIF('Parametros Inventario'!$A:$A,B3168,'Parametros Inventario'!$B:$B)+SUMIFS(D$2:D3168,B$2:B3168,B3168,C$2:C3168,"ENTRADA")-SUMIFS(D$2:D3168,B$2:B3168,B3168,C$2:C3168,"SALIDA")</f>
        <v>12454.616999999997</v>
      </c>
    </row>
    <row r="3169" spans="1:5" x14ac:dyDescent="0.3">
      <c r="A3169" s="9">
        <f>'Volúmenes DIstribuidos '!B2001</f>
        <v>45212</v>
      </c>
      <c r="B3169" s="10" t="str">
        <f>IF(OR('Volúmenes DIstribuidos '!C2003="Azúcar",'Volúmenes DIstribuidos '!C2003="azúcar"),"Azúcar o dulce",IF('Volúmenes DIstribuidos '!C2003="Aceite","Aceite o grasas",IF('Volúmenes DIstribuidos '!C2003="Avena","Otros almidones",'Volúmenes DIstribuidos '!C2003)))</f>
        <v>Salsas</v>
      </c>
      <c r="C3169" s="10" t="s">
        <v>29</v>
      </c>
      <c r="D3169" s="12">
        <f>'Volúmenes DIstribuidos '!D2003</f>
        <v>19.96</v>
      </c>
      <c r="E3169" s="12">
        <f>SUMIF('Parametros Inventario'!$A:$A,B3169,'Parametros Inventario'!$B:$B)+SUMIFS(D$2:D3169,B$2:B3169,B3169,C$2:C3169,"ENTRADA")-SUMIFS(D$2:D3169,B$2:B3169,B3169,C$2:C3169,"SALIDA")</f>
        <v>13514.514999999996</v>
      </c>
    </row>
    <row r="3170" spans="1:5" x14ac:dyDescent="0.3">
      <c r="A3170" s="9">
        <f>'Volúmenes DIstribuidos '!B2001</f>
        <v>45212</v>
      </c>
      <c r="B3170" s="10" t="str">
        <f>IF(OR('Volúmenes DIstribuidos '!C2004="Azúcar",'Volúmenes DIstribuidos '!C2004="azúcar"),"Azúcar o dulce",IF('Volúmenes DIstribuidos '!C2004="Aceite","Aceite o grasas",IF('Volúmenes DIstribuidos '!C2004="Avena","Otros almidones",'Volúmenes DIstribuidos '!C2004)))</f>
        <v>Aceite o grasas</v>
      </c>
      <c r="C3170" s="10" t="s">
        <v>29</v>
      </c>
      <c r="D3170" s="12">
        <f>'Volúmenes DIstribuidos '!D2004</f>
        <v>58.44</v>
      </c>
      <c r="E3170" s="12">
        <f>SUMIF('Parametros Inventario'!$A:$A,B3170,'Parametros Inventario'!$B:$B)+SUMIFS(D$2:D3170,B$2:B3170,B3170,C$2:C3170,"ENTRADA")-SUMIFS(D$2:D3170,B$2:B3170,B3170,C$2:C3170,"SALIDA")</f>
        <v>13477.107000000005</v>
      </c>
    </row>
    <row r="3171" spans="1:5" x14ac:dyDescent="0.3">
      <c r="A3171" s="9">
        <f>'Volúmenes DIstribuidos '!B2001</f>
        <v>45212</v>
      </c>
      <c r="B3171" s="10" t="str">
        <f>IF(OR('Volúmenes DIstribuidos '!C2005="Azúcar",'Volúmenes DIstribuidos '!C2005="azúcar"),"Azúcar o dulce",IF('Volúmenes DIstribuidos '!C2005="Aceite","Aceite o grasas",IF('Volúmenes DIstribuidos '!C2005="Avena","Otros almidones",'Volúmenes DIstribuidos '!C2005)))</f>
        <v>Menestras</v>
      </c>
      <c r="C3171" s="10" t="s">
        <v>29</v>
      </c>
      <c r="D3171" s="12">
        <f>'Volúmenes DIstribuidos '!D2005</f>
        <v>50.72</v>
      </c>
      <c r="E3171" s="12">
        <f>SUMIF('Parametros Inventario'!$A:$A,B3171,'Parametros Inventario'!$B:$B)+SUMIFS(D$2:D3171,B$2:B3171,B3171,C$2:C3171,"ENTRADA")-SUMIFS(D$2:D3171,B$2:B3171,B3171,C$2:C3171,"SALIDA")</f>
        <v>14628.878000000006</v>
      </c>
    </row>
    <row r="3172" spans="1:5" x14ac:dyDescent="0.3">
      <c r="A3172" s="9">
        <f>'Volúmenes DIstribuidos '!B2001</f>
        <v>45212</v>
      </c>
      <c r="B3172" s="10" t="str">
        <f>IF(OR('Volúmenes DIstribuidos '!C2006="Azúcar",'Volúmenes DIstribuidos '!C2006="azúcar"),"Azúcar o dulce",IF('Volúmenes DIstribuidos '!C2006="Aceite","Aceite o grasas",IF('Volúmenes DIstribuidos '!C2006="Avena","Otros almidones",'Volúmenes DIstribuidos '!C2006)))</f>
        <v>Carnes blancas</v>
      </c>
      <c r="C3172" s="10" t="s">
        <v>29</v>
      </c>
      <c r="D3172" s="12">
        <f>'Volúmenes DIstribuidos '!D2006</f>
        <v>26.25</v>
      </c>
      <c r="E3172" s="12">
        <f>SUMIF('Parametros Inventario'!$A:$A,B3172,'Parametros Inventario'!$B:$B)+SUMIFS(D$2:D3172,B$2:B3172,B3172,C$2:C3172,"ENTRADA")-SUMIFS(D$2:D3172,B$2:B3172,B3172,C$2:C3172,"SALIDA")</f>
        <v>14190.640999999994</v>
      </c>
    </row>
    <row r="3173" spans="1:5" x14ac:dyDescent="0.3">
      <c r="A3173" s="9">
        <f>'Volúmenes DIstribuidos '!B2007</f>
        <v>45216</v>
      </c>
      <c r="B3173" s="10" t="str">
        <f>IF(OR('Volúmenes DIstribuidos '!C2007="Azúcar",'Volúmenes DIstribuidos '!C2007="azúcar"),"Azúcar o dulce",IF('Volúmenes DIstribuidos '!C2007="Aceite","Aceite o grasas",IF('Volúmenes DIstribuidos '!C2007="Avena","Otros almidones",'Volúmenes DIstribuidos '!C2007)))</f>
        <v>Lácteos</v>
      </c>
      <c r="C3173" s="10" t="s">
        <v>29</v>
      </c>
      <c r="D3173" s="12">
        <f>'Volúmenes DIstribuidos '!D2007</f>
        <v>22.65</v>
      </c>
      <c r="E3173" s="12">
        <f>SUMIF('Parametros Inventario'!$A:$A,B3173,'Parametros Inventario'!$B:$B)+SUMIFS(D$2:D3173,B$2:B3173,B3173,C$2:C3173,"ENTRADA")-SUMIFS(D$2:D3173,B$2:B3173,B3173,C$2:C3173,"SALIDA")</f>
        <v>12431.966999999997</v>
      </c>
    </row>
    <row r="3174" spans="1:5" x14ac:dyDescent="0.3">
      <c r="A3174" s="9">
        <f>'Volúmenes DIstribuidos '!B2007</f>
        <v>45216</v>
      </c>
      <c r="B3174" s="10" t="str">
        <f>IF(OR('Volúmenes DIstribuidos '!C2008="Azúcar",'Volúmenes DIstribuidos '!C2008="azúcar"),"Azúcar o dulce",IF('Volúmenes DIstribuidos '!C2008="Aceite","Aceite o grasas",IF('Volúmenes DIstribuidos '!C2008="Avena","Otros almidones",'Volúmenes DIstribuidos '!C2008)))</f>
        <v>Salsas</v>
      </c>
      <c r="C3174" s="10" t="s">
        <v>29</v>
      </c>
      <c r="D3174" s="12">
        <f>'Volúmenes DIstribuidos '!D2008</f>
        <v>24.04</v>
      </c>
      <c r="E3174" s="12">
        <f>SUMIF('Parametros Inventario'!$A:$A,B3174,'Parametros Inventario'!$B:$B)+SUMIFS(D$2:D3174,B$2:B3174,B3174,C$2:C3174,"ENTRADA")-SUMIFS(D$2:D3174,B$2:B3174,B3174,C$2:C3174,"SALIDA")</f>
        <v>13490.474999999997</v>
      </c>
    </row>
    <row r="3175" spans="1:5" x14ac:dyDescent="0.3">
      <c r="A3175" s="9">
        <f>'Volúmenes DIstribuidos '!B2007</f>
        <v>45216</v>
      </c>
      <c r="B3175" s="10" t="str">
        <f>IF(OR('Volúmenes DIstribuidos '!C2009="Azúcar",'Volúmenes DIstribuidos '!C2009="azúcar"),"Azúcar o dulce",IF('Volúmenes DIstribuidos '!C2009="Aceite","Aceite o grasas",IF('Volúmenes DIstribuidos '!C2009="Avena","Otros almidones",'Volúmenes DIstribuidos '!C2009)))</f>
        <v>Menestras</v>
      </c>
      <c r="C3175" s="10" t="s">
        <v>29</v>
      </c>
      <c r="D3175" s="12">
        <f>'Volúmenes DIstribuidos '!D2009</f>
        <v>53.25</v>
      </c>
      <c r="E3175" s="12">
        <f>SUMIF('Parametros Inventario'!$A:$A,B3175,'Parametros Inventario'!$B:$B)+SUMIFS(D$2:D3175,B$2:B3175,B3175,C$2:C3175,"ENTRADA")-SUMIFS(D$2:D3175,B$2:B3175,B3175,C$2:C3175,"SALIDA")</f>
        <v>14575.628000000006</v>
      </c>
    </row>
    <row r="3176" spans="1:5" x14ac:dyDescent="0.3">
      <c r="A3176" s="9">
        <f>'Volúmenes DIstribuidos '!B2007</f>
        <v>45216</v>
      </c>
      <c r="B3176" s="10" t="str">
        <f>IF(OR('Volúmenes DIstribuidos '!C2010="Azúcar",'Volúmenes DIstribuidos '!C2010="azúcar"),"Azúcar o dulce",IF('Volúmenes DIstribuidos '!C2010="Aceite","Aceite o grasas",IF('Volúmenes DIstribuidos '!C2010="Avena","Otros almidones",'Volúmenes DIstribuidos '!C2010)))</f>
        <v>Carnes rojas</v>
      </c>
      <c r="C3176" s="10" t="s">
        <v>29</v>
      </c>
      <c r="D3176" s="12">
        <f>'Volúmenes DIstribuidos '!D2010</f>
        <v>19.07</v>
      </c>
      <c r="E3176" s="12">
        <f>SUMIF('Parametros Inventario'!$A:$A,B3176,'Parametros Inventario'!$B:$B)+SUMIFS(D$2:D3176,B$2:B3176,B3176,C$2:C3176,"ENTRADA")-SUMIFS(D$2:D3176,B$2:B3176,B3176,C$2:C3176,"SALIDA")</f>
        <v>14172.619000000001</v>
      </c>
    </row>
    <row r="3177" spans="1:5" x14ac:dyDescent="0.3">
      <c r="A3177" s="9">
        <f>'Volúmenes DIstribuidos '!B2007</f>
        <v>45216</v>
      </c>
      <c r="B3177" s="10" t="str">
        <f>IF(OR('Volúmenes DIstribuidos '!C2011="Azúcar",'Volúmenes DIstribuidos '!C2011="azúcar"),"Azúcar o dulce",IF('Volúmenes DIstribuidos '!C2011="Aceite","Aceite o grasas",IF('Volúmenes DIstribuidos '!C2011="Avena","Otros almidones",'Volúmenes DIstribuidos '!C2011)))</f>
        <v>Carnes blancas</v>
      </c>
      <c r="C3177" s="10" t="s">
        <v>29</v>
      </c>
      <c r="D3177" s="12">
        <f>'Volúmenes DIstribuidos '!D2011</f>
        <v>16.309999999999999</v>
      </c>
      <c r="E3177" s="12">
        <f>SUMIF('Parametros Inventario'!$A:$A,B3177,'Parametros Inventario'!$B:$B)+SUMIFS(D$2:D3177,B$2:B3177,B3177,C$2:C3177,"ENTRADA")-SUMIFS(D$2:D3177,B$2:B3177,B3177,C$2:C3177,"SALIDA")</f>
        <v>14174.330999999995</v>
      </c>
    </row>
    <row r="3178" spans="1:5" x14ac:dyDescent="0.3">
      <c r="A3178" s="9">
        <f>'Volúmenes DIstribuidos '!B2007</f>
        <v>45216</v>
      </c>
      <c r="B3178" s="10" t="str">
        <f>IF(OR('Volúmenes DIstribuidos '!C2012="Azúcar",'Volúmenes DIstribuidos '!C2012="azúcar"),"Azúcar o dulce",IF('Volúmenes DIstribuidos '!C2012="Aceite","Aceite o grasas",IF('Volúmenes DIstribuidos '!C2012="Avena","Otros almidones",'Volúmenes DIstribuidos '!C2012)))</f>
        <v>Vegetales y hojas</v>
      </c>
      <c r="C3178" s="10" t="s">
        <v>29</v>
      </c>
      <c r="D3178" s="12">
        <f>'Volúmenes DIstribuidos '!D2012</f>
        <v>39.231000000000002</v>
      </c>
      <c r="E3178" s="12">
        <f>SUMIF('Parametros Inventario'!$A:$A,B3178,'Parametros Inventario'!$B:$B)+SUMIFS(D$2:D3178,B$2:B3178,B3178,C$2:C3178,"ENTRADA")-SUMIFS(D$2:D3178,B$2:B3178,B3178,C$2:C3178,"SALIDA")</f>
        <v>14961.423999999995</v>
      </c>
    </row>
    <row r="3179" spans="1:5" x14ac:dyDescent="0.3">
      <c r="A3179" s="9">
        <v>45219</v>
      </c>
      <c r="B3179" s="10" t="s">
        <v>15</v>
      </c>
      <c r="C3179" s="10" t="s">
        <v>28</v>
      </c>
      <c r="D3179" s="12">
        <v>229.19</v>
      </c>
      <c r="E3179" s="12">
        <f>SUMIF('Parametros Inventario'!$A:$A,B3179,'Parametros Inventario'!$B:$B)+SUMIFS(D$2:D3179,B$2:B3179,B3179,C$2:C3179,"ENTRADA")-SUMIFS(D$2:D3179,B$2:B3179,B3179,C$2:C3179,"SALIDA")</f>
        <v>15164.949000000001</v>
      </c>
    </row>
    <row r="3180" spans="1:5" x14ac:dyDescent="0.3">
      <c r="A3180" s="9">
        <v>45219</v>
      </c>
      <c r="B3180" s="10" t="s">
        <v>11</v>
      </c>
      <c r="C3180" s="10" t="s">
        <v>28</v>
      </c>
      <c r="D3180" s="12">
        <v>262.02</v>
      </c>
      <c r="E3180" s="12">
        <f>SUMIF('Parametros Inventario'!$A:$A,B3180,'Parametros Inventario'!$B:$B)+SUMIFS(D$2:D3180,B$2:B3180,B3180,C$2:C3180,"ENTRADA")-SUMIFS(D$2:D3180,B$2:B3180,B3180,C$2:C3180,"SALIDA")</f>
        <v>15826.259000000002</v>
      </c>
    </row>
    <row r="3181" spans="1:5" x14ac:dyDescent="0.3">
      <c r="A3181" s="9">
        <v>45219</v>
      </c>
      <c r="B3181" s="10" t="s">
        <v>9</v>
      </c>
      <c r="C3181" s="10" t="s">
        <v>28</v>
      </c>
      <c r="D3181" s="12">
        <v>283.61</v>
      </c>
      <c r="E3181" s="12">
        <f>SUMIF('Parametros Inventario'!$A:$A,B3181,'Parametros Inventario'!$B:$B)+SUMIFS(D$2:D3181,B$2:B3181,B3181,C$2:C3181,"ENTRADA")-SUMIFS(D$2:D3181,B$2:B3181,B3181,C$2:C3181,"SALIDA")</f>
        <v>12506.989000000001</v>
      </c>
    </row>
    <row r="3182" spans="1:5" x14ac:dyDescent="0.3">
      <c r="A3182" s="9">
        <v>45219</v>
      </c>
      <c r="B3182" s="10" t="s">
        <v>14</v>
      </c>
      <c r="C3182" s="10" t="s">
        <v>28</v>
      </c>
      <c r="D3182" s="12">
        <v>106.27</v>
      </c>
      <c r="E3182" s="12">
        <f>SUMIF('Parametros Inventario'!$A:$A,B3182,'Parametros Inventario'!$B:$B)+SUMIFS(D$2:D3182,B$2:B3182,B3182,C$2:C3182,"ENTRADA")-SUMIFS(D$2:D3182,B$2:B3182,B3182,C$2:C3182,"SALIDA")</f>
        <v>14681.898000000007</v>
      </c>
    </row>
    <row r="3183" spans="1:5" x14ac:dyDescent="0.3">
      <c r="A3183" s="9">
        <v>45219</v>
      </c>
      <c r="B3183" s="10" t="s">
        <v>12</v>
      </c>
      <c r="C3183" s="10" t="s">
        <v>28</v>
      </c>
      <c r="D3183" s="12">
        <v>233.93</v>
      </c>
      <c r="E3183" s="12">
        <f>SUMIF('Parametros Inventario'!$A:$A,B3183,'Parametros Inventario'!$B:$B)+SUMIFS(D$2:D3183,B$2:B3183,B3183,C$2:C3183,"ENTRADA")-SUMIFS(D$2:D3183,B$2:B3183,B3183,C$2:C3183,"SALIDA")</f>
        <v>14406.549000000001</v>
      </c>
    </row>
    <row r="3184" spans="1:5" x14ac:dyDescent="0.3">
      <c r="A3184" s="9">
        <v>45219</v>
      </c>
      <c r="B3184" s="10" t="s">
        <v>16</v>
      </c>
      <c r="C3184" s="10" t="s">
        <v>28</v>
      </c>
      <c r="D3184" s="12">
        <v>280.79000000000002</v>
      </c>
      <c r="E3184" s="12">
        <f>SUMIF('Parametros Inventario'!$A:$A,B3184,'Parametros Inventario'!$B:$B)+SUMIFS(D$2:D3184,B$2:B3184,B3184,C$2:C3184,"ENTRADA")-SUMIFS(D$2:D3184,B$2:B3184,B3184,C$2:C3184,"SALIDA")</f>
        <v>14455.120999999996</v>
      </c>
    </row>
    <row r="3185" spans="1:5" x14ac:dyDescent="0.3">
      <c r="A3185" s="9">
        <v>45219</v>
      </c>
      <c r="B3185" s="10" t="s">
        <v>17</v>
      </c>
      <c r="C3185" s="10" t="s">
        <v>28</v>
      </c>
      <c r="D3185" s="12">
        <v>244.01</v>
      </c>
      <c r="E3185" s="12">
        <f>SUMIF('Parametros Inventario'!$A:$A,B3185,'Parametros Inventario'!$B:$B)+SUMIFS(D$2:D3185,B$2:B3185,B3185,C$2:C3185,"ENTRADA")-SUMIFS(D$2:D3185,B$2:B3185,B3185,C$2:C3185,"SALIDA")</f>
        <v>12675.976999999995</v>
      </c>
    </row>
    <row r="3186" spans="1:5" x14ac:dyDescent="0.3">
      <c r="A3186" s="9">
        <v>45219</v>
      </c>
      <c r="B3186" s="10" t="s">
        <v>18</v>
      </c>
      <c r="C3186" s="10" t="s">
        <v>28</v>
      </c>
      <c r="D3186" s="12">
        <v>264.19</v>
      </c>
      <c r="E3186" s="12">
        <f>SUMIF('Parametros Inventario'!$A:$A,B3186,'Parametros Inventario'!$B:$B)+SUMIFS(D$2:D3186,B$2:B3186,B3186,C$2:C3186,"ENTRADA")-SUMIFS(D$2:D3186,B$2:B3186,B3186,C$2:C3186,"SALIDA")</f>
        <v>13754.664999999995</v>
      </c>
    </row>
    <row r="3187" spans="1:5" x14ac:dyDescent="0.3">
      <c r="A3187" s="9">
        <v>45219</v>
      </c>
      <c r="B3187" s="10" t="s">
        <v>10</v>
      </c>
      <c r="C3187" s="10" t="s">
        <v>28</v>
      </c>
      <c r="D3187" s="12">
        <v>231.85</v>
      </c>
      <c r="E3187" s="12">
        <f>SUMIF('Parametros Inventario'!$A:$A,B3187,'Parametros Inventario'!$B:$B)+SUMIFS(D$2:D3187,B$2:B3187,B3187,C$2:C3187,"ENTRADA")-SUMIFS(D$2:D3187,B$2:B3187,B3187,C$2:C3187,"SALIDA")</f>
        <v>15193.273999999994</v>
      </c>
    </row>
    <row r="3188" spans="1:5" x14ac:dyDescent="0.3">
      <c r="A3188" s="9">
        <v>45219</v>
      </c>
      <c r="B3188" s="10" t="s">
        <v>8</v>
      </c>
      <c r="C3188" s="10" t="s">
        <v>28</v>
      </c>
      <c r="D3188" s="12">
        <v>124.78</v>
      </c>
      <c r="E3188" s="12">
        <f>SUMIF('Parametros Inventario'!$A:$A,B3188,'Parametros Inventario'!$B:$B)+SUMIFS(D$2:D3188,B$2:B3188,B3188,C$2:C3188,"ENTRADA")-SUMIFS(D$2:D3188,B$2:B3188,B3188,C$2:C3188,"SALIDA")</f>
        <v>13601.887000000004</v>
      </c>
    </row>
    <row r="3189" spans="1:5" x14ac:dyDescent="0.3">
      <c r="A3189" s="9">
        <f>'Volúmenes DIstribuidos '!B2013</f>
        <v>45219</v>
      </c>
      <c r="B3189" s="10" t="str">
        <f>IF(OR('Volúmenes DIstribuidos '!C2013="Azúcar",'Volúmenes DIstribuidos '!C2013="azúcar"),"Azúcar o dulce",IF('Volúmenes DIstribuidos '!C2013="Aceite","Aceite o grasas",IF('Volúmenes DIstribuidos '!C2013="Avena","Otros almidones",'Volúmenes DIstribuidos '!C2013)))</f>
        <v>Fideo</v>
      </c>
      <c r="C3189" s="10" t="s">
        <v>29</v>
      </c>
      <c r="D3189" s="12">
        <f>'Volúmenes DIstribuidos '!D2013</f>
        <v>47.66</v>
      </c>
      <c r="E3189" s="12">
        <f>SUMIF('Parametros Inventario'!$A:$A,B3189,'Parametros Inventario'!$B:$B)+SUMIFS(D$2:D3189,B$2:B3189,B3189,C$2:C3189,"ENTRADA")-SUMIFS(D$2:D3189,B$2:B3189,B3189,C$2:C3189,"SALIDA")</f>
        <v>15778.599000000002</v>
      </c>
    </row>
    <row r="3190" spans="1:5" x14ac:dyDescent="0.3">
      <c r="A3190" s="9">
        <f>'Volúmenes DIstribuidos '!B2013</f>
        <v>45219</v>
      </c>
      <c r="B3190" s="10" t="str">
        <f>IF(OR('Volúmenes DIstribuidos '!C2014="Azúcar",'Volúmenes DIstribuidos '!C2014="azúcar"),"Azúcar o dulce",IF('Volúmenes DIstribuidos '!C2014="Aceite","Aceite o grasas",IF('Volúmenes DIstribuidos '!C2014="Avena","Otros almidones",'Volúmenes DIstribuidos '!C2014)))</f>
        <v>Carnes blancas</v>
      </c>
      <c r="C3190" s="10" t="s">
        <v>29</v>
      </c>
      <c r="D3190" s="12">
        <f>'Volúmenes DIstribuidos '!D2014</f>
        <v>7.15</v>
      </c>
      <c r="E3190" s="12">
        <f>SUMIF('Parametros Inventario'!$A:$A,B3190,'Parametros Inventario'!$B:$B)+SUMIFS(D$2:D3190,B$2:B3190,B3190,C$2:C3190,"ENTRADA")-SUMIFS(D$2:D3190,B$2:B3190,B3190,C$2:C3190,"SALIDA")</f>
        <v>14447.970999999994</v>
      </c>
    </row>
    <row r="3191" spans="1:5" x14ac:dyDescent="0.3">
      <c r="A3191" s="9">
        <f>'Volúmenes DIstribuidos '!B2013</f>
        <v>45219</v>
      </c>
      <c r="B3191" s="10" t="str">
        <f>IF(OR('Volúmenes DIstribuidos '!C2015="Azúcar",'Volúmenes DIstribuidos '!C2015="azúcar"),"Azúcar o dulce",IF('Volúmenes DIstribuidos '!C2015="Aceite","Aceite o grasas",IF('Volúmenes DIstribuidos '!C2015="Avena","Otros almidones",'Volúmenes DIstribuidos '!C2015)))</f>
        <v>Vegetales y hojas</v>
      </c>
      <c r="C3191" s="10" t="s">
        <v>29</v>
      </c>
      <c r="D3191" s="12">
        <f>'Volúmenes DIstribuidos '!D2015</f>
        <v>34.380000000000003</v>
      </c>
      <c r="E3191" s="12">
        <f>SUMIF('Parametros Inventario'!$A:$A,B3191,'Parametros Inventario'!$B:$B)+SUMIFS(D$2:D3191,B$2:B3191,B3191,C$2:C3191,"ENTRADA")-SUMIFS(D$2:D3191,B$2:B3191,B3191,C$2:C3191,"SALIDA")</f>
        <v>15158.893999999995</v>
      </c>
    </row>
    <row r="3192" spans="1:5" x14ac:dyDescent="0.3">
      <c r="A3192" s="9">
        <f>'Volúmenes DIstribuidos '!B2013</f>
        <v>45219</v>
      </c>
      <c r="B3192" s="10" t="str">
        <f>IF(OR('Volúmenes DIstribuidos '!C2016="Azúcar",'Volúmenes DIstribuidos '!C2016="azúcar"),"Azúcar o dulce",IF('Volúmenes DIstribuidos '!C2016="Aceite","Aceite o grasas",IF('Volúmenes DIstribuidos '!C2016="Avena","Otros almidones",'Volúmenes DIstribuidos '!C2016)))</f>
        <v>Azúcar o dulce</v>
      </c>
      <c r="C3192" s="10" t="s">
        <v>29</v>
      </c>
      <c r="D3192" s="12">
        <f>'Volúmenes DIstribuidos '!D2016</f>
        <v>29.14</v>
      </c>
      <c r="E3192" s="12">
        <f>SUMIF('Parametros Inventario'!$A:$A,B3192,'Parametros Inventario'!$B:$B)+SUMIFS(D$2:D3192,B$2:B3192,B3192,C$2:C3192,"ENTRADA")-SUMIFS(D$2:D3192,B$2:B3192,B3192,C$2:C3192,"SALIDA")</f>
        <v>13587.384000000002</v>
      </c>
    </row>
    <row r="3193" spans="1:5" x14ac:dyDescent="0.3">
      <c r="A3193" s="9">
        <f>'Volúmenes DIstribuidos '!B2013</f>
        <v>45219</v>
      </c>
      <c r="B3193" s="10" t="str">
        <f>IF(OR('Volúmenes DIstribuidos '!C2017="Azúcar",'Volúmenes DIstribuidos '!C2017="azúcar"),"Azúcar o dulce",IF('Volúmenes DIstribuidos '!C2017="Aceite","Aceite o grasas",IF('Volúmenes DIstribuidos '!C2017="Avena","Otros almidones",'Volúmenes DIstribuidos '!C2017)))</f>
        <v>Otros almidones</v>
      </c>
      <c r="C3193" s="10" t="s">
        <v>29</v>
      </c>
      <c r="D3193" s="12">
        <f>'Volúmenes DIstribuidos '!D2017</f>
        <v>52.89</v>
      </c>
      <c r="E3193" s="12">
        <f>SUMIF('Parametros Inventario'!$A:$A,B3193,'Parametros Inventario'!$B:$B)+SUMIFS(D$2:D3193,B$2:B3193,B3193,C$2:C3193,"ENTRADA")-SUMIFS(D$2:D3193,B$2:B3193,B3193,C$2:C3193,"SALIDA")</f>
        <v>15112.059000000001</v>
      </c>
    </row>
    <row r="3194" spans="1:5" x14ac:dyDescent="0.3">
      <c r="A3194" s="9">
        <f>'Volúmenes DIstribuidos '!B2013</f>
        <v>45219</v>
      </c>
      <c r="B3194" s="10" t="str">
        <f>IF(OR('Volúmenes DIstribuidos '!C2018="Azúcar",'Volúmenes DIstribuidos '!C2018="azúcar"),"Azúcar o dulce",IF('Volúmenes DIstribuidos '!C2018="Aceite","Aceite o grasas",IF('Volúmenes DIstribuidos '!C2018="Avena","Otros almidones",'Volúmenes DIstribuidos '!C2018)))</f>
        <v>Menestras</v>
      </c>
      <c r="C3194" s="10" t="s">
        <v>29</v>
      </c>
      <c r="D3194" s="12">
        <f>'Volúmenes DIstribuidos '!D2018</f>
        <v>5.19</v>
      </c>
      <c r="E3194" s="12">
        <f>SUMIF('Parametros Inventario'!$A:$A,B3194,'Parametros Inventario'!$B:$B)+SUMIFS(D$2:D3194,B$2:B3194,B3194,C$2:C3194,"ENTRADA")-SUMIFS(D$2:D3194,B$2:B3194,B3194,C$2:C3194,"SALIDA")</f>
        <v>14676.708000000006</v>
      </c>
    </row>
    <row r="3195" spans="1:5" x14ac:dyDescent="0.3">
      <c r="A3195" s="9">
        <v>45223</v>
      </c>
      <c r="B3195" s="10" t="s">
        <v>13</v>
      </c>
      <c r="C3195" s="10" t="s">
        <v>28</v>
      </c>
      <c r="D3195" s="12">
        <v>253.75</v>
      </c>
      <c r="E3195" s="12">
        <f>SUMIF('Parametros Inventario'!$A:$A,B3195,'Parametros Inventario'!$B:$B)+SUMIFS(D$2:D3195,B$2:B3195,B3195,C$2:C3195,"ENTRADA")-SUMIFS(D$2:D3195,B$2:B3195,B3195,C$2:C3195,"SALIDA")</f>
        <v>13841.134000000002</v>
      </c>
    </row>
    <row r="3196" spans="1:5" x14ac:dyDescent="0.3">
      <c r="A3196" s="9">
        <v>45223</v>
      </c>
      <c r="B3196" s="10" t="s">
        <v>15</v>
      </c>
      <c r="C3196" s="10" t="s">
        <v>28</v>
      </c>
      <c r="D3196" s="12">
        <v>278.08999999999997</v>
      </c>
      <c r="E3196" s="12">
        <f>SUMIF('Parametros Inventario'!$A:$A,B3196,'Parametros Inventario'!$B:$B)+SUMIFS(D$2:D3196,B$2:B3196,B3196,C$2:C3196,"ENTRADA")-SUMIFS(D$2:D3196,B$2:B3196,B3196,C$2:C3196,"SALIDA")</f>
        <v>15390.149000000001</v>
      </c>
    </row>
    <row r="3197" spans="1:5" x14ac:dyDescent="0.3">
      <c r="A3197" s="9">
        <v>45223</v>
      </c>
      <c r="B3197" s="10" t="s">
        <v>11</v>
      </c>
      <c r="C3197" s="10" t="s">
        <v>28</v>
      </c>
      <c r="D3197" s="12">
        <v>89.8</v>
      </c>
      <c r="E3197" s="12">
        <f>SUMIF('Parametros Inventario'!$A:$A,B3197,'Parametros Inventario'!$B:$B)+SUMIFS(D$2:D3197,B$2:B3197,B3197,C$2:C3197,"ENTRADA")-SUMIFS(D$2:D3197,B$2:B3197,B3197,C$2:C3197,"SALIDA")</f>
        <v>15868.399000000001</v>
      </c>
    </row>
    <row r="3198" spans="1:5" x14ac:dyDescent="0.3">
      <c r="A3198" s="9">
        <v>45223</v>
      </c>
      <c r="B3198" s="10" t="s">
        <v>9</v>
      </c>
      <c r="C3198" s="10" t="s">
        <v>28</v>
      </c>
      <c r="D3198" s="12">
        <v>55.39</v>
      </c>
      <c r="E3198" s="12">
        <f>SUMIF('Parametros Inventario'!$A:$A,B3198,'Parametros Inventario'!$B:$B)+SUMIFS(D$2:D3198,B$2:B3198,B3198,C$2:C3198,"ENTRADA")-SUMIFS(D$2:D3198,B$2:B3198,B3198,C$2:C3198,"SALIDA")</f>
        <v>12562.379000000001</v>
      </c>
    </row>
    <row r="3199" spans="1:5" x14ac:dyDescent="0.3">
      <c r="A3199" s="9">
        <v>45223</v>
      </c>
      <c r="B3199" s="10" t="s">
        <v>14</v>
      </c>
      <c r="C3199" s="10" t="s">
        <v>28</v>
      </c>
      <c r="D3199" s="12">
        <v>148.07</v>
      </c>
      <c r="E3199" s="12">
        <f>SUMIF('Parametros Inventario'!$A:$A,B3199,'Parametros Inventario'!$B:$B)+SUMIFS(D$2:D3199,B$2:B3199,B3199,C$2:C3199,"ENTRADA")-SUMIFS(D$2:D3199,B$2:B3199,B3199,C$2:C3199,"SALIDA")</f>
        <v>14824.778000000006</v>
      </c>
    </row>
    <row r="3200" spans="1:5" x14ac:dyDescent="0.3">
      <c r="A3200" s="9">
        <v>45223</v>
      </c>
      <c r="B3200" s="10" t="s">
        <v>12</v>
      </c>
      <c r="C3200" s="10" t="s">
        <v>28</v>
      </c>
      <c r="D3200" s="12">
        <v>155.61000000000001</v>
      </c>
      <c r="E3200" s="12">
        <f>SUMIF('Parametros Inventario'!$A:$A,B3200,'Parametros Inventario'!$B:$B)+SUMIFS(D$2:D3200,B$2:B3200,B3200,C$2:C3200,"ENTRADA")-SUMIFS(D$2:D3200,B$2:B3200,B3200,C$2:C3200,"SALIDA")</f>
        <v>14562.159000000001</v>
      </c>
    </row>
    <row r="3201" spans="1:5" x14ac:dyDescent="0.3">
      <c r="A3201" s="9">
        <v>45223</v>
      </c>
      <c r="B3201" s="10" t="s">
        <v>16</v>
      </c>
      <c r="C3201" s="10" t="s">
        <v>28</v>
      </c>
      <c r="D3201" s="12">
        <v>168.36</v>
      </c>
      <c r="E3201" s="12">
        <f>SUMIF('Parametros Inventario'!$A:$A,B3201,'Parametros Inventario'!$B:$B)+SUMIFS(D$2:D3201,B$2:B3201,B3201,C$2:C3201,"ENTRADA")-SUMIFS(D$2:D3201,B$2:B3201,B3201,C$2:C3201,"SALIDA")</f>
        <v>14616.330999999995</v>
      </c>
    </row>
    <row r="3202" spans="1:5" x14ac:dyDescent="0.3">
      <c r="A3202" s="9">
        <v>45223</v>
      </c>
      <c r="B3202" s="10" t="s">
        <v>17</v>
      </c>
      <c r="C3202" s="10" t="s">
        <v>28</v>
      </c>
      <c r="D3202" s="12">
        <v>137.08000000000001</v>
      </c>
      <c r="E3202" s="12">
        <f>SUMIF('Parametros Inventario'!$A:$A,B3202,'Parametros Inventario'!$B:$B)+SUMIFS(D$2:D3202,B$2:B3202,B3202,C$2:C3202,"ENTRADA")-SUMIFS(D$2:D3202,B$2:B3202,B3202,C$2:C3202,"SALIDA")</f>
        <v>12813.056999999997</v>
      </c>
    </row>
    <row r="3203" spans="1:5" x14ac:dyDescent="0.3">
      <c r="A3203" s="9">
        <v>45223</v>
      </c>
      <c r="B3203" s="10" t="s">
        <v>18</v>
      </c>
      <c r="C3203" s="10" t="s">
        <v>28</v>
      </c>
      <c r="D3203" s="12">
        <v>147.84</v>
      </c>
      <c r="E3203" s="12">
        <f>SUMIF('Parametros Inventario'!$A:$A,B3203,'Parametros Inventario'!$B:$B)+SUMIFS(D$2:D3203,B$2:B3203,B3203,C$2:C3203,"ENTRADA")-SUMIFS(D$2:D3203,B$2:B3203,B3203,C$2:C3203,"SALIDA")</f>
        <v>13902.504999999996</v>
      </c>
    </row>
    <row r="3204" spans="1:5" x14ac:dyDescent="0.3">
      <c r="A3204" s="9">
        <v>45223</v>
      </c>
      <c r="B3204" s="10" t="s">
        <v>10</v>
      </c>
      <c r="C3204" s="10" t="s">
        <v>28</v>
      </c>
      <c r="D3204" s="12">
        <v>67.959999999999994</v>
      </c>
      <c r="E3204" s="12">
        <f>SUMIF('Parametros Inventario'!$A:$A,B3204,'Parametros Inventario'!$B:$B)+SUMIFS(D$2:D3204,B$2:B3204,B3204,C$2:C3204,"ENTRADA")-SUMIFS(D$2:D3204,B$2:B3204,B3204,C$2:C3204,"SALIDA")</f>
        <v>15226.853999999994</v>
      </c>
    </row>
    <row r="3205" spans="1:5" x14ac:dyDescent="0.3">
      <c r="A3205" s="9">
        <v>45223</v>
      </c>
      <c r="B3205" s="10" t="s">
        <v>8</v>
      </c>
      <c r="C3205" s="10" t="s">
        <v>28</v>
      </c>
      <c r="D3205" s="12">
        <v>231.69</v>
      </c>
      <c r="E3205" s="12">
        <f>SUMIF('Parametros Inventario'!$A:$A,B3205,'Parametros Inventario'!$B:$B)+SUMIFS(D$2:D3205,B$2:B3205,B3205,C$2:C3205,"ENTRADA")-SUMIFS(D$2:D3205,B$2:B3205,B3205,C$2:C3205,"SALIDA")</f>
        <v>13833.577000000003</v>
      </c>
    </row>
    <row r="3206" spans="1:5" x14ac:dyDescent="0.3">
      <c r="A3206" s="9">
        <f>'Volúmenes DIstribuidos '!B2019</f>
        <v>45223</v>
      </c>
      <c r="B3206" s="10" t="str">
        <f>IF(OR('Volúmenes DIstribuidos '!C2019="Azúcar",'Volúmenes DIstribuidos '!C2019="azúcar"),"Azúcar o dulce",IF('Volúmenes DIstribuidos '!C2019="Aceite","Aceite o grasas",IF('Volúmenes DIstribuidos '!C2019="Avena","Otros almidones",'Volúmenes DIstribuidos '!C2019)))</f>
        <v>Carnes blancas</v>
      </c>
      <c r="C3206" s="10" t="s">
        <v>29</v>
      </c>
      <c r="D3206" s="12">
        <f>'Volúmenes DIstribuidos '!D2019</f>
        <v>5.76</v>
      </c>
      <c r="E3206" s="12">
        <f>SUMIF('Parametros Inventario'!$A:$A,B3206,'Parametros Inventario'!$B:$B)+SUMIFS(D$2:D3206,B$2:B3206,B3206,C$2:C3206,"ENTRADA")-SUMIFS(D$2:D3206,B$2:B3206,B3206,C$2:C3206,"SALIDA")</f>
        <v>14610.570999999996</v>
      </c>
    </row>
    <row r="3207" spans="1:5" x14ac:dyDescent="0.3">
      <c r="A3207" s="9">
        <f>'Volúmenes DIstribuidos '!B2019</f>
        <v>45223</v>
      </c>
      <c r="B3207" s="10" t="str">
        <f>IF(OR('Volúmenes DIstribuidos '!C2020="Azúcar",'Volúmenes DIstribuidos '!C2020="azúcar"),"Azúcar o dulce",IF('Volúmenes DIstribuidos '!C2020="Aceite","Aceite o grasas",IF('Volúmenes DIstribuidos '!C2020="Avena","Otros almidones",'Volúmenes DIstribuidos '!C2020)))</f>
        <v>Panadería</v>
      </c>
      <c r="C3207" s="10" t="s">
        <v>29</v>
      </c>
      <c r="D3207" s="12">
        <f>'Volúmenes DIstribuidos '!D2020</f>
        <v>9.19</v>
      </c>
      <c r="E3207" s="12">
        <f>SUMIF('Parametros Inventario'!$A:$A,B3207,'Parametros Inventario'!$B:$B)+SUMIFS(D$2:D3207,B$2:B3207,B3207,C$2:C3207,"ENTRADA")-SUMIFS(D$2:D3207,B$2:B3207,B3207,C$2:C3207,"SALIDA")</f>
        <v>12553.189000000002</v>
      </c>
    </row>
    <row r="3208" spans="1:5" x14ac:dyDescent="0.3">
      <c r="A3208" s="9">
        <f>'Volúmenes DIstribuidos '!B2019</f>
        <v>45223</v>
      </c>
      <c r="B3208" s="10" t="str">
        <f>IF(OR('Volúmenes DIstribuidos '!C2021="Azúcar",'Volúmenes DIstribuidos '!C2021="azúcar"),"Azúcar o dulce",IF('Volúmenes DIstribuidos '!C2021="Aceite","Aceite o grasas",IF('Volúmenes DIstribuidos '!C2021="Avena","Otros almidones",'Volúmenes DIstribuidos '!C2021)))</f>
        <v>Carnes rojas</v>
      </c>
      <c r="C3208" s="10" t="s">
        <v>29</v>
      </c>
      <c r="D3208" s="12">
        <f>'Volúmenes DIstribuidos '!D2021</f>
        <v>27.19</v>
      </c>
      <c r="E3208" s="12">
        <f>SUMIF('Parametros Inventario'!$A:$A,B3208,'Parametros Inventario'!$B:$B)+SUMIFS(D$2:D3208,B$2:B3208,B3208,C$2:C3208,"ENTRADA")-SUMIFS(D$2:D3208,B$2:B3208,B3208,C$2:C3208,"SALIDA")</f>
        <v>14534.969000000001</v>
      </c>
    </row>
    <row r="3209" spans="1:5" x14ac:dyDescent="0.3">
      <c r="A3209" s="9">
        <f>'Volúmenes DIstribuidos '!B2019</f>
        <v>45223</v>
      </c>
      <c r="B3209" s="10" t="str">
        <f>IF(OR('Volúmenes DIstribuidos '!C2022="Azúcar",'Volúmenes DIstribuidos '!C2022="azúcar"),"Azúcar o dulce",IF('Volúmenes DIstribuidos '!C2022="Aceite","Aceite o grasas",IF('Volúmenes DIstribuidos '!C2022="Avena","Otros almidones",'Volúmenes DIstribuidos '!C2022)))</f>
        <v>Otros almidones</v>
      </c>
      <c r="C3209" s="10" t="s">
        <v>29</v>
      </c>
      <c r="D3209" s="12">
        <f>'Volúmenes DIstribuidos '!D2022</f>
        <v>14.21</v>
      </c>
      <c r="E3209" s="12">
        <f>SUMIF('Parametros Inventario'!$A:$A,B3209,'Parametros Inventario'!$B:$B)+SUMIFS(D$2:D3209,B$2:B3209,B3209,C$2:C3209,"ENTRADA")-SUMIFS(D$2:D3209,B$2:B3209,B3209,C$2:C3209,"SALIDA")</f>
        <v>15375.939000000002</v>
      </c>
    </row>
    <row r="3210" spans="1:5" x14ac:dyDescent="0.3">
      <c r="A3210" s="9">
        <f>'Volúmenes DIstribuidos '!B2019</f>
        <v>45223</v>
      </c>
      <c r="B3210" s="10" t="str">
        <f>IF(OR('Volúmenes DIstribuidos '!C2023="Azúcar",'Volúmenes DIstribuidos '!C2023="azúcar"),"Azúcar o dulce",IF('Volúmenes DIstribuidos '!C2023="Aceite","Aceite o grasas",IF('Volúmenes DIstribuidos '!C2023="Avena","Otros almidones",'Volúmenes DIstribuidos '!C2023)))</f>
        <v>Menestras</v>
      </c>
      <c r="C3210" s="10" t="s">
        <v>29</v>
      </c>
      <c r="D3210" s="12">
        <f>'Volúmenes DIstribuidos '!D2023</f>
        <v>12.086</v>
      </c>
      <c r="E3210" s="12">
        <f>SUMIF('Parametros Inventario'!$A:$A,B3210,'Parametros Inventario'!$B:$B)+SUMIFS(D$2:D3210,B$2:B3210,B3210,C$2:C3210,"ENTRADA")-SUMIFS(D$2:D3210,B$2:B3210,B3210,C$2:C3210,"SALIDA")</f>
        <v>14812.692000000006</v>
      </c>
    </row>
    <row r="3211" spans="1:5" x14ac:dyDescent="0.3">
      <c r="A3211" s="9">
        <f>'Volúmenes DIstribuidos '!B2019</f>
        <v>45223</v>
      </c>
      <c r="B3211" s="10" t="str">
        <f>IF(OR('Volúmenes DIstribuidos '!C2024="Azúcar",'Volúmenes DIstribuidos '!C2024="azúcar"),"Azúcar o dulce",IF('Volúmenes DIstribuidos '!C2024="Aceite","Aceite o grasas",IF('Volúmenes DIstribuidos '!C2024="Avena","Otros almidones",'Volúmenes DIstribuidos '!C2024)))</f>
        <v>Salsas</v>
      </c>
      <c r="C3211" s="10" t="s">
        <v>29</v>
      </c>
      <c r="D3211" s="12">
        <f>'Volúmenes DIstribuidos '!D2024</f>
        <v>71.650000000000006</v>
      </c>
      <c r="E3211" s="12">
        <f>SUMIF('Parametros Inventario'!$A:$A,B3211,'Parametros Inventario'!$B:$B)+SUMIFS(D$2:D3211,B$2:B3211,B3211,C$2:C3211,"ENTRADA")-SUMIFS(D$2:D3211,B$2:B3211,B3211,C$2:C3211,"SALIDA")</f>
        <v>13830.854999999996</v>
      </c>
    </row>
    <row r="3212" spans="1:5" x14ac:dyDescent="0.3">
      <c r="A3212" s="9">
        <v>45226</v>
      </c>
      <c r="B3212" s="10" t="s">
        <v>13</v>
      </c>
      <c r="C3212" s="10" t="s">
        <v>28</v>
      </c>
      <c r="D3212" s="12">
        <v>120.59</v>
      </c>
      <c r="E3212" s="12">
        <f>SUMIF('Parametros Inventario'!$A:$A,B3212,'Parametros Inventario'!$B:$B)+SUMIFS(D$2:D3212,B$2:B3212,B3212,C$2:C3212,"ENTRADA")-SUMIFS(D$2:D3212,B$2:B3212,B3212,C$2:C3212,"SALIDA")</f>
        <v>13961.724000000002</v>
      </c>
    </row>
    <row r="3213" spans="1:5" x14ac:dyDescent="0.3">
      <c r="A3213" s="9">
        <v>45226</v>
      </c>
      <c r="B3213" s="10" t="s">
        <v>15</v>
      </c>
      <c r="C3213" s="10" t="s">
        <v>28</v>
      </c>
      <c r="D3213" s="12">
        <v>280.77</v>
      </c>
      <c r="E3213" s="12">
        <f>SUMIF('Parametros Inventario'!$A:$A,B3213,'Parametros Inventario'!$B:$B)+SUMIFS(D$2:D3213,B$2:B3213,B3213,C$2:C3213,"ENTRADA")-SUMIFS(D$2:D3213,B$2:B3213,B3213,C$2:C3213,"SALIDA")</f>
        <v>15656.709000000003</v>
      </c>
    </row>
    <row r="3214" spans="1:5" x14ac:dyDescent="0.3">
      <c r="A3214" s="9">
        <v>45226</v>
      </c>
      <c r="B3214" s="10" t="s">
        <v>11</v>
      </c>
      <c r="C3214" s="10" t="s">
        <v>28</v>
      </c>
      <c r="D3214" s="12">
        <v>225.28</v>
      </c>
      <c r="E3214" s="12">
        <f>SUMIF('Parametros Inventario'!$A:$A,B3214,'Parametros Inventario'!$B:$B)+SUMIFS(D$2:D3214,B$2:B3214,B3214,C$2:C3214,"ENTRADA")-SUMIFS(D$2:D3214,B$2:B3214,B3214,C$2:C3214,"SALIDA")</f>
        <v>16093.679</v>
      </c>
    </row>
    <row r="3215" spans="1:5" x14ac:dyDescent="0.3">
      <c r="A3215" s="9">
        <v>45226</v>
      </c>
      <c r="B3215" s="10" t="s">
        <v>9</v>
      </c>
      <c r="C3215" s="10" t="s">
        <v>28</v>
      </c>
      <c r="D3215" s="12">
        <v>187</v>
      </c>
      <c r="E3215" s="12">
        <f>SUMIF('Parametros Inventario'!$A:$A,B3215,'Parametros Inventario'!$B:$B)+SUMIFS(D$2:D3215,B$2:B3215,B3215,C$2:C3215,"ENTRADA")-SUMIFS(D$2:D3215,B$2:B3215,B3215,C$2:C3215,"SALIDA")</f>
        <v>12740.189000000002</v>
      </c>
    </row>
    <row r="3216" spans="1:5" x14ac:dyDescent="0.3">
      <c r="A3216" s="9">
        <v>45226</v>
      </c>
      <c r="B3216" s="10" t="s">
        <v>14</v>
      </c>
      <c r="C3216" s="10" t="s">
        <v>28</v>
      </c>
      <c r="D3216" s="12">
        <v>74.33</v>
      </c>
      <c r="E3216" s="12">
        <f>SUMIF('Parametros Inventario'!$A:$A,B3216,'Parametros Inventario'!$B:$B)+SUMIFS(D$2:D3216,B$2:B3216,B3216,C$2:C3216,"ENTRADA")-SUMIFS(D$2:D3216,B$2:B3216,B3216,C$2:C3216,"SALIDA")</f>
        <v>14887.022000000008</v>
      </c>
    </row>
    <row r="3217" spans="1:5" x14ac:dyDescent="0.3">
      <c r="A3217" s="9">
        <v>45226</v>
      </c>
      <c r="B3217" s="10" t="s">
        <v>12</v>
      </c>
      <c r="C3217" s="10" t="s">
        <v>28</v>
      </c>
      <c r="D3217" s="12">
        <v>130.85</v>
      </c>
      <c r="E3217" s="12">
        <f>SUMIF('Parametros Inventario'!$A:$A,B3217,'Parametros Inventario'!$B:$B)+SUMIFS(D$2:D3217,B$2:B3217,B3217,C$2:C3217,"ENTRADA")-SUMIFS(D$2:D3217,B$2:B3217,B3217,C$2:C3217,"SALIDA")</f>
        <v>14665.819</v>
      </c>
    </row>
    <row r="3218" spans="1:5" x14ac:dyDescent="0.3">
      <c r="A3218" s="9">
        <v>45226</v>
      </c>
      <c r="B3218" s="10" t="s">
        <v>16</v>
      </c>
      <c r="C3218" s="10" t="s">
        <v>28</v>
      </c>
      <c r="D3218" s="12">
        <v>247.82</v>
      </c>
      <c r="E3218" s="12">
        <f>SUMIF('Parametros Inventario'!$A:$A,B3218,'Parametros Inventario'!$B:$B)+SUMIFS(D$2:D3218,B$2:B3218,B3218,C$2:C3218,"ENTRADA")-SUMIFS(D$2:D3218,B$2:B3218,B3218,C$2:C3218,"SALIDA")</f>
        <v>14858.390999999996</v>
      </c>
    </row>
    <row r="3219" spans="1:5" x14ac:dyDescent="0.3">
      <c r="A3219" s="9">
        <v>45226</v>
      </c>
      <c r="B3219" s="10" t="s">
        <v>17</v>
      </c>
      <c r="C3219" s="10" t="s">
        <v>28</v>
      </c>
      <c r="D3219" s="12">
        <v>266.45999999999998</v>
      </c>
      <c r="E3219" s="12">
        <f>SUMIF('Parametros Inventario'!$A:$A,B3219,'Parametros Inventario'!$B:$B)+SUMIFS(D$2:D3219,B$2:B3219,B3219,C$2:C3219,"ENTRADA")-SUMIFS(D$2:D3219,B$2:B3219,B3219,C$2:C3219,"SALIDA")</f>
        <v>13079.516999999996</v>
      </c>
    </row>
    <row r="3220" spans="1:5" x14ac:dyDescent="0.3">
      <c r="A3220" s="9">
        <f>'Volúmenes DIstribuidos '!B2025</f>
        <v>45226</v>
      </c>
      <c r="B3220" s="10" t="str">
        <f>IF(OR('Volúmenes DIstribuidos '!C2025="Azúcar",'Volúmenes DIstribuidos '!C2025="azúcar"),"Azúcar o dulce",IF('Volúmenes DIstribuidos '!C2025="Aceite","Aceite o grasas",IF('Volúmenes DIstribuidos '!C2025="Avena","Otros almidones",'Volúmenes DIstribuidos '!C2025)))</f>
        <v>Fideo</v>
      </c>
      <c r="C3220" s="10" t="s">
        <v>29</v>
      </c>
      <c r="D3220" s="12">
        <f>'Volúmenes DIstribuidos '!D2025</f>
        <v>16.170000000000002</v>
      </c>
      <c r="E3220" s="12">
        <f>SUMIF('Parametros Inventario'!$A:$A,B3220,'Parametros Inventario'!$B:$B)+SUMIFS(D$2:D3220,B$2:B3220,B3220,C$2:C3220,"ENTRADA")-SUMIFS(D$2:D3220,B$2:B3220,B3220,C$2:C3220,"SALIDA")</f>
        <v>16077.508999999998</v>
      </c>
    </row>
    <row r="3221" spans="1:5" x14ac:dyDescent="0.3">
      <c r="A3221" s="9">
        <f>'Volúmenes DIstribuidos '!B2025</f>
        <v>45226</v>
      </c>
      <c r="B3221" s="10" t="str">
        <f>IF(OR('Volúmenes DIstribuidos '!C2026="Azúcar",'Volúmenes DIstribuidos '!C2026="azúcar"),"Azúcar o dulce",IF('Volúmenes DIstribuidos '!C2026="Aceite","Aceite o grasas",IF('Volúmenes DIstribuidos '!C2026="Avena","Otros almidones",'Volúmenes DIstribuidos '!C2026)))</f>
        <v>Lácteos</v>
      </c>
      <c r="C3221" s="10" t="s">
        <v>29</v>
      </c>
      <c r="D3221" s="12">
        <f>'Volúmenes DIstribuidos '!D2026</f>
        <v>16.530999999999999</v>
      </c>
      <c r="E3221" s="12">
        <f>SUMIF('Parametros Inventario'!$A:$A,B3221,'Parametros Inventario'!$B:$B)+SUMIFS(D$2:D3221,B$2:B3221,B3221,C$2:C3221,"ENTRADA")-SUMIFS(D$2:D3221,B$2:B3221,B3221,C$2:C3221,"SALIDA")</f>
        <v>13062.985999999997</v>
      </c>
    </row>
    <row r="3222" spans="1:5" x14ac:dyDescent="0.3">
      <c r="A3222" s="9">
        <f>'Volúmenes DIstribuidos '!B2025</f>
        <v>45226</v>
      </c>
      <c r="B3222" s="10" t="str">
        <f>IF(OR('Volúmenes DIstribuidos '!C2027="Azúcar",'Volúmenes DIstribuidos '!C2027="azúcar"),"Azúcar o dulce",IF('Volúmenes DIstribuidos '!C2027="Aceite","Aceite o grasas",IF('Volúmenes DIstribuidos '!C2027="Avena","Otros almidones",'Volúmenes DIstribuidos '!C2027)))</f>
        <v>Aceite o grasas</v>
      </c>
      <c r="C3222" s="10" t="s">
        <v>29</v>
      </c>
      <c r="D3222" s="12">
        <f>'Volúmenes DIstribuidos '!D2027</f>
        <v>11.75</v>
      </c>
      <c r="E3222" s="12">
        <f>SUMIF('Parametros Inventario'!$A:$A,B3222,'Parametros Inventario'!$B:$B)+SUMIFS(D$2:D3222,B$2:B3222,B3222,C$2:C3222,"ENTRADA")-SUMIFS(D$2:D3222,B$2:B3222,B3222,C$2:C3222,"SALIDA")</f>
        <v>13821.827000000003</v>
      </c>
    </row>
    <row r="3223" spans="1:5" x14ac:dyDescent="0.3">
      <c r="A3223" s="9">
        <f>'Volúmenes DIstribuidos '!B2025</f>
        <v>45226</v>
      </c>
      <c r="B3223" s="10" t="str">
        <f>IF(OR('Volúmenes DIstribuidos '!C2028="Azúcar",'Volúmenes DIstribuidos '!C2028="azúcar"),"Azúcar o dulce",IF('Volúmenes DIstribuidos '!C2028="Aceite","Aceite o grasas",IF('Volúmenes DIstribuidos '!C2028="Avena","Otros almidones",'Volúmenes DIstribuidos '!C2028)))</f>
        <v>Panadería</v>
      </c>
      <c r="C3223" s="10" t="s">
        <v>29</v>
      </c>
      <c r="D3223" s="12">
        <f>'Volúmenes DIstribuidos '!D2028</f>
        <v>15.26</v>
      </c>
      <c r="E3223" s="12">
        <f>SUMIF('Parametros Inventario'!$A:$A,B3223,'Parametros Inventario'!$B:$B)+SUMIFS(D$2:D3223,B$2:B3223,B3223,C$2:C3223,"ENTRADA")-SUMIFS(D$2:D3223,B$2:B3223,B3223,C$2:C3223,"SALIDA")</f>
        <v>12724.929</v>
      </c>
    </row>
    <row r="3224" spans="1:5" x14ac:dyDescent="0.3">
      <c r="A3224" s="9">
        <f>'Volúmenes DIstribuidos '!B2025</f>
        <v>45226</v>
      </c>
      <c r="B3224" s="10" t="str">
        <f>IF(OR('Volúmenes DIstribuidos '!C2029="Azúcar",'Volúmenes DIstribuidos '!C2029="azúcar"),"Azúcar o dulce",IF('Volúmenes DIstribuidos '!C2029="Aceite","Aceite o grasas",IF('Volúmenes DIstribuidos '!C2029="Avena","Otros almidones",'Volúmenes DIstribuidos '!C2029)))</f>
        <v>Azúcar o dulce</v>
      </c>
      <c r="C3224" s="10" t="s">
        <v>29</v>
      </c>
      <c r="D3224" s="12">
        <f>'Volúmenes DIstribuidos '!D2029</f>
        <v>6.85</v>
      </c>
      <c r="E3224" s="12">
        <f>SUMIF('Parametros Inventario'!$A:$A,B3224,'Parametros Inventario'!$B:$B)+SUMIFS(D$2:D3224,B$2:B3224,B3224,C$2:C3224,"ENTRADA")-SUMIFS(D$2:D3224,B$2:B3224,B3224,C$2:C3224,"SALIDA")</f>
        <v>13954.874000000003</v>
      </c>
    </row>
    <row r="3225" spans="1:5" x14ac:dyDescent="0.3">
      <c r="A3225" s="9">
        <f>'Volúmenes DIstribuidos '!B2025</f>
        <v>45226</v>
      </c>
      <c r="B3225" s="10" t="str">
        <f>IF(OR('Volúmenes DIstribuidos '!C2030="Azúcar",'Volúmenes DIstribuidos '!C2030="azúcar"),"Azúcar o dulce",IF('Volúmenes DIstribuidos '!C2030="Aceite","Aceite o grasas",IF('Volúmenes DIstribuidos '!C2030="Avena","Otros almidones",'Volúmenes DIstribuidos '!C2030)))</f>
        <v>Vegetales y hojas</v>
      </c>
      <c r="C3225" s="10" t="s">
        <v>29</v>
      </c>
      <c r="D3225" s="12">
        <f>'Volúmenes DIstribuidos '!D2030</f>
        <v>7.01</v>
      </c>
      <c r="E3225" s="12">
        <f>SUMIF('Parametros Inventario'!$A:$A,B3225,'Parametros Inventario'!$B:$B)+SUMIFS(D$2:D3225,B$2:B3225,B3225,C$2:C3225,"ENTRADA")-SUMIFS(D$2:D3225,B$2:B3225,B3225,C$2:C3225,"SALIDA")</f>
        <v>15219.843999999994</v>
      </c>
    </row>
    <row r="3226" spans="1:5" x14ac:dyDescent="0.3">
      <c r="A3226" s="9">
        <f>'Volúmenes DIstribuidos '!B2031</f>
        <v>45230</v>
      </c>
      <c r="B3226" s="10" t="str">
        <f>IF(OR('Volúmenes DIstribuidos '!C2031="Azúcar",'Volúmenes DIstribuidos '!C2031="azúcar"),"Azúcar o dulce",IF('Volúmenes DIstribuidos '!C2031="Aceite","Aceite o grasas",IF('Volúmenes DIstribuidos '!C2031="Avena","Otros almidones",'Volúmenes DIstribuidos '!C2031)))</f>
        <v>Menestras</v>
      </c>
      <c r="C3226" s="10" t="s">
        <v>29</v>
      </c>
      <c r="D3226" s="12">
        <f>'Volúmenes DIstribuidos '!D2031</f>
        <v>13.474</v>
      </c>
      <c r="E3226" s="12">
        <f>SUMIF('Parametros Inventario'!$A:$A,B3226,'Parametros Inventario'!$B:$B)+SUMIFS(D$2:D3226,B$2:B3226,B3226,C$2:C3226,"ENTRADA")-SUMIFS(D$2:D3226,B$2:B3226,B3226,C$2:C3226,"SALIDA")</f>
        <v>14873.548000000008</v>
      </c>
    </row>
    <row r="3227" spans="1:5" x14ac:dyDescent="0.3">
      <c r="A3227" s="9">
        <f>'Volúmenes DIstribuidos '!B2031</f>
        <v>45230</v>
      </c>
      <c r="B3227" s="10" t="str">
        <f>IF(OR('Volúmenes DIstribuidos '!C2032="Azúcar",'Volúmenes DIstribuidos '!C2032="azúcar"),"Azúcar o dulce",IF('Volúmenes DIstribuidos '!C2032="Aceite","Aceite o grasas",IF('Volúmenes DIstribuidos '!C2032="Avena","Otros almidones",'Volúmenes DIstribuidos '!C2032)))</f>
        <v>Fideo</v>
      </c>
      <c r="C3227" s="10" t="s">
        <v>29</v>
      </c>
      <c r="D3227" s="12">
        <f>'Volúmenes DIstribuidos '!D2032</f>
        <v>10.45</v>
      </c>
      <c r="E3227" s="12">
        <f>SUMIF('Parametros Inventario'!$A:$A,B3227,'Parametros Inventario'!$B:$B)+SUMIFS(D$2:D3227,B$2:B3227,B3227,C$2:C3227,"ENTRADA")-SUMIFS(D$2:D3227,B$2:B3227,B3227,C$2:C3227,"SALIDA")</f>
        <v>16067.058999999999</v>
      </c>
    </row>
    <row r="3228" spans="1:5" x14ac:dyDescent="0.3">
      <c r="A3228" s="9">
        <f>'Volúmenes DIstribuidos '!B2031</f>
        <v>45230</v>
      </c>
      <c r="B3228" s="10" t="str">
        <f>IF(OR('Volúmenes DIstribuidos '!C2033="Azúcar",'Volúmenes DIstribuidos '!C2033="azúcar"),"Azúcar o dulce",IF('Volúmenes DIstribuidos '!C2033="Aceite","Aceite o grasas",IF('Volúmenes DIstribuidos '!C2033="Avena","Otros almidones",'Volúmenes DIstribuidos '!C2033)))</f>
        <v>Lácteos</v>
      </c>
      <c r="C3228" s="10" t="s">
        <v>29</v>
      </c>
      <c r="D3228" s="12">
        <f>'Volúmenes DIstribuidos '!D2033</f>
        <v>10.99</v>
      </c>
      <c r="E3228" s="12">
        <f>SUMIF('Parametros Inventario'!$A:$A,B3228,'Parametros Inventario'!$B:$B)+SUMIFS(D$2:D3228,B$2:B3228,B3228,C$2:C3228,"ENTRADA")-SUMIFS(D$2:D3228,B$2:B3228,B3228,C$2:C3228,"SALIDA")</f>
        <v>13051.995999999996</v>
      </c>
    </row>
    <row r="3229" spans="1:5" x14ac:dyDescent="0.3">
      <c r="A3229" s="9">
        <f>'Volúmenes DIstribuidos '!B2031</f>
        <v>45230</v>
      </c>
      <c r="B3229" s="10" t="str">
        <f>IF(OR('Volúmenes DIstribuidos '!C2034="Azúcar",'Volúmenes DIstribuidos '!C2034="azúcar"),"Azúcar o dulce",IF('Volúmenes DIstribuidos '!C2034="Aceite","Aceite o grasas",IF('Volúmenes DIstribuidos '!C2034="Avena","Otros almidones",'Volúmenes DIstribuidos '!C2034)))</f>
        <v>Carnes blancas</v>
      </c>
      <c r="C3229" s="10" t="s">
        <v>29</v>
      </c>
      <c r="D3229" s="12">
        <f>'Volúmenes DIstribuidos '!D2034</f>
        <v>9.8699999999999992</v>
      </c>
      <c r="E3229" s="12">
        <f>SUMIF('Parametros Inventario'!$A:$A,B3229,'Parametros Inventario'!$B:$B)+SUMIFS(D$2:D3229,B$2:B3229,B3229,C$2:C3229,"ENTRADA")-SUMIFS(D$2:D3229,B$2:B3229,B3229,C$2:C3229,"SALIDA")</f>
        <v>14848.520999999995</v>
      </c>
    </row>
    <row r="3230" spans="1:5" x14ac:dyDescent="0.3">
      <c r="A3230" s="9">
        <f>'Volúmenes DIstribuidos '!B2031</f>
        <v>45230</v>
      </c>
      <c r="B3230" s="10" t="str">
        <f>IF(OR('Volúmenes DIstribuidos '!C2035="Azúcar",'Volúmenes DIstribuidos '!C2035="azúcar"),"Azúcar o dulce",IF('Volúmenes DIstribuidos '!C2035="Aceite","Aceite o grasas",IF('Volúmenes DIstribuidos '!C2035="Avena","Otros almidones",'Volúmenes DIstribuidos '!C2035)))</f>
        <v>Aceite o grasas</v>
      </c>
      <c r="C3230" s="10" t="s">
        <v>29</v>
      </c>
      <c r="D3230" s="12">
        <f>'Volúmenes DIstribuidos '!D2035</f>
        <v>6.03</v>
      </c>
      <c r="E3230" s="12">
        <f>SUMIF('Parametros Inventario'!$A:$A,B3230,'Parametros Inventario'!$B:$B)+SUMIFS(D$2:D3230,B$2:B3230,B3230,C$2:C3230,"ENTRADA")-SUMIFS(D$2:D3230,B$2:B3230,B3230,C$2:C3230,"SALIDA")</f>
        <v>13815.797000000002</v>
      </c>
    </row>
    <row r="3231" spans="1:5" x14ac:dyDescent="0.3">
      <c r="A3231" s="9">
        <f>'Volúmenes DIstribuidos '!B2031</f>
        <v>45230</v>
      </c>
      <c r="B3231" s="10" t="str">
        <f>IF(OR('Volúmenes DIstribuidos '!C2036="Azúcar",'Volúmenes DIstribuidos '!C2036="azúcar"),"Azúcar o dulce",IF('Volúmenes DIstribuidos '!C2036="Aceite","Aceite o grasas",IF('Volúmenes DIstribuidos '!C2036="Avena","Otros almidones",'Volúmenes DIstribuidos '!C2036)))</f>
        <v>Menestras</v>
      </c>
      <c r="C3231" s="10" t="s">
        <v>29</v>
      </c>
      <c r="D3231" s="12">
        <f>'Volúmenes DIstribuidos '!D2036</f>
        <v>33.284999999999997</v>
      </c>
      <c r="E3231" s="12">
        <f>SUMIF('Parametros Inventario'!$A:$A,B3231,'Parametros Inventario'!$B:$B)+SUMIFS(D$2:D3231,B$2:B3231,B3231,C$2:C3231,"ENTRADA")-SUMIFS(D$2:D3231,B$2:B3231,B3231,C$2:C3231,"SALIDA")</f>
        <v>14840.263000000008</v>
      </c>
    </row>
    <row r="3232" spans="1:5" x14ac:dyDescent="0.3">
      <c r="A3232" s="9">
        <v>45233</v>
      </c>
      <c r="B3232" s="10" t="s">
        <v>18</v>
      </c>
      <c r="C3232" s="10" t="s">
        <v>28</v>
      </c>
      <c r="D3232" s="12">
        <v>63.53</v>
      </c>
      <c r="E3232" s="12">
        <f>SUMIF('Parametros Inventario'!$A:$A,B3232,'Parametros Inventario'!$B:$B)+SUMIFS(D$2:D3232,B$2:B3232,B3232,C$2:C3232,"ENTRADA")-SUMIFS(D$2:D3232,B$2:B3232,B3232,C$2:C3232,"SALIDA")</f>
        <v>13894.384999999995</v>
      </c>
    </row>
    <row r="3233" spans="1:5" x14ac:dyDescent="0.3">
      <c r="A3233" s="9">
        <v>45233</v>
      </c>
      <c r="B3233" s="10" t="s">
        <v>10</v>
      </c>
      <c r="C3233" s="10" t="s">
        <v>28</v>
      </c>
      <c r="D3233" s="12">
        <v>283.64</v>
      </c>
      <c r="E3233" s="12">
        <f>SUMIF('Parametros Inventario'!$A:$A,B3233,'Parametros Inventario'!$B:$B)+SUMIFS(D$2:D3233,B$2:B3233,B3233,C$2:C3233,"ENTRADA")-SUMIFS(D$2:D3233,B$2:B3233,B3233,C$2:C3233,"SALIDA")</f>
        <v>15503.483999999993</v>
      </c>
    </row>
    <row r="3234" spans="1:5" x14ac:dyDescent="0.3">
      <c r="A3234" s="9">
        <v>45233</v>
      </c>
      <c r="B3234" s="10" t="s">
        <v>8</v>
      </c>
      <c r="C3234" s="10" t="s">
        <v>28</v>
      </c>
      <c r="D3234" s="12">
        <v>126.02</v>
      </c>
      <c r="E3234" s="12">
        <f>SUMIF('Parametros Inventario'!$A:$A,B3234,'Parametros Inventario'!$B:$B)+SUMIFS(D$2:D3234,B$2:B3234,B3234,C$2:C3234,"ENTRADA")-SUMIFS(D$2:D3234,B$2:B3234,B3234,C$2:C3234,"SALIDA")</f>
        <v>13941.817000000003</v>
      </c>
    </row>
    <row r="3235" spans="1:5" x14ac:dyDescent="0.3">
      <c r="A3235" s="9">
        <v>45233</v>
      </c>
      <c r="B3235" s="10" t="s">
        <v>13</v>
      </c>
      <c r="C3235" s="10" t="s">
        <v>28</v>
      </c>
      <c r="D3235" s="12">
        <v>213.66</v>
      </c>
      <c r="E3235" s="12">
        <f>SUMIF('Parametros Inventario'!$A:$A,B3235,'Parametros Inventario'!$B:$B)+SUMIFS(D$2:D3235,B$2:B3235,B3235,C$2:C3235,"ENTRADA")-SUMIFS(D$2:D3235,B$2:B3235,B3235,C$2:C3235,"SALIDA")</f>
        <v>14168.534000000003</v>
      </c>
    </row>
    <row r="3236" spans="1:5" x14ac:dyDescent="0.3">
      <c r="A3236" s="9">
        <v>45233</v>
      </c>
      <c r="B3236" s="10" t="s">
        <v>15</v>
      </c>
      <c r="C3236" s="10" t="s">
        <v>28</v>
      </c>
      <c r="D3236" s="12">
        <v>194.29</v>
      </c>
      <c r="E3236" s="12">
        <f>SUMIF('Parametros Inventario'!$A:$A,B3236,'Parametros Inventario'!$B:$B)+SUMIFS(D$2:D3236,B$2:B3236,B3236,C$2:C3236,"ENTRADA")-SUMIFS(D$2:D3236,B$2:B3236,B3236,C$2:C3236,"SALIDA")</f>
        <v>15850.999000000003</v>
      </c>
    </row>
    <row r="3237" spans="1:5" x14ac:dyDescent="0.3">
      <c r="A3237" s="9">
        <v>45233</v>
      </c>
      <c r="B3237" s="10" t="s">
        <v>11</v>
      </c>
      <c r="C3237" s="10" t="s">
        <v>28</v>
      </c>
      <c r="D3237" s="12">
        <v>160.47</v>
      </c>
      <c r="E3237" s="12">
        <f>SUMIF('Parametros Inventario'!$A:$A,B3237,'Parametros Inventario'!$B:$B)+SUMIFS(D$2:D3237,B$2:B3237,B3237,C$2:C3237,"ENTRADA")-SUMIFS(D$2:D3237,B$2:B3237,B3237,C$2:C3237,"SALIDA")</f>
        <v>16227.529</v>
      </c>
    </row>
    <row r="3238" spans="1:5" x14ac:dyDescent="0.3">
      <c r="A3238" s="9">
        <v>45233</v>
      </c>
      <c r="B3238" s="10" t="s">
        <v>9</v>
      </c>
      <c r="C3238" s="10" t="s">
        <v>28</v>
      </c>
      <c r="D3238" s="12">
        <v>170.61</v>
      </c>
      <c r="E3238" s="12">
        <f>SUMIF('Parametros Inventario'!$A:$A,B3238,'Parametros Inventario'!$B:$B)+SUMIFS(D$2:D3238,B$2:B3238,B3238,C$2:C3238,"ENTRADA")-SUMIFS(D$2:D3238,B$2:B3238,B3238,C$2:C3238,"SALIDA")</f>
        <v>12895.539000000001</v>
      </c>
    </row>
    <row r="3239" spans="1:5" x14ac:dyDescent="0.3">
      <c r="A3239" s="9">
        <v>45233</v>
      </c>
      <c r="B3239" s="10" t="s">
        <v>14</v>
      </c>
      <c r="C3239" s="10" t="s">
        <v>28</v>
      </c>
      <c r="D3239" s="12">
        <v>274.3</v>
      </c>
      <c r="E3239" s="12">
        <f>SUMIF('Parametros Inventario'!$A:$A,B3239,'Parametros Inventario'!$B:$B)+SUMIFS(D$2:D3239,B$2:B3239,B3239,C$2:C3239,"ENTRADA")-SUMIFS(D$2:D3239,B$2:B3239,B3239,C$2:C3239,"SALIDA")</f>
        <v>15114.563000000007</v>
      </c>
    </row>
    <row r="3240" spans="1:5" x14ac:dyDescent="0.3">
      <c r="A3240" s="9">
        <v>45233</v>
      </c>
      <c r="B3240" s="10" t="s">
        <v>12</v>
      </c>
      <c r="C3240" s="10" t="s">
        <v>28</v>
      </c>
      <c r="D3240" s="12">
        <v>102.44</v>
      </c>
      <c r="E3240" s="12">
        <f>SUMIF('Parametros Inventario'!$A:$A,B3240,'Parametros Inventario'!$B:$B)+SUMIFS(D$2:D3240,B$2:B3240,B3240,C$2:C3240,"ENTRADA")-SUMIFS(D$2:D3240,B$2:B3240,B3240,C$2:C3240,"SALIDA")</f>
        <v>14768.258999999998</v>
      </c>
    </row>
    <row r="3241" spans="1:5" x14ac:dyDescent="0.3">
      <c r="A3241" s="9">
        <v>45233</v>
      </c>
      <c r="B3241" s="10" t="s">
        <v>16</v>
      </c>
      <c r="C3241" s="10" t="s">
        <v>28</v>
      </c>
      <c r="D3241" s="12">
        <v>251.09</v>
      </c>
      <c r="E3241" s="12">
        <f>SUMIF('Parametros Inventario'!$A:$A,B3241,'Parametros Inventario'!$B:$B)+SUMIFS(D$2:D3241,B$2:B3241,B3241,C$2:C3241,"ENTRADA")-SUMIFS(D$2:D3241,B$2:B3241,B3241,C$2:C3241,"SALIDA")</f>
        <v>15099.610999999995</v>
      </c>
    </row>
    <row r="3242" spans="1:5" x14ac:dyDescent="0.3">
      <c r="A3242" s="9">
        <f>'Volúmenes DIstribuidos '!B2037</f>
        <v>45233</v>
      </c>
      <c r="B3242" s="10" t="str">
        <f>IF(OR('Volúmenes DIstribuidos '!C2037="Azúcar",'Volúmenes DIstribuidos '!C2037="azúcar"),"Azúcar o dulce",IF('Volúmenes DIstribuidos '!C2037="Aceite","Aceite o grasas",IF('Volúmenes DIstribuidos '!C2037="Avena","Otros almidones",'Volúmenes DIstribuidos '!C2037)))</f>
        <v>Otros almidones</v>
      </c>
      <c r="C3242" s="10" t="s">
        <v>29</v>
      </c>
      <c r="D3242" s="12">
        <f>'Volúmenes DIstribuidos '!D2037</f>
        <v>30.6</v>
      </c>
      <c r="E3242" s="12">
        <f>SUMIF('Parametros Inventario'!$A:$A,B3242,'Parametros Inventario'!$B:$B)+SUMIFS(D$2:D3242,B$2:B3242,B3242,C$2:C3242,"ENTRADA")-SUMIFS(D$2:D3242,B$2:B3242,B3242,C$2:C3242,"SALIDA")</f>
        <v>15820.399000000001</v>
      </c>
    </row>
    <row r="3243" spans="1:5" x14ac:dyDescent="0.3">
      <c r="A3243" s="9">
        <f>'Volúmenes DIstribuidos '!B2037</f>
        <v>45233</v>
      </c>
      <c r="B3243" s="10" t="str">
        <f>IF(OR('Volúmenes DIstribuidos '!C2038="Azúcar",'Volúmenes DIstribuidos '!C2038="azúcar"),"Azúcar o dulce",IF('Volúmenes DIstribuidos '!C2038="Aceite","Aceite o grasas",IF('Volúmenes DIstribuidos '!C2038="Avena","Otros almidones",'Volúmenes DIstribuidos '!C2038)))</f>
        <v>Carnes blancas</v>
      </c>
      <c r="C3243" s="10" t="s">
        <v>29</v>
      </c>
      <c r="D3243" s="12">
        <f>'Volúmenes DIstribuidos '!D2038</f>
        <v>18.25</v>
      </c>
      <c r="E3243" s="12">
        <f>SUMIF('Parametros Inventario'!$A:$A,B3243,'Parametros Inventario'!$B:$B)+SUMIFS(D$2:D3243,B$2:B3243,B3243,C$2:C3243,"ENTRADA")-SUMIFS(D$2:D3243,B$2:B3243,B3243,C$2:C3243,"SALIDA")</f>
        <v>15081.360999999995</v>
      </c>
    </row>
    <row r="3244" spans="1:5" x14ac:dyDescent="0.3">
      <c r="A3244" s="9">
        <f>'Volúmenes DIstribuidos '!B2037</f>
        <v>45233</v>
      </c>
      <c r="B3244" s="10" t="str">
        <f>IF(OR('Volúmenes DIstribuidos '!C2039="Azúcar",'Volúmenes DIstribuidos '!C2039="azúcar"),"Azúcar o dulce",IF('Volúmenes DIstribuidos '!C2039="Aceite","Aceite o grasas",IF('Volúmenes DIstribuidos '!C2039="Avena","Otros almidones",'Volúmenes DIstribuidos '!C2039)))</f>
        <v>Carnes rojas</v>
      </c>
      <c r="C3244" s="10" t="s">
        <v>29</v>
      </c>
      <c r="D3244" s="12">
        <f>'Volúmenes DIstribuidos '!D2039</f>
        <v>19.91</v>
      </c>
      <c r="E3244" s="12">
        <f>SUMIF('Parametros Inventario'!$A:$A,B3244,'Parametros Inventario'!$B:$B)+SUMIFS(D$2:D3244,B$2:B3244,B3244,C$2:C3244,"ENTRADA")-SUMIFS(D$2:D3244,B$2:B3244,B3244,C$2:C3244,"SALIDA")</f>
        <v>14748.348999999998</v>
      </c>
    </row>
    <row r="3245" spans="1:5" x14ac:dyDescent="0.3">
      <c r="A3245" s="9">
        <f>'Volúmenes DIstribuidos '!B2037</f>
        <v>45233</v>
      </c>
      <c r="B3245" s="10" t="str">
        <f>IF(OR('Volúmenes DIstribuidos '!C2040="Azúcar",'Volúmenes DIstribuidos '!C2040="azúcar"),"Azúcar o dulce",IF('Volúmenes DIstribuidos '!C2040="Aceite","Aceite o grasas",IF('Volúmenes DIstribuidos '!C2040="Avena","Otros almidones",'Volúmenes DIstribuidos '!C2040)))</f>
        <v>Menestras</v>
      </c>
      <c r="C3245" s="10" t="s">
        <v>29</v>
      </c>
      <c r="D3245" s="12">
        <f>'Volúmenes DIstribuidos '!D2040</f>
        <v>4.58</v>
      </c>
      <c r="E3245" s="12">
        <f>SUMIF('Parametros Inventario'!$A:$A,B3245,'Parametros Inventario'!$B:$B)+SUMIFS(D$2:D3245,B$2:B3245,B3245,C$2:C3245,"ENTRADA")-SUMIFS(D$2:D3245,B$2:B3245,B3245,C$2:C3245,"SALIDA")</f>
        <v>15109.983000000007</v>
      </c>
    </row>
    <row r="3246" spans="1:5" x14ac:dyDescent="0.3">
      <c r="A3246" s="9">
        <f>'Volúmenes DIstribuidos '!B2037</f>
        <v>45233</v>
      </c>
      <c r="B3246" s="10" t="str">
        <f>IF(OR('Volúmenes DIstribuidos '!C2041="Azúcar",'Volúmenes DIstribuidos '!C2041="azúcar"),"Azúcar o dulce",IF('Volúmenes DIstribuidos '!C2041="Aceite","Aceite o grasas",IF('Volúmenes DIstribuidos '!C2041="Avena","Otros almidones",'Volúmenes DIstribuidos '!C2041)))</f>
        <v>Vegetales y hojas</v>
      </c>
      <c r="C3246" s="10" t="s">
        <v>29</v>
      </c>
      <c r="D3246" s="12">
        <f>'Volúmenes DIstribuidos '!D2041</f>
        <v>47.314</v>
      </c>
      <c r="E3246" s="12">
        <f>SUMIF('Parametros Inventario'!$A:$A,B3246,'Parametros Inventario'!$B:$B)+SUMIFS(D$2:D3246,B$2:B3246,B3246,C$2:C3246,"ENTRADA")-SUMIFS(D$2:D3246,B$2:B3246,B3246,C$2:C3246,"SALIDA")</f>
        <v>15456.169999999993</v>
      </c>
    </row>
    <row r="3247" spans="1:5" x14ac:dyDescent="0.3">
      <c r="A3247" s="9">
        <f>'Volúmenes DIstribuidos '!B2037</f>
        <v>45233</v>
      </c>
      <c r="B3247" s="10" t="str">
        <f>IF(OR('Volúmenes DIstribuidos '!C2042="Azúcar",'Volúmenes DIstribuidos '!C2042="azúcar"),"Azúcar o dulce",IF('Volúmenes DIstribuidos '!C2042="Aceite","Aceite o grasas",IF('Volúmenes DIstribuidos '!C2042="Avena","Otros almidones",'Volúmenes DIstribuidos '!C2042)))</f>
        <v>Fideo</v>
      </c>
      <c r="C3247" s="10" t="s">
        <v>29</v>
      </c>
      <c r="D3247" s="12">
        <f>'Volúmenes DIstribuidos '!D2042</f>
        <v>13.56</v>
      </c>
      <c r="E3247" s="12">
        <f>SUMIF('Parametros Inventario'!$A:$A,B3247,'Parametros Inventario'!$B:$B)+SUMIFS(D$2:D3247,B$2:B3247,B3247,C$2:C3247,"ENTRADA")-SUMIFS(D$2:D3247,B$2:B3247,B3247,C$2:C3247,"SALIDA")</f>
        <v>16213.969000000001</v>
      </c>
    </row>
    <row r="3248" spans="1:5" x14ac:dyDescent="0.3">
      <c r="A3248" s="9">
        <f>'Volúmenes DIstribuidos '!B2043</f>
        <v>45237</v>
      </c>
      <c r="B3248" s="10" t="str">
        <f>IF(OR('Volúmenes DIstribuidos '!C2043="Azúcar",'Volúmenes DIstribuidos '!C2043="azúcar"),"Azúcar o dulce",IF('Volúmenes DIstribuidos '!C2043="Aceite","Aceite o grasas",IF('Volúmenes DIstribuidos '!C2043="Avena","Otros almidones",'Volúmenes DIstribuidos '!C2043)))</f>
        <v>Vegetales y hojas</v>
      </c>
      <c r="C3248" s="10" t="s">
        <v>29</v>
      </c>
      <c r="D3248" s="12">
        <f>'Volúmenes DIstribuidos '!D2043</f>
        <v>25.74</v>
      </c>
      <c r="E3248" s="12">
        <f>SUMIF('Parametros Inventario'!$A:$A,B3248,'Parametros Inventario'!$B:$B)+SUMIFS(D$2:D3248,B$2:B3248,B3248,C$2:C3248,"ENTRADA")-SUMIFS(D$2:D3248,B$2:B3248,B3248,C$2:C3248,"SALIDA")</f>
        <v>15430.429999999993</v>
      </c>
    </row>
    <row r="3249" spans="1:5" x14ac:dyDescent="0.3">
      <c r="A3249" s="9">
        <f>'Volúmenes DIstribuidos '!B2043</f>
        <v>45237</v>
      </c>
      <c r="B3249" s="10" t="str">
        <f>IF(OR('Volúmenes DIstribuidos '!C2044="Azúcar",'Volúmenes DIstribuidos '!C2044="azúcar"),"Azúcar o dulce",IF('Volúmenes DIstribuidos '!C2044="Aceite","Aceite o grasas",IF('Volúmenes DIstribuidos '!C2044="Avena","Otros almidones",'Volúmenes DIstribuidos '!C2044)))</f>
        <v>Otros almidones</v>
      </c>
      <c r="C3249" s="10" t="s">
        <v>29</v>
      </c>
      <c r="D3249" s="12">
        <f>'Volúmenes DIstribuidos '!D2044</f>
        <v>89.524000000000001</v>
      </c>
      <c r="E3249" s="12">
        <f>SUMIF('Parametros Inventario'!$A:$A,B3249,'Parametros Inventario'!$B:$B)+SUMIFS(D$2:D3249,B$2:B3249,B3249,C$2:C3249,"ENTRADA")-SUMIFS(D$2:D3249,B$2:B3249,B3249,C$2:C3249,"SALIDA")</f>
        <v>15730.875000000002</v>
      </c>
    </row>
    <row r="3250" spans="1:5" x14ac:dyDescent="0.3">
      <c r="A3250" s="9">
        <f>'Volúmenes DIstribuidos '!B2043</f>
        <v>45237</v>
      </c>
      <c r="B3250" s="10" t="str">
        <f>IF(OR('Volúmenes DIstribuidos '!C2045="Azúcar",'Volúmenes DIstribuidos '!C2045="azúcar"),"Azúcar o dulce",IF('Volúmenes DIstribuidos '!C2045="Aceite","Aceite o grasas",IF('Volúmenes DIstribuidos '!C2045="Avena","Otros almidones",'Volúmenes DIstribuidos '!C2045)))</f>
        <v>Otros almidones</v>
      </c>
      <c r="C3250" s="10" t="s">
        <v>29</v>
      </c>
      <c r="D3250" s="12">
        <f>'Volúmenes DIstribuidos '!D2045</f>
        <v>30.9</v>
      </c>
      <c r="E3250" s="12">
        <f>SUMIF('Parametros Inventario'!$A:$A,B3250,'Parametros Inventario'!$B:$B)+SUMIFS(D$2:D3250,B$2:B3250,B3250,C$2:C3250,"ENTRADA")-SUMIFS(D$2:D3250,B$2:B3250,B3250,C$2:C3250,"SALIDA")</f>
        <v>15699.975000000002</v>
      </c>
    </row>
    <row r="3251" spans="1:5" x14ac:dyDescent="0.3">
      <c r="A3251" s="9">
        <f>'Volúmenes DIstribuidos '!B2043</f>
        <v>45237</v>
      </c>
      <c r="B3251" s="10" t="str">
        <f>IF(OR('Volúmenes DIstribuidos '!C2046="Azúcar",'Volúmenes DIstribuidos '!C2046="azúcar"),"Azúcar o dulce",IF('Volúmenes DIstribuidos '!C2046="Aceite","Aceite o grasas",IF('Volúmenes DIstribuidos '!C2046="Avena","Otros almidones",'Volúmenes DIstribuidos '!C2046)))</f>
        <v>Vegetales y hojas</v>
      </c>
      <c r="C3251" s="10" t="s">
        <v>29</v>
      </c>
      <c r="D3251" s="12">
        <f>'Volúmenes DIstribuidos '!D2046</f>
        <v>54.7</v>
      </c>
      <c r="E3251" s="12">
        <f>SUMIF('Parametros Inventario'!$A:$A,B3251,'Parametros Inventario'!$B:$B)+SUMIFS(D$2:D3251,B$2:B3251,B3251,C$2:C3251,"ENTRADA")-SUMIFS(D$2:D3251,B$2:B3251,B3251,C$2:C3251,"SALIDA")</f>
        <v>15375.729999999992</v>
      </c>
    </row>
    <row r="3252" spans="1:5" x14ac:dyDescent="0.3">
      <c r="A3252" s="9">
        <f>'Volúmenes DIstribuidos '!B2043</f>
        <v>45237</v>
      </c>
      <c r="B3252" s="10" t="str">
        <f>IF(OR('Volúmenes DIstribuidos '!C2047="Azúcar",'Volúmenes DIstribuidos '!C2047="azúcar"),"Azúcar o dulce",IF('Volúmenes DIstribuidos '!C2047="Aceite","Aceite o grasas",IF('Volúmenes DIstribuidos '!C2047="Avena","Otros almidones",'Volúmenes DIstribuidos '!C2047)))</f>
        <v>Carnes rojas</v>
      </c>
      <c r="C3252" s="10" t="s">
        <v>29</v>
      </c>
      <c r="D3252" s="12">
        <f>'Volúmenes DIstribuidos '!D2047</f>
        <v>31.09</v>
      </c>
      <c r="E3252" s="12">
        <f>SUMIF('Parametros Inventario'!$A:$A,B3252,'Parametros Inventario'!$B:$B)+SUMIFS(D$2:D3252,B$2:B3252,B3252,C$2:C3252,"ENTRADA")-SUMIFS(D$2:D3252,B$2:B3252,B3252,C$2:C3252,"SALIDA")</f>
        <v>14717.258999999998</v>
      </c>
    </row>
    <row r="3253" spans="1:5" x14ac:dyDescent="0.3">
      <c r="A3253" s="9">
        <f>'Volúmenes DIstribuidos '!B2043</f>
        <v>45237</v>
      </c>
      <c r="B3253" s="10" t="str">
        <f>IF(OR('Volúmenes DIstribuidos '!C2048="Azúcar",'Volúmenes DIstribuidos '!C2048="azúcar"),"Azúcar o dulce",IF('Volúmenes DIstribuidos '!C2048="Aceite","Aceite o grasas",IF('Volúmenes DIstribuidos '!C2048="Avena","Otros almidones",'Volúmenes DIstribuidos '!C2048)))</f>
        <v>Salsas</v>
      </c>
      <c r="C3253" s="10" t="s">
        <v>29</v>
      </c>
      <c r="D3253" s="12">
        <f>'Volúmenes DIstribuidos '!D2048</f>
        <v>73.790000000000006</v>
      </c>
      <c r="E3253" s="12">
        <f>SUMIF('Parametros Inventario'!$A:$A,B3253,'Parametros Inventario'!$B:$B)+SUMIFS(D$2:D3253,B$2:B3253,B3253,C$2:C3253,"ENTRADA")-SUMIFS(D$2:D3253,B$2:B3253,B3253,C$2:C3253,"SALIDA")</f>
        <v>13820.594999999994</v>
      </c>
    </row>
    <row r="3254" spans="1:5" x14ac:dyDescent="0.3">
      <c r="A3254" s="9">
        <v>45240</v>
      </c>
      <c r="B3254" s="10" t="s">
        <v>17</v>
      </c>
      <c r="C3254" s="10" t="s">
        <v>28</v>
      </c>
      <c r="D3254" s="12">
        <v>98.91</v>
      </c>
      <c r="E3254" s="12">
        <f>SUMIF('Parametros Inventario'!$A:$A,B3254,'Parametros Inventario'!$B:$B)+SUMIFS(D$2:D3254,B$2:B3254,B3254,C$2:C3254,"ENTRADA")-SUMIFS(D$2:D3254,B$2:B3254,B3254,C$2:C3254,"SALIDA")</f>
        <v>13150.905999999995</v>
      </c>
    </row>
    <row r="3255" spans="1:5" x14ac:dyDescent="0.3">
      <c r="A3255" s="9">
        <v>45240</v>
      </c>
      <c r="B3255" s="10" t="s">
        <v>18</v>
      </c>
      <c r="C3255" s="10" t="s">
        <v>28</v>
      </c>
      <c r="D3255" s="12">
        <v>212.81</v>
      </c>
      <c r="E3255" s="12">
        <f>SUMIF('Parametros Inventario'!$A:$A,B3255,'Parametros Inventario'!$B:$B)+SUMIFS(D$2:D3255,B$2:B3255,B3255,C$2:C3255,"ENTRADA")-SUMIFS(D$2:D3255,B$2:B3255,B3255,C$2:C3255,"SALIDA")</f>
        <v>14033.404999999995</v>
      </c>
    </row>
    <row r="3256" spans="1:5" x14ac:dyDescent="0.3">
      <c r="A3256" s="9">
        <v>45240</v>
      </c>
      <c r="B3256" s="10" t="s">
        <v>10</v>
      </c>
      <c r="C3256" s="10" t="s">
        <v>28</v>
      </c>
      <c r="D3256" s="12">
        <v>140.56</v>
      </c>
      <c r="E3256" s="12">
        <f>SUMIF('Parametros Inventario'!$A:$A,B3256,'Parametros Inventario'!$B:$B)+SUMIFS(D$2:D3256,B$2:B3256,B3256,C$2:C3256,"ENTRADA")-SUMIFS(D$2:D3256,B$2:B3256,B3256,C$2:C3256,"SALIDA")</f>
        <v>15516.289999999994</v>
      </c>
    </row>
    <row r="3257" spans="1:5" x14ac:dyDescent="0.3">
      <c r="A3257" s="9">
        <v>45240</v>
      </c>
      <c r="B3257" s="10" t="s">
        <v>8</v>
      </c>
      <c r="C3257" s="10" t="s">
        <v>28</v>
      </c>
      <c r="D3257" s="12">
        <v>264.04000000000002</v>
      </c>
      <c r="E3257" s="12">
        <f>SUMIF('Parametros Inventario'!$A:$A,B3257,'Parametros Inventario'!$B:$B)+SUMIFS(D$2:D3257,B$2:B3257,B3257,C$2:C3257,"ENTRADA")-SUMIFS(D$2:D3257,B$2:B3257,B3257,C$2:C3257,"SALIDA")</f>
        <v>14205.857000000004</v>
      </c>
    </row>
    <row r="3258" spans="1:5" x14ac:dyDescent="0.3">
      <c r="A3258" s="9">
        <v>45240</v>
      </c>
      <c r="B3258" s="10" t="s">
        <v>13</v>
      </c>
      <c r="C3258" s="10" t="s">
        <v>28</v>
      </c>
      <c r="D3258" s="12">
        <v>75.489999999999995</v>
      </c>
      <c r="E3258" s="12">
        <f>SUMIF('Parametros Inventario'!$A:$A,B3258,'Parametros Inventario'!$B:$B)+SUMIFS(D$2:D3258,B$2:B3258,B3258,C$2:C3258,"ENTRADA")-SUMIFS(D$2:D3258,B$2:B3258,B3258,C$2:C3258,"SALIDA")</f>
        <v>14244.024000000005</v>
      </c>
    </row>
    <row r="3259" spans="1:5" x14ac:dyDescent="0.3">
      <c r="A3259" s="9">
        <v>45240</v>
      </c>
      <c r="B3259" s="10" t="s">
        <v>15</v>
      </c>
      <c r="C3259" s="10" t="s">
        <v>28</v>
      </c>
      <c r="D3259" s="12">
        <v>246.37</v>
      </c>
      <c r="E3259" s="12">
        <f>SUMIF('Parametros Inventario'!$A:$A,B3259,'Parametros Inventario'!$B:$B)+SUMIFS(D$2:D3259,B$2:B3259,B3259,C$2:C3259,"ENTRADA")-SUMIFS(D$2:D3259,B$2:B3259,B3259,C$2:C3259,"SALIDA")</f>
        <v>15946.345000000001</v>
      </c>
    </row>
    <row r="3260" spans="1:5" x14ac:dyDescent="0.3">
      <c r="A3260" s="9">
        <v>45240</v>
      </c>
      <c r="B3260" s="10" t="s">
        <v>11</v>
      </c>
      <c r="C3260" s="10" t="s">
        <v>28</v>
      </c>
      <c r="D3260" s="12">
        <v>264.61</v>
      </c>
      <c r="E3260" s="12">
        <f>SUMIF('Parametros Inventario'!$A:$A,B3260,'Parametros Inventario'!$B:$B)+SUMIFS(D$2:D3260,B$2:B3260,B3260,C$2:C3260,"ENTRADA")-SUMIFS(D$2:D3260,B$2:B3260,B3260,C$2:C3260,"SALIDA")</f>
        <v>16478.579000000002</v>
      </c>
    </row>
    <row r="3261" spans="1:5" x14ac:dyDescent="0.3">
      <c r="A3261" s="9">
        <v>45240</v>
      </c>
      <c r="B3261" s="10" t="s">
        <v>9</v>
      </c>
      <c r="C3261" s="10" t="s">
        <v>28</v>
      </c>
      <c r="D3261" s="12">
        <v>144.13999999999999</v>
      </c>
      <c r="E3261" s="12">
        <f>SUMIF('Parametros Inventario'!$A:$A,B3261,'Parametros Inventario'!$B:$B)+SUMIFS(D$2:D3261,B$2:B3261,B3261,C$2:C3261,"ENTRADA")-SUMIFS(D$2:D3261,B$2:B3261,B3261,C$2:C3261,"SALIDA")</f>
        <v>13039.679</v>
      </c>
    </row>
    <row r="3262" spans="1:5" x14ac:dyDescent="0.3">
      <c r="A3262" s="9">
        <f>'Volúmenes DIstribuidos '!B2049</f>
        <v>45240</v>
      </c>
      <c r="B3262" s="10" t="str">
        <f>IF(OR('Volúmenes DIstribuidos '!C2049="Azúcar",'Volúmenes DIstribuidos '!C2049="azúcar"),"Azúcar o dulce",IF('Volúmenes DIstribuidos '!C2049="Aceite","Aceite o grasas",IF('Volúmenes DIstribuidos '!C2049="Avena","Otros almidones",'Volúmenes DIstribuidos '!C2049)))</f>
        <v>Menestras</v>
      </c>
      <c r="C3262" s="10" t="s">
        <v>29</v>
      </c>
      <c r="D3262" s="12">
        <f>'Volúmenes DIstribuidos '!D2049</f>
        <v>11.497999999999999</v>
      </c>
      <c r="E3262" s="12">
        <f>SUMIF('Parametros Inventario'!$A:$A,B3262,'Parametros Inventario'!$B:$B)+SUMIFS(D$2:D3262,B$2:B3262,B3262,C$2:C3262,"ENTRADA")-SUMIFS(D$2:D3262,B$2:B3262,B3262,C$2:C3262,"SALIDA")</f>
        <v>15098.485000000008</v>
      </c>
    </row>
    <row r="3263" spans="1:5" x14ac:dyDescent="0.3">
      <c r="A3263" s="9">
        <f>'Volúmenes DIstribuidos '!B2049</f>
        <v>45240</v>
      </c>
      <c r="B3263" s="10" t="str">
        <f>IF(OR('Volúmenes DIstribuidos '!C2050="Azúcar",'Volúmenes DIstribuidos '!C2050="azúcar"),"Azúcar o dulce",IF('Volúmenes DIstribuidos '!C2050="Aceite","Aceite o grasas",IF('Volúmenes DIstribuidos '!C2050="Avena","Otros almidones",'Volúmenes DIstribuidos '!C2050)))</f>
        <v>Lácteos</v>
      </c>
      <c r="C3263" s="10" t="s">
        <v>29</v>
      </c>
      <c r="D3263" s="12">
        <f>'Volúmenes DIstribuidos '!D2050</f>
        <v>4.43</v>
      </c>
      <c r="E3263" s="12">
        <f>SUMIF('Parametros Inventario'!$A:$A,B3263,'Parametros Inventario'!$B:$B)+SUMIFS(D$2:D3263,B$2:B3263,B3263,C$2:C3263,"ENTRADA")-SUMIFS(D$2:D3263,B$2:B3263,B3263,C$2:C3263,"SALIDA")</f>
        <v>13146.475999999995</v>
      </c>
    </row>
    <row r="3264" spans="1:5" x14ac:dyDescent="0.3">
      <c r="A3264" s="9">
        <f>'Volúmenes DIstribuidos '!B2049</f>
        <v>45240</v>
      </c>
      <c r="B3264" s="10" t="str">
        <f>IF(OR('Volúmenes DIstribuidos '!C2051="Azúcar",'Volúmenes DIstribuidos '!C2051="azúcar"),"Azúcar o dulce",IF('Volúmenes DIstribuidos '!C2051="Aceite","Aceite o grasas",IF('Volúmenes DIstribuidos '!C2051="Avena","Otros almidones",'Volúmenes DIstribuidos '!C2051)))</f>
        <v>Salsas</v>
      </c>
      <c r="C3264" s="10" t="s">
        <v>29</v>
      </c>
      <c r="D3264" s="12">
        <f>'Volúmenes DIstribuidos '!D2051</f>
        <v>15.15</v>
      </c>
      <c r="E3264" s="12">
        <f>SUMIF('Parametros Inventario'!$A:$A,B3264,'Parametros Inventario'!$B:$B)+SUMIFS(D$2:D3264,B$2:B3264,B3264,C$2:C3264,"ENTRADA")-SUMIFS(D$2:D3264,B$2:B3264,B3264,C$2:C3264,"SALIDA")</f>
        <v>14018.254999999997</v>
      </c>
    </row>
    <row r="3265" spans="1:5" x14ac:dyDescent="0.3">
      <c r="A3265" s="9">
        <f>'Volúmenes DIstribuidos '!B2049</f>
        <v>45240</v>
      </c>
      <c r="B3265" s="10" t="str">
        <f>IF(OR('Volúmenes DIstribuidos '!C2052="Azúcar",'Volúmenes DIstribuidos '!C2052="azúcar"),"Azúcar o dulce",IF('Volúmenes DIstribuidos '!C2052="Aceite","Aceite o grasas",IF('Volúmenes DIstribuidos '!C2052="Avena","Otros almidones",'Volúmenes DIstribuidos '!C2052)))</f>
        <v>Otros almidones</v>
      </c>
      <c r="C3265" s="10" t="s">
        <v>29</v>
      </c>
      <c r="D3265" s="12">
        <f>'Volúmenes DIstribuidos '!D2052</f>
        <v>44.491999999999997</v>
      </c>
      <c r="E3265" s="12">
        <f>SUMIF('Parametros Inventario'!$A:$A,B3265,'Parametros Inventario'!$B:$B)+SUMIFS(D$2:D3265,B$2:B3265,B3265,C$2:C3265,"ENTRADA")-SUMIFS(D$2:D3265,B$2:B3265,B3265,C$2:C3265,"SALIDA")</f>
        <v>15901.853000000001</v>
      </c>
    </row>
    <row r="3266" spans="1:5" x14ac:dyDescent="0.3">
      <c r="A3266" s="9">
        <f>'Volúmenes DIstribuidos '!B2049</f>
        <v>45240</v>
      </c>
      <c r="B3266" s="10" t="str">
        <f>IF(OR('Volúmenes DIstribuidos '!C2053="Azúcar",'Volúmenes DIstribuidos '!C2053="azúcar"),"Azúcar o dulce",IF('Volúmenes DIstribuidos '!C2053="Aceite","Aceite o grasas",IF('Volúmenes DIstribuidos '!C2053="Avena","Otros almidones",'Volúmenes DIstribuidos '!C2053)))</f>
        <v>Panadería</v>
      </c>
      <c r="C3266" s="10" t="s">
        <v>29</v>
      </c>
      <c r="D3266" s="12">
        <f>'Volúmenes DIstribuidos '!D2053</f>
        <v>26.33</v>
      </c>
      <c r="E3266" s="12">
        <f>SUMIF('Parametros Inventario'!$A:$A,B3266,'Parametros Inventario'!$B:$B)+SUMIFS(D$2:D3266,B$2:B3266,B3266,C$2:C3266,"ENTRADA")-SUMIFS(D$2:D3266,B$2:B3266,B3266,C$2:C3266,"SALIDA")</f>
        <v>13013.349000000002</v>
      </c>
    </row>
    <row r="3267" spans="1:5" x14ac:dyDescent="0.3">
      <c r="A3267" s="9">
        <f>'Volúmenes DIstribuidos '!B2049</f>
        <v>45240</v>
      </c>
      <c r="B3267" s="10" t="str">
        <f>IF(OR('Volúmenes DIstribuidos '!C2054="Azúcar",'Volúmenes DIstribuidos '!C2054="azúcar"),"Azúcar o dulce",IF('Volúmenes DIstribuidos '!C2054="Aceite","Aceite o grasas",IF('Volúmenes DIstribuidos '!C2054="Avena","Otros almidones",'Volúmenes DIstribuidos '!C2054)))</f>
        <v>Carnes blancas</v>
      </c>
      <c r="C3267" s="10" t="s">
        <v>29</v>
      </c>
      <c r="D3267" s="12">
        <f>'Volúmenes DIstribuidos '!D2054</f>
        <v>9.86</v>
      </c>
      <c r="E3267" s="12">
        <f>SUMIF('Parametros Inventario'!$A:$A,B3267,'Parametros Inventario'!$B:$B)+SUMIFS(D$2:D3267,B$2:B3267,B3267,C$2:C3267,"ENTRADA")-SUMIFS(D$2:D3267,B$2:B3267,B3267,C$2:C3267,"SALIDA")</f>
        <v>15071.500999999997</v>
      </c>
    </row>
    <row r="3268" spans="1:5" x14ac:dyDescent="0.3">
      <c r="A3268" s="9">
        <f>'Volúmenes DIstribuidos '!B2055</f>
        <v>45244</v>
      </c>
      <c r="B3268" s="10" t="str">
        <f>IF(OR('Volúmenes DIstribuidos '!C2055="Azúcar",'Volúmenes DIstribuidos '!C2055="azúcar"),"Azúcar o dulce",IF('Volúmenes DIstribuidos '!C2055="Aceite","Aceite o grasas",IF('Volúmenes DIstribuidos '!C2055="Avena","Otros almidones",'Volúmenes DIstribuidos '!C2055)))</f>
        <v>Lácteos</v>
      </c>
      <c r="C3268" s="10" t="s">
        <v>29</v>
      </c>
      <c r="D3268" s="12">
        <f>'Volúmenes DIstribuidos '!D2055</f>
        <v>25.97</v>
      </c>
      <c r="E3268" s="12">
        <f>SUMIF('Parametros Inventario'!$A:$A,B3268,'Parametros Inventario'!$B:$B)+SUMIFS(D$2:D3268,B$2:B3268,B3268,C$2:C3268,"ENTRADA")-SUMIFS(D$2:D3268,B$2:B3268,B3268,C$2:C3268,"SALIDA")</f>
        <v>13120.505999999996</v>
      </c>
    </row>
    <row r="3269" spans="1:5" x14ac:dyDescent="0.3">
      <c r="A3269" s="9">
        <f>'Volúmenes DIstribuidos '!B2055</f>
        <v>45244</v>
      </c>
      <c r="B3269" s="10" t="str">
        <f>IF(OR('Volúmenes DIstribuidos '!C2056="Azúcar",'Volúmenes DIstribuidos '!C2056="azúcar"),"Azúcar o dulce",IF('Volúmenes DIstribuidos '!C2056="Aceite","Aceite o grasas",IF('Volúmenes DIstribuidos '!C2056="Avena","Otros almidones",'Volúmenes DIstribuidos '!C2056)))</f>
        <v>Aceite o grasas</v>
      </c>
      <c r="C3269" s="10" t="s">
        <v>29</v>
      </c>
      <c r="D3269" s="12">
        <f>'Volúmenes DIstribuidos '!D2056</f>
        <v>10.746</v>
      </c>
      <c r="E3269" s="12">
        <f>SUMIF('Parametros Inventario'!$A:$A,B3269,'Parametros Inventario'!$B:$B)+SUMIFS(D$2:D3269,B$2:B3269,B3269,C$2:C3269,"ENTRADA")-SUMIFS(D$2:D3269,B$2:B3269,B3269,C$2:C3269,"SALIDA")</f>
        <v>14195.111000000004</v>
      </c>
    </row>
    <row r="3270" spans="1:5" x14ac:dyDescent="0.3">
      <c r="A3270" s="9">
        <f>'Volúmenes DIstribuidos '!B2055</f>
        <v>45244</v>
      </c>
      <c r="B3270" s="10" t="str">
        <f>IF(OR('Volúmenes DIstribuidos '!C2057="Azúcar",'Volúmenes DIstribuidos '!C2057="azúcar"),"Azúcar o dulce",IF('Volúmenes DIstribuidos '!C2057="Aceite","Aceite o grasas",IF('Volúmenes DIstribuidos '!C2057="Avena","Otros almidones",'Volúmenes DIstribuidos '!C2057)))</f>
        <v>Panadería</v>
      </c>
      <c r="C3270" s="10" t="s">
        <v>29</v>
      </c>
      <c r="D3270" s="12">
        <f>'Volúmenes DIstribuidos '!D2057</f>
        <v>8.77</v>
      </c>
      <c r="E3270" s="12">
        <f>SUMIF('Parametros Inventario'!$A:$A,B3270,'Parametros Inventario'!$B:$B)+SUMIFS(D$2:D3270,B$2:B3270,B3270,C$2:C3270,"ENTRADA")-SUMIFS(D$2:D3270,B$2:B3270,B3270,C$2:C3270,"SALIDA")</f>
        <v>13004.579000000002</v>
      </c>
    </row>
    <row r="3271" spans="1:5" x14ac:dyDescent="0.3">
      <c r="A3271" s="9">
        <f>'Volúmenes DIstribuidos '!B2055</f>
        <v>45244</v>
      </c>
      <c r="B3271" s="10" t="str">
        <f>IF(OR('Volúmenes DIstribuidos '!C2058="Azúcar",'Volúmenes DIstribuidos '!C2058="azúcar"),"Azúcar o dulce",IF('Volúmenes DIstribuidos '!C2058="Aceite","Aceite o grasas",IF('Volúmenes DIstribuidos '!C2058="Avena","Otros almidones",'Volúmenes DIstribuidos '!C2058)))</f>
        <v>Carnes blancas</v>
      </c>
      <c r="C3271" s="10" t="s">
        <v>29</v>
      </c>
      <c r="D3271" s="12">
        <f>'Volúmenes DIstribuidos '!D2058</f>
        <v>25.39</v>
      </c>
      <c r="E3271" s="12">
        <f>SUMIF('Parametros Inventario'!$A:$A,B3271,'Parametros Inventario'!$B:$B)+SUMIFS(D$2:D3271,B$2:B3271,B3271,C$2:C3271,"ENTRADA")-SUMIFS(D$2:D3271,B$2:B3271,B3271,C$2:C3271,"SALIDA")</f>
        <v>15046.110999999995</v>
      </c>
    </row>
    <row r="3272" spans="1:5" x14ac:dyDescent="0.3">
      <c r="A3272" s="9">
        <f>'Volúmenes DIstribuidos '!B2055</f>
        <v>45244</v>
      </c>
      <c r="B3272" s="10" t="str">
        <f>IF(OR('Volúmenes DIstribuidos '!C2059="Azúcar",'Volúmenes DIstribuidos '!C2059="azúcar"),"Azúcar o dulce",IF('Volúmenes DIstribuidos '!C2059="Aceite","Aceite o grasas",IF('Volúmenes DIstribuidos '!C2059="Avena","Otros almidones",'Volúmenes DIstribuidos '!C2059)))</f>
        <v>Otros almidones</v>
      </c>
      <c r="C3272" s="10" t="s">
        <v>29</v>
      </c>
      <c r="D3272" s="12">
        <f>'Volúmenes DIstribuidos '!D2059</f>
        <v>20.76</v>
      </c>
      <c r="E3272" s="12">
        <f>SUMIF('Parametros Inventario'!$A:$A,B3272,'Parametros Inventario'!$B:$B)+SUMIFS(D$2:D3272,B$2:B3272,B3272,C$2:C3272,"ENTRADA")-SUMIFS(D$2:D3272,B$2:B3272,B3272,C$2:C3272,"SALIDA")</f>
        <v>15881.093000000001</v>
      </c>
    </row>
    <row r="3273" spans="1:5" x14ac:dyDescent="0.3">
      <c r="A3273" s="9">
        <f>'Volúmenes DIstribuidos '!B2055</f>
        <v>45244</v>
      </c>
      <c r="B3273" s="10" t="str">
        <f>IF(OR('Volúmenes DIstribuidos '!C2060="Azúcar",'Volúmenes DIstribuidos '!C2060="azúcar"),"Azúcar o dulce",IF('Volúmenes DIstribuidos '!C2060="Aceite","Aceite o grasas",IF('Volúmenes DIstribuidos '!C2060="Avena","Otros almidones",'Volúmenes DIstribuidos '!C2060)))</f>
        <v>Fideo</v>
      </c>
      <c r="C3273" s="10" t="s">
        <v>29</v>
      </c>
      <c r="D3273" s="12">
        <f>'Volúmenes DIstribuidos '!D2060</f>
        <v>19.21</v>
      </c>
      <c r="E3273" s="12">
        <f>SUMIF('Parametros Inventario'!$A:$A,B3273,'Parametros Inventario'!$B:$B)+SUMIFS(D$2:D3273,B$2:B3273,B3273,C$2:C3273,"ENTRADA")-SUMIFS(D$2:D3273,B$2:B3273,B3273,C$2:C3273,"SALIDA")</f>
        <v>16459.368999999999</v>
      </c>
    </row>
    <row r="3274" spans="1:5" x14ac:dyDescent="0.3">
      <c r="A3274" s="9">
        <v>45247</v>
      </c>
      <c r="B3274" s="10" t="s">
        <v>14</v>
      </c>
      <c r="C3274" s="10" t="s">
        <v>28</v>
      </c>
      <c r="D3274" s="12">
        <v>295.68</v>
      </c>
      <c r="E3274" s="12">
        <f>SUMIF('Parametros Inventario'!$A:$A,B3274,'Parametros Inventario'!$B:$B)+SUMIFS(D$2:D3274,B$2:B3274,B3274,C$2:C3274,"ENTRADA")-SUMIFS(D$2:D3274,B$2:B3274,B3274,C$2:C3274,"SALIDA")</f>
        <v>15394.165000000008</v>
      </c>
    </row>
    <row r="3275" spans="1:5" x14ac:dyDescent="0.3">
      <c r="A3275" s="9">
        <v>45247</v>
      </c>
      <c r="B3275" s="10" t="s">
        <v>12</v>
      </c>
      <c r="C3275" s="10" t="s">
        <v>28</v>
      </c>
      <c r="D3275" s="12">
        <v>219.86</v>
      </c>
      <c r="E3275" s="12">
        <f>SUMIF('Parametros Inventario'!$A:$A,B3275,'Parametros Inventario'!$B:$B)+SUMIFS(D$2:D3275,B$2:B3275,B3275,C$2:C3275,"ENTRADA")-SUMIFS(D$2:D3275,B$2:B3275,B3275,C$2:C3275,"SALIDA")</f>
        <v>14937.118999999999</v>
      </c>
    </row>
    <row r="3276" spans="1:5" x14ac:dyDescent="0.3">
      <c r="A3276" s="9">
        <v>45247</v>
      </c>
      <c r="B3276" s="10" t="s">
        <v>16</v>
      </c>
      <c r="C3276" s="10" t="s">
        <v>28</v>
      </c>
      <c r="D3276" s="12">
        <v>92.06</v>
      </c>
      <c r="E3276" s="12">
        <f>SUMIF('Parametros Inventario'!$A:$A,B3276,'Parametros Inventario'!$B:$B)+SUMIFS(D$2:D3276,B$2:B3276,B3276,C$2:C3276,"ENTRADA")-SUMIFS(D$2:D3276,B$2:B3276,B3276,C$2:C3276,"SALIDA")</f>
        <v>15138.170999999997</v>
      </c>
    </row>
    <row r="3277" spans="1:5" x14ac:dyDescent="0.3">
      <c r="A3277" s="9">
        <v>45247</v>
      </c>
      <c r="B3277" s="10" t="s">
        <v>17</v>
      </c>
      <c r="C3277" s="10" t="s">
        <v>28</v>
      </c>
      <c r="D3277" s="12">
        <v>64.08</v>
      </c>
      <c r="E3277" s="12">
        <f>SUMIF('Parametros Inventario'!$A:$A,B3277,'Parametros Inventario'!$B:$B)+SUMIFS(D$2:D3277,B$2:B3277,B3277,C$2:C3277,"ENTRADA")-SUMIFS(D$2:D3277,B$2:B3277,B3277,C$2:C3277,"SALIDA")</f>
        <v>13184.585999999998</v>
      </c>
    </row>
    <row r="3278" spans="1:5" x14ac:dyDescent="0.3">
      <c r="A3278" s="9">
        <v>45247</v>
      </c>
      <c r="B3278" s="10" t="s">
        <v>18</v>
      </c>
      <c r="C3278" s="10" t="s">
        <v>28</v>
      </c>
      <c r="D3278" s="12">
        <v>138.9</v>
      </c>
      <c r="E3278" s="12">
        <f>SUMIF('Parametros Inventario'!$A:$A,B3278,'Parametros Inventario'!$B:$B)+SUMIFS(D$2:D3278,B$2:B3278,B3278,C$2:C3278,"ENTRADA")-SUMIFS(D$2:D3278,B$2:B3278,B3278,C$2:C3278,"SALIDA")</f>
        <v>14157.154999999999</v>
      </c>
    </row>
    <row r="3279" spans="1:5" x14ac:dyDescent="0.3">
      <c r="A3279" s="9">
        <v>45247</v>
      </c>
      <c r="B3279" s="10" t="s">
        <v>10</v>
      </c>
      <c r="C3279" s="10" t="s">
        <v>28</v>
      </c>
      <c r="D3279" s="12">
        <v>168.47</v>
      </c>
      <c r="E3279" s="12">
        <f>SUMIF('Parametros Inventario'!$A:$A,B3279,'Parametros Inventario'!$B:$B)+SUMIFS(D$2:D3279,B$2:B3279,B3279,C$2:C3279,"ENTRADA")-SUMIFS(D$2:D3279,B$2:B3279,B3279,C$2:C3279,"SALIDA")</f>
        <v>15684.759999999995</v>
      </c>
    </row>
    <row r="3280" spans="1:5" x14ac:dyDescent="0.3">
      <c r="A3280" s="9">
        <v>45247</v>
      </c>
      <c r="B3280" s="10" t="s">
        <v>8</v>
      </c>
      <c r="C3280" s="10" t="s">
        <v>28</v>
      </c>
      <c r="D3280" s="12">
        <v>286.27</v>
      </c>
      <c r="E3280" s="12">
        <f>SUMIF('Parametros Inventario'!$A:$A,B3280,'Parametros Inventario'!$B:$B)+SUMIFS(D$2:D3280,B$2:B3280,B3280,C$2:C3280,"ENTRADA")-SUMIFS(D$2:D3280,B$2:B3280,B3280,C$2:C3280,"SALIDA")</f>
        <v>14481.381000000005</v>
      </c>
    </row>
    <row r="3281" spans="1:5" x14ac:dyDescent="0.3">
      <c r="A3281" s="9">
        <v>45247</v>
      </c>
      <c r="B3281" s="10" t="s">
        <v>13</v>
      </c>
      <c r="C3281" s="10" t="s">
        <v>28</v>
      </c>
      <c r="D3281" s="12">
        <v>79.34</v>
      </c>
      <c r="E3281" s="12">
        <f>SUMIF('Parametros Inventario'!$A:$A,B3281,'Parametros Inventario'!$B:$B)+SUMIFS(D$2:D3281,B$2:B3281,B3281,C$2:C3281,"ENTRADA")-SUMIFS(D$2:D3281,B$2:B3281,B3281,C$2:C3281,"SALIDA")</f>
        <v>14323.364000000005</v>
      </c>
    </row>
    <row r="3282" spans="1:5" x14ac:dyDescent="0.3">
      <c r="A3282" s="9">
        <v>45247</v>
      </c>
      <c r="B3282" s="10" t="s">
        <v>15</v>
      </c>
      <c r="C3282" s="10" t="s">
        <v>28</v>
      </c>
      <c r="D3282" s="12">
        <v>178.86</v>
      </c>
      <c r="E3282" s="12">
        <f>SUMIF('Parametros Inventario'!$A:$A,B3282,'Parametros Inventario'!$B:$B)+SUMIFS(D$2:D3282,B$2:B3282,B3282,C$2:C3282,"ENTRADA")-SUMIFS(D$2:D3282,B$2:B3282,B3282,C$2:C3282,"SALIDA")</f>
        <v>16059.953000000001</v>
      </c>
    </row>
    <row r="3283" spans="1:5" x14ac:dyDescent="0.3">
      <c r="A3283" s="9">
        <f>'Volúmenes DIstribuidos '!B2061</f>
        <v>45247</v>
      </c>
      <c r="B3283" s="10" t="str">
        <f>IF(OR('Volúmenes DIstribuidos '!C2061="Azúcar",'Volúmenes DIstribuidos '!C2061="azúcar"),"Azúcar o dulce",IF('Volúmenes DIstribuidos '!C2061="Aceite","Aceite o grasas",IF('Volúmenes DIstribuidos '!C2061="Avena","Otros almidones",'Volúmenes DIstribuidos '!C2061)))</f>
        <v>Menestras</v>
      </c>
      <c r="C3283" s="10" t="s">
        <v>29</v>
      </c>
      <c r="D3283" s="12">
        <f>'Volúmenes DIstribuidos '!D2061</f>
        <v>7.62</v>
      </c>
      <c r="E3283" s="12">
        <f>SUMIF('Parametros Inventario'!$A:$A,B3283,'Parametros Inventario'!$B:$B)+SUMIFS(D$2:D3283,B$2:B3283,B3283,C$2:C3283,"ENTRADA")-SUMIFS(D$2:D3283,B$2:B3283,B3283,C$2:C3283,"SALIDA")</f>
        <v>15386.545000000009</v>
      </c>
    </row>
    <row r="3284" spans="1:5" x14ac:dyDescent="0.3">
      <c r="A3284" s="9">
        <f>'Volúmenes DIstribuidos '!B2061</f>
        <v>45247</v>
      </c>
      <c r="B3284" s="10" t="str">
        <f>IF(OR('Volúmenes DIstribuidos '!C2062="Azúcar",'Volúmenes DIstribuidos '!C2062="azúcar"),"Azúcar o dulce",IF('Volúmenes DIstribuidos '!C2062="Aceite","Aceite o grasas",IF('Volúmenes DIstribuidos '!C2062="Avena","Otros almidones",'Volúmenes DIstribuidos '!C2062)))</f>
        <v>Salsas</v>
      </c>
      <c r="C3284" s="10" t="s">
        <v>29</v>
      </c>
      <c r="D3284" s="12">
        <f>'Volúmenes DIstribuidos '!D2062</f>
        <v>38.948</v>
      </c>
      <c r="E3284" s="12">
        <f>SUMIF('Parametros Inventario'!$A:$A,B3284,'Parametros Inventario'!$B:$B)+SUMIFS(D$2:D3284,B$2:B3284,B3284,C$2:C3284,"ENTRADA")-SUMIFS(D$2:D3284,B$2:B3284,B3284,C$2:C3284,"SALIDA")</f>
        <v>14118.206999999999</v>
      </c>
    </row>
    <row r="3285" spans="1:5" x14ac:dyDescent="0.3">
      <c r="A3285" s="9">
        <f>'Volúmenes DIstribuidos '!B2061</f>
        <v>45247</v>
      </c>
      <c r="B3285" s="10" t="str">
        <f>IF(OR('Volúmenes DIstribuidos '!C2063="Azúcar",'Volúmenes DIstribuidos '!C2063="azúcar"),"Azúcar o dulce",IF('Volúmenes DIstribuidos '!C2063="Aceite","Aceite o grasas",IF('Volúmenes DIstribuidos '!C2063="Avena","Otros almidones",'Volúmenes DIstribuidos '!C2063)))</f>
        <v>Panadería</v>
      </c>
      <c r="C3285" s="10" t="s">
        <v>29</v>
      </c>
      <c r="D3285" s="12">
        <f>'Volúmenes DIstribuidos '!D2063</f>
        <v>21.06</v>
      </c>
      <c r="E3285" s="12">
        <f>SUMIF('Parametros Inventario'!$A:$A,B3285,'Parametros Inventario'!$B:$B)+SUMIFS(D$2:D3285,B$2:B3285,B3285,C$2:C3285,"ENTRADA")-SUMIFS(D$2:D3285,B$2:B3285,B3285,C$2:C3285,"SALIDA")</f>
        <v>12983.519</v>
      </c>
    </row>
    <row r="3286" spans="1:5" x14ac:dyDescent="0.3">
      <c r="A3286" s="9">
        <f>'Volúmenes DIstribuidos '!B2061</f>
        <v>45247</v>
      </c>
      <c r="B3286" s="10" t="str">
        <f>IF(OR('Volúmenes DIstribuidos '!C2064="Azúcar",'Volúmenes DIstribuidos '!C2064="azúcar"),"Azúcar o dulce",IF('Volúmenes DIstribuidos '!C2064="Aceite","Aceite o grasas",IF('Volúmenes DIstribuidos '!C2064="Avena","Otros almidones",'Volúmenes DIstribuidos '!C2064)))</f>
        <v>Menestras</v>
      </c>
      <c r="C3286" s="10" t="s">
        <v>29</v>
      </c>
      <c r="D3286" s="12">
        <f>'Volúmenes DIstribuidos '!D2064</f>
        <v>11.77</v>
      </c>
      <c r="E3286" s="12">
        <f>SUMIF('Parametros Inventario'!$A:$A,B3286,'Parametros Inventario'!$B:$B)+SUMIFS(D$2:D3286,B$2:B3286,B3286,C$2:C3286,"ENTRADA")-SUMIFS(D$2:D3286,B$2:B3286,B3286,C$2:C3286,"SALIDA")</f>
        <v>15374.775000000009</v>
      </c>
    </row>
    <row r="3287" spans="1:5" x14ac:dyDescent="0.3">
      <c r="A3287" s="9">
        <f>'Volúmenes DIstribuidos '!B2061</f>
        <v>45247</v>
      </c>
      <c r="B3287" s="10" t="str">
        <f>IF(OR('Volúmenes DIstribuidos '!C2065="Azúcar",'Volúmenes DIstribuidos '!C2065="azúcar"),"Azúcar o dulce",IF('Volúmenes DIstribuidos '!C2065="Aceite","Aceite o grasas",IF('Volúmenes DIstribuidos '!C2065="Avena","Otros almidones",'Volúmenes DIstribuidos '!C2065)))</f>
        <v>Aceite o grasas</v>
      </c>
      <c r="C3287" s="10" t="s">
        <v>29</v>
      </c>
      <c r="D3287" s="12">
        <f>'Volúmenes DIstribuidos '!D2065</f>
        <v>19.16</v>
      </c>
      <c r="E3287" s="12">
        <f>SUMIF('Parametros Inventario'!$A:$A,B3287,'Parametros Inventario'!$B:$B)+SUMIFS(D$2:D3287,B$2:B3287,B3287,C$2:C3287,"ENTRADA")-SUMIFS(D$2:D3287,B$2:B3287,B3287,C$2:C3287,"SALIDA")</f>
        <v>14462.221000000005</v>
      </c>
    </row>
    <row r="3288" spans="1:5" x14ac:dyDescent="0.3">
      <c r="A3288" s="9">
        <f>'Volúmenes DIstribuidos '!B2061</f>
        <v>45247</v>
      </c>
      <c r="B3288" s="10" t="str">
        <f>IF(OR('Volúmenes DIstribuidos '!C2066="Azúcar",'Volúmenes DIstribuidos '!C2066="azúcar"),"Azúcar o dulce",IF('Volúmenes DIstribuidos '!C2066="Aceite","Aceite o grasas",IF('Volúmenes DIstribuidos '!C2066="Avena","Otros almidones",'Volúmenes DIstribuidos '!C2066)))</f>
        <v>Carnes rojas</v>
      </c>
      <c r="C3288" s="10" t="s">
        <v>29</v>
      </c>
      <c r="D3288" s="12">
        <f>'Volúmenes DIstribuidos '!D2066</f>
        <v>15.757</v>
      </c>
      <c r="E3288" s="12">
        <f>SUMIF('Parametros Inventario'!$A:$A,B3288,'Parametros Inventario'!$B:$B)+SUMIFS(D$2:D3288,B$2:B3288,B3288,C$2:C3288,"ENTRADA")-SUMIFS(D$2:D3288,B$2:B3288,B3288,C$2:C3288,"SALIDA")</f>
        <v>14921.362000000001</v>
      </c>
    </row>
    <row r="3289" spans="1:5" x14ac:dyDescent="0.3">
      <c r="A3289" s="9">
        <f>'Volúmenes DIstribuidos '!B2067</f>
        <v>45251</v>
      </c>
      <c r="B3289" s="10" t="str">
        <f>IF(OR('Volúmenes DIstribuidos '!C2067="Azúcar",'Volúmenes DIstribuidos '!C2067="azúcar"),"Azúcar o dulce",IF('Volúmenes DIstribuidos '!C2067="Aceite","Aceite o grasas",IF('Volúmenes DIstribuidos '!C2067="Avena","Otros almidones",'Volúmenes DIstribuidos '!C2067)))</f>
        <v>Vegetales y hojas</v>
      </c>
      <c r="C3289" s="10" t="s">
        <v>29</v>
      </c>
      <c r="D3289" s="12">
        <f>'Volúmenes DIstribuidos '!D2067</f>
        <v>54.64</v>
      </c>
      <c r="E3289" s="12">
        <f>SUMIF('Parametros Inventario'!$A:$A,B3289,'Parametros Inventario'!$B:$B)+SUMIFS(D$2:D3289,B$2:B3289,B3289,C$2:C3289,"ENTRADA")-SUMIFS(D$2:D3289,B$2:B3289,B3289,C$2:C3289,"SALIDA")</f>
        <v>15630.119999999995</v>
      </c>
    </row>
    <row r="3290" spans="1:5" x14ac:dyDescent="0.3">
      <c r="A3290" s="9">
        <f>'Volúmenes DIstribuidos '!B2067</f>
        <v>45251</v>
      </c>
      <c r="B3290" s="10" t="str">
        <f>IF(OR('Volúmenes DIstribuidos '!C2068="Azúcar",'Volúmenes DIstribuidos '!C2068="azúcar"),"Azúcar o dulce",IF('Volúmenes DIstribuidos '!C2068="Aceite","Aceite o grasas",IF('Volúmenes DIstribuidos '!C2068="Avena","Otros almidones",'Volúmenes DIstribuidos '!C2068)))</f>
        <v>Otros almidones</v>
      </c>
      <c r="C3290" s="10" t="s">
        <v>29</v>
      </c>
      <c r="D3290" s="12">
        <f>'Volúmenes DIstribuidos '!D2068</f>
        <v>23.75</v>
      </c>
      <c r="E3290" s="12">
        <f>SUMIF('Parametros Inventario'!$A:$A,B3290,'Parametros Inventario'!$B:$B)+SUMIFS(D$2:D3290,B$2:B3290,B3290,C$2:C3290,"ENTRADA")-SUMIFS(D$2:D3290,B$2:B3290,B3290,C$2:C3290,"SALIDA")</f>
        <v>16036.203000000001</v>
      </c>
    </row>
    <row r="3291" spans="1:5" x14ac:dyDescent="0.3">
      <c r="A3291" s="9">
        <f>'Volúmenes DIstribuidos '!B2067</f>
        <v>45251</v>
      </c>
      <c r="B3291" s="10" t="str">
        <f>IF(OR('Volúmenes DIstribuidos '!C2069="Azúcar",'Volúmenes DIstribuidos '!C2069="azúcar"),"Azúcar o dulce",IF('Volúmenes DIstribuidos '!C2069="Aceite","Aceite o grasas",IF('Volúmenes DIstribuidos '!C2069="Avena","Otros almidones",'Volúmenes DIstribuidos '!C2069)))</f>
        <v>Aceite o grasas</v>
      </c>
      <c r="C3291" s="10" t="s">
        <v>29</v>
      </c>
      <c r="D3291" s="12">
        <f>'Volúmenes DIstribuidos '!D2069</f>
        <v>4.6189999999999998</v>
      </c>
      <c r="E3291" s="12">
        <f>SUMIF('Parametros Inventario'!$A:$A,B3291,'Parametros Inventario'!$B:$B)+SUMIFS(D$2:D3291,B$2:B3291,B3291,C$2:C3291,"ENTRADA")-SUMIFS(D$2:D3291,B$2:B3291,B3291,C$2:C3291,"SALIDA")</f>
        <v>14457.602000000006</v>
      </c>
    </row>
    <row r="3292" spans="1:5" x14ac:dyDescent="0.3">
      <c r="A3292" s="9">
        <f>'Volúmenes DIstribuidos '!B2067</f>
        <v>45251</v>
      </c>
      <c r="B3292" s="10" t="str">
        <f>IF(OR('Volúmenes DIstribuidos '!C2070="Azúcar",'Volúmenes DIstribuidos '!C2070="azúcar"),"Azúcar o dulce",IF('Volúmenes DIstribuidos '!C2070="Aceite","Aceite o grasas",IF('Volúmenes DIstribuidos '!C2070="Avena","Otros almidones",'Volúmenes DIstribuidos '!C2070)))</f>
        <v>Vegetales y hojas</v>
      </c>
      <c r="C3292" s="10" t="s">
        <v>29</v>
      </c>
      <c r="D3292" s="12">
        <f>'Volúmenes DIstribuidos '!D2070</f>
        <v>19.489999999999998</v>
      </c>
      <c r="E3292" s="12">
        <f>SUMIF('Parametros Inventario'!$A:$A,B3292,'Parametros Inventario'!$B:$B)+SUMIFS(D$2:D3292,B$2:B3292,B3292,C$2:C3292,"ENTRADA")-SUMIFS(D$2:D3292,B$2:B3292,B3292,C$2:C3292,"SALIDA")</f>
        <v>15610.629999999996</v>
      </c>
    </row>
    <row r="3293" spans="1:5" x14ac:dyDescent="0.3">
      <c r="A3293" s="9">
        <f>'Volúmenes DIstribuidos '!B2067</f>
        <v>45251</v>
      </c>
      <c r="B3293" s="10" t="str">
        <f>IF(OR('Volúmenes DIstribuidos '!C2071="Azúcar",'Volúmenes DIstribuidos '!C2071="azúcar"),"Azúcar o dulce",IF('Volúmenes DIstribuidos '!C2071="Aceite","Aceite o grasas",IF('Volúmenes DIstribuidos '!C2071="Avena","Otros almidones",'Volúmenes DIstribuidos '!C2071)))</f>
        <v>Lácteos</v>
      </c>
      <c r="C3293" s="10" t="s">
        <v>29</v>
      </c>
      <c r="D3293" s="12">
        <f>'Volúmenes DIstribuidos '!D2071</f>
        <v>19.16</v>
      </c>
      <c r="E3293" s="12">
        <f>SUMIF('Parametros Inventario'!$A:$A,B3293,'Parametros Inventario'!$B:$B)+SUMIFS(D$2:D3293,B$2:B3293,B3293,C$2:C3293,"ENTRADA")-SUMIFS(D$2:D3293,B$2:B3293,B3293,C$2:C3293,"SALIDA")</f>
        <v>13165.425999999998</v>
      </c>
    </row>
    <row r="3294" spans="1:5" x14ac:dyDescent="0.3">
      <c r="A3294" s="9">
        <f>'Volúmenes DIstribuidos '!B2067</f>
        <v>45251</v>
      </c>
      <c r="B3294" s="10" t="str">
        <f>IF(OR('Volúmenes DIstribuidos '!C2072="Azúcar",'Volúmenes DIstribuidos '!C2072="azúcar"),"Azúcar o dulce",IF('Volúmenes DIstribuidos '!C2072="Aceite","Aceite o grasas",IF('Volúmenes DIstribuidos '!C2072="Avena","Otros almidones",'Volúmenes DIstribuidos '!C2072)))</f>
        <v>Carnes rojas</v>
      </c>
      <c r="C3294" s="10" t="s">
        <v>29</v>
      </c>
      <c r="D3294" s="12">
        <f>'Volúmenes DIstribuidos '!D2072</f>
        <v>38.037999999999997</v>
      </c>
      <c r="E3294" s="12">
        <f>SUMIF('Parametros Inventario'!$A:$A,B3294,'Parametros Inventario'!$B:$B)+SUMIFS(D$2:D3294,B$2:B3294,B3294,C$2:C3294,"ENTRADA")-SUMIFS(D$2:D3294,B$2:B3294,B3294,C$2:C3294,"SALIDA")</f>
        <v>14883.324000000001</v>
      </c>
    </row>
    <row r="3295" spans="1:5" x14ac:dyDescent="0.3">
      <c r="A3295" s="9">
        <f>'Volúmenes DIstribuidos '!B2073</f>
        <v>45254</v>
      </c>
      <c r="B3295" s="10" t="str">
        <f>IF(OR('Volúmenes DIstribuidos '!C2073="Azúcar",'Volúmenes DIstribuidos '!C2073="azúcar"),"Azúcar o dulce",IF('Volúmenes DIstribuidos '!C2073="Aceite","Aceite o grasas",IF('Volúmenes DIstribuidos '!C2073="Avena","Otros almidones",'Volúmenes DIstribuidos '!C2073)))</f>
        <v>Vegetales y hojas</v>
      </c>
      <c r="C3295" s="10" t="s">
        <v>29</v>
      </c>
      <c r="D3295" s="12">
        <f>'Volúmenes DIstribuidos '!D2073</f>
        <v>136.02000000000001</v>
      </c>
      <c r="E3295" s="12">
        <f>SUMIF('Parametros Inventario'!$A:$A,B3295,'Parametros Inventario'!$B:$B)+SUMIFS(D$2:D3295,B$2:B3295,B3295,C$2:C3295,"ENTRADA")-SUMIFS(D$2:D3295,B$2:B3295,B3295,C$2:C3295,"SALIDA")</f>
        <v>15474.609999999995</v>
      </c>
    </row>
    <row r="3296" spans="1:5" x14ac:dyDescent="0.3">
      <c r="A3296" s="9">
        <f>'Volúmenes DIstribuidos '!B2073</f>
        <v>45254</v>
      </c>
      <c r="B3296" s="10" t="str">
        <f>IF(OR('Volúmenes DIstribuidos '!C2074="Azúcar",'Volúmenes DIstribuidos '!C2074="azúcar"),"Azúcar o dulce",IF('Volúmenes DIstribuidos '!C2074="Aceite","Aceite o grasas",IF('Volúmenes DIstribuidos '!C2074="Avena","Otros almidones",'Volúmenes DIstribuidos '!C2074)))</f>
        <v>Fideo</v>
      </c>
      <c r="C3296" s="10" t="s">
        <v>29</v>
      </c>
      <c r="D3296" s="12">
        <f>'Volúmenes DIstribuidos '!D2074</f>
        <v>11.77</v>
      </c>
      <c r="E3296" s="12">
        <f>SUMIF('Parametros Inventario'!$A:$A,B3296,'Parametros Inventario'!$B:$B)+SUMIFS(D$2:D3296,B$2:B3296,B3296,C$2:C3296,"ENTRADA")-SUMIFS(D$2:D3296,B$2:B3296,B3296,C$2:C3296,"SALIDA")</f>
        <v>16447.599000000002</v>
      </c>
    </row>
    <row r="3297" spans="1:5" x14ac:dyDescent="0.3">
      <c r="A3297" s="9">
        <f>'Volúmenes DIstribuidos '!B2073</f>
        <v>45254</v>
      </c>
      <c r="B3297" s="10" t="str">
        <f>IF(OR('Volúmenes DIstribuidos '!C2075="Azúcar",'Volúmenes DIstribuidos '!C2075="azúcar"),"Azúcar o dulce",IF('Volúmenes DIstribuidos '!C2075="Aceite","Aceite o grasas",IF('Volúmenes DIstribuidos '!C2075="Avena","Otros almidones",'Volúmenes DIstribuidos '!C2075)))</f>
        <v>Salsas</v>
      </c>
      <c r="C3297" s="10" t="s">
        <v>29</v>
      </c>
      <c r="D3297" s="12">
        <f>'Volúmenes DIstribuidos '!D2075</f>
        <v>43.81</v>
      </c>
      <c r="E3297" s="12">
        <f>SUMIF('Parametros Inventario'!$A:$A,B3297,'Parametros Inventario'!$B:$B)+SUMIFS(D$2:D3297,B$2:B3297,B3297,C$2:C3297,"ENTRADA")-SUMIFS(D$2:D3297,B$2:B3297,B3297,C$2:C3297,"SALIDA")</f>
        <v>14074.396999999997</v>
      </c>
    </row>
    <row r="3298" spans="1:5" x14ac:dyDescent="0.3">
      <c r="A3298" s="9">
        <f>'Volúmenes DIstribuidos '!B2073</f>
        <v>45254</v>
      </c>
      <c r="B3298" s="10" t="str">
        <f>IF(OR('Volúmenes DIstribuidos '!C2076="Azúcar",'Volúmenes DIstribuidos '!C2076="azúcar"),"Azúcar o dulce",IF('Volúmenes DIstribuidos '!C2076="Aceite","Aceite o grasas",IF('Volúmenes DIstribuidos '!C2076="Avena","Otros almidones",'Volúmenes DIstribuidos '!C2076)))</f>
        <v>Menestras</v>
      </c>
      <c r="C3298" s="10" t="s">
        <v>29</v>
      </c>
      <c r="D3298" s="12">
        <f>'Volúmenes DIstribuidos '!D2076</f>
        <v>45.78</v>
      </c>
      <c r="E3298" s="12">
        <f>SUMIF('Parametros Inventario'!$A:$A,B3298,'Parametros Inventario'!$B:$B)+SUMIFS(D$2:D3298,B$2:B3298,B3298,C$2:C3298,"ENTRADA")-SUMIFS(D$2:D3298,B$2:B3298,B3298,C$2:C3298,"SALIDA")</f>
        <v>15328.995000000008</v>
      </c>
    </row>
    <row r="3299" spans="1:5" x14ac:dyDescent="0.3">
      <c r="A3299" s="9">
        <f>'Volúmenes DIstribuidos '!B2073</f>
        <v>45254</v>
      </c>
      <c r="B3299" s="10" t="str">
        <f>IF(OR('Volúmenes DIstribuidos '!C2077="Azúcar",'Volúmenes DIstribuidos '!C2077="azúcar"),"Azúcar o dulce",IF('Volúmenes DIstribuidos '!C2077="Aceite","Aceite o grasas",IF('Volúmenes DIstribuidos '!C2077="Avena","Otros almidones",'Volúmenes DIstribuidos '!C2077)))</f>
        <v>Panadería</v>
      </c>
      <c r="C3299" s="10" t="s">
        <v>29</v>
      </c>
      <c r="D3299" s="12">
        <f>'Volúmenes DIstribuidos '!D2077</f>
        <v>89.4</v>
      </c>
      <c r="E3299" s="12">
        <f>SUMIF('Parametros Inventario'!$A:$A,B3299,'Parametros Inventario'!$B:$B)+SUMIFS(D$2:D3299,B$2:B3299,B3299,C$2:C3299,"ENTRADA")-SUMIFS(D$2:D3299,B$2:B3299,B3299,C$2:C3299,"SALIDA")</f>
        <v>12894.119000000001</v>
      </c>
    </row>
    <row r="3300" spans="1:5" x14ac:dyDescent="0.3">
      <c r="A3300" s="9">
        <f>'Volúmenes DIstribuidos '!B2073</f>
        <v>45254</v>
      </c>
      <c r="B3300" s="10" t="str">
        <f>IF(OR('Volúmenes DIstribuidos '!C2078="Azúcar",'Volúmenes DIstribuidos '!C2078="azúcar"),"Azúcar o dulce",IF('Volúmenes DIstribuidos '!C2078="Aceite","Aceite o grasas",IF('Volúmenes DIstribuidos '!C2078="Avena","Otros almidones",'Volúmenes DIstribuidos '!C2078)))</f>
        <v>Otros almidones</v>
      </c>
      <c r="C3300" s="10" t="s">
        <v>29</v>
      </c>
      <c r="D3300" s="12">
        <f>'Volúmenes DIstribuidos '!D2078</f>
        <v>22.562000000000001</v>
      </c>
      <c r="E3300" s="12">
        <f>SUMIF('Parametros Inventario'!$A:$A,B3300,'Parametros Inventario'!$B:$B)+SUMIFS(D$2:D3300,B$2:B3300,B3300,C$2:C3300,"ENTRADA")-SUMIFS(D$2:D3300,B$2:B3300,B3300,C$2:C3300,"SALIDA")</f>
        <v>16013.641000000001</v>
      </c>
    </row>
    <row r="3301" spans="1:5" x14ac:dyDescent="0.3">
      <c r="A3301" s="9">
        <f>'Volúmenes DIstribuidos '!B2079</f>
        <v>45258</v>
      </c>
      <c r="B3301" s="10" t="str">
        <f>IF(OR('Volúmenes DIstribuidos '!C2079="Azúcar",'Volúmenes DIstribuidos '!C2079="azúcar"),"Azúcar o dulce",IF('Volúmenes DIstribuidos '!C2079="Aceite","Aceite o grasas",IF('Volúmenes DIstribuidos '!C2079="Avena","Otros almidones",'Volúmenes DIstribuidos '!C2079)))</f>
        <v>Azúcar o dulce</v>
      </c>
      <c r="C3301" s="10" t="s">
        <v>29</v>
      </c>
      <c r="D3301" s="12">
        <f>'Volúmenes DIstribuidos '!D2079</f>
        <v>14.2</v>
      </c>
      <c r="E3301" s="12">
        <f>SUMIF('Parametros Inventario'!$A:$A,B3301,'Parametros Inventario'!$B:$B)+SUMIFS(D$2:D3301,B$2:B3301,B3301,C$2:C3301,"ENTRADA")-SUMIFS(D$2:D3301,B$2:B3301,B3301,C$2:C3301,"SALIDA")</f>
        <v>14309.164000000004</v>
      </c>
    </row>
    <row r="3302" spans="1:5" x14ac:dyDescent="0.3">
      <c r="A3302" s="9">
        <f>'Volúmenes DIstribuidos '!B2079</f>
        <v>45258</v>
      </c>
      <c r="B3302" s="10" t="str">
        <f>IF(OR('Volúmenes DIstribuidos '!C2080="Azúcar",'Volúmenes DIstribuidos '!C2080="azúcar"),"Azúcar o dulce",IF('Volúmenes DIstribuidos '!C2080="Aceite","Aceite o grasas",IF('Volúmenes DIstribuidos '!C2080="Avena","Otros almidones",'Volúmenes DIstribuidos '!C2080)))</f>
        <v>Panadería</v>
      </c>
      <c r="C3302" s="10" t="s">
        <v>29</v>
      </c>
      <c r="D3302" s="12">
        <f>'Volúmenes DIstribuidos '!D2080</f>
        <v>7.67</v>
      </c>
      <c r="E3302" s="12">
        <f>SUMIF('Parametros Inventario'!$A:$A,B3302,'Parametros Inventario'!$B:$B)+SUMIFS(D$2:D3302,B$2:B3302,B3302,C$2:C3302,"ENTRADA")-SUMIFS(D$2:D3302,B$2:B3302,B3302,C$2:C3302,"SALIDA")</f>
        <v>12886.449000000001</v>
      </c>
    </row>
    <row r="3303" spans="1:5" x14ac:dyDescent="0.3">
      <c r="A3303" s="9">
        <f>'Volúmenes DIstribuidos '!B2079</f>
        <v>45258</v>
      </c>
      <c r="B3303" s="10" t="str">
        <f>IF(OR('Volúmenes DIstribuidos '!C2081="Azúcar",'Volúmenes DIstribuidos '!C2081="azúcar"),"Azúcar o dulce",IF('Volúmenes DIstribuidos '!C2081="Aceite","Aceite o grasas",IF('Volúmenes DIstribuidos '!C2081="Avena","Otros almidones",'Volúmenes DIstribuidos '!C2081)))</f>
        <v>Salsas</v>
      </c>
      <c r="C3303" s="10" t="s">
        <v>29</v>
      </c>
      <c r="D3303" s="12">
        <f>'Volúmenes DIstribuidos '!D2081</f>
        <v>10.47</v>
      </c>
      <c r="E3303" s="12">
        <f>SUMIF('Parametros Inventario'!$A:$A,B3303,'Parametros Inventario'!$B:$B)+SUMIFS(D$2:D3303,B$2:B3303,B3303,C$2:C3303,"ENTRADA")-SUMIFS(D$2:D3303,B$2:B3303,B3303,C$2:C3303,"SALIDA")</f>
        <v>14063.926999999996</v>
      </c>
    </row>
    <row r="3304" spans="1:5" x14ac:dyDescent="0.3">
      <c r="A3304" s="9">
        <f>'Volúmenes DIstribuidos '!B2079</f>
        <v>45258</v>
      </c>
      <c r="B3304" s="10" t="str">
        <f>IF(OR('Volúmenes DIstribuidos '!C2082="Azúcar",'Volúmenes DIstribuidos '!C2082="azúcar"),"Azúcar o dulce",IF('Volúmenes DIstribuidos '!C2082="Aceite","Aceite o grasas",IF('Volúmenes DIstribuidos '!C2082="Avena","Otros almidones",'Volúmenes DIstribuidos '!C2082)))</f>
        <v>Fideo</v>
      </c>
      <c r="C3304" s="10" t="s">
        <v>29</v>
      </c>
      <c r="D3304" s="12">
        <f>'Volúmenes DIstribuidos '!D2082</f>
        <v>6.85</v>
      </c>
      <c r="E3304" s="12">
        <f>SUMIF('Parametros Inventario'!$A:$A,B3304,'Parametros Inventario'!$B:$B)+SUMIFS(D$2:D3304,B$2:B3304,B3304,C$2:C3304,"ENTRADA")-SUMIFS(D$2:D3304,B$2:B3304,B3304,C$2:C3304,"SALIDA")</f>
        <v>16440.749</v>
      </c>
    </row>
    <row r="3305" spans="1:5" x14ac:dyDescent="0.3">
      <c r="A3305" s="9">
        <f>'Volúmenes DIstribuidos '!B2079</f>
        <v>45258</v>
      </c>
      <c r="B3305" s="10" t="str">
        <f>IF(OR('Volúmenes DIstribuidos '!C2083="Azúcar",'Volúmenes DIstribuidos '!C2083="azúcar"),"Azúcar o dulce",IF('Volúmenes DIstribuidos '!C2083="Aceite","Aceite o grasas",IF('Volúmenes DIstribuidos '!C2083="Avena","Otros almidones",'Volúmenes DIstribuidos '!C2083)))</f>
        <v>Carnes blancas</v>
      </c>
      <c r="C3305" s="10" t="s">
        <v>29</v>
      </c>
      <c r="D3305" s="12">
        <f>'Volúmenes DIstribuidos '!D2083</f>
        <v>11.84</v>
      </c>
      <c r="E3305" s="12">
        <f>SUMIF('Parametros Inventario'!$A:$A,B3305,'Parametros Inventario'!$B:$B)+SUMIFS(D$2:D3305,B$2:B3305,B3305,C$2:C3305,"ENTRADA")-SUMIFS(D$2:D3305,B$2:B3305,B3305,C$2:C3305,"SALIDA")</f>
        <v>15126.330999999996</v>
      </c>
    </row>
    <row r="3306" spans="1:5" x14ac:dyDescent="0.3">
      <c r="A3306" s="9">
        <f>'Volúmenes DIstribuidos '!B2079</f>
        <v>45258</v>
      </c>
      <c r="B3306" s="10" t="str">
        <f>IF(OR('Volúmenes DIstribuidos '!C2084="Azúcar",'Volúmenes DIstribuidos '!C2084="azúcar"),"Azúcar o dulce",IF('Volúmenes DIstribuidos '!C2084="Aceite","Aceite o grasas",IF('Volúmenes DIstribuidos '!C2084="Avena","Otros almidones",'Volúmenes DIstribuidos '!C2084)))</f>
        <v>Carnes rojas</v>
      </c>
      <c r="C3306" s="10" t="s">
        <v>29</v>
      </c>
      <c r="D3306" s="12">
        <f>'Volúmenes DIstribuidos '!D2084</f>
        <v>35.527000000000001</v>
      </c>
      <c r="E3306" s="12">
        <f>SUMIF('Parametros Inventario'!$A:$A,B3306,'Parametros Inventario'!$B:$B)+SUMIFS(D$2:D3306,B$2:B3306,B3306,C$2:C3306,"ENTRADA")-SUMIFS(D$2:D3306,B$2:B3306,B3306,C$2:C3306,"SALIDA")</f>
        <v>14847.797</v>
      </c>
    </row>
    <row r="3307" spans="1:5" x14ac:dyDescent="0.3">
      <c r="A3307" s="9">
        <v>45261</v>
      </c>
      <c r="B3307" s="10" t="s">
        <v>11</v>
      </c>
      <c r="C3307" s="10" t="s">
        <v>28</v>
      </c>
      <c r="D3307" s="12">
        <v>134.62</v>
      </c>
      <c r="E3307" s="12">
        <f>SUMIF('Parametros Inventario'!$A:$A,B3307,'Parametros Inventario'!$B:$B)+SUMIFS(D$2:D3307,B$2:B3307,B3307,C$2:C3307,"ENTRADA")-SUMIFS(D$2:D3307,B$2:B3307,B3307,C$2:C3307,"SALIDA")</f>
        <v>16575.368999999999</v>
      </c>
    </row>
    <row r="3308" spans="1:5" x14ac:dyDescent="0.3">
      <c r="A3308" s="9">
        <v>45261</v>
      </c>
      <c r="B3308" s="10" t="s">
        <v>9</v>
      </c>
      <c r="C3308" s="10" t="s">
        <v>28</v>
      </c>
      <c r="D3308" s="12">
        <v>158.46</v>
      </c>
      <c r="E3308" s="12">
        <f>SUMIF('Parametros Inventario'!$A:$A,B3308,'Parametros Inventario'!$B:$B)+SUMIFS(D$2:D3308,B$2:B3308,B3308,C$2:C3308,"ENTRADA")-SUMIFS(D$2:D3308,B$2:B3308,B3308,C$2:C3308,"SALIDA")</f>
        <v>13044.909</v>
      </c>
    </row>
    <row r="3309" spans="1:5" x14ac:dyDescent="0.3">
      <c r="A3309" s="9">
        <v>45261</v>
      </c>
      <c r="B3309" s="10" t="s">
        <v>14</v>
      </c>
      <c r="C3309" s="10" t="s">
        <v>28</v>
      </c>
      <c r="D3309" s="12">
        <v>87.14</v>
      </c>
      <c r="E3309" s="12">
        <f>SUMIF('Parametros Inventario'!$A:$A,B3309,'Parametros Inventario'!$B:$B)+SUMIFS(D$2:D3309,B$2:B3309,B3309,C$2:C3309,"ENTRADA")-SUMIFS(D$2:D3309,B$2:B3309,B3309,C$2:C3309,"SALIDA")</f>
        <v>15416.135000000007</v>
      </c>
    </row>
    <row r="3310" spans="1:5" x14ac:dyDescent="0.3">
      <c r="A3310" s="9">
        <v>45261</v>
      </c>
      <c r="B3310" s="10" t="s">
        <v>12</v>
      </c>
      <c r="C3310" s="10" t="s">
        <v>28</v>
      </c>
      <c r="D3310" s="12">
        <v>230.64</v>
      </c>
      <c r="E3310" s="12">
        <f>SUMIF('Parametros Inventario'!$A:$A,B3310,'Parametros Inventario'!$B:$B)+SUMIFS(D$2:D3310,B$2:B3310,B3310,C$2:C3310,"ENTRADA")-SUMIFS(D$2:D3310,B$2:B3310,B3310,C$2:C3310,"SALIDA")</f>
        <v>15078.437</v>
      </c>
    </row>
    <row r="3311" spans="1:5" x14ac:dyDescent="0.3">
      <c r="A3311" s="9">
        <v>45261</v>
      </c>
      <c r="B3311" s="10" t="s">
        <v>16</v>
      </c>
      <c r="C3311" s="10" t="s">
        <v>28</v>
      </c>
      <c r="D3311" s="12">
        <v>111.25</v>
      </c>
      <c r="E3311" s="12">
        <f>SUMIF('Parametros Inventario'!$A:$A,B3311,'Parametros Inventario'!$B:$B)+SUMIFS(D$2:D3311,B$2:B3311,B3311,C$2:C3311,"ENTRADA")-SUMIFS(D$2:D3311,B$2:B3311,B3311,C$2:C3311,"SALIDA")</f>
        <v>15237.580999999996</v>
      </c>
    </row>
    <row r="3312" spans="1:5" x14ac:dyDescent="0.3">
      <c r="A3312" s="9">
        <v>45261</v>
      </c>
      <c r="B3312" s="10" t="s">
        <v>17</v>
      </c>
      <c r="C3312" s="10" t="s">
        <v>28</v>
      </c>
      <c r="D3312" s="12">
        <v>79.7</v>
      </c>
      <c r="E3312" s="12">
        <f>SUMIF('Parametros Inventario'!$A:$A,B3312,'Parametros Inventario'!$B:$B)+SUMIFS(D$2:D3312,B$2:B3312,B3312,C$2:C3312,"ENTRADA")-SUMIFS(D$2:D3312,B$2:B3312,B3312,C$2:C3312,"SALIDA")</f>
        <v>13245.125999999998</v>
      </c>
    </row>
    <row r="3313" spans="1:5" x14ac:dyDescent="0.3">
      <c r="A3313" s="9">
        <v>45261</v>
      </c>
      <c r="B3313" s="10" t="s">
        <v>18</v>
      </c>
      <c r="C3313" s="10" t="s">
        <v>28</v>
      </c>
      <c r="D3313" s="12">
        <v>149.16</v>
      </c>
      <c r="E3313" s="12">
        <f>SUMIF('Parametros Inventario'!$A:$A,B3313,'Parametros Inventario'!$B:$B)+SUMIFS(D$2:D3313,B$2:B3313,B3313,C$2:C3313,"ENTRADA")-SUMIFS(D$2:D3313,B$2:B3313,B3313,C$2:C3313,"SALIDA")</f>
        <v>14213.086999999996</v>
      </c>
    </row>
    <row r="3314" spans="1:5" x14ac:dyDescent="0.3">
      <c r="A3314" s="9">
        <v>45261</v>
      </c>
      <c r="B3314" s="10" t="s">
        <v>10</v>
      </c>
      <c r="C3314" s="10" t="s">
        <v>28</v>
      </c>
      <c r="D3314" s="12">
        <v>125.67</v>
      </c>
      <c r="E3314" s="12">
        <f>SUMIF('Parametros Inventario'!$A:$A,B3314,'Parametros Inventario'!$B:$B)+SUMIFS(D$2:D3314,B$2:B3314,B3314,C$2:C3314,"ENTRADA")-SUMIFS(D$2:D3314,B$2:B3314,B3314,C$2:C3314,"SALIDA")</f>
        <v>15600.279999999993</v>
      </c>
    </row>
    <row r="3315" spans="1:5" x14ac:dyDescent="0.3">
      <c r="A3315" s="9">
        <v>45261</v>
      </c>
      <c r="B3315" s="10" t="s">
        <v>8</v>
      </c>
      <c r="C3315" s="10" t="s">
        <v>28</v>
      </c>
      <c r="D3315" s="12">
        <v>199.04</v>
      </c>
      <c r="E3315" s="12">
        <f>SUMIF('Parametros Inventario'!$A:$A,B3315,'Parametros Inventario'!$B:$B)+SUMIFS(D$2:D3315,B$2:B3315,B3315,C$2:C3315,"ENTRADA")-SUMIFS(D$2:D3315,B$2:B3315,B3315,C$2:C3315,"SALIDA")</f>
        <v>14656.642000000007</v>
      </c>
    </row>
    <row r="3316" spans="1:5" x14ac:dyDescent="0.3">
      <c r="A3316" s="9">
        <v>45261</v>
      </c>
      <c r="B3316" s="10" t="s">
        <v>13</v>
      </c>
      <c r="C3316" s="10" t="s">
        <v>28</v>
      </c>
      <c r="D3316" s="12">
        <v>93.12</v>
      </c>
      <c r="E3316" s="12">
        <f>SUMIF('Parametros Inventario'!$A:$A,B3316,'Parametros Inventario'!$B:$B)+SUMIFS(D$2:D3316,B$2:B3316,B3316,C$2:C3316,"ENTRADA")-SUMIFS(D$2:D3316,B$2:B3316,B3316,C$2:C3316,"SALIDA")</f>
        <v>14402.284000000003</v>
      </c>
    </row>
    <row r="3317" spans="1:5" x14ac:dyDescent="0.3">
      <c r="A3317" s="9">
        <v>45261</v>
      </c>
      <c r="B3317" s="10" t="s">
        <v>15</v>
      </c>
      <c r="C3317" s="10" t="s">
        <v>28</v>
      </c>
      <c r="D3317" s="12">
        <v>236.3</v>
      </c>
      <c r="E3317" s="12">
        <f>SUMIF('Parametros Inventario'!$A:$A,B3317,'Parametros Inventario'!$B:$B)+SUMIFS(D$2:D3317,B$2:B3317,B3317,C$2:C3317,"ENTRADA")-SUMIFS(D$2:D3317,B$2:B3317,B3317,C$2:C3317,"SALIDA")</f>
        <v>16249.941000000001</v>
      </c>
    </row>
    <row r="3318" spans="1:5" x14ac:dyDescent="0.3">
      <c r="A3318" s="9">
        <f>'Volúmenes DIstribuidos '!B2085</f>
        <v>45261</v>
      </c>
      <c r="B3318" s="10" t="str">
        <f>IF(OR('Volúmenes DIstribuidos '!C2085="Azúcar",'Volúmenes DIstribuidos '!C2085="azúcar"),"Azúcar o dulce",IF('Volúmenes DIstribuidos '!C2085="Aceite","Aceite o grasas",IF('Volúmenes DIstribuidos '!C2085="Avena","Otros almidones",'Volúmenes DIstribuidos '!C2085)))</f>
        <v>Carnes rojas</v>
      </c>
      <c r="C3318" s="10" t="s">
        <v>29</v>
      </c>
      <c r="D3318" s="12">
        <f>'Volúmenes DIstribuidos '!D2085</f>
        <v>83.11</v>
      </c>
      <c r="E3318" s="12">
        <f>SUMIF('Parametros Inventario'!$A:$A,B3318,'Parametros Inventario'!$B:$B)+SUMIFS(D$2:D3318,B$2:B3318,B3318,C$2:C3318,"ENTRADA")-SUMIFS(D$2:D3318,B$2:B3318,B3318,C$2:C3318,"SALIDA")</f>
        <v>14995.327000000001</v>
      </c>
    </row>
    <row r="3319" spans="1:5" x14ac:dyDescent="0.3">
      <c r="A3319" s="9">
        <f>'Volúmenes DIstribuidos '!B2085</f>
        <v>45261</v>
      </c>
      <c r="B3319" s="10" t="str">
        <f>IF(OR('Volúmenes DIstribuidos '!C2086="Azúcar",'Volúmenes DIstribuidos '!C2086="azúcar"),"Azúcar o dulce",IF('Volúmenes DIstribuidos '!C2086="Aceite","Aceite o grasas",IF('Volúmenes DIstribuidos '!C2086="Avena","Otros almidones",'Volúmenes DIstribuidos '!C2086)))</f>
        <v>Fideo</v>
      </c>
      <c r="C3319" s="10" t="s">
        <v>29</v>
      </c>
      <c r="D3319" s="12">
        <f>'Volúmenes DIstribuidos '!D2086</f>
        <v>48.34</v>
      </c>
      <c r="E3319" s="12">
        <f>SUMIF('Parametros Inventario'!$A:$A,B3319,'Parametros Inventario'!$B:$B)+SUMIFS(D$2:D3319,B$2:B3319,B3319,C$2:C3319,"ENTRADA")-SUMIFS(D$2:D3319,B$2:B3319,B3319,C$2:C3319,"SALIDA")</f>
        <v>16527.028999999999</v>
      </c>
    </row>
    <row r="3320" spans="1:5" x14ac:dyDescent="0.3">
      <c r="A3320" s="9">
        <f>'Volúmenes DIstribuidos '!B2085</f>
        <v>45261</v>
      </c>
      <c r="B3320" s="10" t="str">
        <f>IF(OR('Volúmenes DIstribuidos '!C2087="Azúcar",'Volúmenes DIstribuidos '!C2087="azúcar"),"Azúcar o dulce",IF('Volúmenes DIstribuidos '!C2087="Aceite","Aceite o grasas",IF('Volúmenes DIstribuidos '!C2087="Avena","Otros almidones",'Volúmenes DIstribuidos '!C2087)))</f>
        <v>Vegetales y hojas</v>
      </c>
      <c r="C3320" s="10" t="s">
        <v>29</v>
      </c>
      <c r="D3320" s="12">
        <f>'Volúmenes DIstribuidos '!D2087</f>
        <v>40.590000000000003</v>
      </c>
      <c r="E3320" s="12">
        <f>SUMIF('Parametros Inventario'!$A:$A,B3320,'Parametros Inventario'!$B:$B)+SUMIFS(D$2:D3320,B$2:B3320,B3320,C$2:C3320,"ENTRADA")-SUMIFS(D$2:D3320,B$2:B3320,B3320,C$2:C3320,"SALIDA")</f>
        <v>15559.689999999993</v>
      </c>
    </row>
    <row r="3321" spans="1:5" x14ac:dyDescent="0.3">
      <c r="A3321" s="9">
        <f>'Volúmenes DIstribuidos '!B2085</f>
        <v>45261</v>
      </c>
      <c r="B3321" s="10" t="str">
        <f>IF(OR('Volúmenes DIstribuidos '!C2088="Azúcar",'Volúmenes DIstribuidos '!C2088="azúcar"),"Azúcar o dulce",IF('Volúmenes DIstribuidos '!C2088="Aceite","Aceite o grasas",IF('Volúmenes DIstribuidos '!C2088="Avena","Otros almidones",'Volúmenes DIstribuidos '!C2088)))</f>
        <v>Menestras</v>
      </c>
      <c r="C3321" s="10" t="s">
        <v>29</v>
      </c>
      <c r="D3321" s="12">
        <f>'Volúmenes DIstribuidos '!D2088</f>
        <v>44.71</v>
      </c>
      <c r="E3321" s="12">
        <f>SUMIF('Parametros Inventario'!$A:$A,B3321,'Parametros Inventario'!$B:$B)+SUMIFS(D$2:D3321,B$2:B3321,B3321,C$2:C3321,"ENTRADA")-SUMIFS(D$2:D3321,B$2:B3321,B3321,C$2:C3321,"SALIDA")</f>
        <v>15371.425000000007</v>
      </c>
    </row>
    <row r="3322" spans="1:5" x14ac:dyDescent="0.3">
      <c r="A3322" s="9">
        <f>'Volúmenes DIstribuidos '!B2085</f>
        <v>45261</v>
      </c>
      <c r="B3322" s="10" t="str">
        <f>IF(OR('Volúmenes DIstribuidos '!C2089="Azúcar",'Volúmenes DIstribuidos '!C2089="azúcar"),"Azúcar o dulce",IF('Volúmenes DIstribuidos '!C2089="Aceite","Aceite o grasas",IF('Volúmenes DIstribuidos '!C2089="Avena","Otros almidones",'Volúmenes DIstribuidos '!C2089)))</f>
        <v>Otros almidones</v>
      </c>
      <c r="C3322" s="10" t="s">
        <v>29</v>
      </c>
      <c r="D3322" s="12">
        <f>'Volúmenes DIstribuidos '!D2089</f>
        <v>6.8419999999999996</v>
      </c>
      <c r="E3322" s="12">
        <f>SUMIF('Parametros Inventario'!$A:$A,B3322,'Parametros Inventario'!$B:$B)+SUMIFS(D$2:D3322,B$2:B3322,B3322,C$2:C3322,"ENTRADA")-SUMIFS(D$2:D3322,B$2:B3322,B3322,C$2:C3322,"SALIDA")</f>
        <v>16243.099000000002</v>
      </c>
    </row>
    <row r="3323" spans="1:5" x14ac:dyDescent="0.3">
      <c r="A3323" s="9">
        <f>'Volúmenes DIstribuidos '!B2085</f>
        <v>45261</v>
      </c>
      <c r="B3323" s="10" t="str">
        <f>IF(OR('Volúmenes DIstribuidos '!C2090="Azúcar",'Volúmenes DIstribuidos '!C2090="azúcar"),"Azúcar o dulce",IF('Volúmenes DIstribuidos '!C2090="Aceite","Aceite o grasas",IF('Volúmenes DIstribuidos '!C2090="Avena","Otros almidones",'Volúmenes DIstribuidos '!C2090)))</f>
        <v>Carnes blancas</v>
      </c>
      <c r="C3323" s="10" t="s">
        <v>29</v>
      </c>
      <c r="D3323" s="12">
        <f>'Volúmenes DIstribuidos '!D2090</f>
        <v>6.43</v>
      </c>
      <c r="E3323" s="12">
        <f>SUMIF('Parametros Inventario'!$A:$A,B3323,'Parametros Inventario'!$B:$B)+SUMIFS(D$2:D3323,B$2:B3323,B3323,C$2:C3323,"ENTRADA")-SUMIFS(D$2:D3323,B$2:B3323,B3323,C$2:C3323,"SALIDA")</f>
        <v>15231.150999999996</v>
      </c>
    </row>
    <row r="3324" spans="1:5" x14ac:dyDescent="0.3">
      <c r="A3324" s="9">
        <f>'Volúmenes DIstribuidos '!B2091</f>
        <v>45265</v>
      </c>
      <c r="B3324" s="10" t="str">
        <f>IF(OR('Volúmenes DIstribuidos '!C2091="Azúcar",'Volúmenes DIstribuidos '!C2091="azúcar"),"Azúcar o dulce",IF('Volúmenes DIstribuidos '!C2091="Aceite","Aceite o grasas",IF('Volúmenes DIstribuidos '!C2091="Avena","Otros almidones",'Volúmenes DIstribuidos '!C2091)))</f>
        <v>Carnes rojas</v>
      </c>
      <c r="C3324" s="10" t="s">
        <v>29</v>
      </c>
      <c r="D3324" s="12">
        <f>'Volúmenes DIstribuidos '!D2091</f>
        <v>5.44</v>
      </c>
      <c r="E3324" s="12">
        <f>SUMIF('Parametros Inventario'!$A:$A,B3324,'Parametros Inventario'!$B:$B)+SUMIFS(D$2:D3324,B$2:B3324,B3324,C$2:C3324,"ENTRADA")-SUMIFS(D$2:D3324,B$2:B3324,B3324,C$2:C3324,"SALIDA")</f>
        <v>14989.887000000001</v>
      </c>
    </row>
    <row r="3325" spans="1:5" x14ac:dyDescent="0.3">
      <c r="A3325" s="9">
        <f>'Volúmenes DIstribuidos '!B2091</f>
        <v>45265</v>
      </c>
      <c r="B3325" s="10" t="str">
        <f>IF(OR('Volúmenes DIstribuidos '!C2092="Azúcar",'Volúmenes DIstribuidos '!C2092="azúcar"),"Azúcar o dulce",IF('Volúmenes DIstribuidos '!C2092="Aceite","Aceite o grasas",IF('Volúmenes DIstribuidos '!C2092="Avena","Otros almidones",'Volúmenes DIstribuidos '!C2092)))</f>
        <v>Lácteos</v>
      </c>
      <c r="C3325" s="10" t="s">
        <v>29</v>
      </c>
      <c r="D3325" s="12">
        <f>'Volúmenes DIstribuidos '!D2092</f>
        <v>13.64</v>
      </c>
      <c r="E3325" s="12">
        <f>SUMIF('Parametros Inventario'!$A:$A,B3325,'Parametros Inventario'!$B:$B)+SUMIFS(D$2:D3325,B$2:B3325,B3325,C$2:C3325,"ENTRADA")-SUMIFS(D$2:D3325,B$2:B3325,B3325,C$2:C3325,"SALIDA")</f>
        <v>13231.485999999997</v>
      </c>
    </row>
    <row r="3326" spans="1:5" x14ac:dyDescent="0.3">
      <c r="A3326" s="9">
        <f>'Volúmenes DIstribuidos '!B2091</f>
        <v>45265</v>
      </c>
      <c r="B3326" s="10" t="str">
        <f>IF(OR('Volúmenes DIstribuidos '!C2093="Azúcar",'Volúmenes DIstribuidos '!C2093="azúcar"),"Azúcar o dulce",IF('Volúmenes DIstribuidos '!C2093="Aceite","Aceite o grasas",IF('Volúmenes DIstribuidos '!C2093="Avena","Otros almidones",'Volúmenes DIstribuidos '!C2093)))</f>
        <v>Menestras</v>
      </c>
      <c r="C3326" s="10" t="s">
        <v>29</v>
      </c>
      <c r="D3326" s="12">
        <f>'Volúmenes DIstribuidos '!D2093</f>
        <v>9.57</v>
      </c>
      <c r="E3326" s="12">
        <f>SUMIF('Parametros Inventario'!$A:$A,B3326,'Parametros Inventario'!$B:$B)+SUMIFS(D$2:D3326,B$2:B3326,B3326,C$2:C3326,"ENTRADA")-SUMIFS(D$2:D3326,B$2:B3326,B3326,C$2:C3326,"SALIDA")</f>
        <v>15361.855000000007</v>
      </c>
    </row>
    <row r="3327" spans="1:5" x14ac:dyDescent="0.3">
      <c r="A3327" s="9">
        <f>'Volúmenes DIstribuidos '!B2091</f>
        <v>45265</v>
      </c>
      <c r="B3327" s="10" t="str">
        <f>IF(OR('Volúmenes DIstribuidos '!C2094="Azúcar",'Volúmenes DIstribuidos '!C2094="azúcar"),"Azúcar o dulce",IF('Volúmenes DIstribuidos '!C2094="Aceite","Aceite o grasas",IF('Volúmenes DIstribuidos '!C2094="Avena","Otros almidones",'Volúmenes DIstribuidos '!C2094)))</f>
        <v>Panadería</v>
      </c>
      <c r="C3327" s="10" t="s">
        <v>29</v>
      </c>
      <c r="D3327" s="12">
        <f>'Volúmenes DIstribuidos '!D2094</f>
        <v>21.916</v>
      </c>
      <c r="E3327" s="12">
        <f>SUMIF('Parametros Inventario'!$A:$A,B3327,'Parametros Inventario'!$B:$B)+SUMIFS(D$2:D3327,B$2:B3327,B3327,C$2:C3327,"ENTRADA")-SUMIFS(D$2:D3327,B$2:B3327,B3327,C$2:C3327,"SALIDA")</f>
        <v>13022.992999999999</v>
      </c>
    </row>
    <row r="3328" spans="1:5" x14ac:dyDescent="0.3">
      <c r="A3328" s="9">
        <f>'Volúmenes DIstribuidos '!B2091</f>
        <v>45265</v>
      </c>
      <c r="B3328" s="10" t="str">
        <f>IF(OR('Volúmenes DIstribuidos '!C2095="Azúcar",'Volúmenes DIstribuidos '!C2095="azúcar"),"Azúcar o dulce",IF('Volúmenes DIstribuidos '!C2095="Aceite","Aceite o grasas",IF('Volúmenes DIstribuidos '!C2095="Avena","Otros almidones",'Volúmenes DIstribuidos '!C2095)))</f>
        <v>Otros almidones</v>
      </c>
      <c r="C3328" s="10" t="s">
        <v>29</v>
      </c>
      <c r="D3328" s="12">
        <f>'Volúmenes DIstribuidos '!D2095</f>
        <v>4.46</v>
      </c>
      <c r="E3328" s="12">
        <f>SUMIF('Parametros Inventario'!$A:$A,B3328,'Parametros Inventario'!$B:$B)+SUMIFS(D$2:D3328,B$2:B3328,B3328,C$2:C3328,"ENTRADA")-SUMIFS(D$2:D3328,B$2:B3328,B3328,C$2:C3328,"SALIDA")</f>
        <v>16238.639000000001</v>
      </c>
    </row>
    <row r="3329" spans="1:5" x14ac:dyDescent="0.3">
      <c r="A3329" s="9">
        <f>'Volúmenes DIstribuidos '!B2091</f>
        <v>45265</v>
      </c>
      <c r="B3329" s="10" t="str">
        <f>IF(OR('Volúmenes DIstribuidos '!C2096="Azúcar",'Volúmenes DIstribuidos '!C2096="azúcar"),"Azúcar o dulce",IF('Volúmenes DIstribuidos '!C2096="Aceite","Aceite o grasas",IF('Volúmenes DIstribuidos '!C2096="Avena","Otros almidones",'Volúmenes DIstribuidos '!C2096)))</f>
        <v>Vegetales y hojas</v>
      </c>
      <c r="C3329" s="10" t="s">
        <v>29</v>
      </c>
      <c r="D3329" s="12">
        <f>'Volúmenes DIstribuidos '!D2096</f>
        <v>12.8</v>
      </c>
      <c r="E3329" s="12">
        <f>SUMIF('Parametros Inventario'!$A:$A,B3329,'Parametros Inventario'!$B:$B)+SUMIFS(D$2:D3329,B$2:B3329,B3329,C$2:C3329,"ENTRADA")-SUMIFS(D$2:D3329,B$2:B3329,B3329,C$2:C3329,"SALIDA")</f>
        <v>15546.889999999992</v>
      </c>
    </row>
    <row r="3330" spans="1:5" x14ac:dyDescent="0.3">
      <c r="A3330" s="9">
        <v>45268</v>
      </c>
      <c r="B3330" s="10" t="s">
        <v>11</v>
      </c>
      <c r="C3330" s="10" t="s">
        <v>28</v>
      </c>
      <c r="D3330" s="12">
        <v>243.96</v>
      </c>
      <c r="E3330" s="12">
        <f>SUMIF('Parametros Inventario'!$A:$A,B3330,'Parametros Inventario'!$B:$B)+SUMIFS(D$2:D3330,B$2:B3330,B3330,C$2:C3330,"ENTRADA")-SUMIFS(D$2:D3330,B$2:B3330,B3330,C$2:C3330,"SALIDA")</f>
        <v>16770.988999999998</v>
      </c>
    </row>
    <row r="3331" spans="1:5" x14ac:dyDescent="0.3">
      <c r="A3331" s="9">
        <v>45268</v>
      </c>
      <c r="B3331" s="10" t="s">
        <v>9</v>
      </c>
      <c r="C3331" s="10" t="s">
        <v>28</v>
      </c>
      <c r="D3331" s="12">
        <v>297.79000000000002</v>
      </c>
      <c r="E3331" s="12">
        <f>SUMIF('Parametros Inventario'!$A:$A,B3331,'Parametros Inventario'!$B:$B)+SUMIFS(D$2:D3331,B$2:B3331,B3331,C$2:C3331,"ENTRADA")-SUMIFS(D$2:D3331,B$2:B3331,B3331,C$2:C3331,"SALIDA")</f>
        <v>13320.782999999999</v>
      </c>
    </row>
    <row r="3332" spans="1:5" x14ac:dyDescent="0.3">
      <c r="A3332" s="9">
        <v>45268</v>
      </c>
      <c r="B3332" s="10" t="s">
        <v>14</v>
      </c>
      <c r="C3332" s="10" t="s">
        <v>28</v>
      </c>
      <c r="D3332" s="12">
        <v>217.68</v>
      </c>
      <c r="E3332" s="12">
        <f>SUMIF('Parametros Inventario'!$A:$A,B3332,'Parametros Inventario'!$B:$B)+SUMIFS(D$2:D3332,B$2:B3332,B3332,C$2:C3332,"ENTRADA")-SUMIFS(D$2:D3332,B$2:B3332,B3332,C$2:C3332,"SALIDA")</f>
        <v>15579.535000000007</v>
      </c>
    </row>
    <row r="3333" spans="1:5" x14ac:dyDescent="0.3">
      <c r="A3333" s="9">
        <v>45268</v>
      </c>
      <c r="B3333" s="10" t="s">
        <v>12</v>
      </c>
      <c r="C3333" s="10" t="s">
        <v>28</v>
      </c>
      <c r="D3333" s="12">
        <v>72.400000000000006</v>
      </c>
      <c r="E3333" s="12">
        <f>SUMIF('Parametros Inventario'!$A:$A,B3333,'Parametros Inventario'!$B:$B)+SUMIFS(D$2:D3333,B$2:B3333,B3333,C$2:C3333,"ENTRADA")-SUMIFS(D$2:D3333,B$2:B3333,B3333,C$2:C3333,"SALIDA")</f>
        <v>15062.287000000002</v>
      </c>
    </row>
    <row r="3334" spans="1:5" x14ac:dyDescent="0.3">
      <c r="A3334" s="9">
        <v>45268</v>
      </c>
      <c r="B3334" s="10" t="s">
        <v>16</v>
      </c>
      <c r="C3334" s="10" t="s">
        <v>28</v>
      </c>
      <c r="D3334" s="12">
        <v>165.92</v>
      </c>
      <c r="E3334" s="12">
        <f>SUMIF('Parametros Inventario'!$A:$A,B3334,'Parametros Inventario'!$B:$B)+SUMIFS(D$2:D3334,B$2:B3334,B3334,C$2:C3334,"ENTRADA")-SUMIFS(D$2:D3334,B$2:B3334,B3334,C$2:C3334,"SALIDA")</f>
        <v>15397.070999999994</v>
      </c>
    </row>
    <row r="3335" spans="1:5" x14ac:dyDescent="0.3">
      <c r="A3335" s="9">
        <v>45268</v>
      </c>
      <c r="B3335" s="10" t="s">
        <v>17</v>
      </c>
      <c r="C3335" s="10" t="s">
        <v>28</v>
      </c>
      <c r="D3335" s="12">
        <v>254.55</v>
      </c>
      <c r="E3335" s="12">
        <f>SUMIF('Parametros Inventario'!$A:$A,B3335,'Parametros Inventario'!$B:$B)+SUMIFS(D$2:D3335,B$2:B3335,B3335,C$2:C3335,"ENTRADA")-SUMIFS(D$2:D3335,B$2:B3335,B3335,C$2:C3335,"SALIDA")</f>
        <v>13486.035999999996</v>
      </c>
    </row>
    <row r="3336" spans="1:5" x14ac:dyDescent="0.3">
      <c r="A3336" s="9">
        <v>45268</v>
      </c>
      <c r="B3336" s="10" t="s">
        <v>18</v>
      </c>
      <c r="C3336" s="10" t="s">
        <v>28</v>
      </c>
      <c r="D3336" s="12">
        <v>145.53</v>
      </c>
      <c r="E3336" s="12">
        <f>SUMIF('Parametros Inventario'!$A:$A,B3336,'Parametros Inventario'!$B:$B)+SUMIFS(D$2:D3336,B$2:B3336,B3336,C$2:C3336,"ENTRADA")-SUMIFS(D$2:D3336,B$2:B3336,B3336,C$2:C3336,"SALIDA")</f>
        <v>14358.616999999995</v>
      </c>
    </row>
    <row r="3337" spans="1:5" x14ac:dyDescent="0.3">
      <c r="A3337" s="9">
        <v>45268</v>
      </c>
      <c r="B3337" s="10" t="s">
        <v>10</v>
      </c>
      <c r="C3337" s="10" t="s">
        <v>28</v>
      </c>
      <c r="D3337" s="12">
        <v>208.08</v>
      </c>
      <c r="E3337" s="12">
        <f>SUMIF('Parametros Inventario'!$A:$A,B3337,'Parametros Inventario'!$B:$B)+SUMIFS(D$2:D3337,B$2:B3337,B3337,C$2:C3337,"ENTRADA")-SUMIFS(D$2:D3337,B$2:B3337,B3337,C$2:C3337,"SALIDA")</f>
        <v>15754.969999999994</v>
      </c>
    </row>
    <row r="3338" spans="1:5" x14ac:dyDescent="0.3">
      <c r="A3338" s="9">
        <v>45268</v>
      </c>
      <c r="B3338" s="10" t="s">
        <v>8</v>
      </c>
      <c r="C3338" s="10" t="s">
        <v>28</v>
      </c>
      <c r="D3338" s="12">
        <v>161.28</v>
      </c>
      <c r="E3338" s="12">
        <f>SUMIF('Parametros Inventario'!$A:$A,B3338,'Parametros Inventario'!$B:$B)+SUMIFS(D$2:D3338,B$2:B3338,B3338,C$2:C3338,"ENTRADA")-SUMIFS(D$2:D3338,B$2:B3338,B3338,C$2:C3338,"SALIDA")</f>
        <v>14817.922000000006</v>
      </c>
    </row>
    <row r="3339" spans="1:5" x14ac:dyDescent="0.3">
      <c r="A3339" s="9">
        <f>'Volúmenes DIstribuidos '!B2097</f>
        <v>45268</v>
      </c>
      <c r="B3339" s="10" t="str">
        <f>IF(OR('Volúmenes DIstribuidos '!C2097="Azúcar",'Volúmenes DIstribuidos '!C2097="azúcar"),"Azúcar o dulce",IF('Volúmenes DIstribuidos '!C2097="Aceite","Aceite o grasas",IF('Volúmenes DIstribuidos '!C2097="Avena","Otros almidones",'Volúmenes DIstribuidos '!C2097)))</f>
        <v>Lácteos</v>
      </c>
      <c r="C3339" s="10" t="s">
        <v>29</v>
      </c>
      <c r="D3339" s="12">
        <f>'Volúmenes DIstribuidos '!D2097</f>
        <v>9.89</v>
      </c>
      <c r="E3339" s="12">
        <f>SUMIF('Parametros Inventario'!$A:$A,B3339,'Parametros Inventario'!$B:$B)+SUMIFS(D$2:D3339,B$2:B3339,B3339,C$2:C3339,"ENTRADA")-SUMIFS(D$2:D3339,B$2:B3339,B3339,C$2:C3339,"SALIDA")</f>
        <v>13476.145999999997</v>
      </c>
    </row>
    <row r="3340" spans="1:5" x14ac:dyDescent="0.3">
      <c r="A3340" s="9">
        <f>'Volúmenes DIstribuidos '!B2097</f>
        <v>45268</v>
      </c>
      <c r="B3340" s="10" t="str">
        <f>IF(OR('Volúmenes DIstribuidos '!C2098="Azúcar",'Volúmenes DIstribuidos '!C2098="azúcar"),"Azúcar o dulce",IF('Volúmenes DIstribuidos '!C2098="Aceite","Aceite o grasas",IF('Volúmenes DIstribuidos '!C2098="Avena","Otros almidones",'Volúmenes DIstribuidos '!C2098)))</f>
        <v>Aceite o grasas</v>
      </c>
      <c r="C3340" s="10" t="s">
        <v>29</v>
      </c>
      <c r="D3340" s="12">
        <f>'Volúmenes DIstribuidos '!D2098</f>
        <v>18.007000000000001</v>
      </c>
      <c r="E3340" s="12">
        <f>SUMIF('Parametros Inventario'!$A:$A,B3340,'Parametros Inventario'!$B:$B)+SUMIFS(D$2:D3340,B$2:B3340,B3340,C$2:C3340,"ENTRADA")-SUMIFS(D$2:D3340,B$2:B3340,B3340,C$2:C3340,"SALIDA")</f>
        <v>14799.915000000005</v>
      </c>
    </row>
    <row r="3341" spans="1:5" x14ac:dyDescent="0.3">
      <c r="A3341" s="9">
        <f>'Volúmenes DIstribuidos '!B2097</f>
        <v>45268</v>
      </c>
      <c r="B3341" s="10" t="str">
        <f>IF(OR('Volúmenes DIstribuidos '!C2099="Azúcar",'Volúmenes DIstribuidos '!C2099="azúcar"),"Azúcar o dulce",IF('Volúmenes DIstribuidos '!C2099="Aceite","Aceite o grasas",IF('Volúmenes DIstribuidos '!C2099="Avena","Otros almidones",'Volúmenes DIstribuidos '!C2099)))</f>
        <v>Lácteos</v>
      </c>
      <c r="C3341" s="10" t="s">
        <v>29</v>
      </c>
      <c r="D3341" s="12">
        <f>'Volúmenes DIstribuidos '!D2099</f>
        <v>24.42</v>
      </c>
      <c r="E3341" s="12">
        <f>SUMIF('Parametros Inventario'!$A:$A,B3341,'Parametros Inventario'!$B:$B)+SUMIFS(D$2:D3341,B$2:B3341,B3341,C$2:C3341,"ENTRADA")-SUMIFS(D$2:D3341,B$2:B3341,B3341,C$2:C3341,"SALIDA")</f>
        <v>13451.725999999997</v>
      </c>
    </row>
    <row r="3342" spans="1:5" x14ac:dyDescent="0.3">
      <c r="A3342" s="9">
        <f>'Volúmenes DIstribuidos '!B2097</f>
        <v>45268</v>
      </c>
      <c r="B3342" s="10" t="str">
        <f>IF(OR('Volúmenes DIstribuidos '!C2100="Azúcar",'Volúmenes DIstribuidos '!C2100="azúcar"),"Azúcar o dulce",IF('Volúmenes DIstribuidos '!C2100="Aceite","Aceite o grasas",IF('Volúmenes DIstribuidos '!C2100="Avena","Otros almidones",'Volúmenes DIstribuidos '!C2100)))</f>
        <v>Carnes blancas</v>
      </c>
      <c r="C3342" s="10" t="s">
        <v>29</v>
      </c>
      <c r="D3342" s="12">
        <f>'Volúmenes DIstribuidos '!D2100</f>
        <v>12.42</v>
      </c>
      <c r="E3342" s="12">
        <f>SUMIF('Parametros Inventario'!$A:$A,B3342,'Parametros Inventario'!$B:$B)+SUMIFS(D$2:D3342,B$2:B3342,B3342,C$2:C3342,"ENTRADA")-SUMIFS(D$2:D3342,B$2:B3342,B3342,C$2:C3342,"SALIDA")</f>
        <v>15384.650999999994</v>
      </c>
    </row>
    <row r="3343" spans="1:5" x14ac:dyDescent="0.3">
      <c r="A3343" s="9">
        <f>'Volúmenes DIstribuidos '!B2097</f>
        <v>45268</v>
      </c>
      <c r="B3343" s="10" t="str">
        <f>IF(OR('Volúmenes DIstribuidos '!C2101="Azúcar",'Volúmenes DIstribuidos '!C2101="azúcar"),"Azúcar o dulce",IF('Volúmenes DIstribuidos '!C2101="Aceite","Aceite o grasas",IF('Volúmenes DIstribuidos '!C2101="Avena","Otros almidones",'Volúmenes DIstribuidos '!C2101)))</f>
        <v>Salsas</v>
      </c>
      <c r="C3343" s="10" t="s">
        <v>29</v>
      </c>
      <c r="D3343" s="12">
        <f>'Volúmenes DIstribuidos '!D2101</f>
        <v>42.95</v>
      </c>
      <c r="E3343" s="12">
        <f>SUMIF('Parametros Inventario'!$A:$A,B3343,'Parametros Inventario'!$B:$B)+SUMIFS(D$2:D3343,B$2:B3343,B3343,C$2:C3343,"ENTRADA")-SUMIFS(D$2:D3343,B$2:B3343,B3343,C$2:C3343,"SALIDA")</f>
        <v>14315.666999999996</v>
      </c>
    </row>
    <row r="3344" spans="1:5" x14ac:dyDescent="0.3">
      <c r="A3344" s="9">
        <f>'Volúmenes DIstribuidos '!B2097</f>
        <v>45268</v>
      </c>
      <c r="B3344" s="10" t="str">
        <f>IF(OR('Volúmenes DIstribuidos '!C2102="Azúcar",'Volúmenes DIstribuidos '!C2102="azúcar"),"Azúcar o dulce",IF('Volúmenes DIstribuidos '!C2102="Aceite","Aceite o grasas",IF('Volúmenes DIstribuidos '!C2102="Avena","Otros almidones",'Volúmenes DIstribuidos '!C2102)))</f>
        <v>Fideo</v>
      </c>
      <c r="C3344" s="10" t="s">
        <v>29</v>
      </c>
      <c r="D3344" s="12">
        <f>'Volúmenes DIstribuidos '!D2102</f>
        <v>14.602</v>
      </c>
      <c r="E3344" s="12">
        <f>SUMIF('Parametros Inventario'!$A:$A,B3344,'Parametros Inventario'!$B:$B)+SUMIFS(D$2:D3344,B$2:B3344,B3344,C$2:C3344,"ENTRADA")-SUMIFS(D$2:D3344,B$2:B3344,B3344,C$2:C3344,"SALIDA")</f>
        <v>16756.386999999999</v>
      </c>
    </row>
    <row r="3345" spans="1:5" x14ac:dyDescent="0.3">
      <c r="A3345" s="9">
        <f>'Volúmenes DIstribuidos '!B2103</f>
        <v>45272</v>
      </c>
      <c r="B3345" s="10" t="str">
        <f>IF(OR('Volúmenes DIstribuidos '!C2103="Azúcar",'Volúmenes DIstribuidos '!C2103="azúcar"),"Azúcar o dulce",IF('Volúmenes DIstribuidos '!C2103="Aceite","Aceite o grasas",IF('Volúmenes DIstribuidos '!C2103="Avena","Otros almidones",'Volúmenes DIstribuidos '!C2103)))</f>
        <v>Carnes rojas</v>
      </c>
      <c r="C3345" s="10" t="s">
        <v>29</v>
      </c>
      <c r="D3345" s="12">
        <f>'Volúmenes DIstribuidos '!D2103</f>
        <v>6.48</v>
      </c>
      <c r="E3345" s="12">
        <f>SUMIF('Parametros Inventario'!$A:$A,B3345,'Parametros Inventario'!$B:$B)+SUMIFS(D$2:D3345,B$2:B3345,B3345,C$2:C3345,"ENTRADA")-SUMIFS(D$2:D3345,B$2:B3345,B3345,C$2:C3345,"SALIDA")</f>
        <v>15055.807000000003</v>
      </c>
    </row>
    <row r="3346" spans="1:5" x14ac:dyDescent="0.3">
      <c r="A3346" s="9">
        <f>'Volúmenes DIstribuidos '!B2103</f>
        <v>45272</v>
      </c>
      <c r="B3346" s="10" t="str">
        <f>IF(OR('Volúmenes DIstribuidos '!C2104="Azúcar",'Volúmenes DIstribuidos '!C2104="azúcar"),"Azúcar o dulce",IF('Volúmenes DIstribuidos '!C2104="Aceite","Aceite o grasas",IF('Volúmenes DIstribuidos '!C2104="Avena","Otros almidones",'Volúmenes DIstribuidos '!C2104)))</f>
        <v>Menestras</v>
      </c>
      <c r="C3346" s="10" t="s">
        <v>29</v>
      </c>
      <c r="D3346" s="12">
        <f>'Volúmenes DIstribuidos '!D2104</f>
        <v>4.13</v>
      </c>
      <c r="E3346" s="12">
        <f>SUMIF('Parametros Inventario'!$A:$A,B3346,'Parametros Inventario'!$B:$B)+SUMIFS(D$2:D3346,B$2:B3346,B3346,C$2:C3346,"ENTRADA")-SUMIFS(D$2:D3346,B$2:B3346,B3346,C$2:C3346,"SALIDA")</f>
        <v>15575.405000000008</v>
      </c>
    </row>
    <row r="3347" spans="1:5" x14ac:dyDescent="0.3">
      <c r="A3347" s="9">
        <f>'Volúmenes DIstribuidos '!B2103</f>
        <v>45272</v>
      </c>
      <c r="B3347" s="10" t="str">
        <f>IF(OR('Volúmenes DIstribuidos '!C2105="Azúcar",'Volúmenes DIstribuidos '!C2105="azúcar"),"Azúcar o dulce",IF('Volúmenes DIstribuidos '!C2105="Aceite","Aceite o grasas",IF('Volúmenes DIstribuidos '!C2105="Avena","Otros almidones",'Volúmenes DIstribuidos '!C2105)))</f>
        <v>Vegetales y hojas</v>
      </c>
      <c r="C3347" s="10" t="s">
        <v>29</v>
      </c>
      <c r="D3347" s="12">
        <f>'Volúmenes DIstribuidos '!D2105</f>
        <v>15.39</v>
      </c>
      <c r="E3347" s="12">
        <f>SUMIF('Parametros Inventario'!$A:$A,B3347,'Parametros Inventario'!$B:$B)+SUMIFS(D$2:D3347,B$2:B3347,B3347,C$2:C3347,"ENTRADA")-SUMIFS(D$2:D3347,B$2:B3347,B3347,C$2:C3347,"SALIDA")</f>
        <v>15739.579999999994</v>
      </c>
    </row>
    <row r="3348" spans="1:5" x14ac:dyDescent="0.3">
      <c r="A3348" s="9">
        <f>'Volúmenes DIstribuidos '!B2103</f>
        <v>45272</v>
      </c>
      <c r="B3348" s="10" t="str">
        <f>IF(OR('Volúmenes DIstribuidos '!C2106="Azúcar",'Volúmenes DIstribuidos '!C2106="azúcar"),"Azúcar o dulce",IF('Volúmenes DIstribuidos '!C2106="Aceite","Aceite o grasas",IF('Volúmenes DIstribuidos '!C2106="Avena","Otros almidones",'Volúmenes DIstribuidos '!C2106)))</f>
        <v>Azúcar o dulce</v>
      </c>
      <c r="C3348" s="10" t="s">
        <v>29</v>
      </c>
      <c r="D3348" s="12">
        <f>'Volúmenes DIstribuidos '!D2106</f>
        <v>10.09</v>
      </c>
      <c r="E3348" s="12">
        <f>SUMIF('Parametros Inventario'!$A:$A,B3348,'Parametros Inventario'!$B:$B)+SUMIFS(D$2:D3348,B$2:B3348,B3348,C$2:C3348,"ENTRADA")-SUMIFS(D$2:D3348,B$2:B3348,B3348,C$2:C3348,"SALIDA")</f>
        <v>14392.194000000003</v>
      </c>
    </row>
    <row r="3349" spans="1:5" x14ac:dyDescent="0.3">
      <c r="A3349" s="9">
        <f>'Volúmenes DIstribuidos '!B2103</f>
        <v>45272</v>
      </c>
      <c r="B3349" s="10" t="str">
        <f>IF(OR('Volúmenes DIstribuidos '!C2107="Azúcar",'Volúmenes DIstribuidos '!C2107="azúcar"),"Azúcar o dulce",IF('Volúmenes DIstribuidos '!C2107="Aceite","Aceite o grasas",IF('Volúmenes DIstribuidos '!C2107="Avena","Otros almidones",'Volúmenes DIstribuidos '!C2107)))</f>
        <v>Panadería</v>
      </c>
      <c r="C3349" s="10" t="s">
        <v>29</v>
      </c>
      <c r="D3349" s="12">
        <f>'Volúmenes DIstribuidos '!D2107</f>
        <v>8.3109999999999999</v>
      </c>
      <c r="E3349" s="12">
        <f>SUMIF('Parametros Inventario'!$A:$A,B3349,'Parametros Inventario'!$B:$B)+SUMIFS(D$2:D3349,B$2:B3349,B3349,C$2:C3349,"ENTRADA")-SUMIFS(D$2:D3349,B$2:B3349,B3349,C$2:C3349,"SALIDA")</f>
        <v>13312.472000000002</v>
      </c>
    </row>
    <row r="3350" spans="1:5" x14ac:dyDescent="0.3">
      <c r="A3350" s="9">
        <f>'Volúmenes DIstribuidos '!B2103</f>
        <v>45272</v>
      </c>
      <c r="B3350" s="10" t="str">
        <f>IF(OR('Volúmenes DIstribuidos '!C2108="Azúcar",'Volúmenes DIstribuidos '!C2108="azúcar"),"Azúcar o dulce",IF('Volúmenes DIstribuidos '!C2108="Aceite","Aceite o grasas",IF('Volúmenes DIstribuidos '!C2108="Avena","Otros almidones",'Volúmenes DIstribuidos '!C2108)))</f>
        <v>Aceite o grasas</v>
      </c>
      <c r="C3350" s="10" t="s">
        <v>29</v>
      </c>
      <c r="D3350" s="12">
        <f>'Volúmenes DIstribuidos '!D2108</f>
        <v>32.07</v>
      </c>
      <c r="E3350" s="12">
        <f>SUMIF('Parametros Inventario'!$A:$A,B3350,'Parametros Inventario'!$B:$B)+SUMIFS(D$2:D3350,B$2:B3350,B3350,C$2:C3350,"ENTRADA")-SUMIFS(D$2:D3350,B$2:B3350,B3350,C$2:C3350,"SALIDA")</f>
        <v>14767.845000000005</v>
      </c>
    </row>
    <row r="3351" spans="1:5" x14ac:dyDescent="0.3">
      <c r="A3351" s="9">
        <v>45275</v>
      </c>
      <c r="B3351" s="10" t="s">
        <v>13</v>
      </c>
      <c r="C3351" s="10" t="s">
        <v>28</v>
      </c>
      <c r="D3351" s="12">
        <v>52.9</v>
      </c>
      <c r="E3351" s="12">
        <f>SUMIF('Parametros Inventario'!$A:$A,B3351,'Parametros Inventario'!$B:$B)+SUMIFS(D$2:D3351,B$2:B3351,B3351,C$2:C3351,"ENTRADA")-SUMIFS(D$2:D3351,B$2:B3351,B3351,C$2:C3351,"SALIDA")</f>
        <v>14445.094000000005</v>
      </c>
    </row>
    <row r="3352" spans="1:5" x14ac:dyDescent="0.3">
      <c r="A3352" s="9">
        <v>45275</v>
      </c>
      <c r="B3352" s="10" t="s">
        <v>15</v>
      </c>
      <c r="C3352" s="10" t="s">
        <v>28</v>
      </c>
      <c r="D3352" s="12">
        <v>79.16</v>
      </c>
      <c r="E3352" s="12">
        <f>SUMIF('Parametros Inventario'!$A:$A,B3352,'Parametros Inventario'!$B:$B)+SUMIFS(D$2:D3352,B$2:B3352,B3352,C$2:C3352,"ENTRADA")-SUMIFS(D$2:D3352,B$2:B3352,B3352,C$2:C3352,"SALIDA")</f>
        <v>16317.799000000001</v>
      </c>
    </row>
    <row r="3353" spans="1:5" x14ac:dyDescent="0.3">
      <c r="A3353" s="9">
        <v>45275</v>
      </c>
      <c r="B3353" s="10" t="s">
        <v>11</v>
      </c>
      <c r="C3353" s="10" t="s">
        <v>28</v>
      </c>
      <c r="D3353" s="12">
        <v>80.510000000000005</v>
      </c>
      <c r="E3353" s="12">
        <f>SUMIF('Parametros Inventario'!$A:$A,B3353,'Parametros Inventario'!$B:$B)+SUMIFS(D$2:D3353,B$2:B3353,B3353,C$2:C3353,"ENTRADA")-SUMIFS(D$2:D3353,B$2:B3353,B3353,C$2:C3353,"SALIDA")</f>
        <v>16836.896999999997</v>
      </c>
    </row>
    <row r="3354" spans="1:5" x14ac:dyDescent="0.3">
      <c r="A3354" s="9">
        <v>45275</v>
      </c>
      <c r="B3354" s="10" t="s">
        <v>9</v>
      </c>
      <c r="C3354" s="10" t="s">
        <v>28</v>
      </c>
      <c r="D3354" s="12">
        <v>210.35</v>
      </c>
      <c r="E3354" s="12">
        <f>SUMIF('Parametros Inventario'!$A:$A,B3354,'Parametros Inventario'!$B:$B)+SUMIFS(D$2:D3354,B$2:B3354,B3354,C$2:C3354,"ENTRADA")-SUMIFS(D$2:D3354,B$2:B3354,B3354,C$2:C3354,"SALIDA")</f>
        <v>13522.822</v>
      </c>
    </row>
    <row r="3355" spans="1:5" x14ac:dyDescent="0.3">
      <c r="A3355" s="9">
        <v>45275</v>
      </c>
      <c r="B3355" s="10" t="s">
        <v>14</v>
      </c>
      <c r="C3355" s="10" t="s">
        <v>28</v>
      </c>
      <c r="D3355" s="12">
        <v>277.12</v>
      </c>
      <c r="E3355" s="12">
        <f>SUMIF('Parametros Inventario'!$A:$A,B3355,'Parametros Inventario'!$B:$B)+SUMIFS(D$2:D3355,B$2:B3355,B3355,C$2:C3355,"ENTRADA")-SUMIFS(D$2:D3355,B$2:B3355,B3355,C$2:C3355,"SALIDA")</f>
        <v>15852.525000000007</v>
      </c>
    </row>
    <row r="3356" spans="1:5" x14ac:dyDescent="0.3">
      <c r="A3356" s="9">
        <v>45275</v>
      </c>
      <c r="B3356" s="10" t="s">
        <v>12</v>
      </c>
      <c r="C3356" s="10" t="s">
        <v>28</v>
      </c>
      <c r="D3356" s="12">
        <v>106.23</v>
      </c>
      <c r="E3356" s="12">
        <f>SUMIF('Parametros Inventario'!$A:$A,B3356,'Parametros Inventario'!$B:$B)+SUMIFS(D$2:D3356,B$2:B3356,B3356,C$2:C3356,"ENTRADA")-SUMIFS(D$2:D3356,B$2:B3356,B3356,C$2:C3356,"SALIDA")</f>
        <v>15162.037000000002</v>
      </c>
    </row>
    <row r="3357" spans="1:5" x14ac:dyDescent="0.3">
      <c r="A3357" s="9">
        <v>45275</v>
      </c>
      <c r="B3357" s="10" t="s">
        <v>16</v>
      </c>
      <c r="C3357" s="10" t="s">
        <v>28</v>
      </c>
      <c r="D3357" s="12">
        <v>196.71</v>
      </c>
      <c r="E3357" s="12">
        <f>SUMIF('Parametros Inventario'!$A:$A,B3357,'Parametros Inventario'!$B:$B)+SUMIFS(D$2:D3357,B$2:B3357,B3357,C$2:C3357,"ENTRADA")-SUMIFS(D$2:D3357,B$2:B3357,B3357,C$2:C3357,"SALIDA")</f>
        <v>15581.360999999994</v>
      </c>
    </row>
    <row r="3358" spans="1:5" x14ac:dyDescent="0.3">
      <c r="A3358" s="9">
        <v>45275</v>
      </c>
      <c r="B3358" s="10" t="s">
        <v>17</v>
      </c>
      <c r="C3358" s="10" t="s">
        <v>28</v>
      </c>
      <c r="D3358" s="12">
        <v>296.83999999999997</v>
      </c>
      <c r="E3358" s="12">
        <f>SUMIF('Parametros Inventario'!$A:$A,B3358,'Parametros Inventario'!$B:$B)+SUMIFS(D$2:D3358,B$2:B3358,B3358,C$2:C3358,"ENTRADA")-SUMIFS(D$2:D3358,B$2:B3358,B3358,C$2:C3358,"SALIDA")</f>
        <v>13748.565999999997</v>
      </c>
    </row>
    <row r="3359" spans="1:5" x14ac:dyDescent="0.3">
      <c r="A3359" s="9">
        <v>45275</v>
      </c>
      <c r="B3359" s="10" t="s">
        <v>18</v>
      </c>
      <c r="C3359" s="10" t="s">
        <v>28</v>
      </c>
      <c r="D3359" s="12">
        <v>169.87</v>
      </c>
      <c r="E3359" s="12">
        <f>SUMIF('Parametros Inventario'!$A:$A,B3359,'Parametros Inventario'!$B:$B)+SUMIFS(D$2:D3359,B$2:B3359,B3359,C$2:C3359,"ENTRADA")-SUMIFS(D$2:D3359,B$2:B3359,B3359,C$2:C3359,"SALIDA")</f>
        <v>14485.536999999995</v>
      </c>
    </row>
    <row r="3360" spans="1:5" x14ac:dyDescent="0.3">
      <c r="A3360" s="9">
        <v>45275</v>
      </c>
      <c r="B3360" s="10" t="s">
        <v>10</v>
      </c>
      <c r="C3360" s="10" t="s">
        <v>28</v>
      </c>
      <c r="D3360" s="12">
        <v>223.43</v>
      </c>
      <c r="E3360" s="12">
        <f>SUMIF('Parametros Inventario'!$A:$A,B3360,'Parametros Inventario'!$B:$B)+SUMIFS(D$2:D3360,B$2:B3360,B3360,C$2:C3360,"ENTRADA")-SUMIFS(D$2:D3360,B$2:B3360,B3360,C$2:C3360,"SALIDA")</f>
        <v>15963.009999999995</v>
      </c>
    </row>
    <row r="3361" spans="1:5" x14ac:dyDescent="0.3">
      <c r="A3361" s="9">
        <v>45275</v>
      </c>
      <c r="B3361" s="10" t="s">
        <v>8</v>
      </c>
      <c r="C3361" s="10" t="s">
        <v>28</v>
      </c>
      <c r="D3361" s="12">
        <v>73.64</v>
      </c>
      <c r="E3361" s="12">
        <f>SUMIF('Parametros Inventario'!$A:$A,B3361,'Parametros Inventario'!$B:$B)+SUMIFS(D$2:D3361,B$2:B3361,B3361,C$2:C3361,"ENTRADA")-SUMIFS(D$2:D3361,B$2:B3361,B3361,C$2:C3361,"SALIDA")</f>
        <v>14841.485000000004</v>
      </c>
    </row>
    <row r="3362" spans="1:5" x14ac:dyDescent="0.3">
      <c r="A3362" s="9">
        <v>45275</v>
      </c>
      <c r="B3362" s="10" t="s">
        <v>13</v>
      </c>
      <c r="C3362" s="10" t="s">
        <v>28</v>
      </c>
      <c r="D3362" s="12">
        <v>198.22</v>
      </c>
      <c r="E3362" s="12">
        <f>SUMIF('Parametros Inventario'!$A:$A,B3362,'Parametros Inventario'!$B:$B)+SUMIFS(D$2:D3362,B$2:B3362,B3362,C$2:C3362,"ENTRADA")-SUMIFS(D$2:D3362,B$2:B3362,B3362,C$2:C3362,"SALIDA")</f>
        <v>14643.314000000006</v>
      </c>
    </row>
    <row r="3363" spans="1:5" x14ac:dyDescent="0.3">
      <c r="A3363" s="9">
        <v>45275</v>
      </c>
      <c r="B3363" s="10" t="s">
        <v>15</v>
      </c>
      <c r="C3363" s="10" t="s">
        <v>28</v>
      </c>
      <c r="D3363" s="12">
        <v>145.99</v>
      </c>
      <c r="E3363" s="12">
        <f>SUMIF('Parametros Inventario'!$A:$A,B3363,'Parametros Inventario'!$B:$B)+SUMIFS(D$2:D3363,B$2:B3363,B3363,C$2:C3363,"ENTRADA")-SUMIFS(D$2:D3363,B$2:B3363,B3363,C$2:C3363,"SALIDA")</f>
        <v>16463.789000000004</v>
      </c>
    </row>
    <row r="3364" spans="1:5" x14ac:dyDescent="0.3">
      <c r="A3364" s="9">
        <v>45275</v>
      </c>
      <c r="B3364" s="10" t="s">
        <v>11</v>
      </c>
      <c r="C3364" s="10" t="s">
        <v>28</v>
      </c>
      <c r="D3364" s="12">
        <v>299.99</v>
      </c>
      <c r="E3364" s="12">
        <f>SUMIF('Parametros Inventario'!$A:$A,B3364,'Parametros Inventario'!$B:$B)+SUMIFS(D$2:D3364,B$2:B3364,B3364,C$2:C3364,"ENTRADA")-SUMIFS(D$2:D3364,B$2:B3364,B3364,C$2:C3364,"SALIDA")</f>
        <v>17136.886999999999</v>
      </c>
    </row>
    <row r="3365" spans="1:5" x14ac:dyDescent="0.3">
      <c r="A3365" s="9">
        <v>45275</v>
      </c>
      <c r="B3365" s="10" t="s">
        <v>9</v>
      </c>
      <c r="C3365" s="10" t="s">
        <v>28</v>
      </c>
      <c r="D3365" s="12">
        <v>225.68</v>
      </c>
      <c r="E3365" s="12">
        <f>SUMIF('Parametros Inventario'!$A:$A,B3365,'Parametros Inventario'!$B:$B)+SUMIFS(D$2:D3365,B$2:B3365,B3365,C$2:C3365,"ENTRADA")-SUMIFS(D$2:D3365,B$2:B3365,B3365,C$2:C3365,"SALIDA")</f>
        <v>13748.502</v>
      </c>
    </row>
    <row r="3366" spans="1:5" x14ac:dyDescent="0.3">
      <c r="A3366" s="9">
        <v>45275</v>
      </c>
      <c r="B3366" s="10" t="s">
        <v>14</v>
      </c>
      <c r="C3366" s="10" t="s">
        <v>28</v>
      </c>
      <c r="D3366" s="12">
        <v>124.59</v>
      </c>
      <c r="E3366" s="12">
        <f>SUMIF('Parametros Inventario'!$A:$A,B3366,'Parametros Inventario'!$B:$B)+SUMIFS(D$2:D3366,B$2:B3366,B3366,C$2:C3366,"ENTRADA")-SUMIFS(D$2:D3366,B$2:B3366,B3366,C$2:C3366,"SALIDA")</f>
        <v>15977.115000000007</v>
      </c>
    </row>
    <row r="3367" spans="1:5" x14ac:dyDescent="0.3">
      <c r="A3367" s="9">
        <v>45275</v>
      </c>
      <c r="B3367" s="10" t="s">
        <v>12</v>
      </c>
      <c r="C3367" s="10" t="s">
        <v>28</v>
      </c>
      <c r="D3367" s="12">
        <v>81.31</v>
      </c>
      <c r="E3367" s="12">
        <f>SUMIF('Parametros Inventario'!$A:$A,B3367,'Parametros Inventario'!$B:$B)+SUMIFS(D$2:D3367,B$2:B3367,B3367,C$2:C3367,"ENTRADA")-SUMIFS(D$2:D3367,B$2:B3367,B3367,C$2:C3367,"SALIDA")</f>
        <v>15243.347000000003</v>
      </c>
    </row>
    <row r="3368" spans="1:5" x14ac:dyDescent="0.3">
      <c r="A3368" s="9">
        <v>45275</v>
      </c>
      <c r="B3368" s="10" t="s">
        <v>16</v>
      </c>
      <c r="C3368" s="10" t="s">
        <v>28</v>
      </c>
      <c r="D3368" s="12">
        <v>131.31</v>
      </c>
      <c r="E3368" s="12">
        <f>SUMIF('Parametros Inventario'!$A:$A,B3368,'Parametros Inventario'!$B:$B)+SUMIFS(D$2:D3368,B$2:B3368,B3368,C$2:C3368,"ENTRADA")-SUMIFS(D$2:D3368,B$2:B3368,B3368,C$2:C3368,"SALIDA")</f>
        <v>15712.670999999995</v>
      </c>
    </row>
    <row r="3369" spans="1:5" x14ac:dyDescent="0.3">
      <c r="A3369" s="9">
        <v>45275</v>
      </c>
      <c r="B3369" s="10" t="s">
        <v>17</v>
      </c>
      <c r="C3369" s="10" t="s">
        <v>28</v>
      </c>
      <c r="D3369" s="12">
        <v>228.44</v>
      </c>
      <c r="E3369" s="12">
        <f>SUMIF('Parametros Inventario'!$A:$A,B3369,'Parametros Inventario'!$B:$B)+SUMIFS(D$2:D3369,B$2:B3369,B3369,C$2:C3369,"ENTRADA")-SUMIFS(D$2:D3369,B$2:B3369,B3369,C$2:C3369,"SALIDA")</f>
        <v>13977.005999999996</v>
      </c>
    </row>
    <row r="3370" spans="1:5" x14ac:dyDescent="0.3">
      <c r="A3370" s="9">
        <v>45275</v>
      </c>
      <c r="B3370" s="10" t="s">
        <v>18</v>
      </c>
      <c r="C3370" s="10" t="s">
        <v>28</v>
      </c>
      <c r="D3370" s="12">
        <v>265.55</v>
      </c>
      <c r="E3370" s="12">
        <f>SUMIF('Parametros Inventario'!$A:$A,B3370,'Parametros Inventario'!$B:$B)+SUMIFS(D$2:D3370,B$2:B3370,B3370,C$2:C3370,"ENTRADA")-SUMIFS(D$2:D3370,B$2:B3370,B3370,C$2:C3370,"SALIDA")</f>
        <v>14751.086999999994</v>
      </c>
    </row>
    <row r="3371" spans="1:5" x14ac:dyDescent="0.3">
      <c r="A3371" s="9">
        <v>45275</v>
      </c>
      <c r="B3371" s="10" t="s">
        <v>10</v>
      </c>
      <c r="C3371" s="10" t="s">
        <v>28</v>
      </c>
      <c r="D3371" s="12">
        <v>184.38</v>
      </c>
      <c r="E3371" s="12">
        <f>SUMIF('Parametros Inventario'!$A:$A,B3371,'Parametros Inventario'!$B:$B)+SUMIFS(D$2:D3371,B$2:B3371,B3371,C$2:C3371,"ENTRADA")-SUMIFS(D$2:D3371,B$2:B3371,B3371,C$2:C3371,"SALIDA")</f>
        <v>16147.389999999996</v>
      </c>
    </row>
    <row r="3372" spans="1:5" x14ac:dyDescent="0.3">
      <c r="A3372" s="9">
        <f>'Volúmenes DIstribuidos '!B2109</f>
        <v>45275</v>
      </c>
      <c r="B3372" s="10" t="str">
        <f>IF(OR('Volúmenes DIstribuidos '!C2109="Azúcar",'Volúmenes DIstribuidos '!C2109="azúcar"),"Azúcar o dulce",IF('Volúmenes DIstribuidos '!C2109="Aceite","Aceite o grasas",IF('Volúmenes DIstribuidos '!C2109="Avena","Otros almidones",'Volúmenes DIstribuidos '!C2109)))</f>
        <v>Menestras</v>
      </c>
      <c r="C3372" s="10" t="s">
        <v>29</v>
      </c>
      <c r="D3372" s="12">
        <f>'Volúmenes DIstribuidos '!D2109</f>
        <v>35.840000000000003</v>
      </c>
      <c r="E3372" s="12">
        <f>SUMIF('Parametros Inventario'!$A:$A,B3372,'Parametros Inventario'!$B:$B)+SUMIFS(D$2:D3372,B$2:B3372,B3372,C$2:C3372,"ENTRADA")-SUMIFS(D$2:D3372,B$2:B3372,B3372,C$2:C3372,"SALIDA")</f>
        <v>15941.275000000007</v>
      </c>
    </row>
    <row r="3373" spans="1:5" x14ac:dyDescent="0.3">
      <c r="A3373" s="9">
        <f>'Volúmenes DIstribuidos '!B2109</f>
        <v>45275</v>
      </c>
      <c r="B3373" s="10" t="str">
        <f>IF(OR('Volúmenes DIstribuidos '!C2110="Azúcar",'Volúmenes DIstribuidos '!C2110="azúcar"),"Azúcar o dulce",IF('Volúmenes DIstribuidos '!C2110="Aceite","Aceite o grasas",IF('Volúmenes DIstribuidos '!C2110="Avena","Otros almidones",'Volúmenes DIstribuidos '!C2110)))</f>
        <v>Carnes rojas</v>
      </c>
      <c r="C3373" s="10" t="s">
        <v>29</v>
      </c>
      <c r="D3373" s="12">
        <f>'Volúmenes DIstribuidos '!D2110</f>
        <v>12.19</v>
      </c>
      <c r="E3373" s="12">
        <f>SUMIF('Parametros Inventario'!$A:$A,B3373,'Parametros Inventario'!$B:$B)+SUMIFS(D$2:D3373,B$2:B3373,B3373,C$2:C3373,"ENTRADA")-SUMIFS(D$2:D3373,B$2:B3373,B3373,C$2:C3373,"SALIDA")</f>
        <v>15231.157000000003</v>
      </c>
    </row>
    <row r="3374" spans="1:5" x14ac:dyDescent="0.3">
      <c r="A3374" s="9">
        <f>'Volúmenes DIstribuidos '!B2109</f>
        <v>45275</v>
      </c>
      <c r="B3374" s="10" t="str">
        <f>IF(OR('Volúmenes DIstribuidos '!C2111="Azúcar",'Volúmenes DIstribuidos '!C2111="azúcar"),"Azúcar o dulce",IF('Volúmenes DIstribuidos '!C2111="Aceite","Aceite o grasas",IF('Volúmenes DIstribuidos '!C2111="Avena","Otros almidones",'Volúmenes DIstribuidos '!C2111)))</f>
        <v>Salsas</v>
      </c>
      <c r="C3374" s="10" t="s">
        <v>29</v>
      </c>
      <c r="D3374" s="12">
        <f>'Volúmenes DIstribuidos '!D2111</f>
        <v>15.88</v>
      </c>
      <c r="E3374" s="12">
        <f>SUMIF('Parametros Inventario'!$A:$A,B3374,'Parametros Inventario'!$B:$B)+SUMIFS(D$2:D3374,B$2:B3374,B3374,C$2:C3374,"ENTRADA")-SUMIFS(D$2:D3374,B$2:B3374,B3374,C$2:C3374,"SALIDA")</f>
        <v>14735.206999999995</v>
      </c>
    </row>
    <row r="3375" spans="1:5" x14ac:dyDescent="0.3">
      <c r="A3375" s="9">
        <f>'Volúmenes DIstribuidos '!B2109</f>
        <v>45275</v>
      </c>
      <c r="B3375" s="10" t="str">
        <f>IF(OR('Volúmenes DIstribuidos '!C2112="Azúcar",'Volúmenes DIstribuidos '!C2112="azúcar"),"Azúcar o dulce",IF('Volúmenes DIstribuidos '!C2112="Aceite","Aceite o grasas",IF('Volúmenes DIstribuidos '!C2112="Avena","Otros almidones",'Volúmenes DIstribuidos '!C2112)))</f>
        <v>Vegetales y hojas</v>
      </c>
      <c r="C3375" s="10" t="s">
        <v>29</v>
      </c>
      <c r="D3375" s="12">
        <f>'Volúmenes DIstribuidos '!D2112</f>
        <v>25.135000000000002</v>
      </c>
      <c r="E3375" s="12">
        <f>SUMIF('Parametros Inventario'!$A:$A,B3375,'Parametros Inventario'!$B:$B)+SUMIFS(D$2:D3375,B$2:B3375,B3375,C$2:C3375,"ENTRADA")-SUMIFS(D$2:D3375,B$2:B3375,B3375,C$2:C3375,"SALIDA")</f>
        <v>16122.254999999996</v>
      </c>
    </row>
    <row r="3376" spans="1:5" x14ac:dyDescent="0.3">
      <c r="A3376" s="9">
        <f>'Volúmenes DIstribuidos '!B2109</f>
        <v>45275</v>
      </c>
      <c r="B3376" s="10" t="str">
        <f>IF(OR('Volúmenes DIstribuidos '!C2113="Azúcar",'Volúmenes DIstribuidos '!C2113="azúcar"),"Azúcar o dulce",IF('Volúmenes DIstribuidos '!C2113="Aceite","Aceite o grasas",IF('Volúmenes DIstribuidos '!C2113="Avena","Otros almidones",'Volúmenes DIstribuidos '!C2113)))</f>
        <v>Carnes rojas</v>
      </c>
      <c r="C3376" s="10" t="s">
        <v>29</v>
      </c>
      <c r="D3376" s="12">
        <f>'Volúmenes DIstribuidos '!D2113</f>
        <v>19.670000000000002</v>
      </c>
      <c r="E3376" s="12">
        <f>SUMIF('Parametros Inventario'!$A:$A,B3376,'Parametros Inventario'!$B:$B)+SUMIFS(D$2:D3376,B$2:B3376,B3376,C$2:C3376,"ENTRADA")-SUMIFS(D$2:D3376,B$2:B3376,B3376,C$2:C3376,"SALIDA")</f>
        <v>15211.487000000005</v>
      </c>
    </row>
    <row r="3377" spans="1:5" x14ac:dyDescent="0.3">
      <c r="A3377" s="9">
        <f>'Volúmenes DIstribuidos '!B2109</f>
        <v>45275</v>
      </c>
      <c r="B3377" s="10" t="str">
        <f>IF(OR('Volúmenes DIstribuidos '!C2114="Azúcar",'Volúmenes DIstribuidos '!C2114="azúcar"),"Azúcar o dulce",IF('Volúmenes DIstribuidos '!C2114="Aceite","Aceite o grasas",IF('Volúmenes DIstribuidos '!C2114="Avena","Otros almidones",'Volúmenes DIstribuidos '!C2114)))</f>
        <v>Aceite o grasas</v>
      </c>
      <c r="C3377" s="10" t="s">
        <v>29</v>
      </c>
      <c r="D3377" s="12">
        <f>'Volúmenes DIstribuidos '!D2114</f>
        <v>8.5500000000000007</v>
      </c>
      <c r="E3377" s="12">
        <f>SUMIF('Parametros Inventario'!$A:$A,B3377,'Parametros Inventario'!$B:$B)+SUMIFS(D$2:D3377,B$2:B3377,B3377,C$2:C3377,"ENTRADA")-SUMIFS(D$2:D3377,B$2:B3377,B3377,C$2:C3377,"SALIDA")</f>
        <v>14832.935000000005</v>
      </c>
    </row>
    <row r="3378" spans="1:5" x14ac:dyDescent="0.3">
      <c r="A3378" s="9">
        <f>'Volúmenes DIstribuidos '!B2115</f>
        <v>45279</v>
      </c>
      <c r="B3378" s="10" t="str">
        <f>IF(OR('Volúmenes DIstribuidos '!C2115="Azúcar",'Volúmenes DIstribuidos '!C2115="azúcar"),"Azúcar o dulce",IF('Volúmenes DIstribuidos '!C2115="Aceite","Aceite o grasas",IF('Volúmenes DIstribuidos '!C2115="Avena","Otros almidones",'Volúmenes DIstribuidos '!C2115)))</f>
        <v>Vegetales y hojas</v>
      </c>
      <c r="C3378" s="10" t="s">
        <v>29</v>
      </c>
      <c r="D3378" s="12">
        <f>'Volúmenes DIstribuidos '!D2115</f>
        <v>36.81</v>
      </c>
      <c r="E3378" s="12">
        <f>SUMIF('Parametros Inventario'!$A:$A,B3378,'Parametros Inventario'!$B:$B)+SUMIFS(D$2:D3378,B$2:B3378,B3378,C$2:C3378,"ENTRADA")-SUMIFS(D$2:D3378,B$2:B3378,B3378,C$2:C3378,"SALIDA")</f>
        <v>16085.444999999996</v>
      </c>
    </row>
    <row r="3379" spans="1:5" x14ac:dyDescent="0.3">
      <c r="A3379" s="9">
        <f>'Volúmenes DIstribuidos '!B2115</f>
        <v>45279</v>
      </c>
      <c r="B3379" s="10" t="str">
        <f>IF(OR('Volúmenes DIstribuidos '!C2116="Azúcar",'Volúmenes DIstribuidos '!C2116="azúcar"),"Azúcar o dulce",IF('Volúmenes DIstribuidos '!C2116="Aceite","Aceite o grasas",IF('Volúmenes DIstribuidos '!C2116="Avena","Otros almidones",'Volúmenes DIstribuidos '!C2116)))</f>
        <v>Fideo</v>
      </c>
      <c r="C3379" s="10" t="s">
        <v>29</v>
      </c>
      <c r="D3379" s="12">
        <f>'Volúmenes DIstribuidos '!D2116</f>
        <v>25.856000000000002</v>
      </c>
      <c r="E3379" s="12">
        <f>SUMIF('Parametros Inventario'!$A:$A,B3379,'Parametros Inventario'!$B:$B)+SUMIFS(D$2:D3379,B$2:B3379,B3379,C$2:C3379,"ENTRADA")-SUMIFS(D$2:D3379,B$2:B3379,B3379,C$2:C3379,"SALIDA")</f>
        <v>17111.030999999999</v>
      </c>
    </row>
    <row r="3380" spans="1:5" x14ac:dyDescent="0.3">
      <c r="A3380" s="9">
        <f>'Volúmenes DIstribuidos '!B2115</f>
        <v>45279</v>
      </c>
      <c r="B3380" s="10" t="str">
        <f>IF(OR('Volúmenes DIstribuidos '!C2117="Azúcar",'Volúmenes DIstribuidos '!C2117="azúcar"),"Azúcar o dulce",IF('Volúmenes DIstribuidos '!C2117="Aceite","Aceite o grasas",IF('Volúmenes DIstribuidos '!C2117="Avena","Otros almidones",'Volúmenes DIstribuidos '!C2117)))</f>
        <v>Salsas</v>
      </c>
      <c r="C3380" s="10" t="s">
        <v>29</v>
      </c>
      <c r="D3380" s="12">
        <f>'Volúmenes DIstribuidos '!D2117</f>
        <v>110</v>
      </c>
      <c r="E3380" s="12">
        <f>SUMIF('Parametros Inventario'!$A:$A,B3380,'Parametros Inventario'!$B:$B)+SUMIFS(D$2:D3380,B$2:B3380,B3380,C$2:C3380,"ENTRADA")-SUMIFS(D$2:D3380,B$2:B3380,B3380,C$2:C3380,"SALIDA")</f>
        <v>14625.206999999995</v>
      </c>
    </row>
    <row r="3381" spans="1:5" x14ac:dyDescent="0.3">
      <c r="A3381" s="9">
        <f>'Volúmenes DIstribuidos '!B2115</f>
        <v>45279</v>
      </c>
      <c r="B3381" s="10" t="str">
        <f>IF(OR('Volúmenes DIstribuidos '!C2118="Azúcar",'Volúmenes DIstribuidos '!C2118="azúcar"),"Azúcar o dulce",IF('Volúmenes DIstribuidos '!C2118="Aceite","Aceite o grasas",IF('Volúmenes DIstribuidos '!C2118="Avena","Otros almidones",'Volúmenes DIstribuidos '!C2118)))</f>
        <v>Otros almidones</v>
      </c>
      <c r="C3381" s="10" t="s">
        <v>29</v>
      </c>
      <c r="D3381" s="12">
        <f>'Volúmenes DIstribuidos '!D2118</f>
        <v>66.03</v>
      </c>
      <c r="E3381" s="12">
        <f>SUMIF('Parametros Inventario'!$A:$A,B3381,'Parametros Inventario'!$B:$B)+SUMIFS(D$2:D3381,B$2:B3381,B3381,C$2:C3381,"ENTRADA")-SUMIFS(D$2:D3381,B$2:B3381,B3381,C$2:C3381,"SALIDA")</f>
        <v>16397.759000000002</v>
      </c>
    </row>
    <row r="3382" spans="1:5" x14ac:dyDescent="0.3">
      <c r="A3382" s="9">
        <f>'Volúmenes DIstribuidos '!B2115</f>
        <v>45279</v>
      </c>
      <c r="B3382" s="10" t="str">
        <f>IF(OR('Volúmenes DIstribuidos '!C2119="Azúcar",'Volúmenes DIstribuidos '!C2119="azúcar"),"Azúcar o dulce",IF('Volúmenes DIstribuidos '!C2119="Aceite","Aceite o grasas",IF('Volúmenes DIstribuidos '!C2119="Avena","Otros almidones",'Volúmenes DIstribuidos '!C2119)))</f>
        <v>Carnes blancas</v>
      </c>
      <c r="C3382" s="10" t="s">
        <v>29</v>
      </c>
      <c r="D3382" s="12">
        <f>'Volúmenes DIstribuidos '!D2119</f>
        <v>61.36</v>
      </c>
      <c r="E3382" s="12">
        <f>SUMIF('Parametros Inventario'!$A:$A,B3382,'Parametros Inventario'!$B:$B)+SUMIFS(D$2:D3382,B$2:B3382,B3382,C$2:C3382,"ENTRADA")-SUMIFS(D$2:D3382,B$2:B3382,B3382,C$2:C3382,"SALIDA")</f>
        <v>15651.310999999994</v>
      </c>
    </row>
    <row r="3383" spans="1:5" x14ac:dyDescent="0.3">
      <c r="A3383" s="9">
        <f>'Volúmenes DIstribuidos '!B2115</f>
        <v>45279</v>
      </c>
      <c r="B3383" s="10" t="str">
        <f>IF(OR('Volúmenes DIstribuidos '!C2120="Azúcar",'Volúmenes DIstribuidos '!C2120="azúcar"),"Azúcar o dulce",IF('Volúmenes DIstribuidos '!C2120="Aceite","Aceite o grasas",IF('Volúmenes DIstribuidos '!C2120="Avena","Otros almidones",'Volúmenes DIstribuidos '!C2120)))</f>
        <v>Menestras</v>
      </c>
      <c r="C3383" s="10" t="s">
        <v>29</v>
      </c>
      <c r="D3383" s="12">
        <f>'Volúmenes DIstribuidos '!D2120</f>
        <v>99</v>
      </c>
      <c r="E3383" s="12">
        <f>SUMIF('Parametros Inventario'!$A:$A,B3383,'Parametros Inventario'!$B:$B)+SUMIFS(D$2:D3383,B$2:B3383,B3383,C$2:C3383,"ENTRADA")-SUMIFS(D$2:D3383,B$2:B3383,B3383,C$2:C3383,"SALIDA")</f>
        <v>15842.275000000007</v>
      </c>
    </row>
    <row r="3384" spans="1:5" x14ac:dyDescent="0.3">
      <c r="A3384" s="9">
        <v>45282</v>
      </c>
      <c r="B3384" s="10" t="s">
        <v>8</v>
      </c>
      <c r="C3384" s="10" t="s">
        <v>28</v>
      </c>
      <c r="D3384" s="12">
        <v>151.33000000000001</v>
      </c>
      <c r="E3384" s="12">
        <f>SUMIF('Parametros Inventario'!$A:$A,B3384,'Parametros Inventario'!$B:$B)+SUMIFS(D$2:D3384,B$2:B3384,B3384,C$2:C3384,"ENTRADA")-SUMIFS(D$2:D3384,B$2:B3384,B3384,C$2:C3384,"SALIDA")</f>
        <v>14984.265000000007</v>
      </c>
    </row>
    <row r="3385" spans="1:5" x14ac:dyDescent="0.3">
      <c r="A3385" s="9">
        <v>45282</v>
      </c>
      <c r="B3385" s="10" t="s">
        <v>13</v>
      </c>
      <c r="C3385" s="10" t="s">
        <v>28</v>
      </c>
      <c r="D3385" s="12">
        <v>225.19</v>
      </c>
      <c r="E3385" s="12">
        <f>SUMIF('Parametros Inventario'!$A:$A,B3385,'Parametros Inventario'!$B:$B)+SUMIFS(D$2:D3385,B$2:B3385,B3385,C$2:C3385,"ENTRADA")-SUMIFS(D$2:D3385,B$2:B3385,B3385,C$2:C3385,"SALIDA")</f>
        <v>14868.504000000004</v>
      </c>
    </row>
    <row r="3386" spans="1:5" x14ac:dyDescent="0.3">
      <c r="A3386" s="9">
        <v>45282</v>
      </c>
      <c r="B3386" s="10" t="s">
        <v>15</v>
      </c>
      <c r="C3386" s="10" t="s">
        <v>28</v>
      </c>
      <c r="D3386" s="12">
        <v>148.44999999999999</v>
      </c>
      <c r="E3386" s="12">
        <f>SUMIF('Parametros Inventario'!$A:$A,B3386,'Parametros Inventario'!$B:$B)+SUMIFS(D$2:D3386,B$2:B3386,B3386,C$2:C3386,"ENTRADA")-SUMIFS(D$2:D3386,B$2:B3386,B3386,C$2:C3386,"SALIDA")</f>
        <v>16546.209000000003</v>
      </c>
    </row>
    <row r="3387" spans="1:5" x14ac:dyDescent="0.3">
      <c r="A3387" s="9">
        <v>45282</v>
      </c>
      <c r="B3387" s="10" t="s">
        <v>11</v>
      </c>
      <c r="C3387" s="10" t="s">
        <v>28</v>
      </c>
      <c r="D3387" s="12">
        <v>254.37</v>
      </c>
      <c r="E3387" s="12">
        <f>SUMIF('Parametros Inventario'!$A:$A,B3387,'Parametros Inventario'!$B:$B)+SUMIFS(D$2:D3387,B$2:B3387,B3387,C$2:C3387,"ENTRADA")-SUMIFS(D$2:D3387,B$2:B3387,B3387,C$2:C3387,"SALIDA")</f>
        <v>17365.400999999998</v>
      </c>
    </row>
    <row r="3388" spans="1:5" x14ac:dyDescent="0.3">
      <c r="A3388" s="9">
        <v>45282</v>
      </c>
      <c r="B3388" s="10" t="s">
        <v>9</v>
      </c>
      <c r="C3388" s="10" t="s">
        <v>28</v>
      </c>
      <c r="D3388" s="12">
        <v>245.87</v>
      </c>
      <c r="E3388" s="12">
        <f>SUMIF('Parametros Inventario'!$A:$A,B3388,'Parametros Inventario'!$B:$B)+SUMIFS(D$2:D3388,B$2:B3388,B3388,C$2:C3388,"ENTRADA")-SUMIFS(D$2:D3388,B$2:B3388,B3388,C$2:C3388,"SALIDA")</f>
        <v>13994.371999999999</v>
      </c>
    </row>
    <row r="3389" spans="1:5" x14ac:dyDescent="0.3">
      <c r="A3389" s="9">
        <v>45282</v>
      </c>
      <c r="B3389" s="10" t="s">
        <v>14</v>
      </c>
      <c r="C3389" s="10" t="s">
        <v>28</v>
      </c>
      <c r="D3389" s="12">
        <v>182.52</v>
      </c>
      <c r="E3389" s="12">
        <f>SUMIF('Parametros Inventario'!$A:$A,B3389,'Parametros Inventario'!$B:$B)+SUMIFS(D$2:D3389,B$2:B3389,B3389,C$2:C3389,"ENTRADA")-SUMIFS(D$2:D3389,B$2:B3389,B3389,C$2:C3389,"SALIDA")</f>
        <v>16024.795000000007</v>
      </c>
    </row>
    <row r="3390" spans="1:5" x14ac:dyDescent="0.3">
      <c r="A3390" s="9">
        <v>45282</v>
      </c>
      <c r="B3390" s="10" t="s">
        <v>12</v>
      </c>
      <c r="C3390" s="10" t="s">
        <v>28</v>
      </c>
      <c r="D3390" s="12">
        <v>65.98</v>
      </c>
      <c r="E3390" s="12">
        <f>SUMIF('Parametros Inventario'!$A:$A,B3390,'Parametros Inventario'!$B:$B)+SUMIFS(D$2:D3390,B$2:B3390,B3390,C$2:C3390,"ENTRADA")-SUMIFS(D$2:D3390,B$2:B3390,B3390,C$2:C3390,"SALIDA")</f>
        <v>15277.467000000004</v>
      </c>
    </row>
    <row r="3391" spans="1:5" x14ac:dyDescent="0.3">
      <c r="A3391" s="9">
        <v>45282</v>
      </c>
      <c r="B3391" s="10" t="s">
        <v>16</v>
      </c>
      <c r="C3391" s="10" t="s">
        <v>28</v>
      </c>
      <c r="D3391" s="12">
        <v>259.29000000000002</v>
      </c>
      <c r="E3391" s="12">
        <f>SUMIF('Parametros Inventario'!$A:$A,B3391,'Parametros Inventario'!$B:$B)+SUMIFS(D$2:D3391,B$2:B3391,B3391,C$2:C3391,"ENTRADA")-SUMIFS(D$2:D3391,B$2:B3391,B3391,C$2:C3391,"SALIDA")</f>
        <v>15910.600999999995</v>
      </c>
    </row>
    <row r="3392" spans="1:5" x14ac:dyDescent="0.3">
      <c r="A3392" s="9">
        <f>'Volúmenes DIstribuidos '!B2121</f>
        <v>45282</v>
      </c>
      <c r="B3392" s="10" t="str">
        <f>IF(OR('Volúmenes DIstribuidos '!C2121="Azúcar",'Volúmenes DIstribuidos '!C2121="azúcar"),"Azúcar o dulce",IF('Volúmenes DIstribuidos '!C2121="Aceite","Aceite o grasas",IF('Volúmenes DIstribuidos '!C2121="Avena","Otros almidones",'Volúmenes DIstribuidos '!C2121)))</f>
        <v>Panadería</v>
      </c>
      <c r="C3392" s="10" t="s">
        <v>29</v>
      </c>
      <c r="D3392" s="12">
        <f>'Volúmenes DIstribuidos '!D2121</f>
        <v>40.72</v>
      </c>
      <c r="E3392" s="12">
        <f>SUMIF('Parametros Inventario'!$A:$A,B3392,'Parametros Inventario'!$B:$B)+SUMIFS(D$2:D3392,B$2:B3392,B3392,C$2:C3392,"ENTRADA")-SUMIFS(D$2:D3392,B$2:B3392,B3392,C$2:C3392,"SALIDA")</f>
        <v>13953.651999999998</v>
      </c>
    </row>
    <row r="3393" spans="1:5" x14ac:dyDescent="0.3">
      <c r="A3393" s="9">
        <f>'Volúmenes DIstribuidos '!B2121</f>
        <v>45282</v>
      </c>
      <c r="B3393" s="10" t="str">
        <f>IF(OR('Volúmenes DIstribuidos '!C2122="Azúcar",'Volúmenes DIstribuidos '!C2122="azúcar"),"Azúcar o dulce",IF('Volúmenes DIstribuidos '!C2122="Aceite","Aceite o grasas",IF('Volúmenes DIstribuidos '!C2122="Avena","Otros almidones",'Volúmenes DIstribuidos '!C2122)))</f>
        <v>Carnes rojas</v>
      </c>
      <c r="C3393" s="10" t="s">
        <v>29</v>
      </c>
      <c r="D3393" s="12">
        <f>'Volúmenes DIstribuidos '!D2122</f>
        <v>26.292000000000002</v>
      </c>
      <c r="E3393" s="12">
        <f>SUMIF('Parametros Inventario'!$A:$A,B3393,'Parametros Inventario'!$B:$B)+SUMIFS(D$2:D3393,B$2:B3393,B3393,C$2:C3393,"ENTRADA")-SUMIFS(D$2:D3393,B$2:B3393,B3393,C$2:C3393,"SALIDA")</f>
        <v>15251.175000000003</v>
      </c>
    </row>
    <row r="3394" spans="1:5" x14ac:dyDescent="0.3">
      <c r="A3394" s="9">
        <f>'Volúmenes DIstribuidos '!B2121</f>
        <v>45282</v>
      </c>
      <c r="B3394" s="10" t="str">
        <f>IF(OR('Volúmenes DIstribuidos '!C2123="Azúcar",'Volúmenes DIstribuidos '!C2123="azúcar"),"Azúcar o dulce",IF('Volúmenes DIstribuidos '!C2123="Aceite","Aceite o grasas",IF('Volúmenes DIstribuidos '!C2123="Avena","Otros almidones",'Volúmenes DIstribuidos '!C2123)))</f>
        <v>Vegetales y hojas</v>
      </c>
      <c r="C3394" s="10" t="s">
        <v>29</v>
      </c>
      <c r="D3394" s="12">
        <f>'Volúmenes DIstribuidos '!D2123</f>
        <v>45.99</v>
      </c>
      <c r="E3394" s="12">
        <f>SUMIF('Parametros Inventario'!$A:$A,B3394,'Parametros Inventario'!$B:$B)+SUMIFS(D$2:D3394,B$2:B3394,B3394,C$2:C3394,"ENTRADA")-SUMIFS(D$2:D3394,B$2:B3394,B3394,C$2:C3394,"SALIDA")</f>
        <v>16039.454999999994</v>
      </c>
    </row>
    <row r="3395" spans="1:5" x14ac:dyDescent="0.3">
      <c r="A3395" s="9">
        <f>'Volúmenes DIstribuidos '!B2121</f>
        <v>45282</v>
      </c>
      <c r="B3395" s="10" t="str">
        <f>IF(OR('Volúmenes DIstribuidos '!C2124="Azúcar",'Volúmenes DIstribuidos '!C2124="azúcar"),"Azúcar o dulce",IF('Volúmenes DIstribuidos '!C2124="Aceite","Aceite o grasas",IF('Volúmenes DIstribuidos '!C2124="Avena","Otros almidones",'Volúmenes DIstribuidos '!C2124)))</f>
        <v>Otros almidones</v>
      </c>
      <c r="C3395" s="10" t="s">
        <v>29</v>
      </c>
      <c r="D3395" s="12">
        <f>'Volúmenes DIstribuidos '!D2124</f>
        <v>72.13</v>
      </c>
      <c r="E3395" s="12">
        <f>SUMIF('Parametros Inventario'!$A:$A,B3395,'Parametros Inventario'!$B:$B)+SUMIFS(D$2:D3395,B$2:B3395,B3395,C$2:C3395,"ENTRADA")-SUMIFS(D$2:D3395,B$2:B3395,B3395,C$2:C3395,"SALIDA")</f>
        <v>16474.079000000005</v>
      </c>
    </row>
    <row r="3396" spans="1:5" x14ac:dyDescent="0.3">
      <c r="A3396" s="9">
        <f>'Volúmenes DIstribuidos '!B2121</f>
        <v>45282</v>
      </c>
      <c r="B3396" s="10" t="str">
        <f>IF(OR('Volúmenes DIstribuidos '!C2125="Azúcar",'Volúmenes DIstribuidos '!C2125="azúcar"),"Azúcar o dulce",IF('Volúmenes DIstribuidos '!C2125="Aceite","Aceite o grasas",IF('Volúmenes DIstribuidos '!C2125="Avena","Otros almidones",'Volúmenes DIstribuidos '!C2125)))</f>
        <v>Fideo</v>
      </c>
      <c r="C3396" s="10" t="s">
        <v>29</v>
      </c>
      <c r="D3396" s="12">
        <f>'Volúmenes DIstribuidos '!D2125</f>
        <v>5.4139999999999997</v>
      </c>
      <c r="E3396" s="12">
        <f>SUMIF('Parametros Inventario'!$A:$A,B3396,'Parametros Inventario'!$B:$B)+SUMIFS(D$2:D3396,B$2:B3396,B3396,C$2:C3396,"ENTRADA")-SUMIFS(D$2:D3396,B$2:B3396,B3396,C$2:C3396,"SALIDA")</f>
        <v>17359.986999999997</v>
      </c>
    </row>
    <row r="3397" spans="1:5" x14ac:dyDescent="0.3">
      <c r="A3397" s="9">
        <f>'Volúmenes DIstribuidos '!B2121</f>
        <v>45282</v>
      </c>
      <c r="B3397" s="10" t="str">
        <f>IF(OR('Volúmenes DIstribuidos '!C2126="Azúcar",'Volúmenes DIstribuidos '!C2126="azúcar"),"Azúcar o dulce",IF('Volúmenes DIstribuidos '!C2126="Aceite","Aceite o grasas",IF('Volúmenes DIstribuidos '!C2126="Avena","Otros almidones",'Volúmenes DIstribuidos '!C2126)))</f>
        <v>Aceite o grasas</v>
      </c>
      <c r="C3397" s="10" t="s">
        <v>29</v>
      </c>
      <c r="D3397" s="12">
        <f>'Volúmenes DIstribuidos '!D2126</f>
        <v>10.31</v>
      </c>
      <c r="E3397" s="12">
        <f>SUMIF('Parametros Inventario'!$A:$A,B3397,'Parametros Inventario'!$B:$B)+SUMIFS(D$2:D3397,B$2:B3397,B3397,C$2:C3397,"ENTRADA")-SUMIFS(D$2:D3397,B$2:B3397,B3397,C$2:C3397,"SALIDA")</f>
        <v>14973.955000000005</v>
      </c>
    </row>
    <row r="3398" spans="1:5" x14ac:dyDescent="0.3">
      <c r="A3398" s="9">
        <f>'Volúmenes DIstribuidos '!B2127</f>
        <v>45286</v>
      </c>
      <c r="B3398" s="10" t="str">
        <f>IF(OR('Volúmenes DIstribuidos '!C2127="Azúcar",'Volúmenes DIstribuidos '!C2127="azúcar"),"Azúcar o dulce",IF('Volúmenes DIstribuidos '!C2127="Aceite","Aceite o grasas",IF('Volúmenes DIstribuidos '!C2127="Avena","Otros almidones",'Volúmenes DIstribuidos '!C2127)))</f>
        <v>Vegetales y hojas</v>
      </c>
      <c r="C3398" s="10" t="s">
        <v>29</v>
      </c>
      <c r="D3398" s="12">
        <f>'Volúmenes DIstribuidos '!D2127</f>
        <v>16.670000000000002</v>
      </c>
      <c r="E3398" s="12">
        <f>SUMIF('Parametros Inventario'!$A:$A,B3398,'Parametros Inventario'!$B:$B)+SUMIFS(D$2:D3398,B$2:B3398,B3398,C$2:C3398,"ENTRADA")-SUMIFS(D$2:D3398,B$2:B3398,B3398,C$2:C3398,"SALIDA")</f>
        <v>16022.784999999996</v>
      </c>
    </row>
    <row r="3399" spans="1:5" x14ac:dyDescent="0.3">
      <c r="A3399" s="9">
        <f>'Volúmenes DIstribuidos '!B2127</f>
        <v>45286</v>
      </c>
      <c r="B3399" s="10" t="str">
        <f>IF(OR('Volúmenes DIstribuidos '!C2128="Azúcar",'Volúmenes DIstribuidos '!C2128="azúcar"),"Azúcar o dulce",IF('Volúmenes DIstribuidos '!C2128="Aceite","Aceite o grasas",IF('Volúmenes DIstribuidos '!C2128="Avena","Otros almidones",'Volúmenes DIstribuidos '!C2128)))</f>
        <v>Carnes blancas</v>
      </c>
      <c r="C3399" s="10" t="s">
        <v>29</v>
      </c>
      <c r="D3399" s="12">
        <f>'Volúmenes DIstribuidos '!D2128</f>
        <v>16.22</v>
      </c>
      <c r="E3399" s="12">
        <f>SUMIF('Parametros Inventario'!$A:$A,B3399,'Parametros Inventario'!$B:$B)+SUMIFS(D$2:D3399,B$2:B3399,B3399,C$2:C3399,"ENTRADA")-SUMIFS(D$2:D3399,B$2:B3399,B3399,C$2:C3399,"SALIDA")</f>
        <v>15894.380999999996</v>
      </c>
    </row>
    <row r="3400" spans="1:5" x14ac:dyDescent="0.3">
      <c r="A3400" s="9">
        <f>'Volúmenes DIstribuidos '!B2127</f>
        <v>45286</v>
      </c>
      <c r="B3400" s="10" t="str">
        <f>IF(OR('Volúmenes DIstribuidos '!C2129="Azúcar",'Volúmenes DIstribuidos '!C2129="azúcar"),"Azúcar o dulce",IF('Volúmenes DIstribuidos '!C2129="Aceite","Aceite o grasas",IF('Volúmenes DIstribuidos '!C2129="Avena","Otros almidones",'Volúmenes DIstribuidos '!C2129)))</f>
        <v>Menestras</v>
      </c>
      <c r="C3400" s="10" t="s">
        <v>29</v>
      </c>
      <c r="D3400" s="12">
        <f>'Volúmenes DIstribuidos '!D2129</f>
        <v>15.42</v>
      </c>
      <c r="E3400" s="12">
        <f>SUMIF('Parametros Inventario'!$A:$A,B3400,'Parametros Inventario'!$B:$B)+SUMIFS(D$2:D3400,B$2:B3400,B3400,C$2:C3400,"ENTRADA")-SUMIFS(D$2:D3400,B$2:B3400,B3400,C$2:C3400,"SALIDA")</f>
        <v>16009.375000000007</v>
      </c>
    </row>
    <row r="3401" spans="1:5" x14ac:dyDescent="0.3">
      <c r="A3401" s="9">
        <f>'Volúmenes DIstribuidos '!B2127</f>
        <v>45286</v>
      </c>
      <c r="B3401" s="10" t="str">
        <f>IF(OR('Volúmenes DIstribuidos '!C2130="Azúcar",'Volúmenes DIstribuidos '!C2130="azúcar"),"Azúcar o dulce",IF('Volúmenes DIstribuidos '!C2130="Aceite","Aceite o grasas",IF('Volúmenes DIstribuidos '!C2130="Avena","Otros almidones",'Volúmenes DIstribuidos '!C2130)))</f>
        <v>Panadería</v>
      </c>
      <c r="C3401" s="10" t="s">
        <v>29</v>
      </c>
      <c r="D3401" s="12">
        <f>'Volúmenes DIstribuidos '!D2130</f>
        <v>8.5540000000000003</v>
      </c>
      <c r="E3401" s="12">
        <f>SUMIF('Parametros Inventario'!$A:$A,B3401,'Parametros Inventario'!$B:$B)+SUMIFS(D$2:D3401,B$2:B3401,B3401,C$2:C3401,"ENTRADA")-SUMIFS(D$2:D3401,B$2:B3401,B3401,C$2:C3401,"SALIDA")</f>
        <v>13945.097999999998</v>
      </c>
    </row>
    <row r="3402" spans="1:5" x14ac:dyDescent="0.3">
      <c r="A3402" s="9">
        <f>'Volúmenes DIstribuidos '!B2127</f>
        <v>45286</v>
      </c>
      <c r="B3402" s="10" t="str">
        <f>IF(OR('Volúmenes DIstribuidos '!C2131="Azúcar",'Volúmenes DIstribuidos '!C2131="azúcar"),"Azúcar o dulce",IF('Volúmenes DIstribuidos '!C2131="Aceite","Aceite o grasas",IF('Volúmenes DIstribuidos '!C2131="Avena","Otros almidones",'Volúmenes DIstribuidos '!C2131)))</f>
        <v>Lácteos</v>
      </c>
      <c r="C3402" s="10" t="s">
        <v>29</v>
      </c>
      <c r="D3402" s="12">
        <f>'Volúmenes DIstribuidos '!D2131</f>
        <v>26.55</v>
      </c>
      <c r="E3402" s="12">
        <f>SUMIF('Parametros Inventario'!$A:$A,B3402,'Parametros Inventario'!$B:$B)+SUMIFS(D$2:D3402,B$2:B3402,B3402,C$2:C3402,"ENTRADA")-SUMIFS(D$2:D3402,B$2:B3402,B3402,C$2:C3402,"SALIDA")</f>
        <v>13950.455999999995</v>
      </c>
    </row>
    <row r="3403" spans="1:5" x14ac:dyDescent="0.3">
      <c r="A3403" s="9">
        <f>'Volúmenes DIstribuidos '!B2127</f>
        <v>45286</v>
      </c>
      <c r="B3403" s="10" t="str">
        <f>IF(OR('Volúmenes DIstribuidos '!C2132="Azúcar",'Volúmenes DIstribuidos '!C2132="azúcar"),"Azúcar o dulce",IF('Volúmenes DIstribuidos '!C2132="Aceite","Aceite o grasas",IF('Volúmenes DIstribuidos '!C2132="Avena","Otros almidones",'Volúmenes DIstribuidos '!C2132)))</f>
        <v>Azúcar o dulce</v>
      </c>
      <c r="C3403" s="10" t="s">
        <v>29</v>
      </c>
      <c r="D3403" s="12">
        <f>'Volúmenes DIstribuidos '!D2132</f>
        <v>47.62</v>
      </c>
      <c r="E3403" s="12">
        <f>SUMIF('Parametros Inventario'!$A:$A,B3403,'Parametros Inventario'!$B:$B)+SUMIFS(D$2:D3403,B$2:B3403,B3403,C$2:C3403,"ENTRADA")-SUMIFS(D$2:D3403,B$2:B3403,B3403,C$2:C3403,"SALIDA")</f>
        <v>14820.884000000005</v>
      </c>
    </row>
    <row r="3404" spans="1:5" x14ac:dyDescent="0.3">
      <c r="A3404" s="9">
        <v>45289</v>
      </c>
      <c r="B3404" s="10" t="s">
        <v>17</v>
      </c>
      <c r="C3404" s="10" t="s">
        <v>28</v>
      </c>
      <c r="D3404" s="12">
        <v>184.75</v>
      </c>
      <c r="E3404" s="12">
        <f>SUMIF('Parametros Inventario'!$A:$A,B3404,'Parametros Inventario'!$B:$B)+SUMIFS(D$2:D3404,B$2:B3404,B3404,C$2:C3404,"ENTRADA")-SUMIFS(D$2:D3404,B$2:B3404,B3404,C$2:C3404,"SALIDA")</f>
        <v>14135.205999999995</v>
      </c>
    </row>
    <row r="3405" spans="1:5" x14ac:dyDescent="0.3">
      <c r="A3405" s="9">
        <v>45289</v>
      </c>
      <c r="B3405" s="10" t="s">
        <v>18</v>
      </c>
      <c r="C3405" s="10" t="s">
        <v>28</v>
      </c>
      <c r="D3405" s="12">
        <v>254.71</v>
      </c>
      <c r="E3405" s="12">
        <f>SUMIF('Parametros Inventario'!$A:$A,B3405,'Parametros Inventario'!$B:$B)+SUMIFS(D$2:D3405,B$2:B3405,B3405,C$2:C3405,"ENTRADA")-SUMIFS(D$2:D3405,B$2:B3405,B3405,C$2:C3405,"SALIDA")</f>
        <v>14879.916999999994</v>
      </c>
    </row>
    <row r="3406" spans="1:5" x14ac:dyDescent="0.3">
      <c r="A3406" s="9">
        <v>45289</v>
      </c>
      <c r="B3406" s="10" t="s">
        <v>10</v>
      </c>
      <c r="C3406" s="10" t="s">
        <v>28</v>
      </c>
      <c r="D3406" s="12">
        <v>212.93</v>
      </c>
      <c r="E3406" s="12">
        <f>SUMIF('Parametros Inventario'!$A:$A,B3406,'Parametros Inventario'!$B:$B)+SUMIFS(D$2:D3406,B$2:B3406,B3406,C$2:C3406,"ENTRADA")-SUMIFS(D$2:D3406,B$2:B3406,B3406,C$2:C3406,"SALIDA")</f>
        <v>16235.714999999997</v>
      </c>
    </row>
    <row r="3407" spans="1:5" x14ac:dyDescent="0.3">
      <c r="A3407" s="9">
        <v>45289</v>
      </c>
      <c r="B3407" s="10" t="s">
        <v>8</v>
      </c>
      <c r="C3407" s="10" t="s">
        <v>28</v>
      </c>
      <c r="D3407" s="12">
        <v>238.38</v>
      </c>
      <c r="E3407" s="12">
        <f>SUMIF('Parametros Inventario'!$A:$A,B3407,'Parametros Inventario'!$B:$B)+SUMIFS(D$2:D3407,B$2:B3407,B3407,C$2:C3407,"ENTRADA")-SUMIFS(D$2:D3407,B$2:B3407,B3407,C$2:C3407,"SALIDA")</f>
        <v>15212.335000000006</v>
      </c>
    </row>
    <row r="3408" spans="1:5" x14ac:dyDescent="0.3">
      <c r="A3408" s="9">
        <v>45289</v>
      </c>
      <c r="B3408" s="10" t="s">
        <v>13</v>
      </c>
      <c r="C3408" s="10" t="s">
        <v>28</v>
      </c>
      <c r="D3408" s="12">
        <v>101.87</v>
      </c>
      <c r="E3408" s="12">
        <f>SUMIF('Parametros Inventario'!$A:$A,B3408,'Parametros Inventario'!$B:$B)+SUMIFS(D$2:D3408,B$2:B3408,B3408,C$2:C3408,"ENTRADA")-SUMIFS(D$2:D3408,B$2:B3408,B3408,C$2:C3408,"SALIDA")</f>
        <v>14922.754000000004</v>
      </c>
    </row>
    <row r="3409" spans="1:5" x14ac:dyDescent="0.3">
      <c r="A3409" s="9">
        <v>45289</v>
      </c>
      <c r="B3409" s="10" t="s">
        <v>15</v>
      </c>
      <c r="C3409" s="10" t="s">
        <v>28</v>
      </c>
      <c r="D3409" s="12">
        <v>214.65</v>
      </c>
      <c r="E3409" s="12">
        <f>SUMIF('Parametros Inventario'!$A:$A,B3409,'Parametros Inventario'!$B:$B)+SUMIFS(D$2:D3409,B$2:B3409,B3409,C$2:C3409,"ENTRADA")-SUMIFS(D$2:D3409,B$2:B3409,B3409,C$2:C3409,"SALIDA")</f>
        <v>16688.729000000007</v>
      </c>
    </row>
    <row r="3410" spans="1:5" x14ac:dyDescent="0.3">
      <c r="A3410" s="9">
        <v>45289</v>
      </c>
      <c r="B3410" s="10" t="s">
        <v>11</v>
      </c>
      <c r="C3410" s="10" t="s">
        <v>28</v>
      </c>
      <c r="D3410" s="12">
        <v>79.33</v>
      </c>
      <c r="E3410" s="12">
        <f>SUMIF('Parametros Inventario'!$A:$A,B3410,'Parametros Inventario'!$B:$B)+SUMIFS(D$2:D3410,B$2:B3410,B3410,C$2:C3410,"ENTRADA")-SUMIFS(D$2:D3410,B$2:B3410,B3410,C$2:C3410,"SALIDA")</f>
        <v>17439.316999999999</v>
      </c>
    </row>
    <row r="3411" spans="1:5" x14ac:dyDescent="0.3">
      <c r="A3411" s="9">
        <v>45289</v>
      </c>
      <c r="B3411" s="10" t="s">
        <v>9</v>
      </c>
      <c r="C3411" s="10" t="s">
        <v>28</v>
      </c>
      <c r="D3411" s="12">
        <v>265.5</v>
      </c>
      <c r="E3411" s="12">
        <f>SUMIF('Parametros Inventario'!$A:$A,B3411,'Parametros Inventario'!$B:$B)+SUMIFS(D$2:D3411,B$2:B3411,B3411,C$2:C3411,"ENTRADA")-SUMIFS(D$2:D3411,B$2:B3411,B3411,C$2:C3411,"SALIDA")</f>
        <v>14210.597999999998</v>
      </c>
    </row>
    <row r="3412" spans="1:5" x14ac:dyDescent="0.3">
      <c r="A3412" s="9">
        <v>45289</v>
      </c>
      <c r="B3412" s="10" t="s">
        <v>14</v>
      </c>
      <c r="C3412" s="10" t="s">
        <v>28</v>
      </c>
      <c r="D3412" s="12">
        <v>223.8</v>
      </c>
      <c r="E3412" s="12">
        <f>SUMIF('Parametros Inventario'!$A:$A,B3412,'Parametros Inventario'!$B:$B)+SUMIFS(D$2:D3412,B$2:B3412,B3412,C$2:C3412,"ENTRADA")-SUMIFS(D$2:D3412,B$2:B3412,B3412,C$2:C3412,"SALIDA")</f>
        <v>16233.175000000007</v>
      </c>
    </row>
    <row r="3413" spans="1:5" x14ac:dyDescent="0.3">
      <c r="A3413" s="9">
        <v>45289</v>
      </c>
      <c r="B3413" s="10" t="s">
        <v>12</v>
      </c>
      <c r="C3413" s="10" t="s">
        <v>28</v>
      </c>
      <c r="D3413" s="12">
        <v>51.33</v>
      </c>
      <c r="E3413" s="12">
        <f>SUMIF('Parametros Inventario'!$A:$A,B3413,'Parametros Inventario'!$B:$B)+SUMIFS(D$2:D3413,B$2:B3413,B3413,C$2:C3413,"ENTRADA")-SUMIFS(D$2:D3413,B$2:B3413,B3413,C$2:C3413,"SALIDA")</f>
        <v>15302.505000000005</v>
      </c>
    </row>
    <row r="3414" spans="1:5" x14ac:dyDescent="0.3">
      <c r="A3414" s="9">
        <f>'Volúmenes DIstribuidos '!B2133</f>
        <v>45289</v>
      </c>
      <c r="B3414" s="10" t="str">
        <f>IF(OR('Volúmenes DIstribuidos '!C2133="Azúcar",'Volúmenes DIstribuidos '!C2133="azúcar"),"Azúcar o dulce",IF('Volúmenes DIstribuidos '!C2133="Aceite","Aceite o grasas",IF('Volúmenes DIstribuidos '!C2133="Avena","Otros almidones",'Volúmenes DIstribuidos '!C2133)))</f>
        <v>Fideo</v>
      </c>
      <c r="C3414" s="10" t="s">
        <v>29</v>
      </c>
      <c r="D3414" s="12">
        <f>'Volúmenes DIstribuidos '!D2133</f>
        <v>19.010000000000002</v>
      </c>
      <c r="E3414" s="12">
        <f>SUMIF('Parametros Inventario'!$A:$A,B3414,'Parametros Inventario'!$B:$B)+SUMIFS(D$2:D3414,B$2:B3414,B3414,C$2:C3414,"ENTRADA")-SUMIFS(D$2:D3414,B$2:B3414,B3414,C$2:C3414,"SALIDA")</f>
        <v>17420.307000000001</v>
      </c>
    </row>
    <row r="3415" spans="1:5" x14ac:dyDescent="0.3">
      <c r="A3415" s="9">
        <f>'Volúmenes DIstribuidos '!B2133</f>
        <v>45289</v>
      </c>
      <c r="B3415" s="10" t="str">
        <f>IF(OR('Volúmenes DIstribuidos '!C2134="Azúcar",'Volúmenes DIstribuidos '!C2134="azúcar"),"Azúcar o dulce",IF('Volúmenes DIstribuidos '!C2134="Aceite","Aceite o grasas",IF('Volúmenes DIstribuidos '!C2134="Avena","Otros almidones",'Volúmenes DIstribuidos '!C2134)))</f>
        <v>Panadería</v>
      </c>
      <c r="C3415" s="10" t="s">
        <v>29</v>
      </c>
      <c r="D3415" s="12">
        <f>'Volúmenes DIstribuidos '!D2134</f>
        <v>35.134</v>
      </c>
      <c r="E3415" s="12">
        <f>SUMIF('Parametros Inventario'!$A:$A,B3415,'Parametros Inventario'!$B:$B)+SUMIFS(D$2:D3415,B$2:B3415,B3415,C$2:C3415,"ENTRADA")-SUMIFS(D$2:D3415,B$2:B3415,B3415,C$2:C3415,"SALIDA")</f>
        <v>14175.463999999998</v>
      </c>
    </row>
    <row r="3416" spans="1:5" x14ac:dyDescent="0.3">
      <c r="A3416" s="9">
        <f>'Volúmenes DIstribuidos '!B2133</f>
        <v>45289</v>
      </c>
      <c r="B3416" s="10" t="str">
        <f>IF(OR('Volúmenes DIstribuidos '!C2135="Azúcar",'Volúmenes DIstribuidos '!C2135="azúcar"),"Azúcar o dulce",IF('Volúmenes DIstribuidos '!C2135="Aceite","Aceite o grasas",IF('Volúmenes DIstribuidos '!C2135="Avena","Otros almidones",'Volúmenes DIstribuidos '!C2135)))</f>
        <v>Otros almidones</v>
      </c>
      <c r="C3416" s="10" t="s">
        <v>29</v>
      </c>
      <c r="D3416" s="12">
        <f>'Volúmenes DIstribuidos '!D2135</f>
        <v>36.46</v>
      </c>
      <c r="E3416" s="12">
        <f>SUMIF('Parametros Inventario'!$A:$A,B3416,'Parametros Inventario'!$B:$B)+SUMIFS(D$2:D3416,B$2:B3416,B3416,C$2:C3416,"ENTRADA")-SUMIFS(D$2:D3416,B$2:B3416,B3416,C$2:C3416,"SALIDA")</f>
        <v>16652.269000000004</v>
      </c>
    </row>
    <row r="3417" spans="1:5" x14ac:dyDescent="0.3">
      <c r="A3417" s="9">
        <f>'Volúmenes DIstribuidos '!B2133</f>
        <v>45289</v>
      </c>
      <c r="B3417" s="10" t="str">
        <f>IF(OR('Volúmenes DIstribuidos '!C2136="Azúcar",'Volúmenes DIstribuidos '!C2136="azúcar"),"Azúcar o dulce",IF('Volúmenes DIstribuidos '!C2136="Aceite","Aceite o grasas",IF('Volúmenes DIstribuidos '!C2136="Avena","Otros almidones",'Volúmenes DIstribuidos '!C2136)))</f>
        <v>Fideo</v>
      </c>
      <c r="C3417" s="10" t="s">
        <v>29</v>
      </c>
      <c r="D3417" s="12">
        <f>'Volúmenes DIstribuidos '!D2136</f>
        <v>30.63</v>
      </c>
      <c r="E3417" s="12">
        <f>SUMIF('Parametros Inventario'!$A:$A,B3417,'Parametros Inventario'!$B:$B)+SUMIFS(D$2:D3417,B$2:B3417,B3417,C$2:C3417,"ENTRADA")-SUMIFS(D$2:D3417,B$2:B3417,B3417,C$2:C3417,"SALIDA")</f>
        <v>17389.677</v>
      </c>
    </row>
    <row r="3418" spans="1:5" x14ac:dyDescent="0.3">
      <c r="A3418" s="9">
        <f>'Volúmenes DIstribuidos '!B2133</f>
        <v>45289</v>
      </c>
      <c r="B3418" s="10" t="str">
        <f>IF(OR('Volúmenes DIstribuidos '!C2137="Azúcar",'Volúmenes DIstribuidos '!C2137="azúcar"),"Azúcar o dulce",IF('Volúmenes DIstribuidos '!C2137="Aceite","Aceite o grasas",IF('Volúmenes DIstribuidos '!C2137="Avena","Otros almidones",'Volúmenes DIstribuidos '!C2137)))</f>
        <v>Aceite o grasas</v>
      </c>
      <c r="C3418" s="10" t="s">
        <v>29</v>
      </c>
      <c r="D3418" s="12">
        <f>'Volúmenes DIstribuidos '!D2137</f>
        <v>23.22</v>
      </c>
      <c r="E3418" s="12">
        <f>SUMIF('Parametros Inventario'!$A:$A,B3418,'Parametros Inventario'!$B:$B)+SUMIFS(D$2:D3418,B$2:B3418,B3418,C$2:C3418,"ENTRADA")-SUMIFS(D$2:D3418,B$2:B3418,B3418,C$2:C3418,"SALIDA")</f>
        <v>15189.115000000007</v>
      </c>
    </row>
    <row r="3419" spans="1:5" x14ac:dyDescent="0.3">
      <c r="A3419" s="9">
        <f>'Volúmenes DIstribuidos '!B2133</f>
        <v>45289</v>
      </c>
      <c r="B3419" s="10" t="str">
        <f>IF(OR('Volúmenes DIstribuidos '!C2138="Azúcar",'Volúmenes DIstribuidos '!C2138="azúcar"),"Azúcar o dulce",IF('Volúmenes DIstribuidos '!C2138="Aceite","Aceite o grasas",IF('Volúmenes DIstribuidos '!C2138="Avena","Otros almidones",'Volúmenes DIstribuidos '!C2138)))</f>
        <v>Vegetales y hojas</v>
      </c>
      <c r="C3419" s="10" t="s">
        <v>29</v>
      </c>
      <c r="D3419" s="12">
        <f>'Volúmenes DIstribuidos '!D2138</f>
        <v>59.82</v>
      </c>
      <c r="E3419" s="12">
        <f>SUMIF('Parametros Inventario'!$A:$A,B3419,'Parametros Inventario'!$B:$B)+SUMIFS(D$2:D3419,B$2:B3419,B3419,C$2:C3419,"ENTRADA")-SUMIFS(D$2:D3419,B$2:B3419,B3419,C$2:C3419,"SALIDA")</f>
        <v>16175.894999999997</v>
      </c>
    </row>
    <row r="3420" spans="1:5" x14ac:dyDescent="0.3">
      <c r="A3420" s="9">
        <f>'Volúmenes DIstribuidos '!B2139</f>
        <v>45293</v>
      </c>
      <c r="B3420" s="10" t="str">
        <f>IF(OR('Volúmenes DIstribuidos '!C2139="Azúcar",'Volúmenes DIstribuidos '!C2139="azúcar"),"Azúcar o dulce",IF('Volúmenes DIstribuidos '!C2139="Aceite","Aceite o grasas",IF('Volúmenes DIstribuidos '!C2139="Avena","Otros almidones",'Volúmenes DIstribuidos '!C2139)))</f>
        <v>Menestras</v>
      </c>
      <c r="C3420" s="10" t="s">
        <v>29</v>
      </c>
      <c r="D3420" s="12">
        <f>'Volúmenes DIstribuidos '!D2139</f>
        <v>16.21</v>
      </c>
      <c r="E3420" s="12">
        <f>SUMIF('Parametros Inventario'!$A:$A,B3420,'Parametros Inventario'!$B:$B)+SUMIFS(D$2:D3420,B$2:B3420,B3420,C$2:C3420,"ENTRADA")-SUMIFS(D$2:D3420,B$2:B3420,B3420,C$2:C3420,"SALIDA")</f>
        <v>16216.965000000007</v>
      </c>
    </row>
    <row r="3421" spans="1:5" x14ac:dyDescent="0.3">
      <c r="A3421" s="9">
        <f>'Volúmenes DIstribuidos '!B2139</f>
        <v>45293</v>
      </c>
      <c r="B3421" s="10" t="str">
        <f>IF(OR('Volúmenes DIstribuidos '!C2140="Azúcar",'Volúmenes DIstribuidos '!C2140="azúcar"),"Azúcar o dulce",IF('Volúmenes DIstribuidos '!C2140="Aceite","Aceite o grasas",IF('Volúmenes DIstribuidos '!C2140="Avena","Otros almidones",'Volúmenes DIstribuidos '!C2140)))</f>
        <v>Carnes rojas</v>
      </c>
      <c r="C3421" s="10" t="s">
        <v>29</v>
      </c>
      <c r="D3421" s="12">
        <f>'Volúmenes DIstribuidos '!D2140</f>
        <v>13.779</v>
      </c>
      <c r="E3421" s="12">
        <f>SUMIF('Parametros Inventario'!$A:$A,B3421,'Parametros Inventario'!$B:$B)+SUMIFS(D$2:D3421,B$2:B3421,B3421,C$2:C3421,"ENTRADA")-SUMIFS(D$2:D3421,B$2:B3421,B3421,C$2:C3421,"SALIDA")</f>
        <v>15288.726000000004</v>
      </c>
    </row>
    <row r="3422" spans="1:5" x14ac:dyDescent="0.3">
      <c r="A3422" s="9">
        <f>'Volúmenes DIstribuidos '!B2139</f>
        <v>45293</v>
      </c>
      <c r="B3422" s="10" t="str">
        <f>IF(OR('Volúmenes DIstribuidos '!C2141="Azúcar",'Volúmenes DIstribuidos '!C2141="azúcar"),"Azúcar o dulce",IF('Volúmenes DIstribuidos '!C2141="Aceite","Aceite o grasas",IF('Volúmenes DIstribuidos '!C2141="Avena","Otros almidones",'Volúmenes DIstribuidos '!C2141)))</f>
        <v>Vegetales y hojas</v>
      </c>
      <c r="C3422" s="10" t="s">
        <v>29</v>
      </c>
      <c r="D3422" s="12">
        <f>'Volúmenes DIstribuidos '!D2141</f>
        <v>39.6</v>
      </c>
      <c r="E3422" s="12">
        <f>SUMIF('Parametros Inventario'!$A:$A,B3422,'Parametros Inventario'!$B:$B)+SUMIFS(D$2:D3422,B$2:B3422,B3422,C$2:C3422,"ENTRADA")-SUMIFS(D$2:D3422,B$2:B3422,B3422,C$2:C3422,"SALIDA")</f>
        <v>16136.294999999995</v>
      </c>
    </row>
    <row r="3423" spans="1:5" x14ac:dyDescent="0.3">
      <c r="A3423" s="9">
        <f>'Volúmenes DIstribuidos '!B2139</f>
        <v>45293</v>
      </c>
      <c r="B3423" s="10" t="str">
        <f>IF(OR('Volúmenes DIstribuidos '!C2142="Azúcar",'Volúmenes DIstribuidos '!C2142="azúcar"),"Azúcar o dulce",IF('Volúmenes DIstribuidos '!C2142="Aceite","Aceite o grasas",IF('Volúmenes DIstribuidos '!C2142="Avena","Otros almidones",'Volúmenes DIstribuidos '!C2142)))</f>
        <v>Menestras</v>
      </c>
      <c r="C3423" s="10" t="s">
        <v>29</v>
      </c>
      <c r="D3423" s="12">
        <f>'Volúmenes DIstribuidos '!D2142</f>
        <v>25.6</v>
      </c>
      <c r="E3423" s="12">
        <f>SUMIF('Parametros Inventario'!$A:$A,B3423,'Parametros Inventario'!$B:$B)+SUMIFS(D$2:D3423,B$2:B3423,B3423,C$2:C3423,"ENTRADA")-SUMIFS(D$2:D3423,B$2:B3423,B3423,C$2:C3423,"SALIDA")</f>
        <v>16191.365000000005</v>
      </c>
    </row>
    <row r="3424" spans="1:5" x14ac:dyDescent="0.3">
      <c r="A3424" s="9">
        <f>'Volúmenes DIstribuidos '!B2139</f>
        <v>45293</v>
      </c>
      <c r="B3424" s="10" t="str">
        <f>IF(OR('Volúmenes DIstribuidos '!C2143="Azúcar",'Volúmenes DIstribuidos '!C2143="azúcar"),"Azúcar o dulce",IF('Volúmenes DIstribuidos '!C2143="Aceite","Aceite o grasas",IF('Volúmenes DIstribuidos '!C2143="Avena","Otros almidones",'Volúmenes DIstribuidos '!C2143)))</f>
        <v>Panadería</v>
      </c>
      <c r="C3424" s="10" t="s">
        <v>29</v>
      </c>
      <c r="D3424" s="12">
        <f>'Volúmenes DIstribuidos '!D2143</f>
        <v>21.93</v>
      </c>
      <c r="E3424" s="12">
        <f>SUMIF('Parametros Inventario'!$A:$A,B3424,'Parametros Inventario'!$B:$B)+SUMIFS(D$2:D3424,B$2:B3424,B3424,C$2:C3424,"ENTRADA")-SUMIFS(D$2:D3424,B$2:B3424,B3424,C$2:C3424,"SALIDA")</f>
        <v>14153.533999999998</v>
      </c>
    </row>
    <row r="3425" spans="1:5" x14ac:dyDescent="0.3">
      <c r="A3425" s="9">
        <f>'Volúmenes DIstribuidos '!B2139</f>
        <v>45293</v>
      </c>
      <c r="B3425" s="10" t="str">
        <f>IF(OR('Volúmenes DIstribuidos '!C2144="Azúcar",'Volúmenes DIstribuidos '!C2144="azúcar"),"Azúcar o dulce",IF('Volúmenes DIstribuidos '!C2144="Aceite","Aceite o grasas",IF('Volúmenes DIstribuidos '!C2144="Avena","Otros almidones",'Volúmenes DIstribuidos '!C2144)))</f>
        <v>Salsas</v>
      </c>
      <c r="C3425" s="10" t="s">
        <v>29</v>
      </c>
      <c r="D3425" s="12">
        <f>'Volúmenes DIstribuidos '!D2144</f>
        <v>21.43</v>
      </c>
      <c r="E3425" s="12">
        <f>SUMIF('Parametros Inventario'!$A:$A,B3425,'Parametros Inventario'!$B:$B)+SUMIFS(D$2:D3425,B$2:B3425,B3425,C$2:C3425,"ENTRADA")-SUMIFS(D$2:D3425,B$2:B3425,B3425,C$2:C3425,"SALIDA")</f>
        <v>14858.486999999994</v>
      </c>
    </row>
    <row r="3426" spans="1:5" x14ac:dyDescent="0.3">
      <c r="A3426" s="9">
        <v>45296</v>
      </c>
      <c r="B3426" s="10" t="s">
        <v>16</v>
      </c>
      <c r="C3426" s="10" t="s">
        <v>28</v>
      </c>
      <c r="D3426" s="12">
        <v>161.81</v>
      </c>
      <c r="E3426" s="12">
        <f>SUMIF('Parametros Inventario'!$A:$A,B3426,'Parametros Inventario'!$B:$B)+SUMIFS(D$2:D3426,B$2:B3426,B3426,C$2:C3426,"ENTRADA")-SUMIFS(D$2:D3426,B$2:B3426,B3426,C$2:C3426,"SALIDA")</f>
        <v>16056.190999999997</v>
      </c>
    </row>
    <row r="3427" spans="1:5" x14ac:dyDescent="0.3">
      <c r="A3427" s="9">
        <v>45296</v>
      </c>
      <c r="B3427" s="10" t="s">
        <v>17</v>
      </c>
      <c r="C3427" s="10" t="s">
        <v>28</v>
      </c>
      <c r="D3427" s="12">
        <v>128.57</v>
      </c>
      <c r="E3427" s="12">
        <f>SUMIF('Parametros Inventario'!$A:$A,B3427,'Parametros Inventario'!$B:$B)+SUMIFS(D$2:D3427,B$2:B3427,B3427,C$2:C3427,"ENTRADA")-SUMIFS(D$2:D3427,B$2:B3427,B3427,C$2:C3427,"SALIDA")</f>
        <v>14263.775999999994</v>
      </c>
    </row>
    <row r="3428" spans="1:5" x14ac:dyDescent="0.3">
      <c r="A3428" s="9">
        <v>45296</v>
      </c>
      <c r="B3428" s="10" t="s">
        <v>18</v>
      </c>
      <c r="C3428" s="10" t="s">
        <v>28</v>
      </c>
      <c r="D3428" s="12">
        <v>59.79</v>
      </c>
      <c r="E3428" s="12">
        <f>SUMIF('Parametros Inventario'!$A:$A,B3428,'Parametros Inventario'!$B:$B)+SUMIFS(D$2:D3428,B$2:B3428,B3428,C$2:C3428,"ENTRADA")-SUMIFS(D$2:D3428,B$2:B3428,B3428,C$2:C3428,"SALIDA")</f>
        <v>14918.276999999995</v>
      </c>
    </row>
    <row r="3429" spans="1:5" x14ac:dyDescent="0.3">
      <c r="A3429" s="9">
        <v>45296</v>
      </c>
      <c r="B3429" s="10" t="s">
        <v>10</v>
      </c>
      <c r="C3429" s="10" t="s">
        <v>28</v>
      </c>
      <c r="D3429" s="12">
        <v>193.77</v>
      </c>
      <c r="E3429" s="12">
        <f>SUMIF('Parametros Inventario'!$A:$A,B3429,'Parametros Inventario'!$B:$B)+SUMIFS(D$2:D3429,B$2:B3429,B3429,C$2:C3429,"ENTRADA")-SUMIFS(D$2:D3429,B$2:B3429,B3429,C$2:C3429,"SALIDA")</f>
        <v>16330.064999999995</v>
      </c>
    </row>
    <row r="3430" spans="1:5" x14ac:dyDescent="0.3">
      <c r="A3430" s="9">
        <v>45296</v>
      </c>
      <c r="B3430" s="10" t="s">
        <v>8</v>
      </c>
      <c r="C3430" s="10" t="s">
        <v>28</v>
      </c>
      <c r="D3430" s="12">
        <v>213.16</v>
      </c>
      <c r="E3430" s="12">
        <f>SUMIF('Parametros Inventario'!$A:$A,B3430,'Parametros Inventario'!$B:$B)+SUMIFS(D$2:D3430,B$2:B3430,B3430,C$2:C3430,"ENTRADA")-SUMIFS(D$2:D3430,B$2:B3430,B3430,C$2:C3430,"SALIDA")</f>
        <v>15402.275000000007</v>
      </c>
    </row>
    <row r="3431" spans="1:5" x14ac:dyDescent="0.3">
      <c r="A3431" s="9">
        <v>45296</v>
      </c>
      <c r="B3431" s="10" t="s">
        <v>13</v>
      </c>
      <c r="C3431" s="10" t="s">
        <v>28</v>
      </c>
      <c r="D3431" s="12">
        <v>71.959999999999994</v>
      </c>
      <c r="E3431" s="12">
        <f>SUMIF('Parametros Inventario'!$A:$A,B3431,'Parametros Inventario'!$B:$B)+SUMIFS(D$2:D3431,B$2:B3431,B3431,C$2:C3431,"ENTRADA")-SUMIFS(D$2:D3431,B$2:B3431,B3431,C$2:C3431,"SALIDA")</f>
        <v>14994.714000000004</v>
      </c>
    </row>
    <row r="3432" spans="1:5" x14ac:dyDescent="0.3">
      <c r="A3432" s="9">
        <v>45296</v>
      </c>
      <c r="B3432" s="10" t="s">
        <v>15</v>
      </c>
      <c r="C3432" s="10" t="s">
        <v>28</v>
      </c>
      <c r="D3432" s="12">
        <v>114.19</v>
      </c>
      <c r="E3432" s="12">
        <f>SUMIF('Parametros Inventario'!$A:$A,B3432,'Parametros Inventario'!$B:$B)+SUMIFS(D$2:D3432,B$2:B3432,B3432,C$2:C3432,"ENTRADA")-SUMIFS(D$2:D3432,B$2:B3432,B3432,C$2:C3432,"SALIDA")</f>
        <v>16766.459000000003</v>
      </c>
    </row>
    <row r="3433" spans="1:5" x14ac:dyDescent="0.3">
      <c r="A3433" s="9">
        <f>'Volúmenes DIstribuidos '!B2145</f>
        <v>45296</v>
      </c>
      <c r="B3433" s="10" t="str">
        <f>IF(OR('Volúmenes DIstribuidos '!C2145="Azúcar",'Volúmenes DIstribuidos '!C2145="azúcar"),"Azúcar o dulce",IF('Volúmenes DIstribuidos '!C2145="Aceite","Aceite o grasas",IF('Volúmenes DIstribuidos '!C2145="Avena","Otros almidones",'Volúmenes DIstribuidos '!C2145)))</f>
        <v>Carnes rojas</v>
      </c>
      <c r="C3433" s="10" t="s">
        <v>29</v>
      </c>
      <c r="D3433" s="12">
        <f>'Volúmenes DIstribuidos '!D2145</f>
        <v>38.78</v>
      </c>
      <c r="E3433" s="12">
        <f>SUMIF('Parametros Inventario'!$A:$A,B3433,'Parametros Inventario'!$B:$B)+SUMIFS(D$2:D3433,B$2:B3433,B3433,C$2:C3433,"ENTRADA")-SUMIFS(D$2:D3433,B$2:B3433,B3433,C$2:C3433,"SALIDA")</f>
        <v>15249.946000000004</v>
      </c>
    </row>
    <row r="3434" spans="1:5" x14ac:dyDescent="0.3">
      <c r="A3434" s="9">
        <f>'Volúmenes DIstribuidos '!B2145</f>
        <v>45296</v>
      </c>
      <c r="B3434" s="10" t="str">
        <f>IF(OR('Volúmenes DIstribuidos '!C2146="Azúcar",'Volúmenes DIstribuidos '!C2146="azúcar"),"Azúcar o dulce",IF('Volúmenes DIstribuidos '!C2146="Aceite","Aceite o grasas",IF('Volúmenes DIstribuidos '!C2146="Avena","Otros almidones",'Volúmenes DIstribuidos '!C2146)))</f>
        <v>Fideo</v>
      </c>
      <c r="C3434" s="10" t="s">
        <v>29</v>
      </c>
      <c r="D3434" s="12">
        <f>'Volúmenes DIstribuidos '!D2146</f>
        <v>65.582999999999998</v>
      </c>
      <c r="E3434" s="12">
        <f>SUMIF('Parametros Inventario'!$A:$A,B3434,'Parametros Inventario'!$B:$B)+SUMIFS(D$2:D3434,B$2:B3434,B3434,C$2:C3434,"ENTRADA")-SUMIFS(D$2:D3434,B$2:B3434,B3434,C$2:C3434,"SALIDA")</f>
        <v>17324.093999999997</v>
      </c>
    </row>
    <row r="3435" spans="1:5" x14ac:dyDescent="0.3">
      <c r="A3435" s="9">
        <f>'Volúmenes DIstribuidos '!B2145</f>
        <v>45296</v>
      </c>
      <c r="B3435" s="10" t="str">
        <f>IF(OR('Volúmenes DIstribuidos '!C2147="Azúcar",'Volúmenes DIstribuidos '!C2147="azúcar"),"Azúcar o dulce",IF('Volúmenes DIstribuidos '!C2147="Aceite","Aceite o grasas",IF('Volúmenes DIstribuidos '!C2147="Avena","Otros almidones",'Volúmenes DIstribuidos '!C2147)))</f>
        <v>Carnes rojas</v>
      </c>
      <c r="C3435" s="10" t="s">
        <v>29</v>
      </c>
      <c r="D3435" s="12">
        <f>'Volúmenes DIstribuidos '!D2147</f>
        <v>24.51</v>
      </c>
      <c r="E3435" s="12">
        <f>SUMIF('Parametros Inventario'!$A:$A,B3435,'Parametros Inventario'!$B:$B)+SUMIFS(D$2:D3435,B$2:B3435,B3435,C$2:C3435,"ENTRADA")-SUMIFS(D$2:D3435,B$2:B3435,B3435,C$2:C3435,"SALIDA")</f>
        <v>15225.436000000005</v>
      </c>
    </row>
    <row r="3436" spans="1:5" x14ac:dyDescent="0.3">
      <c r="A3436" s="9">
        <f>'Volúmenes DIstribuidos '!B2145</f>
        <v>45296</v>
      </c>
      <c r="B3436" s="10" t="str">
        <f>IF(OR('Volúmenes DIstribuidos '!C2148="Azúcar",'Volúmenes DIstribuidos '!C2148="azúcar"),"Azúcar o dulce",IF('Volúmenes DIstribuidos '!C2148="Aceite","Aceite o grasas",IF('Volúmenes DIstribuidos '!C2148="Avena","Otros almidones",'Volúmenes DIstribuidos '!C2148)))</f>
        <v>Salsas</v>
      </c>
      <c r="C3436" s="10" t="s">
        <v>29</v>
      </c>
      <c r="D3436" s="12">
        <f>'Volúmenes DIstribuidos '!D2148</f>
        <v>50</v>
      </c>
      <c r="E3436" s="12">
        <f>SUMIF('Parametros Inventario'!$A:$A,B3436,'Parametros Inventario'!$B:$B)+SUMIFS(D$2:D3436,B$2:B3436,B3436,C$2:C3436,"ENTRADA")-SUMIFS(D$2:D3436,B$2:B3436,B3436,C$2:C3436,"SALIDA")</f>
        <v>14868.276999999995</v>
      </c>
    </row>
    <row r="3437" spans="1:5" x14ac:dyDescent="0.3">
      <c r="A3437" s="9">
        <f>'Volúmenes DIstribuidos '!B2145</f>
        <v>45296</v>
      </c>
      <c r="B3437" s="10" t="str">
        <f>IF(OR('Volúmenes DIstribuidos '!C2149="Azúcar",'Volúmenes DIstribuidos '!C2149="azúcar"),"Azúcar o dulce",IF('Volúmenes DIstribuidos '!C2149="Aceite","Aceite o grasas",IF('Volúmenes DIstribuidos '!C2149="Avena","Otros almidones",'Volúmenes DIstribuidos '!C2149)))</f>
        <v>Aceite o grasas</v>
      </c>
      <c r="C3437" s="10" t="s">
        <v>29</v>
      </c>
      <c r="D3437" s="12">
        <f>'Volúmenes DIstribuidos '!D2149</f>
        <v>64.95</v>
      </c>
      <c r="E3437" s="12">
        <f>SUMIF('Parametros Inventario'!$A:$A,B3437,'Parametros Inventario'!$B:$B)+SUMIFS(D$2:D3437,B$2:B3437,B3437,C$2:C3437,"ENTRADA")-SUMIFS(D$2:D3437,B$2:B3437,B3437,C$2:C3437,"SALIDA")</f>
        <v>15337.325000000008</v>
      </c>
    </row>
    <row r="3438" spans="1:5" x14ac:dyDescent="0.3">
      <c r="A3438" s="9">
        <f>'Volúmenes DIstribuidos '!B2145</f>
        <v>45296</v>
      </c>
      <c r="B3438" s="10" t="str">
        <f>IF(OR('Volúmenes DIstribuidos '!C2150="Azúcar",'Volúmenes DIstribuidos '!C2150="azúcar"),"Azúcar o dulce",IF('Volúmenes DIstribuidos '!C2150="Aceite","Aceite o grasas",IF('Volúmenes DIstribuidos '!C2150="Avena","Otros almidones",'Volúmenes DIstribuidos '!C2150)))</f>
        <v>Menestras</v>
      </c>
      <c r="C3438" s="10" t="s">
        <v>29</v>
      </c>
      <c r="D3438" s="12">
        <f>'Volúmenes DIstribuidos '!D2150</f>
        <v>17.940000000000001</v>
      </c>
      <c r="E3438" s="12">
        <f>SUMIF('Parametros Inventario'!$A:$A,B3438,'Parametros Inventario'!$B:$B)+SUMIFS(D$2:D3438,B$2:B3438,B3438,C$2:C3438,"ENTRADA")-SUMIFS(D$2:D3438,B$2:B3438,B3438,C$2:C3438,"SALIDA")</f>
        <v>16173.425000000007</v>
      </c>
    </row>
    <row r="3439" spans="1:5" x14ac:dyDescent="0.3">
      <c r="A3439" s="9">
        <f>'Volúmenes DIstribuidos '!B2151</f>
        <v>45300</v>
      </c>
      <c r="B3439" s="10" t="str">
        <f>IF(OR('Volúmenes DIstribuidos '!C2151="Azúcar",'Volúmenes DIstribuidos '!C2151="azúcar"),"Azúcar o dulce",IF('Volúmenes DIstribuidos '!C2151="Aceite","Aceite o grasas",IF('Volúmenes DIstribuidos '!C2151="Avena","Otros almidones",'Volúmenes DIstribuidos '!C2151)))</f>
        <v>Vegetales y hojas</v>
      </c>
      <c r="C3439" s="10" t="s">
        <v>29</v>
      </c>
      <c r="D3439" s="12">
        <f>'Volúmenes DIstribuidos '!D2151</f>
        <v>29.675000000000001</v>
      </c>
      <c r="E3439" s="12">
        <f>SUMIF('Parametros Inventario'!$A:$A,B3439,'Parametros Inventario'!$B:$B)+SUMIFS(D$2:D3439,B$2:B3439,B3439,C$2:C3439,"ENTRADA")-SUMIFS(D$2:D3439,B$2:B3439,B3439,C$2:C3439,"SALIDA")</f>
        <v>16300.389999999996</v>
      </c>
    </row>
    <row r="3440" spans="1:5" x14ac:dyDescent="0.3">
      <c r="A3440" s="9">
        <f>'Volúmenes DIstribuidos '!B2151</f>
        <v>45300</v>
      </c>
      <c r="B3440" s="10" t="str">
        <f>IF(OR('Volúmenes DIstribuidos '!C2152="Azúcar",'Volúmenes DIstribuidos '!C2152="azúcar"),"Azúcar o dulce",IF('Volúmenes DIstribuidos '!C2152="Aceite","Aceite o grasas",IF('Volúmenes DIstribuidos '!C2152="Avena","Otros almidones",'Volúmenes DIstribuidos '!C2152)))</f>
        <v>Vegetales y hojas</v>
      </c>
      <c r="C3440" s="10" t="s">
        <v>29</v>
      </c>
      <c r="D3440" s="12">
        <f>'Volúmenes DIstribuidos '!D2152</f>
        <v>27.5</v>
      </c>
      <c r="E3440" s="12">
        <f>SUMIF('Parametros Inventario'!$A:$A,B3440,'Parametros Inventario'!$B:$B)+SUMIFS(D$2:D3440,B$2:B3440,B3440,C$2:C3440,"ENTRADA")-SUMIFS(D$2:D3440,B$2:B3440,B3440,C$2:C3440,"SALIDA")</f>
        <v>16272.889999999996</v>
      </c>
    </row>
    <row r="3441" spans="1:5" x14ac:dyDescent="0.3">
      <c r="A3441" s="9">
        <f>'Volúmenes DIstribuidos '!B2151</f>
        <v>45300</v>
      </c>
      <c r="B3441" s="10" t="str">
        <f>IF(OR('Volúmenes DIstribuidos '!C2153="Azúcar",'Volúmenes DIstribuidos '!C2153="azúcar"),"Azúcar o dulce",IF('Volúmenes DIstribuidos '!C2153="Aceite","Aceite o grasas",IF('Volúmenes DIstribuidos '!C2153="Avena","Otros almidones",'Volúmenes DIstribuidos '!C2153)))</f>
        <v>Salsas</v>
      </c>
      <c r="C3441" s="10" t="s">
        <v>29</v>
      </c>
      <c r="D3441" s="12">
        <f>'Volúmenes DIstribuidos '!D2153</f>
        <v>44.3</v>
      </c>
      <c r="E3441" s="12">
        <f>SUMIF('Parametros Inventario'!$A:$A,B3441,'Parametros Inventario'!$B:$B)+SUMIFS(D$2:D3441,B$2:B3441,B3441,C$2:C3441,"ENTRADA")-SUMIFS(D$2:D3441,B$2:B3441,B3441,C$2:C3441,"SALIDA")</f>
        <v>14823.976999999993</v>
      </c>
    </row>
    <row r="3442" spans="1:5" x14ac:dyDescent="0.3">
      <c r="A3442" s="9">
        <f>'Volúmenes DIstribuidos '!B2151</f>
        <v>45300</v>
      </c>
      <c r="B3442" s="10" t="str">
        <f>IF(OR('Volúmenes DIstribuidos '!C2154="Azúcar",'Volúmenes DIstribuidos '!C2154="azúcar"),"Azúcar o dulce",IF('Volúmenes DIstribuidos '!C2154="Aceite","Aceite o grasas",IF('Volúmenes DIstribuidos '!C2154="Avena","Otros almidones",'Volúmenes DIstribuidos '!C2154)))</f>
        <v>Aceite o grasas</v>
      </c>
      <c r="C3442" s="10" t="s">
        <v>29</v>
      </c>
      <c r="D3442" s="12">
        <f>'Volúmenes DIstribuidos '!D2154</f>
        <v>48.84</v>
      </c>
      <c r="E3442" s="12">
        <f>SUMIF('Parametros Inventario'!$A:$A,B3442,'Parametros Inventario'!$B:$B)+SUMIFS(D$2:D3442,B$2:B3442,B3442,C$2:C3442,"ENTRADA")-SUMIFS(D$2:D3442,B$2:B3442,B3442,C$2:C3442,"SALIDA")</f>
        <v>15288.485000000008</v>
      </c>
    </row>
    <row r="3443" spans="1:5" x14ac:dyDescent="0.3">
      <c r="A3443" s="9">
        <f>'Volúmenes DIstribuidos '!B2151</f>
        <v>45300</v>
      </c>
      <c r="B3443" s="10" t="str">
        <f>IF(OR('Volúmenes DIstribuidos '!C2155="Azúcar",'Volúmenes DIstribuidos '!C2155="azúcar"),"Azúcar o dulce",IF('Volúmenes DIstribuidos '!C2155="Aceite","Aceite o grasas",IF('Volúmenes DIstribuidos '!C2155="Avena","Otros almidones",'Volúmenes DIstribuidos '!C2155)))</f>
        <v>Menestras</v>
      </c>
      <c r="C3443" s="10" t="s">
        <v>29</v>
      </c>
      <c r="D3443" s="12">
        <f>'Volúmenes DIstribuidos '!D2155</f>
        <v>103.45</v>
      </c>
      <c r="E3443" s="12">
        <f>SUMIF('Parametros Inventario'!$A:$A,B3443,'Parametros Inventario'!$B:$B)+SUMIFS(D$2:D3443,B$2:B3443,B3443,C$2:C3443,"ENTRADA")-SUMIFS(D$2:D3443,B$2:B3443,B3443,C$2:C3443,"SALIDA")</f>
        <v>16069.975000000006</v>
      </c>
    </row>
    <row r="3444" spans="1:5" x14ac:dyDescent="0.3">
      <c r="A3444" s="9">
        <f>'Volúmenes DIstribuidos '!B2151</f>
        <v>45300</v>
      </c>
      <c r="B3444" s="10" t="str">
        <f>IF(OR('Volúmenes DIstribuidos '!C2156="Azúcar",'Volúmenes DIstribuidos '!C2156="azúcar"),"Azúcar o dulce",IF('Volúmenes DIstribuidos '!C2156="Aceite","Aceite o grasas",IF('Volúmenes DIstribuidos '!C2156="Avena","Otros almidones",'Volúmenes DIstribuidos '!C2156)))</f>
        <v>Fideo</v>
      </c>
      <c r="C3444" s="10" t="s">
        <v>29</v>
      </c>
      <c r="D3444" s="12">
        <f>'Volúmenes DIstribuidos '!D2156</f>
        <v>42.82</v>
      </c>
      <c r="E3444" s="12">
        <f>SUMIF('Parametros Inventario'!$A:$A,B3444,'Parametros Inventario'!$B:$B)+SUMIFS(D$2:D3444,B$2:B3444,B3444,C$2:C3444,"ENTRADA")-SUMIFS(D$2:D3444,B$2:B3444,B3444,C$2:C3444,"SALIDA")</f>
        <v>17281.273999999998</v>
      </c>
    </row>
    <row r="3445" spans="1:5" x14ac:dyDescent="0.3">
      <c r="A3445" s="9">
        <f>'Volúmenes DIstribuidos '!B2157</f>
        <v>45303</v>
      </c>
      <c r="B3445" s="10" t="str">
        <f>IF(OR('Volúmenes DIstribuidos '!C2157="Azúcar",'Volúmenes DIstribuidos '!C2157="azúcar"),"Azúcar o dulce",IF('Volúmenes DIstribuidos '!C2157="Aceite","Aceite o grasas",IF('Volúmenes DIstribuidos '!C2157="Avena","Otros almidones",'Volúmenes DIstribuidos '!C2157)))</f>
        <v>Panadería</v>
      </c>
      <c r="C3445" s="10" t="s">
        <v>29</v>
      </c>
      <c r="D3445" s="12">
        <f>'Volúmenes DIstribuidos '!D2157</f>
        <v>9.2850000000000001</v>
      </c>
      <c r="E3445" s="12">
        <f>SUMIF('Parametros Inventario'!$A:$A,B3445,'Parametros Inventario'!$B:$B)+SUMIFS(D$2:D3445,B$2:B3445,B3445,C$2:C3445,"ENTRADA")-SUMIFS(D$2:D3445,B$2:B3445,B3445,C$2:C3445,"SALIDA")</f>
        <v>14144.248999999998</v>
      </c>
    </row>
    <row r="3446" spans="1:5" x14ac:dyDescent="0.3">
      <c r="A3446" s="9">
        <f>'Volúmenes DIstribuidos '!B2157</f>
        <v>45303</v>
      </c>
      <c r="B3446" s="10" t="str">
        <f>IF(OR('Volúmenes DIstribuidos '!C2158="Azúcar",'Volúmenes DIstribuidos '!C2158="azúcar"),"Azúcar o dulce",IF('Volúmenes DIstribuidos '!C2158="Aceite","Aceite o grasas",IF('Volúmenes DIstribuidos '!C2158="Avena","Otros almidones",'Volúmenes DIstribuidos '!C2158)))</f>
        <v>Menestras</v>
      </c>
      <c r="C3446" s="10" t="s">
        <v>29</v>
      </c>
      <c r="D3446" s="12">
        <f>'Volúmenes DIstribuidos '!D2158</f>
        <v>20.2</v>
      </c>
      <c r="E3446" s="12">
        <f>SUMIF('Parametros Inventario'!$A:$A,B3446,'Parametros Inventario'!$B:$B)+SUMIFS(D$2:D3446,B$2:B3446,B3446,C$2:C3446,"ENTRADA")-SUMIFS(D$2:D3446,B$2:B3446,B3446,C$2:C3446,"SALIDA")</f>
        <v>16049.775000000007</v>
      </c>
    </row>
    <row r="3447" spans="1:5" x14ac:dyDescent="0.3">
      <c r="A3447" s="9">
        <f>'Volúmenes DIstribuidos '!B2157</f>
        <v>45303</v>
      </c>
      <c r="B3447" s="10" t="str">
        <f>IF(OR('Volúmenes DIstribuidos '!C2159="Azúcar",'Volúmenes DIstribuidos '!C2159="azúcar"),"Azúcar o dulce",IF('Volúmenes DIstribuidos '!C2159="Aceite","Aceite o grasas",IF('Volúmenes DIstribuidos '!C2159="Avena","Otros almidones",'Volúmenes DIstribuidos '!C2159)))</f>
        <v>Carnes blancas</v>
      </c>
      <c r="C3447" s="10" t="s">
        <v>29</v>
      </c>
      <c r="D3447" s="12">
        <f>'Volúmenes DIstribuidos '!D2159</f>
        <v>23.91</v>
      </c>
      <c r="E3447" s="12">
        <f>SUMIF('Parametros Inventario'!$A:$A,B3447,'Parametros Inventario'!$B:$B)+SUMIFS(D$2:D3447,B$2:B3447,B3447,C$2:C3447,"ENTRADA")-SUMIFS(D$2:D3447,B$2:B3447,B3447,C$2:C3447,"SALIDA")</f>
        <v>16032.280999999997</v>
      </c>
    </row>
    <row r="3448" spans="1:5" x14ac:dyDescent="0.3">
      <c r="A3448" s="9">
        <f>'Volúmenes DIstribuidos '!B2157</f>
        <v>45303</v>
      </c>
      <c r="B3448" s="10" t="str">
        <f>IF(OR('Volúmenes DIstribuidos '!C2160="Azúcar",'Volúmenes DIstribuidos '!C2160="azúcar"),"Azúcar o dulce",IF('Volúmenes DIstribuidos '!C2160="Aceite","Aceite o grasas",IF('Volúmenes DIstribuidos '!C2160="Avena","Otros almidones",'Volúmenes DIstribuidos '!C2160)))</f>
        <v>Carnes rojas</v>
      </c>
      <c r="C3448" s="10" t="s">
        <v>29</v>
      </c>
      <c r="D3448" s="12">
        <f>'Volúmenes DIstribuidos '!D2160</f>
        <v>11.14</v>
      </c>
      <c r="E3448" s="12">
        <f>SUMIF('Parametros Inventario'!$A:$A,B3448,'Parametros Inventario'!$B:$B)+SUMIFS(D$2:D3448,B$2:B3448,B3448,C$2:C3448,"ENTRADA")-SUMIFS(D$2:D3448,B$2:B3448,B3448,C$2:C3448,"SALIDA")</f>
        <v>15214.296000000004</v>
      </c>
    </row>
    <row r="3449" spans="1:5" x14ac:dyDescent="0.3">
      <c r="A3449" s="9">
        <f>'Volúmenes DIstribuidos '!B2157</f>
        <v>45303</v>
      </c>
      <c r="B3449" s="10" t="str">
        <f>IF(OR('Volúmenes DIstribuidos '!C2161="Azúcar",'Volúmenes DIstribuidos '!C2161="azúcar"),"Azúcar o dulce",IF('Volúmenes DIstribuidos '!C2161="Aceite","Aceite o grasas",IF('Volúmenes DIstribuidos '!C2161="Avena","Otros almidones",'Volúmenes DIstribuidos '!C2161)))</f>
        <v>Salsas</v>
      </c>
      <c r="C3449" s="10" t="s">
        <v>29</v>
      </c>
      <c r="D3449" s="12">
        <f>'Volúmenes DIstribuidos '!D2161</f>
        <v>18.969000000000001</v>
      </c>
      <c r="E3449" s="12">
        <f>SUMIF('Parametros Inventario'!$A:$A,B3449,'Parametros Inventario'!$B:$B)+SUMIFS(D$2:D3449,B$2:B3449,B3449,C$2:C3449,"ENTRADA")-SUMIFS(D$2:D3449,B$2:B3449,B3449,C$2:C3449,"SALIDA")</f>
        <v>14805.007999999994</v>
      </c>
    </row>
    <row r="3450" spans="1:5" x14ac:dyDescent="0.3">
      <c r="A3450" s="9">
        <f>'Volúmenes DIstribuidos '!B2157</f>
        <v>45303</v>
      </c>
      <c r="B3450" s="10" t="str">
        <f>IF(OR('Volúmenes DIstribuidos '!C2162="Azúcar",'Volúmenes DIstribuidos '!C2162="azúcar"),"Azúcar o dulce",IF('Volúmenes DIstribuidos '!C2162="Aceite","Aceite o grasas",IF('Volúmenes DIstribuidos '!C2162="Avena","Otros almidones",'Volúmenes DIstribuidos '!C2162)))</f>
        <v>Lácteos</v>
      </c>
      <c r="C3450" s="10" t="s">
        <v>29</v>
      </c>
      <c r="D3450" s="12">
        <f>'Volúmenes DIstribuidos '!D2162</f>
        <v>20.350000000000001</v>
      </c>
      <c r="E3450" s="12">
        <f>SUMIF('Parametros Inventario'!$A:$A,B3450,'Parametros Inventario'!$B:$B)+SUMIFS(D$2:D3450,B$2:B3450,B3450,C$2:C3450,"ENTRADA")-SUMIFS(D$2:D3450,B$2:B3450,B3450,C$2:C3450,"SALIDA")</f>
        <v>14243.425999999996</v>
      </c>
    </row>
    <row r="3451" spans="1:5" x14ac:dyDescent="0.3">
      <c r="A3451" s="9">
        <f>'Volúmenes DIstribuidos '!B2163</f>
        <v>45307</v>
      </c>
      <c r="B3451" s="10" t="str">
        <f>IF(OR('Volúmenes DIstribuidos '!C2163="Azúcar",'Volúmenes DIstribuidos '!C2163="azúcar"),"Azúcar o dulce",IF('Volúmenes DIstribuidos '!C2163="Aceite","Aceite o grasas",IF('Volúmenes DIstribuidos '!C2163="Avena","Otros almidones",'Volúmenes DIstribuidos '!C2163)))</f>
        <v>Menestras</v>
      </c>
      <c r="C3451" s="10" t="s">
        <v>29</v>
      </c>
      <c r="D3451" s="12">
        <f>'Volúmenes DIstribuidos '!D2163</f>
        <v>58.87</v>
      </c>
      <c r="E3451" s="12">
        <f>SUMIF('Parametros Inventario'!$A:$A,B3451,'Parametros Inventario'!$B:$B)+SUMIFS(D$2:D3451,B$2:B3451,B3451,C$2:C3451,"ENTRADA")-SUMIFS(D$2:D3451,B$2:B3451,B3451,C$2:C3451,"SALIDA")</f>
        <v>15990.905000000006</v>
      </c>
    </row>
    <row r="3452" spans="1:5" x14ac:dyDescent="0.3">
      <c r="A3452" s="9">
        <f>'Volúmenes DIstribuidos '!B2163</f>
        <v>45307</v>
      </c>
      <c r="B3452" s="10" t="str">
        <f>IF(OR('Volúmenes DIstribuidos '!C2164="Azúcar",'Volúmenes DIstribuidos '!C2164="azúcar"),"Azúcar o dulce",IF('Volúmenes DIstribuidos '!C2164="Aceite","Aceite o grasas",IF('Volúmenes DIstribuidos '!C2164="Avena","Otros almidones",'Volúmenes DIstribuidos '!C2164)))</f>
        <v>Panadería</v>
      </c>
      <c r="C3452" s="10" t="s">
        <v>29</v>
      </c>
      <c r="D3452" s="12">
        <f>'Volúmenes DIstribuidos '!D2164</f>
        <v>54.41</v>
      </c>
      <c r="E3452" s="12">
        <f>SUMIF('Parametros Inventario'!$A:$A,B3452,'Parametros Inventario'!$B:$B)+SUMIFS(D$2:D3452,B$2:B3452,B3452,C$2:C3452,"ENTRADA")-SUMIFS(D$2:D3452,B$2:B3452,B3452,C$2:C3452,"SALIDA")</f>
        <v>14089.838999999998</v>
      </c>
    </row>
    <row r="3453" spans="1:5" x14ac:dyDescent="0.3">
      <c r="A3453" s="9">
        <f>'Volúmenes DIstribuidos '!B2163</f>
        <v>45307</v>
      </c>
      <c r="B3453" s="10" t="str">
        <f>IF(OR('Volúmenes DIstribuidos '!C2165="Azúcar",'Volúmenes DIstribuidos '!C2165="azúcar"),"Azúcar o dulce",IF('Volúmenes DIstribuidos '!C2165="Aceite","Aceite o grasas",IF('Volúmenes DIstribuidos '!C2165="Avena","Otros almidones",'Volúmenes DIstribuidos '!C2165)))</f>
        <v>Azúcar o dulce</v>
      </c>
      <c r="C3453" s="10" t="s">
        <v>29</v>
      </c>
      <c r="D3453" s="12">
        <f>'Volúmenes DIstribuidos '!D2165</f>
        <v>13</v>
      </c>
      <c r="E3453" s="12">
        <f>SUMIF('Parametros Inventario'!$A:$A,B3453,'Parametros Inventario'!$B:$B)+SUMIFS(D$2:D3453,B$2:B3453,B3453,C$2:C3453,"ENTRADA")-SUMIFS(D$2:D3453,B$2:B3453,B3453,C$2:C3453,"SALIDA")</f>
        <v>14981.714000000004</v>
      </c>
    </row>
    <row r="3454" spans="1:5" x14ac:dyDescent="0.3">
      <c r="A3454" s="9">
        <f>'Volúmenes DIstribuidos '!B2163</f>
        <v>45307</v>
      </c>
      <c r="B3454" s="10" t="str">
        <f>IF(OR('Volúmenes DIstribuidos '!C2166="Azúcar",'Volúmenes DIstribuidos '!C2166="azúcar"),"Azúcar o dulce",IF('Volúmenes DIstribuidos '!C2166="Aceite","Aceite o grasas",IF('Volúmenes DIstribuidos '!C2166="Avena","Otros almidones",'Volúmenes DIstribuidos '!C2166)))</f>
        <v>Aceite o grasas</v>
      </c>
      <c r="C3454" s="10" t="s">
        <v>29</v>
      </c>
      <c r="D3454" s="12">
        <f>'Volúmenes DIstribuidos '!D2166</f>
        <v>100.35</v>
      </c>
      <c r="E3454" s="12">
        <f>SUMIF('Parametros Inventario'!$A:$A,B3454,'Parametros Inventario'!$B:$B)+SUMIFS(D$2:D3454,B$2:B3454,B3454,C$2:C3454,"ENTRADA")-SUMIFS(D$2:D3454,B$2:B3454,B3454,C$2:C3454,"SALIDA")</f>
        <v>15188.135000000006</v>
      </c>
    </row>
    <row r="3455" spans="1:5" x14ac:dyDescent="0.3">
      <c r="A3455" s="9">
        <f>'Volúmenes DIstribuidos '!B2163</f>
        <v>45307</v>
      </c>
      <c r="B3455" s="10" t="str">
        <f>IF(OR('Volúmenes DIstribuidos '!C2167="Azúcar",'Volúmenes DIstribuidos '!C2167="azúcar"),"Azúcar o dulce",IF('Volúmenes DIstribuidos '!C2167="Aceite","Aceite o grasas",IF('Volúmenes DIstribuidos '!C2167="Avena","Otros almidones",'Volúmenes DIstribuidos '!C2167)))</f>
        <v>Fideo</v>
      </c>
      <c r="C3455" s="10" t="s">
        <v>29</v>
      </c>
      <c r="D3455" s="12">
        <f>'Volúmenes DIstribuidos '!D2167</f>
        <v>28.148</v>
      </c>
      <c r="E3455" s="12">
        <f>SUMIF('Parametros Inventario'!$A:$A,B3455,'Parametros Inventario'!$B:$B)+SUMIFS(D$2:D3455,B$2:B3455,B3455,C$2:C3455,"ENTRADA")-SUMIFS(D$2:D3455,B$2:B3455,B3455,C$2:C3455,"SALIDA")</f>
        <v>17253.126</v>
      </c>
    </row>
    <row r="3456" spans="1:5" x14ac:dyDescent="0.3">
      <c r="A3456" s="9">
        <f>'Volúmenes DIstribuidos '!B2163</f>
        <v>45307</v>
      </c>
      <c r="B3456" s="10" t="str">
        <f>IF(OR('Volúmenes DIstribuidos '!C2168="Azúcar",'Volúmenes DIstribuidos '!C2168="azúcar"),"Azúcar o dulce",IF('Volúmenes DIstribuidos '!C2168="Aceite","Aceite o grasas",IF('Volúmenes DIstribuidos '!C2168="Avena","Otros almidones",'Volúmenes DIstribuidos '!C2168)))</f>
        <v>Aceite o grasas</v>
      </c>
      <c r="C3456" s="10" t="s">
        <v>29</v>
      </c>
      <c r="D3456" s="12">
        <f>'Volúmenes DIstribuidos '!D2168</f>
        <v>43.08</v>
      </c>
      <c r="E3456" s="12">
        <f>SUMIF('Parametros Inventario'!$A:$A,B3456,'Parametros Inventario'!$B:$B)+SUMIFS(D$2:D3456,B$2:B3456,B3456,C$2:C3456,"ENTRADA")-SUMIFS(D$2:D3456,B$2:B3456,B3456,C$2:C3456,"SALIDA")</f>
        <v>15145.055000000008</v>
      </c>
    </row>
    <row r="3457" spans="1:5" x14ac:dyDescent="0.3">
      <c r="A3457" s="9">
        <v>45310</v>
      </c>
      <c r="B3457" s="10" t="s">
        <v>11</v>
      </c>
      <c r="C3457" s="10" t="s">
        <v>28</v>
      </c>
      <c r="D3457" s="12">
        <v>238.27</v>
      </c>
      <c r="E3457" s="12">
        <f>SUMIF('Parametros Inventario'!$A:$A,B3457,'Parametros Inventario'!$B:$B)+SUMIFS(D$2:D3457,B$2:B3457,B3457,C$2:C3457,"ENTRADA")-SUMIFS(D$2:D3457,B$2:B3457,B3457,C$2:C3457,"SALIDA")</f>
        <v>17491.396000000001</v>
      </c>
    </row>
    <row r="3458" spans="1:5" x14ac:dyDescent="0.3">
      <c r="A3458" s="9">
        <v>45310</v>
      </c>
      <c r="B3458" s="10" t="s">
        <v>9</v>
      </c>
      <c r="C3458" s="10" t="s">
        <v>28</v>
      </c>
      <c r="D3458" s="12">
        <v>71.150000000000006</v>
      </c>
      <c r="E3458" s="12">
        <f>SUMIF('Parametros Inventario'!$A:$A,B3458,'Parametros Inventario'!$B:$B)+SUMIFS(D$2:D3458,B$2:B3458,B3458,C$2:C3458,"ENTRADA")-SUMIFS(D$2:D3458,B$2:B3458,B3458,C$2:C3458,"SALIDA")</f>
        <v>14160.989</v>
      </c>
    </row>
    <row r="3459" spans="1:5" x14ac:dyDescent="0.3">
      <c r="A3459" s="9">
        <v>45310</v>
      </c>
      <c r="B3459" s="10" t="s">
        <v>14</v>
      </c>
      <c r="C3459" s="10" t="s">
        <v>28</v>
      </c>
      <c r="D3459" s="12">
        <v>81.180000000000007</v>
      </c>
      <c r="E3459" s="12">
        <f>SUMIF('Parametros Inventario'!$A:$A,B3459,'Parametros Inventario'!$B:$B)+SUMIFS(D$2:D3459,B$2:B3459,B3459,C$2:C3459,"ENTRADA")-SUMIFS(D$2:D3459,B$2:B3459,B3459,C$2:C3459,"SALIDA")</f>
        <v>16072.085000000006</v>
      </c>
    </row>
    <row r="3460" spans="1:5" x14ac:dyDescent="0.3">
      <c r="A3460" s="9">
        <v>45310</v>
      </c>
      <c r="B3460" s="10" t="s">
        <v>12</v>
      </c>
      <c r="C3460" s="10" t="s">
        <v>28</v>
      </c>
      <c r="D3460" s="12">
        <v>124.64</v>
      </c>
      <c r="E3460" s="12">
        <f>SUMIF('Parametros Inventario'!$A:$A,B3460,'Parametros Inventario'!$B:$B)+SUMIFS(D$2:D3460,B$2:B3460,B3460,C$2:C3460,"ENTRADA")-SUMIFS(D$2:D3460,B$2:B3460,B3460,C$2:C3460,"SALIDA")</f>
        <v>15338.936000000003</v>
      </c>
    </row>
    <row r="3461" spans="1:5" x14ac:dyDescent="0.3">
      <c r="A3461" s="9">
        <v>45310</v>
      </c>
      <c r="B3461" s="10" t="s">
        <v>16</v>
      </c>
      <c r="C3461" s="10" t="s">
        <v>28</v>
      </c>
      <c r="D3461" s="12">
        <v>291.57</v>
      </c>
      <c r="E3461" s="12">
        <f>SUMIF('Parametros Inventario'!$A:$A,B3461,'Parametros Inventario'!$B:$B)+SUMIFS(D$2:D3461,B$2:B3461,B3461,C$2:C3461,"ENTRADA")-SUMIFS(D$2:D3461,B$2:B3461,B3461,C$2:C3461,"SALIDA")</f>
        <v>16323.850999999997</v>
      </c>
    </row>
    <row r="3462" spans="1:5" x14ac:dyDescent="0.3">
      <c r="A3462" s="9">
        <v>45310</v>
      </c>
      <c r="B3462" s="10" t="s">
        <v>17</v>
      </c>
      <c r="C3462" s="10" t="s">
        <v>28</v>
      </c>
      <c r="D3462" s="12">
        <v>92.9</v>
      </c>
      <c r="E3462" s="12">
        <f>SUMIF('Parametros Inventario'!$A:$A,B3462,'Parametros Inventario'!$B:$B)+SUMIFS(D$2:D3462,B$2:B3462,B3462,C$2:C3462,"ENTRADA")-SUMIFS(D$2:D3462,B$2:B3462,B3462,C$2:C3462,"SALIDA")</f>
        <v>14336.325999999997</v>
      </c>
    </row>
    <row r="3463" spans="1:5" x14ac:dyDescent="0.3">
      <c r="A3463" s="9">
        <v>45310</v>
      </c>
      <c r="B3463" s="10" t="s">
        <v>18</v>
      </c>
      <c r="C3463" s="10" t="s">
        <v>28</v>
      </c>
      <c r="D3463" s="12">
        <v>294.27999999999997</v>
      </c>
      <c r="E3463" s="12">
        <f>SUMIF('Parametros Inventario'!$A:$A,B3463,'Parametros Inventario'!$B:$B)+SUMIFS(D$2:D3463,B$2:B3463,B3463,C$2:C3463,"ENTRADA")-SUMIFS(D$2:D3463,B$2:B3463,B3463,C$2:C3463,"SALIDA")</f>
        <v>15099.287999999993</v>
      </c>
    </row>
    <row r="3464" spans="1:5" x14ac:dyDescent="0.3">
      <c r="A3464" s="9">
        <v>45310</v>
      </c>
      <c r="B3464" s="10" t="s">
        <v>10</v>
      </c>
      <c r="C3464" s="10" t="s">
        <v>28</v>
      </c>
      <c r="D3464" s="12">
        <v>214.54</v>
      </c>
      <c r="E3464" s="12">
        <f>SUMIF('Parametros Inventario'!$A:$A,B3464,'Parametros Inventario'!$B:$B)+SUMIFS(D$2:D3464,B$2:B3464,B3464,C$2:C3464,"ENTRADA")-SUMIFS(D$2:D3464,B$2:B3464,B3464,C$2:C3464,"SALIDA")</f>
        <v>16487.429999999997</v>
      </c>
    </row>
    <row r="3465" spans="1:5" x14ac:dyDescent="0.3">
      <c r="A3465" s="9">
        <v>45310</v>
      </c>
      <c r="B3465" s="10" t="s">
        <v>8</v>
      </c>
      <c r="C3465" s="10" t="s">
        <v>28</v>
      </c>
      <c r="D3465" s="12">
        <v>112.08</v>
      </c>
      <c r="E3465" s="12">
        <f>SUMIF('Parametros Inventario'!$A:$A,B3465,'Parametros Inventario'!$B:$B)+SUMIFS(D$2:D3465,B$2:B3465,B3465,C$2:C3465,"ENTRADA")-SUMIFS(D$2:D3465,B$2:B3465,B3465,C$2:C3465,"SALIDA")</f>
        <v>15257.135000000009</v>
      </c>
    </row>
    <row r="3466" spans="1:5" x14ac:dyDescent="0.3">
      <c r="A3466" s="9">
        <f>'Volúmenes DIstribuidos '!B2169</f>
        <v>45310</v>
      </c>
      <c r="B3466" s="10" t="str">
        <f>IF(OR('Volúmenes DIstribuidos '!C2169="Azúcar",'Volúmenes DIstribuidos '!C2169="azúcar"),"Azúcar o dulce",IF('Volúmenes DIstribuidos '!C2169="Aceite","Aceite o grasas",IF('Volúmenes DIstribuidos '!C2169="Avena","Otros almidones",'Volúmenes DIstribuidos '!C2169)))</f>
        <v>Panadería</v>
      </c>
      <c r="C3466" s="10" t="s">
        <v>29</v>
      </c>
      <c r="D3466" s="12">
        <f>'Volúmenes DIstribuidos '!D2169</f>
        <v>72.459999999999994</v>
      </c>
      <c r="E3466" s="12">
        <f>SUMIF('Parametros Inventario'!$A:$A,B3466,'Parametros Inventario'!$B:$B)+SUMIFS(D$2:D3466,B$2:B3466,B3466,C$2:C3466,"ENTRADA")-SUMIFS(D$2:D3466,B$2:B3466,B3466,C$2:C3466,"SALIDA")</f>
        <v>14088.528999999999</v>
      </c>
    </row>
    <row r="3467" spans="1:5" x14ac:dyDescent="0.3">
      <c r="A3467" s="9">
        <f>'Volúmenes DIstribuidos '!B2169</f>
        <v>45310</v>
      </c>
      <c r="B3467" s="10" t="str">
        <f>IF(OR('Volúmenes DIstribuidos '!C2170="Azúcar",'Volúmenes DIstribuidos '!C2170="azúcar"),"Azúcar o dulce",IF('Volúmenes DIstribuidos '!C2170="Aceite","Aceite o grasas",IF('Volúmenes DIstribuidos '!C2170="Avena","Otros almidones",'Volúmenes DIstribuidos '!C2170)))</f>
        <v>Menestras</v>
      </c>
      <c r="C3467" s="10" t="s">
        <v>29</v>
      </c>
      <c r="D3467" s="12">
        <f>'Volúmenes DIstribuidos '!D2170</f>
        <v>110</v>
      </c>
      <c r="E3467" s="12">
        <f>SUMIF('Parametros Inventario'!$A:$A,B3467,'Parametros Inventario'!$B:$B)+SUMIFS(D$2:D3467,B$2:B3467,B3467,C$2:C3467,"ENTRADA")-SUMIFS(D$2:D3467,B$2:B3467,B3467,C$2:C3467,"SALIDA")</f>
        <v>15962.085000000006</v>
      </c>
    </row>
    <row r="3468" spans="1:5" x14ac:dyDescent="0.3">
      <c r="A3468" s="9">
        <f>'Volúmenes DIstribuidos '!B2169</f>
        <v>45310</v>
      </c>
      <c r="B3468" s="10" t="str">
        <f>IF(OR('Volúmenes DIstribuidos '!C2171="Azúcar",'Volúmenes DIstribuidos '!C2171="azúcar"),"Azúcar o dulce",IF('Volúmenes DIstribuidos '!C2171="Aceite","Aceite o grasas",IF('Volúmenes DIstribuidos '!C2171="Avena","Otros almidones",'Volúmenes DIstribuidos '!C2171)))</f>
        <v>Otros almidones</v>
      </c>
      <c r="C3468" s="10" t="s">
        <v>29</v>
      </c>
      <c r="D3468" s="12">
        <f>'Volúmenes DIstribuidos '!D2171</f>
        <v>46.53</v>
      </c>
      <c r="E3468" s="12">
        <f>SUMIF('Parametros Inventario'!$A:$A,B3468,'Parametros Inventario'!$B:$B)+SUMIFS(D$2:D3468,B$2:B3468,B3468,C$2:C3468,"ENTRADA")-SUMIFS(D$2:D3468,B$2:B3468,B3468,C$2:C3468,"SALIDA")</f>
        <v>16719.929000000004</v>
      </c>
    </row>
    <row r="3469" spans="1:5" x14ac:dyDescent="0.3">
      <c r="A3469" s="9">
        <f>'Volúmenes DIstribuidos '!B2169</f>
        <v>45310</v>
      </c>
      <c r="B3469" s="10" t="str">
        <f>IF(OR('Volúmenes DIstribuidos '!C2172="Azúcar",'Volúmenes DIstribuidos '!C2172="azúcar"),"Azúcar o dulce",IF('Volúmenes DIstribuidos '!C2172="Aceite","Aceite o grasas",IF('Volúmenes DIstribuidos '!C2172="Avena","Otros almidones",'Volúmenes DIstribuidos '!C2172)))</f>
        <v>Vegetales y hojas</v>
      </c>
      <c r="C3469" s="10" t="s">
        <v>29</v>
      </c>
      <c r="D3469" s="12">
        <f>'Volúmenes DIstribuidos '!D2172</f>
        <v>58.27</v>
      </c>
      <c r="E3469" s="12">
        <f>SUMIF('Parametros Inventario'!$A:$A,B3469,'Parametros Inventario'!$B:$B)+SUMIFS(D$2:D3469,B$2:B3469,B3469,C$2:C3469,"ENTRADA")-SUMIFS(D$2:D3469,B$2:B3469,B3469,C$2:C3469,"SALIDA")</f>
        <v>16429.159999999996</v>
      </c>
    </row>
    <row r="3470" spans="1:5" x14ac:dyDescent="0.3">
      <c r="A3470" s="9">
        <f>'Volúmenes DIstribuidos '!B2169</f>
        <v>45310</v>
      </c>
      <c r="B3470" s="10" t="str">
        <f>IF(OR('Volúmenes DIstribuidos '!C2173="Azúcar",'Volúmenes DIstribuidos '!C2173="azúcar"),"Azúcar o dulce",IF('Volúmenes DIstribuidos '!C2173="Aceite","Aceite o grasas",IF('Volúmenes DIstribuidos '!C2173="Avena","Otros almidones",'Volúmenes DIstribuidos '!C2173)))</f>
        <v>Carnes rojas</v>
      </c>
      <c r="C3470" s="10" t="s">
        <v>29</v>
      </c>
      <c r="D3470" s="12">
        <f>'Volúmenes DIstribuidos '!D2173</f>
        <v>20.617999999999999</v>
      </c>
      <c r="E3470" s="12">
        <f>SUMIF('Parametros Inventario'!$A:$A,B3470,'Parametros Inventario'!$B:$B)+SUMIFS(D$2:D3470,B$2:B3470,B3470,C$2:C3470,"ENTRADA")-SUMIFS(D$2:D3470,B$2:B3470,B3470,C$2:C3470,"SALIDA")</f>
        <v>15318.318000000003</v>
      </c>
    </row>
    <row r="3471" spans="1:5" x14ac:dyDescent="0.3">
      <c r="A3471" s="9">
        <f>'Volúmenes DIstribuidos '!B2169</f>
        <v>45310</v>
      </c>
      <c r="B3471" s="10" t="str">
        <f>IF(OR('Volúmenes DIstribuidos '!C2174="Azúcar",'Volúmenes DIstribuidos '!C2174="azúcar"),"Azúcar o dulce",IF('Volúmenes DIstribuidos '!C2174="Aceite","Aceite o grasas",IF('Volúmenes DIstribuidos '!C2174="Avena","Otros almidones",'Volúmenes DIstribuidos '!C2174)))</f>
        <v>Menestras</v>
      </c>
      <c r="C3471" s="10" t="s">
        <v>29</v>
      </c>
      <c r="D3471" s="12">
        <f>'Volúmenes DIstribuidos '!D2174</f>
        <v>7.7</v>
      </c>
      <c r="E3471" s="12">
        <f>SUMIF('Parametros Inventario'!$A:$A,B3471,'Parametros Inventario'!$B:$B)+SUMIFS(D$2:D3471,B$2:B3471,B3471,C$2:C3471,"ENTRADA")-SUMIFS(D$2:D3471,B$2:B3471,B3471,C$2:C3471,"SALIDA")</f>
        <v>15954.385000000007</v>
      </c>
    </row>
    <row r="3472" spans="1:5" x14ac:dyDescent="0.3">
      <c r="A3472" s="9">
        <f>'Volúmenes DIstribuidos '!B2175</f>
        <v>45314</v>
      </c>
      <c r="B3472" s="10" t="str">
        <f>IF(OR('Volúmenes DIstribuidos '!C2175="Azúcar",'Volúmenes DIstribuidos '!C2175="azúcar"),"Azúcar o dulce",IF('Volúmenes DIstribuidos '!C2175="Aceite","Aceite o grasas",IF('Volúmenes DIstribuidos '!C2175="Avena","Otros almidones",'Volúmenes DIstribuidos '!C2175)))</f>
        <v>Lácteos</v>
      </c>
      <c r="C3472" s="10" t="s">
        <v>29</v>
      </c>
      <c r="D3472" s="12">
        <f>'Volúmenes DIstribuidos '!D2175</f>
        <v>10.09</v>
      </c>
      <c r="E3472" s="12">
        <f>SUMIF('Parametros Inventario'!$A:$A,B3472,'Parametros Inventario'!$B:$B)+SUMIFS(D$2:D3472,B$2:B3472,B3472,C$2:C3472,"ENTRADA")-SUMIFS(D$2:D3472,B$2:B3472,B3472,C$2:C3472,"SALIDA")</f>
        <v>14326.235999999997</v>
      </c>
    </row>
    <row r="3473" spans="1:5" x14ac:dyDescent="0.3">
      <c r="A3473" s="9">
        <f>'Volúmenes DIstribuidos '!B2175</f>
        <v>45314</v>
      </c>
      <c r="B3473" s="10" t="str">
        <f>IF(OR('Volúmenes DIstribuidos '!C2176="Azúcar",'Volúmenes DIstribuidos '!C2176="azúcar"),"Azúcar o dulce",IF('Volúmenes DIstribuidos '!C2176="Aceite","Aceite o grasas",IF('Volúmenes DIstribuidos '!C2176="Avena","Otros almidones",'Volúmenes DIstribuidos '!C2176)))</f>
        <v>Panadería</v>
      </c>
      <c r="C3473" s="10" t="s">
        <v>29</v>
      </c>
      <c r="D3473" s="12">
        <f>'Volúmenes DIstribuidos '!D2176</f>
        <v>23.25</v>
      </c>
      <c r="E3473" s="12">
        <f>SUMIF('Parametros Inventario'!$A:$A,B3473,'Parametros Inventario'!$B:$B)+SUMIFS(D$2:D3473,B$2:B3473,B3473,C$2:C3473,"ENTRADA")-SUMIFS(D$2:D3473,B$2:B3473,B3473,C$2:C3473,"SALIDA")</f>
        <v>14065.278999999999</v>
      </c>
    </row>
    <row r="3474" spans="1:5" x14ac:dyDescent="0.3">
      <c r="A3474" s="9">
        <f>'Volúmenes DIstribuidos '!B2175</f>
        <v>45314</v>
      </c>
      <c r="B3474" s="10" t="str">
        <f>IF(OR('Volúmenes DIstribuidos '!C2177="Azúcar",'Volúmenes DIstribuidos '!C2177="azúcar"),"Azúcar o dulce",IF('Volúmenes DIstribuidos '!C2177="Aceite","Aceite o grasas",IF('Volúmenes DIstribuidos '!C2177="Avena","Otros almidones",'Volúmenes DIstribuidos '!C2177)))</f>
        <v>Otros almidones</v>
      </c>
      <c r="C3474" s="10" t="s">
        <v>29</v>
      </c>
      <c r="D3474" s="12">
        <f>'Volúmenes DIstribuidos '!D2177</f>
        <v>8.25</v>
      </c>
      <c r="E3474" s="12">
        <f>SUMIF('Parametros Inventario'!$A:$A,B3474,'Parametros Inventario'!$B:$B)+SUMIFS(D$2:D3474,B$2:B3474,B3474,C$2:C3474,"ENTRADA")-SUMIFS(D$2:D3474,B$2:B3474,B3474,C$2:C3474,"SALIDA")</f>
        <v>16711.679000000004</v>
      </c>
    </row>
    <row r="3475" spans="1:5" x14ac:dyDescent="0.3">
      <c r="A3475" s="9">
        <f>'Volúmenes DIstribuidos '!B2175</f>
        <v>45314</v>
      </c>
      <c r="B3475" s="10" t="str">
        <f>IF(OR('Volúmenes DIstribuidos '!C2178="Azúcar",'Volúmenes DIstribuidos '!C2178="azúcar"),"Azúcar o dulce",IF('Volúmenes DIstribuidos '!C2178="Aceite","Aceite o grasas",IF('Volúmenes DIstribuidos '!C2178="Avena","Otros almidones",'Volúmenes DIstribuidos '!C2178)))</f>
        <v>Salsas</v>
      </c>
      <c r="C3475" s="10" t="s">
        <v>29</v>
      </c>
      <c r="D3475" s="12">
        <f>'Volúmenes DIstribuidos '!D2178</f>
        <v>19.292000000000002</v>
      </c>
      <c r="E3475" s="12">
        <f>SUMIF('Parametros Inventario'!$A:$A,B3475,'Parametros Inventario'!$B:$B)+SUMIFS(D$2:D3475,B$2:B3475,B3475,C$2:C3475,"ENTRADA")-SUMIFS(D$2:D3475,B$2:B3475,B3475,C$2:C3475,"SALIDA")</f>
        <v>15079.995999999992</v>
      </c>
    </row>
    <row r="3476" spans="1:5" x14ac:dyDescent="0.3">
      <c r="A3476" s="9">
        <f>'Volúmenes DIstribuidos '!B2175</f>
        <v>45314</v>
      </c>
      <c r="B3476" s="10" t="str">
        <f>IF(OR('Volúmenes DIstribuidos '!C2179="Azúcar",'Volúmenes DIstribuidos '!C2179="azúcar"),"Azúcar o dulce",IF('Volúmenes DIstribuidos '!C2179="Aceite","Aceite o grasas",IF('Volúmenes DIstribuidos '!C2179="Avena","Otros almidones",'Volúmenes DIstribuidos '!C2179)))</f>
        <v>Vegetales y hojas</v>
      </c>
      <c r="C3476" s="10" t="s">
        <v>29</v>
      </c>
      <c r="D3476" s="12">
        <f>'Volúmenes DIstribuidos '!D2179</f>
        <v>27.44</v>
      </c>
      <c r="E3476" s="12">
        <f>SUMIF('Parametros Inventario'!$A:$A,B3476,'Parametros Inventario'!$B:$B)+SUMIFS(D$2:D3476,B$2:B3476,B3476,C$2:C3476,"ENTRADA")-SUMIFS(D$2:D3476,B$2:B3476,B3476,C$2:C3476,"SALIDA")</f>
        <v>16401.719999999998</v>
      </c>
    </row>
    <row r="3477" spans="1:5" x14ac:dyDescent="0.3">
      <c r="A3477" s="9">
        <f>'Volúmenes DIstribuidos '!B2175</f>
        <v>45314</v>
      </c>
      <c r="B3477" s="10" t="str">
        <f>IF(OR('Volúmenes DIstribuidos '!C2180="Azúcar",'Volúmenes DIstribuidos '!C2180="azúcar"),"Azúcar o dulce",IF('Volúmenes DIstribuidos '!C2180="Aceite","Aceite o grasas",IF('Volúmenes DIstribuidos '!C2180="Avena","Otros almidones",'Volúmenes DIstribuidos '!C2180)))</f>
        <v>Azúcar o dulce</v>
      </c>
      <c r="C3477" s="10" t="s">
        <v>29</v>
      </c>
      <c r="D3477" s="12">
        <f>'Volúmenes DIstribuidos '!D2180</f>
        <v>127.12</v>
      </c>
      <c r="E3477" s="12">
        <f>SUMIF('Parametros Inventario'!$A:$A,B3477,'Parametros Inventario'!$B:$B)+SUMIFS(D$2:D3477,B$2:B3477,B3477,C$2:C3477,"ENTRADA")-SUMIFS(D$2:D3477,B$2:B3477,B3477,C$2:C3477,"SALIDA")</f>
        <v>14854.594000000003</v>
      </c>
    </row>
    <row r="3478" spans="1:5" x14ac:dyDescent="0.3">
      <c r="A3478" s="9">
        <f>'Volúmenes DIstribuidos '!B2181</f>
        <v>45317</v>
      </c>
      <c r="B3478" s="10" t="str">
        <f>IF(OR('Volúmenes DIstribuidos '!C2181="Azúcar",'Volúmenes DIstribuidos '!C2181="azúcar"),"Azúcar o dulce",IF('Volúmenes DIstribuidos '!C2181="Aceite","Aceite o grasas",IF('Volúmenes DIstribuidos '!C2181="Avena","Otros almidones",'Volúmenes DIstribuidos '!C2181)))</f>
        <v>Fideo</v>
      </c>
      <c r="C3478" s="10" t="s">
        <v>29</v>
      </c>
      <c r="D3478" s="12">
        <f>'Volúmenes DIstribuidos '!D2181</f>
        <v>13.83</v>
      </c>
      <c r="E3478" s="12">
        <f>SUMIF('Parametros Inventario'!$A:$A,B3478,'Parametros Inventario'!$B:$B)+SUMIFS(D$2:D3478,B$2:B3478,B3478,C$2:C3478,"ENTRADA")-SUMIFS(D$2:D3478,B$2:B3478,B3478,C$2:C3478,"SALIDA")</f>
        <v>17477.565999999999</v>
      </c>
    </row>
    <row r="3479" spans="1:5" x14ac:dyDescent="0.3">
      <c r="A3479" s="9">
        <f>'Volúmenes DIstribuidos '!B2181</f>
        <v>45317</v>
      </c>
      <c r="B3479" s="10" t="str">
        <f>IF(OR('Volúmenes DIstribuidos '!C2182="Azúcar",'Volúmenes DIstribuidos '!C2182="azúcar"),"Azúcar o dulce",IF('Volúmenes DIstribuidos '!C2182="Aceite","Aceite o grasas",IF('Volúmenes DIstribuidos '!C2182="Avena","Otros almidones",'Volúmenes DIstribuidos '!C2182)))</f>
        <v>Aceite o grasas</v>
      </c>
      <c r="C3479" s="10" t="s">
        <v>29</v>
      </c>
      <c r="D3479" s="12">
        <f>'Volúmenes DIstribuidos '!D2182</f>
        <v>17.88</v>
      </c>
      <c r="E3479" s="12">
        <f>SUMIF('Parametros Inventario'!$A:$A,B3479,'Parametros Inventario'!$B:$B)+SUMIFS(D$2:D3479,B$2:B3479,B3479,C$2:C3479,"ENTRADA")-SUMIFS(D$2:D3479,B$2:B3479,B3479,C$2:C3479,"SALIDA")</f>
        <v>15239.255000000008</v>
      </c>
    </row>
    <row r="3480" spans="1:5" x14ac:dyDescent="0.3">
      <c r="A3480" s="9">
        <f>'Volúmenes DIstribuidos '!B2181</f>
        <v>45317</v>
      </c>
      <c r="B3480" s="10" t="str">
        <f>IF(OR('Volúmenes DIstribuidos '!C2183="Azúcar",'Volúmenes DIstribuidos '!C2183="azúcar"),"Azúcar o dulce",IF('Volúmenes DIstribuidos '!C2183="Aceite","Aceite o grasas",IF('Volúmenes DIstribuidos '!C2183="Avena","Otros almidones",'Volúmenes DIstribuidos '!C2183)))</f>
        <v>Menestras</v>
      </c>
      <c r="C3480" s="10" t="s">
        <v>29</v>
      </c>
      <c r="D3480" s="12">
        <f>'Volúmenes DIstribuidos '!D2183</f>
        <v>16.797000000000001</v>
      </c>
      <c r="E3480" s="12">
        <f>SUMIF('Parametros Inventario'!$A:$A,B3480,'Parametros Inventario'!$B:$B)+SUMIFS(D$2:D3480,B$2:B3480,B3480,C$2:C3480,"ENTRADA")-SUMIFS(D$2:D3480,B$2:B3480,B3480,C$2:C3480,"SALIDA")</f>
        <v>15937.588000000007</v>
      </c>
    </row>
    <row r="3481" spans="1:5" x14ac:dyDescent="0.3">
      <c r="A3481" s="9">
        <f>'Volúmenes DIstribuidos '!B2181</f>
        <v>45317</v>
      </c>
      <c r="B3481" s="10" t="str">
        <f>IF(OR('Volúmenes DIstribuidos '!C2184="Azúcar",'Volúmenes DIstribuidos '!C2184="azúcar"),"Azúcar o dulce",IF('Volúmenes DIstribuidos '!C2184="Aceite","Aceite o grasas",IF('Volúmenes DIstribuidos '!C2184="Avena","Otros almidones",'Volúmenes DIstribuidos '!C2184)))</f>
        <v>Lácteos</v>
      </c>
      <c r="C3481" s="10" t="s">
        <v>29</v>
      </c>
      <c r="D3481" s="12">
        <f>'Volúmenes DIstribuidos '!D2184</f>
        <v>24.32</v>
      </c>
      <c r="E3481" s="12">
        <f>SUMIF('Parametros Inventario'!$A:$A,B3481,'Parametros Inventario'!$B:$B)+SUMIFS(D$2:D3481,B$2:B3481,B3481,C$2:C3481,"ENTRADA")-SUMIFS(D$2:D3481,B$2:B3481,B3481,C$2:C3481,"SALIDA")</f>
        <v>14301.915999999997</v>
      </c>
    </row>
    <row r="3482" spans="1:5" x14ac:dyDescent="0.3">
      <c r="A3482" s="9">
        <f>'Volúmenes DIstribuidos '!B2181</f>
        <v>45317</v>
      </c>
      <c r="B3482" s="10" t="str">
        <f>IF(OR('Volúmenes DIstribuidos '!C2185="Azúcar",'Volúmenes DIstribuidos '!C2185="azúcar"),"Azúcar o dulce",IF('Volúmenes DIstribuidos '!C2185="Aceite","Aceite o grasas",IF('Volúmenes DIstribuidos '!C2185="Avena","Otros almidones",'Volúmenes DIstribuidos '!C2185)))</f>
        <v>Otros almidones</v>
      </c>
      <c r="C3482" s="10" t="s">
        <v>29</v>
      </c>
      <c r="D3482" s="12">
        <f>'Volúmenes DIstribuidos '!D2185</f>
        <v>33.15</v>
      </c>
      <c r="E3482" s="12">
        <f>SUMIF('Parametros Inventario'!$A:$A,B3482,'Parametros Inventario'!$B:$B)+SUMIFS(D$2:D3482,B$2:B3482,B3482,C$2:C3482,"ENTRADA")-SUMIFS(D$2:D3482,B$2:B3482,B3482,C$2:C3482,"SALIDA")</f>
        <v>16678.529000000002</v>
      </c>
    </row>
    <row r="3483" spans="1:5" x14ac:dyDescent="0.3">
      <c r="A3483" s="9">
        <f>'Volúmenes DIstribuidos '!B2181</f>
        <v>45317</v>
      </c>
      <c r="B3483" s="10" t="str">
        <f>IF(OR('Volúmenes DIstribuidos '!C2186="Azúcar",'Volúmenes DIstribuidos '!C2186="azúcar"),"Azúcar o dulce",IF('Volúmenes DIstribuidos '!C2186="Aceite","Aceite o grasas",IF('Volúmenes DIstribuidos '!C2186="Avena","Otros almidones",'Volúmenes DIstribuidos '!C2186)))</f>
        <v>Fideo</v>
      </c>
      <c r="C3483" s="10" t="s">
        <v>29</v>
      </c>
      <c r="D3483" s="12">
        <f>'Volúmenes DIstribuidos '!D2186</f>
        <v>24.91</v>
      </c>
      <c r="E3483" s="12">
        <f>SUMIF('Parametros Inventario'!$A:$A,B3483,'Parametros Inventario'!$B:$B)+SUMIFS(D$2:D3483,B$2:B3483,B3483,C$2:C3483,"ENTRADA")-SUMIFS(D$2:D3483,B$2:B3483,B3483,C$2:C3483,"SALIDA")</f>
        <v>17452.655999999999</v>
      </c>
    </row>
    <row r="3484" spans="1:5" x14ac:dyDescent="0.3">
      <c r="A3484" s="9">
        <f>'Volúmenes DIstribuidos '!B2187</f>
        <v>45321</v>
      </c>
      <c r="B3484" s="10" t="str">
        <f>IF(OR('Volúmenes DIstribuidos '!C2187="Azúcar",'Volúmenes DIstribuidos '!C2187="azúcar"),"Azúcar o dulce",IF('Volúmenes DIstribuidos '!C2187="Aceite","Aceite o grasas",IF('Volúmenes DIstribuidos '!C2187="Avena","Otros almidones",'Volúmenes DIstribuidos '!C2187)))</f>
        <v>Azúcar o dulce</v>
      </c>
      <c r="C3484" s="10" t="s">
        <v>29</v>
      </c>
      <c r="D3484" s="12">
        <f>'Volúmenes DIstribuidos '!D2187</f>
        <v>14.978</v>
      </c>
      <c r="E3484" s="12">
        <f>SUMIF('Parametros Inventario'!$A:$A,B3484,'Parametros Inventario'!$B:$B)+SUMIFS(D$2:D3484,B$2:B3484,B3484,C$2:C3484,"ENTRADA")-SUMIFS(D$2:D3484,B$2:B3484,B3484,C$2:C3484,"SALIDA")</f>
        <v>14839.616000000002</v>
      </c>
    </row>
    <row r="3485" spans="1:5" x14ac:dyDescent="0.3">
      <c r="A3485" s="9">
        <f>'Volúmenes DIstribuidos '!B2187</f>
        <v>45321</v>
      </c>
      <c r="B3485" s="10" t="str">
        <f>IF(OR('Volúmenes DIstribuidos '!C2188="Azúcar",'Volúmenes DIstribuidos '!C2188="azúcar"),"Azúcar o dulce",IF('Volúmenes DIstribuidos '!C2188="Aceite","Aceite o grasas",IF('Volúmenes DIstribuidos '!C2188="Avena","Otros almidones",'Volúmenes DIstribuidos '!C2188)))</f>
        <v>Lácteos</v>
      </c>
      <c r="C3485" s="10" t="s">
        <v>29</v>
      </c>
      <c r="D3485" s="12">
        <f>'Volúmenes DIstribuidos '!D2188</f>
        <v>11.4</v>
      </c>
      <c r="E3485" s="12">
        <f>SUMIF('Parametros Inventario'!$A:$A,B3485,'Parametros Inventario'!$B:$B)+SUMIFS(D$2:D3485,B$2:B3485,B3485,C$2:C3485,"ENTRADA")-SUMIFS(D$2:D3485,B$2:B3485,B3485,C$2:C3485,"SALIDA")</f>
        <v>14290.515999999996</v>
      </c>
    </row>
    <row r="3486" spans="1:5" x14ac:dyDescent="0.3">
      <c r="A3486" s="9">
        <f>'Volúmenes DIstribuidos '!B2187</f>
        <v>45321</v>
      </c>
      <c r="B3486" s="10" t="str">
        <f>IF(OR('Volúmenes DIstribuidos '!C2189="Azúcar",'Volúmenes DIstribuidos '!C2189="azúcar"),"Azúcar o dulce",IF('Volúmenes DIstribuidos '!C2189="Aceite","Aceite o grasas",IF('Volúmenes DIstribuidos '!C2189="Avena","Otros almidones",'Volúmenes DIstribuidos '!C2189)))</f>
        <v>Azúcar o dulce</v>
      </c>
      <c r="C3486" s="10" t="s">
        <v>29</v>
      </c>
      <c r="D3486" s="12">
        <f>'Volúmenes DIstribuidos '!D2189</f>
        <v>14.47</v>
      </c>
      <c r="E3486" s="12">
        <f>SUMIF('Parametros Inventario'!$A:$A,B3486,'Parametros Inventario'!$B:$B)+SUMIFS(D$2:D3486,B$2:B3486,B3486,C$2:C3486,"ENTRADA")-SUMIFS(D$2:D3486,B$2:B3486,B3486,C$2:C3486,"SALIDA")</f>
        <v>14825.146000000002</v>
      </c>
    </row>
    <row r="3487" spans="1:5" x14ac:dyDescent="0.3">
      <c r="A3487" s="9">
        <f>'Volúmenes DIstribuidos '!B2187</f>
        <v>45321</v>
      </c>
      <c r="B3487" s="10" t="str">
        <f>IF(OR('Volúmenes DIstribuidos '!C2190="Azúcar",'Volúmenes DIstribuidos '!C2190="azúcar"),"Azúcar o dulce",IF('Volúmenes DIstribuidos '!C2190="Aceite","Aceite o grasas",IF('Volúmenes DIstribuidos '!C2190="Avena","Otros almidones",'Volúmenes DIstribuidos '!C2190)))</f>
        <v>Carnes rojas</v>
      </c>
      <c r="C3487" s="10" t="s">
        <v>29</v>
      </c>
      <c r="D3487" s="12">
        <f>'Volúmenes DIstribuidos '!D2190</f>
        <v>8.93</v>
      </c>
      <c r="E3487" s="12">
        <f>SUMIF('Parametros Inventario'!$A:$A,B3487,'Parametros Inventario'!$B:$B)+SUMIFS(D$2:D3487,B$2:B3487,B3487,C$2:C3487,"ENTRADA")-SUMIFS(D$2:D3487,B$2:B3487,B3487,C$2:C3487,"SALIDA")</f>
        <v>15309.388000000003</v>
      </c>
    </row>
    <row r="3488" spans="1:5" x14ac:dyDescent="0.3">
      <c r="A3488" s="9">
        <f>'Volúmenes DIstribuidos '!B2187</f>
        <v>45321</v>
      </c>
      <c r="B3488" s="10" t="str">
        <f>IF(OR('Volúmenes DIstribuidos '!C2191="Azúcar",'Volúmenes DIstribuidos '!C2191="azúcar"),"Azúcar o dulce",IF('Volúmenes DIstribuidos '!C2191="Aceite","Aceite o grasas",IF('Volúmenes DIstribuidos '!C2191="Avena","Otros almidones",'Volúmenes DIstribuidos '!C2191)))</f>
        <v>Otros almidones</v>
      </c>
      <c r="C3488" s="10" t="s">
        <v>29</v>
      </c>
      <c r="D3488" s="12">
        <f>'Volúmenes DIstribuidos '!D2191</f>
        <v>10.35</v>
      </c>
      <c r="E3488" s="12">
        <f>SUMIF('Parametros Inventario'!$A:$A,B3488,'Parametros Inventario'!$B:$B)+SUMIFS(D$2:D3488,B$2:B3488,B3488,C$2:C3488,"ENTRADA")-SUMIFS(D$2:D3488,B$2:B3488,B3488,C$2:C3488,"SALIDA")</f>
        <v>16668.179000000004</v>
      </c>
    </row>
    <row r="3489" spans="1:5" x14ac:dyDescent="0.3">
      <c r="A3489" s="9">
        <f>'Volúmenes DIstribuidos '!B2187</f>
        <v>45321</v>
      </c>
      <c r="B3489" s="10" t="str">
        <f>IF(OR('Volúmenes DIstribuidos '!C2192="Azúcar",'Volúmenes DIstribuidos '!C2192="azúcar"),"Azúcar o dulce",IF('Volúmenes DIstribuidos '!C2192="Aceite","Aceite o grasas",IF('Volúmenes DIstribuidos '!C2192="Avena","Otros almidones",'Volúmenes DIstribuidos '!C2192)))</f>
        <v>Carnes blancas</v>
      </c>
      <c r="C3489" s="10" t="s">
        <v>29</v>
      </c>
      <c r="D3489" s="12">
        <f>'Volúmenes DIstribuidos '!D2192</f>
        <v>3.94</v>
      </c>
      <c r="E3489" s="12">
        <f>SUMIF('Parametros Inventario'!$A:$A,B3489,'Parametros Inventario'!$B:$B)+SUMIFS(D$2:D3489,B$2:B3489,B3489,C$2:C3489,"ENTRADA")-SUMIFS(D$2:D3489,B$2:B3489,B3489,C$2:C3489,"SALIDA")</f>
        <v>16319.910999999996</v>
      </c>
    </row>
    <row r="3490" spans="1:5" x14ac:dyDescent="0.3">
      <c r="A3490" s="9">
        <v>45324</v>
      </c>
      <c r="B3490" s="10" t="s">
        <v>13</v>
      </c>
      <c r="C3490" s="10" t="s">
        <v>28</v>
      </c>
      <c r="D3490" s="12">
        <v>61.54</v>
      </c>
      <c r="E3490" s="12">
        <f>SUMIF('Parametros Inventario'!$A:$A,B3490,'Parametros Inventario'!$B:$B)+SUMIFS(D$2:D3490,B$2:B3490,B3490,C$2:C3490,"ENTRADA")-SUMIFS(D$2:D3490,B$2:B3490,B3490,C$2:C3490,"SALIDA")</f>
        <v>14886.686000000003</v>
      </c>
    </row>
    <row r="3491" spans="1:5" x14ac:dyDescent="0.3">
      <c r="A3491" s="9">
        <v>45324</v>
      </c>
      <c r="B3491" s="10" t="s">
        <v>15</v>
      </c>
      <c r="C3491" s="10" t="s">
        <v>28</v>
      </c>
      <c r="D3491" s="12">
        <v>286.45</v>
      </c>
      <c r="E3491" s="12">
        <f>SUMIF('Parametros Inventario'!$A:$A,B3491,'Parametros Inventario'!$B:$B)+SUMIFS(D$2:D3491,B$2:B3491,B3491,C$2:C3491,"ENTRADA")-SUMIFS(D$2:D3491,B$2:B3491,B3491,C$2:C3491,"SALIDA")</f>
        <v>16954.629000000004</v>
      </c>
    </row>
    <row r="3492" spans="1:5" x14ac:dyDescent="0.3">
      <c r="A3492" s="9">
        <v>45324</v>
      </c>
      <c r="B3492" s="10" t="s">
        <v>11</v>
      </c>
      <c r="C3492" s="10" t="s">
        <v>28</v>
      </c>
      <c r="D3492" s="12">
        <v>276.14999999999998</v>
      </c>
      <c r="E3492" s="12">
        <f>SUMIF('Parametros Inventario'!$A:$A,B3492,'Parametros Inventario'!$B:$B)+SUMIFS(D$2:D3492,B$2:B3492,B3492,C$2:C3492,"ENTRADA")-SUMIFS(D$2:D3492,B$2:B3492,B3492,C$2:C3492,"SALIDA")</f>
        <v>17728.806</v>
      </c>
    </row>
    <row r="3493" spans="1:5" x14ac:dyDescent="0.3">
      <c r="A3493" s="9">
        <v>45324</v>
      </c>
      <c r="B3493" s="10" t="s">
        <v>9</v>
      </c>
      <c r="C3493" s="10" t="s">
        <v>28</v>
      </c>
      <c r="D3493" s="12">
        <v>123.35</v>
      </c>
      <c r="E3493" s="12">
        <f>SUMIF('Parametros Inventario'!$A:$A,B3493,'Parametros Inventario'!$B:$B)+SUMIFS(D$2:D3493,B$2:B3493,B3493,C$2:C3493,"ENTRADA")-SUMIFS(D$2:D3493,B$2:B3493,B3493,C$2:C3493,"SALIDA")</f>
        <v>14188.628999999997</v>
      </c>
    </row>
    <row r="3494" spans="1:5" x14ac:dyDescent="0.3">
      <c r="A3494" s="9">
        <v>45324</v>
      </c>
      <c r="B3494" s="10" t="s">
        <v>14</v>
      </c>
      <c r="C3494" s="10" t="s">
        <v>28</v>
      </c>
      <c r="D3494" s="12">
        <v>183.53</v>
      </c>
      <c r="E3494" s="12">
        <f>SUMIF('Parametros Inventario'!$A:$A,B3494,'Parametros Inventario'!$B:$B)+SUMIFS(D$2:D3494,B$2:B3494,B3494,C$2:C3494,"ENTRADA")-SUMIFS(D$2:D3494,B$2:B3494,B3494,C$2:C3494,"SALIDA")</f>
        <v>16121.118000000006</v>
      </c>
    </row>
    <row r="3495" spans="1:5" x14ac:dyDescent="0.3">
      <c r="A3495" s="9">
        <v>45324</v>
      </c>
      <c r="B3495" s="10" t="s">
        <v>12</v>
      </c>
      <c r="C3495" s="10" t="s">
        <v>28</v>
      </c>
      <c r="D3495" s="12">
        <v>84.96</v>
      </c>
      <c r="E3495" s="12">
        <f>SUMIF('Parametros Inventario'!$A:$A,B3495,'Parametros Inventario'!$B:$B)+SUMIFS(D$2:D3495,B$2:B3495,B3495,C$2:C3495,"ENTRADA")-SUMIFS(D$2:D3495,B$2:B3495,B3495,C$2:C3495,"SALIDA")</f>
        <v>15394.348000000002</v>
      </c>
    </row>
    <row r="3496" spans="1:5" x14ac:dyDescent="0.3">
      <c r="A3496" s="9">
        <v>45324</v>
      </c>
      <c r="B3496" s="10" t="s">
        <v>16</v>
      </c>
      <c r="C3496" s="10" t="s">
        <v>28</v>
      </c>
      <c r="D3496" s="12">
        <v>172.61</v>
      </c>
      <c r="E3496" s="12">
        <f>SUMIF('Parametros Inventario'!$A:$A,B3496,'Parametros Inventario'!$B:$B)+SUMIFS(D$2:D3496,B$2:B3496,B3496,C$2:C3496,"ENTRADA")-SUMIFS(D$2:D3496,B$2:B3496,B3496,C$2:C3496,"SALIDA")</f>
        <v>16492.520999999997</v>
      </c>
    </row>
    <row r="3497" spans="1:5" x14ac:dyDescent="0.3">
      <c r="A3497" s="9">
        <v>45324</v>
      </c>
      <c r="B3497" s="10" t="s">
        <v>17</v>
      </c>
      <c r="C3497" s="10" t="s">
        <v>28</v>
      </c>
      <c r="D3497" s="12">
        <v>128.22999999999999</v>
      </c>
      <c r="E3497" s="12">
        <f>SUMIF('Parametros Inventario'!$A:$A,B3497,'Parametros Inventario'!$B:$B)+SUMIFS(D$2:D3497,B$2:B3497,B3497,C$2:C3497,"ENTRADA")-SUMIFS(D$2:D3497,B$2:B3497,B3497,C$2:C3497,"SALIDA")</f>
        <v>14418.745999999996</v>
      </c>
    </row>
    <row r="3498" spans="1:5" x14ac:dyDescent="0.3">
      <c r="A3498" s="9">
        <v>45324</v>
      </c>
      <c r="B3498" s="10" t="s">
        <v>18</v>
      </c>
      <c r="C3498" s="10" t="s">
        <v>28</v>
      </c>
      <c r="D3498" s="12">
        <v>277.7</v>
      </c>
      <c r="E3498" s="12">
        <f>SUMIF('Parametros Inventario'!$A:$A,B3498,'Parametros Inventario'!$B:$B)+SUMIFS(D$2:D3498,B$2:B3498,B3498,C$2:C3498,"ENTRADA")-SUMIFS(D$2:D3498,B$2:B3498,B3498,C$2:C3498,"SALIDA")</f>
        <v>15357.695999999993</v>
      </c>
    </row>
    <row r="3499" spans="1:5" x14ac:dyDescent="0.3">
      <c r="A3499" s="9">
        <v>45324</v>
      </c>
      <c r="B3499" s="10" t="s">
        <v>10</v>
      </c>
      <c r="C3499" s="10" t="s">
        <v>28</v>
      </c>
      <c r="D3499" s="12">
        <v>299.2</v>
      </c>
      <c r="E3499" s="12">
        <f>SUMIF('Parametros Inventario'!$A:$A,B3499,'Parametros Inventario'!$B:$B)+SUMIFS(D$2:D3499,B$2:B3499,B3499,C$2:C3499,"ENTRADA")-SUMIFS(D$2:D3499,B$2:B3499,B3499,C$2:C3499,"SALIDA")</f>
        <v>16700.919999999998</v>
      </c>
    </row>
    <row r="3500" spans="1:5" x14ac:dyDescent="0.3">
      <c r="A3500" s="9">
        <v>45324</v>
      </c>
      <c r="B3500" s="10" t="s">
        <v>8</v>
      </c>
      <c r="C3500" s="10" t="s">
        <v>28</v>
      </c>
      <c r="D3500" s="12">
        <v>201.54</v>
      </c>
      <c r="E3500" s="12">
        <f>SUMIF('Parametros Inventario'!$A:$A,B3500,'Parametros Inventario'!$B:$B)+SUMIFS(D$2:D3500,B$2:B3500,B3500,C$2:C3500,"ENTRADA")-SUMIFS(D$2:D3500,B$2:B3500,B3500,C$2:C3500,"SALIDA")</f>
        <v>15440.795000000009</v>
      </c>
    </row>
    <row r="3501" spans="1:5" x14ac:dyDescent="0.3">
      <c r="A3501" s="9">
        <f>'Volúmenes DIstribuidos '!B2193</f>
        <v>45324</v>
      </c>
      <c r="B3501" s="10" t="str">
        <f>IF(OR('Volúmenes DIstribuidos '!C2193="Azúcar",'Volúmenes DIstribuidos '!C2193="azúcar"),"Azúcar o dulce",IF('Volúmenes DIstribuidos '!C2193="Aceite","Aceite o grasas",IF('Volúmenes DIstribuidos '!C2193="Avena","Otros almidones",'Volúmenes DIstribuidos '!C2193)))</f>
        <v>Salsas</v>
      </c>
      <c r="C3501" s="10" t="s">
        <v>29</v>
      </c>
      <c r="D3501" s="12">
        <f>'Volúmenes DIstribuidos '!D2193</f>
        <v>34.518000000000001</v>
      </c>
      <c r="E3501" s="12">
        <f>SUMIF('Parametros Inventario'!$A:$A,B3501,'Parametros Inventario'!$B:$B)+SUMIFS(D$2:D3501,B$2:B3501,B3501,C$2:C3501,"ENTRADA")-SUMIFS(D$2:D3501,B$2:B3501,B3501,C$2:C3501,"SALIDA")</f>
        <v>15323.177999999993</v>
      </c>
    </row>
    <row r="3502" spans="1:5" x14ac:dyDescent="0.3">
      <c r="A3502" s="9">
        <f>'Volúmenes DIstribuidos '!B2193</f>
        <v>45324</v>
      </c>
      <c r="B3502" s="10" t="str">
        <f>IF(OR('Volúmenes DIstribuidos '!C2194="Azúcar",'Volúmenes DIstribuidos '!C2194="azúcar"),"Azúcar o dulce",IF('Volúmenes DIstribuidos '!C2194="Aceite","Aceite o grasas",IF('Volúmenes DIstribuidos '!C2194="Avena","Otros almidones",'Volúmenes DIstribuidos '!C2194)))</f>
        <v>Menestras</v>
      </c>
      <c r="C3502" s="10" t="s">
        <v>29</v>
      </c>
      <c r="D3502" s="12">
        <f>'Volúmenes DIstribuidos '!D2194</f>
        <v>30.39</v>
      </c>
      <c r="E3502" s="12">
        <f>SUMIF('Parametros Inventario'!$A:$A,B3502,'Parametros Inventario'!$B:$B)+SUMIFS(D$2:D3502,B$2:B3502,B3502,C$2:C3502,"ENTRADA")-SUMIFS(D$2:D3502,B$2:B3502,B3502,C$2:C3502,"SALIDA")</f>
        <v>16090.728000000006</v>
      </c>
    </row>
    <row r="3503" spans="1:5" x14ac:dyDescent="0.3">
      <c r="A3503" s="9">
        <f>'Volúmenes DIstribuidos '!B2193</f>
        <v>45324</v>
      </c>
      <c r="B3503" s="10" t="str">
        <f>IF(OR('Volúmenes DIstribuidos '!C2195="Azúcar",'Volúmenes DIstribuidos '!C2195="azúcar"),"Azúcar o dulce",IF('Volúmenes DIstribuidos '!C2195="Aceite","Aceite o grasas",IF('Volúmenes DIstribuidos '!C2195="Avena","Otros almidones",'Volúmenes DIstribuidos '!C2195)))</f>
        <v>Otros almidones</v>
      </c>
      <c r="C3503" s="10" t="s">
        <v>29</v>
      </c>
      <c r="D3503" s="12">
        <f>'Volúmenes DIstribuidos '!D2195</f>
        <v>49</v>
      </c>
      <c r="E3503" s="12">
        <f>SUMIF('Parametros Inventario'!$A:$A,B3503,'Parametros Inventario'!$B:$B)+SUMIFS(D$2:D3503,B$2:B3503,B3503,C$2:C3503,"ENTRADA")-SUMIFS(D$2:D3503,B$2:B3503,B3503,C$2:C3503,"SALIDA")</f>
        <v>16905.629000000004</v>
      </c>
    </row>
    <row r="3504" spans="1:5" x14ac:dyDescent="0.3">
      <c r="A3504" s="9">
        <f>'Volúmenes DIstribuidos '!B2193</f>
        <v>45324</v>
      </c>
      <c r="B3504" s="10" t="str">
        <f>IF(OR('Volúmenes DIstribuidos '!C2196="Azúcar",'Volúmenes DIstribuidos '!C2196="azúcar"),"Azúcar o dulce",IF('Volúmenes DIstribuidos '!C2196="Aceite","Aceite o grasas",IF('Volúmenes DIstribuidos '!C2196="Avena","Otros almidones",'Volúmenes DIstribuidos '!C2196)))</f>
        <v>Panadería</v>
      </c>
      <c r="C3504" s="10" t="s">
        <v>29</v>
      </c>
      <c r="D3504" s="12">
        <f>'Volúmenes DIstribuidos '!D2196</f>
        <v>19.751999999999999</v>
      </c>
      <c r="E3504" s="12">
        <f>SUMIF('Parametros Inventario'!$A:$A,B3504,'Parametros Inventario'!$B:$B)+SUMIFS(D$2:D3504,B$2:B3504,B3504,C$2:C3504,"ENTRADA")-SUMIFS(D$2:D3504,B$2:B3504,B3504,C$2:C3504,"SALIDA")</f>
        <v>14168.876999999997</v>
      </c>
    </row>
    <row r="3505" spans="1:5" x14ac:dyDescent="0.3">
      <c r="A3505" s="9">
        <f>'Volúmenes DIstribuidos '!B2193</f>
        <v>45324</v>
      </c>
      <c r="B3505" s="10" t="str">
        <f>IF(OR('Volúmenes DIstribuidos '!C2197="Azúcar",'Volúmenes DIstribuidos '!C2197="azúcar"),"Azúcar o dulce",IF('Volúmenes DIstribuidos '!C2197="Aceite","Aceite o grasas",IF('Volúmenes DIstribuidos '!C2197="Avena","Otros almidones",'Volúmenes DIstribuidos '!C2197)))</f>
        <v>Panadería</v>
      </c>
      <c r="C3505" s="10" t="s">
        <v>29</v>
      </c>
      <c r="D3505" s="12">
        <f>'Volúmenes DIstribuidos '!D2197</f>
        <v>16.03</v>
      </c>
      <c r="E3505" s="12">
        <f>SUMIF('Parametros Inventario'!$A:$A,B3505,'Parametros Inventario'!$B:$B)+SUMIFS(D$2:D3505,B$2:B3505,B3505,C$2:C3505,"ENTRADA")-SUMIFS(D$2:D3505,B$2:B3505,B3505,C$2:C3505,"SALIDA")</f>
        <v>14152.846999999998</v>
      </c>
    </row>
    <row r="3506" spans="1:5" x14ac:dyDescent="0.3">
      <c r="A3506" s="9">
        <f>'Volúmenes DIstribuidos '!B2193</f>
        <v>45324</v>
      </c>
      <c r="B3506" s="10" t="str">
        <f>IF(OR('Volúmenes DIstribuidos '!C2198="Azúcar",'Volúmenes DIstribuidos '!C2198="azúcar"),"Azúcar o dulce",IF('Volúmenes DIstribuidos '!C2198="Aceite","Aceite o grasas",IF('Volúmenes DIstribuidos '!C2198="Avena","Otros almidones",'Volúmenes DIstribuidos '!C2198)))</f>
        <v>Menestras</v>
      </c>
      <c r="C3506" s="10" t="s">
        <v>29</v>
      </c>
      <c r="D3506" s="12">
        <f>'Volúmenes DIstribuidos '!D2198</f>
        <v>3.2</v>
      </c>
      <c r="E3506" s="12">
        <f>SUMIF('Parametros Inventario'!$A:$A,B3506,'Parametros Inventario'!$B:$B)+SUMIFS(D$2:D3506,B$2:B3506,B3506,C$2:C3506,"ENTRADA")-SUMIFS(D$2:D3506,B$2:B3506,B3506,C$2:C3506,"SALIDA")</f>
        <v>16087.528000000006</v>
      </c>
    </row>
    <row r="3507" spans="1:5" x14ac:dyDescent="0.3">
      <c r="A3507" s="9">
        <v>45328</v>
      </c>
      <c r="B3507" s="10" t="s">
        <v>13</v>
      </c>
      <c r="C3507" s="10" t="s">
        <v>28</v>
      </c>
      <c r="D3507" s="12">
        <v>177.65</v>
      </c>
      <c r="E3507" s="12">
        <f>SUMIF('Parametros Inventario'!$A:$A,B3507,'Parametros Inventario'!$B:$B)+SUMIFS(D$2:D3507,B$2:B3507,B3507,C$2:C3507,"ENTRADA")-SUMIFS(D$2:D3507,B$2:B3507,B3507,C$2:C3507,"SALIDA")</f>
        <v>15064.336000000005</v>
      </c>
    </row>
    <row r="3508" spans="1:5" x14ac:dyDescent="0.3">
      <c r="A3508" s="9">
        <v>45328</v>
      </c>
      <c r="B3508" s="10" t="s">
        <v>15</v>
      </c>
      <c r="C3508" s="10" t="s">
        <v>28</v>
      </c>
      <c r="D3508" s="12">
        <v>221.98</v>
      </c>
      <c r="E3508" s="12">
        <f>SUMIF('Parametros Inventario'!$A:$A,B3508,'Parametros Inventario'!$B:$B)+SUMIFS(D$2:D3508,B$2:B3508,B3508,C$2:C3508,"ENTRADA")-SUMIFS(D$2:D3508,B$2:B3508,B3508,C$2:C3508,"SALIDA")</f>
        <v>17127.609000000004</v>
      </c>
    </row>
    <row r="3509" spans="1:5" x14ac:dyDescent="0.3">
      <c r="A3509" s="9">
        <v>45328</v>
      </c>
      <c r="B3509" s="10" t="s">
        <v>11</v>
      </c>
      <c r="C3509" s="10" t="s">
        <v>28</v>
      </c>
      <c r="D3509" s="12">
        <v>215.65</v>
      </c>
      <c r="E3509" s="12">
        <f>SUMIF('Parametros Inventario'!$A:$A,B3509,'Parametros Inventario'!$B:$B)+SUMIFS(D$2:D3509,B$2:B3509,B3509,C$2:C3509,"ENTRADA")-SUMIFS(D$2:D3509,B$2:B3509,B3509,C$2:C3509,"SALIDA")</f>
        <v>17944.456000000002</v>
      </c>
    </row>
    <row r="3510" spans="1:5" x14ac:dyDescent="0.3">
      <c r="A3510" s="9">
        <v>45328</v>
      </c>
      <c r="B3510" s="10" t="s">
        <v>9</v>
      </c>
      <c r="C3510" s="10" t="s">
        <v>28</v>
      </c>
      <c r="D3510" s="12">
        <v>61.18</v>
      </c>
      <c r="E3510" s="12">
        <f>SUMIF('Parametros Inventario'!$A:$A,B3510,'Parametros Inventario'!$B:$B)+SUMIFS(D$2:D3510,B$2:B3510,B3510,C$2:C3510,"ENTRADA")-SUMIFS(D$2:D3510,B$2:B3510,B3510,C$2:C3510,"SALIDA")</f>
        <v>14214.026999999998</v>
      </c>
    </row>
    <row r="3511" spans="1:5" x14ac:dyDescent="0.3">
      <c r="A3511" s="9">
        <v>45328</v>
      </c>
      <c r="B3511" s="10" t="s">
        <v>14</v>
      </c>
      <c r="C3511" s="10" t="s">
        <v>28</v>
      </c>
      <c r="D3511" s="12">
        <v>59.18</v>
      </c>
      <c r="E3511" s="12">
        <f>SUMIF('Parametros Inventario'!$A:$A,B3511,'Parametros Inventario'!$B:$B)+SUMIFS(D$2:D3511,B$2:B3511,B3511,C$2:C3511,"ENTRADA")-SUMIFS(D$2:D3511,B$2:B3511,B3511,C$2:C3511,"SALIDA")</f>
        <v>16146.708000000006</v>
      </c>
    </row>
    <row r="3512" spans="1:5" x14ac:dyDescent="0.3">
      <c r="A3512" s="9">
        <v>45328</v>
      </c>
      <c r="B3512" s="10" t="s">
        <v>12</v>
      </c>
      <c r="C3512" s="10" t="s">
        <v>28</v>
      </c>
      <c r="D3512" s="12">
        <v>85.42</v>
      </c>
      <c r="E3512" s="12">
        <f>SUMIF('Parametros Inventario'!$A:$A,B3512,'Parametros Inventario'!$B:$B)+SUMIFS(D$2:D3512,B$2:B3512,B3512,C$2:C3512,"ENTRADA")-SUMIFS(D$2:D3512,B$2:B3512,B3512,C$2:C3512,"SALIDA")</f>
        <v>15479.768</v>
      </c>
    </row>
    <row r="3513" spans="1:5" x14ac:dyDescent="0.3">
      <c r="A3513" s="9">
        <v>45328</v>
      </c>
      <c r="B3513" s="10" t="s">
        <v>16</v>
      </c>
      <c r="C3513" s="10" t="s">
        <v>28</v>
      </c>
      <c r="D3513" s="12">
        <v>264.02</v>
      </c>
      <c r="E3513" s="12">
        <f>SUMIF('Parametros Inventario'!$A:$A,B3513,'Parametros Inventario'!$B:$B)+SUMIFS(D$2:D3513,B$2:B3513,B3513,C$2:C3513,"ENTRADA")-SUMIFS(D$2:D3513,B$2:B3513,B3513,C$2:C3513,"SALIDA")</f>
        <v>16756.540999999997</v>
      </c>
    </row>
    <row r="3514" spans="1:5" x14ac:dyDescent="0.3">
      <c r="A3514" s="9">
        <f>'Volúmenes DIstribuidos '!B2199</f>
        <v>45328</v>
      </c>
      <c r="B3514" s="10" t="str">
        <f>IF(OR('Volúmenes DIstribuidos '!C2199="Azúcar",'Volúmenes DIstribuidos '!C2199="azúcar"),"Azúcar o dulce",IF('Volúmenes DIstribuidos '!C2199="Aceite","Aceite o grasas",IF('Volúmenes DIstribuidos '!C2199="Avena","Otros almidones",'Volúmenes DIstribuidos '!C2199)))</f>
        <v>Salsas</v>
      </c>
      <c r="C3514" s="10" t="s">
        <v>29</v>
      </c>
      <c r="D3514" s="12">
        <f>'Volúmenes DIstribuidos '!D2199</f>
        <v>22.178000000000001</v>
      </c>
      <c r="E3514" s="12">
        <f>SUMIF('Parametros Inventario'!$A:$A,B3514,'Parametros Inventario'!$B:$B)+SUMIFS(D$2:D3514,B$2:B3514,B3514,C$2:C3514,"ENTRADA")-SUMIFS(D$2:D3514,B$2:B3514,B3514,C$2:C3514,"SALIDA")</f>
        <v>15300.999999999993</v>
      </c>
    </row>
    <row r="3515" spans="1:5" x14ac:dyDescent="0.3">
      <c r="A3515" s="9">
        <f>'Volúmenes DIstribuidos '!B2199</f>
        <v>45328</v>
      </c>
      <c r="B3515" s="10" t="str">
        <f>IF(OR('Volúmenes DIstribuidos '!C2200="Azúcar",'Volúmenes DIstribuidos '!C2200="azúcar"),"Azúcar o dulce",IF('Volúmenes DIstribuidos '!C2200="Aceite","Aceite o grasas",IF('Volúmenes DIstribuidos '!C2200="Avena","Otros almidones",'Volúmenes DIstribuidos '!C2200)))</f>
        <v>Aceite o grasas</v>
      </c>
      <c r="C3515" s="10" t="s">
        <v>29</v>
      </c>
      <c r="D3515" s="12">
        <f>'Volúmenes DIstribuidos '!D2200</f>
        <v>24.9</v>
      </c>
      <c r="E3515" s="12">
        <f>SUMIF('Parametros Inventario'!$A:$A,B3515,'Parametros Inventario'!$B:$B)+SUMIFS(D$2:D3515,B$2:B3515,B3515,C$2:C3515,"ENTRADA")-SUMIFS(D$2:D3515,B$2:B3515,B3515,C$2:C3515,"SALIDA")</f>
        <v>15415.89500000001</v>
      </c>
    </row>
    <row r="3516" spans="1:5" x14ac:dyDescent="0.3">
      <c r="A3516" s="9">
        <f>'Volúmenes DIstribuidos '!B2199</f>
        <v>45328</v>
      </c>
      <c r="B3516" s="10" t="str">
        <f>IF(OR('Volúmenes DIstribuidos '!C2201="Azúcar",'Volúmenes DIstribuidos '!C2201="azúcar"),"Azúcar o dulce",IF('Volúmenes DIstribuidos '!C2201="Aceite","Aceite o grasas",IF('Volúmenes DIstribuidos '!C2201="Avena","Otros almidones",'Volúmenes DIstribuidos '!C2201)))</f>
        <v>Carnes blancas</v>
      </c>
      <c r="C3516" s="10" t="s">
        <v>29</v>
      </c>
      <c r="D3516" s="12">
        <f>'Volúmenes DIstribuidos '!D2201</f>
        <v>29.11</v>
      </c>
      <c r="E3516" s="12">
        <f>SUMIF('Parametros Inventario'!$A:$A,B3516,'Parametros Inventario'!$B:$B)+SUMIFS(D$2:D3516,B$2:B3516,B3516,C$2:C3516,"ENTRADA")-SUMIFS(D$2:D3516,B$2:B3516,B3516,C$2:C3516,"SALIDA")</f>
        <v>16727.430999999997</v>
      </c>
    </row>
    <row r="3517" spans="1:5" x14ac:dyDescent="0.3">
      <c r="A3517" s="9">
        <f>'Volúmenes DIstribuidos '!B2199</f>
        <v>45328</v>
      </c>
      <c r="B3517" s="10" t="str">
        <f>IF(OR('Volúmenes DIstribuidos '!C2202="Azúcar",'Volúmenes DIstribuidos '!C2202="azúcar"),"Azúcar o dulce",IF('Volúmenes DIstribuidos '!C2202="Aceite","Aceite o grasas",IF('Volúmenes DIstribuidos '!C2202="Avena","Otros almidones",'Volúmenes DIstribuidos '!C2202)))</f>
        <v>Menestras</v>
      </c>
      <c r="C3517" s="10" t="s">
        <v>29</v>
      </c>
      <c r="D3517" s="12">
        <f>'Volúmenes DIstribuidos '!D2202</f>
        <v>20.55</v>
      </c>
      <c r="E3517" s="12">
        <f>SUMIF('Parametros Inventario'!$A:$A,B3517,'Parametros Inventario'!$B:$B)+SUMIFS(D$2:D3517,B$2:B3517,B3517,C$2:C3517,"ENTRADA")-SUMIFS(D$2:D3517,B$2:B3517,B3517,C$2:C3517,"SALIDA")</f>
        <v>16126.158000000007</v>
      </c>
    </row>
    <row r="3518" spans="1:5" x14ac:dyDescent="0.3">
      <c r="A3518" s="9">
        <f>'Volúmenes DIstribuidos '!B2199</f>
        <v>45328</v>
      </c>
      <c r="B3518" s="10" t="str">
        <f>IF(OR('Volúmenes DIstribuidos '!C2203="Azúcar",'Volúmenes DIstribuidos '!C2203="azúcar"),"Azúcar o dulce",IF('Volúmenes DIstribuidos '!C2203="Aceite","Aceite o grasas",IF('Volúmenes DIstribuidos '!C2203="Avena","Otros almidones",'Volúmenes DIstribuidos '!C2203)))</f>
        <v>Carnes rojas</v>
      </c>
      <c r="C3518" s="10" t="s">
        <v>29</v>
      </c>
      <c r="D3518" s="12">
        <f>'Volúmenes DIstribuidos '!D2203</f>
        <v>17.899999999999999</v>
      </c>
      <c r="E3518" s="12">
        <f>SUMIF('Parametros Inventario'!$A:$A,B3518,'Parametros Inventario'!$B:$B)+SUMIFS(D$2:D3518,B$2:B3518,B3518,C$2:C3518,"ENTRADA")-SUMIFS(D$2:D3518,B$2:B3518,B3518,C$2:C3518,"SALIDA")</f>
        <v>15461.868</v>
      </c>
    </row>
    <row r="3519" spans="1:5" x14ac:dyDescent="0.3">
      <c r="A3519" s="9">
        <f>'Volúmenes DIstribuidos '!B2199</f>
        <v>45328</v>
      </c>
      <c r="B3519" s="10" t="str">
        <f>IF(OR('Volúmenes DIstribuidos '!C2204="Azúcar",'Volúmenes DIstribuidos '!C2204="azúcar"),"Azúcar o dulce",IF('Volúmenes DIstribuidos '!C2204="Aceite","Aceite o grasas",IF('Volúmenes DIstribuidos '!C2204="Avena","Otros almidones",'Volúmenes DIstribuidos '!C2204)))</f>
        <v>Otros almidones</v>
      </c>
      <c r="C3519" s="10" t="s">
        <v>29</v>
      </c>
      <c r="D3519" s="12">
        <f>'Volúmenes DIstribuidos '!D2204</f>
        <v>16.73</v>
      </c>
      <c r="E3519" s="12">
        <f>SUMIF('Parametros Inventario'!$A:$A,B3519,'Parametros Inventario'!$B:$B)+SUMIFS(D$2:D3519,B$2:B3519,B3519,C$2:C3519,"ENTRADA")-SUMIFS(D$2:D3519,B$2:B3519,B3519,C$2:C3519,"SALIDA")</f>
        <v>17110.879000000004</v>
      </c>
    </row>
    <row r="3520" spans="1:5" x14ac:dyDescent="0.3">
      <c r="A3520" s="9">
        <v>45331</v>
      </c>
      <c r="B3520" s="10" t="s">
        <v>17</v>
      </c>
      <c r="C3520" s="10" t="s">
        <v>28</v>
      </c>
      <c r="D3520" s="12">
        <v>103.8</v>
      </c>
      <c r="E3520" s="12">
        <f>SUMIF('Parametros Inventario'!$A:$A,B3520,'Parametros Inventario'!$B:$B)+SUMIFS(D$2:D3520,B$2:B3520,B3520,C$2:C3520,"ENTRADA")-SUMIFS(D$2:D3520,B$2:B3520,B3520,C$2:C3520,"SALIDA")</f>
        <v>14522.545999999995</v>
      </c>
    </row>
    <row r="3521" spans="1:5" x14ac:dyDescent="0.3">
      <c r="A3521" s="9">
        <v>45331</v>
      </c>
      <c r="B3521" s="10" t="s">
        <v>18</v>
      </c>
      <c r="C3521" s="10" t="s">
        <v>28</v>
      </c>
      <c r="D3521" s="12">
        <v>83.55</v>
      </c>
      <c r="E3521" s="12">
        <f>SUMIF('Parametros Inventario'!$A:$A,B3521,'Parametros Inventario'!$B:$B)+SUMIFS(D$2:D3521,B$2:B3521,B3521,C$2:C3521,"ENTRADA")-SUMIFS(D$2:D3521,B$2:B3521,B3521,C$2:C3521,"SALIDA")</f>
        <v>15384.549999999992</v>
      </c>
    </row>
    <row r="3522" spans="1:5" x14ac:dyDescent="0.3">
      <c r="A3522" s="9">
        <v>45331</v>
      </c>
      <c r="B3522" s="10" t="s">
        <v>10</v>
      </c>
      <c r="C3522" s="10" t="s">
        <v>28</v>
      </c>
      <c r="D3522" s="12">
        <v>188.02</v>
      </c>
      <c r="E3522" s="12">
        <f>SUMIF('Parametros Inventario'!$A:$A,B3522,'Parametros Inventario'!$B:$B)+SUMIFS(D$2:D3522,B$2:B3522,B3522,C$2:C3522,"ENTRADA")-SUMIFS(D$2:D3522,B$2:B3522,B3522,C$2:C3522,"SALIDA")</f>
        <v>16888.939999999999</v>
      </c>
    </row>
    <row r="3523" spans="1:5" x14ac:dyDescent="0.3">
      <c r="A3523" s="9">
        <v>45331</v>
      </c>
      <c r="B3523" s="10" t="s">
        <v>8</v>
      </c>
      <c r="C3523" s="10" t="s">
        <v>28</v>
      </c>
      <c r="D3523" s="12">
        <v>197.95</v>
      </c>
      <c r="E3523" s="12">
        <f>SUMIF('Parametros Inventario'!$A:$A,B3523,'Parametros Inventario'!$B:$B)+SUMIFS(D$2:D3523,B$2:B3523,B3523,C$2:C3523,"ENTRADA")-SUMIFS(D$2:D3523,B$2:B3523,B3523,C$2:C3523,"SALIDA")</f>
        <v>15613.84500000001</v>
      </c>
    </row>
    <row r="3524" spans="1:5" x14ac:dyDescent="0.3">
      <c r="A3524" s="9">
        <f>'Volúmenes DIstribuidos '!B2205</f>
        <v>45331</v>
      </c>
      <c r="B3524" s="10" t="str">
        <f>IF(OR('Volúmenes DIstribuidos '!C2205="Azúcar",'Volúmenes DIstribuidos '!C2205="azúcar"),"Azúcar o dulce",IF('Volúmenes DIstribuidos '!C2205="Aceite","Aceite o grasas",IF('Volúmenes DIstribuidos '!C2205="Avena","Otros almidones",'Volúmenes DIstribuidos '!C2205)))</f>
        <v>Lácteos</v>
      </c>
      <c r="C3524" s="10" t="s">
        <v>29</v>
      </c>
      <c r="D3524" s="12">
        <f>'Volúmenes DIstribuidos '!D2205</f>
        <v>7.9809999999999999</v>
      </c>
      <c r="E3524" s="12">
        <f>SUMIF('Parametros Inventario'!$A:$A,B3524,'Parametros Inventario'!$B:$B)+SUMIFS(D$2:D3524,B$2:B3524,B3524,C$2:C3524,"ENTRADA")-SUMIFS(D$2:D3524,B$2:B3524,B3524,C$2:C3524,"SALIDA")</f>
        <v>14514.564999999995</v>
      </c>
    </row>
    <row r="3525" spans="1:5" x14ac:dyDescent="0.3">
      <c r="A3525" s="9">
        <f>'Volúmenes DIstribuidos '!B2205</f>
        <v>45331</v>
      </c>
      <c r="B3525" s="10" t="str">
        <f>IF(OR('Volúmenes DIstribuidos '!C2206="Azúcar",'Volúmenes DIstribuidos '!C2206="azúcar"),"Azúcar o dulce",IF('Volúmenes DIstribuidos '!C2206="Aceite","Aceite o grasas",IF('Volúmenes DIstribuidos '!C2206="Avena","Otros almidones",'Volúmenes DIstribuidos '!C2206)))</f>
        <v>Menestras</v>
      </c>
      <c r="C3525" s="10" t="s">
        <v>29</v>
      </c>
      <c r="D3525" s="12">
        <f>'Volúmenes DIstribuidos '!D2206</f>
        <v>9.7200000000000006</v>
      </c>
      <c r="E3525" s="12">
        <f>SUMIF('Parametros Inventario'!$A:$A,B3525,'Parametros Inventario'!$B:$B)+SUMIFS(D$2:D3525,B$2:B3525,B3525,C$2:C3525,"ENTRADA")-SUMIFS(D$2:D3525,B$2:B3525,B3525,C$2:C3525,"SALIDA")</f>
        <v>16116.438000000006</v>
      </c>
    </row>
    <row r="3526" spans="1:5" x14ac:dyDescent="0.3">
      <c r="A3526" s="9">
        <f>'Volúmenes DIstribuidos '!B2205</f>
        <v>45331</v>
      </c>
      <c r="B3526" s="10" t="str">
        <f>IF(OR('Volúmenes DIstribuidos '!C2207="Azúcar",'Volúmenes DIstribuidos '!C2207="azúcar"),"Azúcar o dulce",IF('Volúmenes DIstribuidos '!C2207="Aceite","Aceite o grasas",IF('Volúmenes DIstribuidos '!C2207="Avena","Otros almidones",'Volúmenes DIstribuidos '!C2207)))</f>
        <v>Panadería</v>
      </c>
      <c r="C3526" s="10" t="s">
        <v>29</v>
      </c>
      <c r="D3526" s="12">
        <f>'Volúmenes DIstribuidos '!D2207</f>
        <v>16.18</v>
      </c>
      <c r="E3526" s="12">
        <f>SUMIF('Parametros Inventario'!$A:$A,B3526,'Parametros Inventario'!$B:$B)+SUMIFS(D$2:D3526,B$2:B3526,B3526,C$2:C3526,"ENTRADA")-SUMIFS(D$2:D3526,B$2:B3526,B3526,C$2:C3526,"SALIDA")</f>
        <v>14197.846999999998</v>
      </c>
    </row>
    <row r="3527" spans="1:5" x14ac:dyDescent="0.3">
      <c r="A3527" s="9">
        <f>'Volúmenes DIstribuidos '!B2205</f>
        <v>45331</v>
      </c>
      <c r="B3527" s="10" t="str">
        <f>IF(OR('Volúmenes DIstribuidos '!C2208="Azúcar",'Volúmenes DIstribuidos '!C2208="azúcar"),"Azúcar o dulce",IF('Volúmenes DIstribuidos '!C2208="Aceite","Aceite o grasas",IF('Volúmenes DIstribuidos '!C2208="Avena","Otros almidones",'Volúmenes DIstribuidos '!C2208)))</f>
        <v>Otros almidones</v>
      </c>
      <c r="C3527" s="10" t="s">
        <v>29</v>
      </c>
      <c r="D3527" s="12">
        <f>'Volúmenes DIstribuidos '!D2208</f>
        <v>22.693999999999999</v>
      </c>
      <c r="E3527" s="12">
        <f>SUMIF('Parametros Inventario'!$A:$A,B3527,'Parametros Inventario'!$B:$B)+SUMIFS(D$2:D3527,B$2:B3527,B3527,C$2:C3527,"ENTRADA")-SUMIFS(D$2:D3527,B$2:B3527,B3527,C$2:C3527,"SALIDA")</f>
        <v>17088.185000000005</v>
      </c>
    </row>
    <row r="3528" spans="1:5" x14ac:dyDescent="0.3">
      <c r="A3528" s="9">
        <f>'Volúmenes DIstribuidos '!B2205</f>
        <v>45331</v>
      </c>
      <c r="B3528" s="10" t="str">
        <f>IF(OR('Volúmenes DIstribuidos '!C2209="Azúcar",'Volúmenes DIstribuidos '!C2209="azúcar"),"Azúcar o dulce",IF('Volúmenes DIstribuidos '!C2209="Aceite","Aceite o grasas",IF('Volúmenes DIstribuidos '!C2209="Avena","Otros almidones",'Volúmenes DIstribuidos '!C2209)))</f>
        <v>Azúcar o dulce</v>
      </c>
      <c r="C3528" s="10" t="s">
        <v>29</v>
      </c>
      <c r="D3528" s="12">
        <f>'Volúmenes DIstribuidos '!D2209</f>
        <v>7.89</v>
      </c>
      <c r="E3528" s="12">
        <f>SUMIF('Parametros Inventario'!$A:$A,B3528,'Parametros Inventario'!$B:$B)+SUMIFS(D$2:D3528,B$2:B3528,B3528,C$2:C3528,"ENTRADA")-SUMIFS(D$2:D3528,B$2:B3528,B3528,C$2:C3528,"SALIDA")</f>
        <v>15056.446000000004</v>
      </c>
    </row>
    <row r="3529" spans="1:5" x14ac:dyDescent="0.3">
      <c r="A3529" s="9">
        <f>'Volúmenes DIstribuidos '!B2205</f>
        <v>45331</v>
      </c>
      <c r="B3529" s="10" t="str">
        <f>IF(OR('Volúmenes DIstribuidos '!C2210="Azúcar",'Volúmenes DIstribuidos '!C2210="azúcar"),"Azúcar o dulce",IF('Volúmenes DIstribuidos '!C2210="Aceite","Aceite o grasas",IF('Volúmenes DIstribuidos '!C2210="Avena","Otros almidones",'Volúmenes DIstribuidos '!C2210)))</f>
        <v>Aceite o grasas</v>
      </c>
      <c r="C3529" s="10" t="s">
        <v>29</v>
      </c>
      <c r="D3529" s="12">
        <f>'Volúmenes DIstribuidos '!D2210</f>
        <v>78.010000000000005</v>
      </c>
      <c r="E3529" s="12">
        <f>SUMIF('Parametros Inventario'!$A:$A,B3529,'Parametros Inventario'!$B:$B)+SUMIFS(D$2:D3529,B$2:B3529,B3529,C$2:C3529,"ENTRADA")-SUMIFS(D$2:D3529,B$2:B3529,B3529,C$2:C3529,"SALIDA")</f>
        <v>15535.83500000001</v>
      </c>
    </row>
    <row r="3530" spans="1:5" x14ac:dyDescent="0.3">
      <c r="A3530" s="9">
        <f>'Volúmenes DIstribuidos '!B2211</f>
        <v>45335</v>
      </c>
      <c r="B3530" s="10" t="str">
        <f>IF(OR('Volúmenes DIstribuidos '!C2211="Azúcar",'Volúmenes DIstribuidos '!C2211="azúcar"),"Azúcar o dulce",IF('Volúmenes DIstribuidos '!C2211="Aceite","Aceite o grasas",IF('Volúmenes DIstribuidos '!C2211="Avena","Otros almidones",'Volúmenes DIstribuidos '!C2211)))</f>
        <v>Fideo</v>
      </c>
      <c r="C3530" s="10" t="s">
        <v>29</v>
      </c>
      <c r="D3530" s="12">
        <f>'Volúmenes DIstribuidos '!D2211</f>
        <v>16.63</v>
      </c>
      <c r="E3530" s="12">
        <f>SUMIF('Parametros Inventario'!$A:$A,B3530,'Parametros Inventario'!$B:$B)+SUMIFS(D$2:D3530,B$2:B3530,B3530,C$2:C3530,"ENTRADA")-SUMIFS(D$2:D3530,B$2:B3530,B3530,C$2:C3530,"SALIDA")</f>
        <v>17927.826000000001</v>
      </c>
    </row>
    <row r="3531" spans="1:5" x14ac:dyDescent="0.3">
      <c r="A3531" s="9">
        <f>'Volúmenes DIstribuidos '!B2211</f>
        <v>45335</v>
      </c>
      <c r="B3531" s="10" t="str">
        <f>IF(OR('Volúmenes DIstribuidos '!C2212="Azúcar",'Volúmenes DIstribuidos '!C2212="azúcar"),"Azúcar o dulce",IF('Volúmenes DIstribuidos '!C2212="Aceite","Aceite o grasas",IF('Volúmenes DIstribuidos '!C2212="Avena","Otros almidones",'Volúmenes DIstribuidos '!C2212)))</f>
        <v>Lácteos</v>
      </c>
      <c r="C3531" s="10" t="s">
        <v>29</v>
      </c>
      <c r="D3531" s="12">
        <f>'Volúmenes DIstribuidos '!D2212</f>
        <v>12.29</v>
      </c>
      <c r="E3531" s="12">
        <f>SUMIF('Parametros Inventario'!$A:$A,B3531,'Parametros Inventario'!$B:$B)+SUMIFS(D$2:D3531,B$2:B3531,B3531,C$2:C3531,"ENTRADA")-SUMIFS(D$2:D3531,B$2:B3531,B3531,C$2:C3531,"SALIDA")</f>
        <v>14502.274999999996</v>
      </c>
    </row>
    <row r="3532" spans="1:5" x14ac:dyDescent="0.3">
      <c r="A3532" s="9">
        <f>'Volúmenes DIstribuidos '!B2211</f>
        <v>45335</v>
      </c>
      <c r="B3532" s="10" t="str">
        <f>IF(OR('Volúmenes DIstribuidos '!C2213="Azúcar",'Volúmenes DIstribuidos '!C2213="azúcar"),"Azúcar o dulce",IF('Volúmenes DIstribuidos '!C2213="Aceite","Aceite o grasas",IF('Volúmenes DIstribuidos '!C2213="Avena","Otros almidones",'Volúmenes DIstribuidos '!C2213)))</f>
        <v>Salsas</v>
      </c>
      <c r="C3532" s="10" t="s">
        <v>29</v>
      </c>
      <c r="D3532" s="12">
        <f>'Volúmenes DIstribuidos '!D2213</f>
        <v>11.34</v>
      </c>
      <c r="E3532" s="12">
        <f>SUMIF('Parametros Inventario'!$A:$A,B3532,'Parametros Inventario'!$B:$B)+SUMIFS(D$2:D3532,B$2:B3532,B3532,C$2:C3532,"ENTRADA")-SUMIFS(D$2:D3532,B$2:B3532,B3532,C$2:C3532,"SALIDA")</f>
        <v>15373.209999999992</v>
      </c>
    </row>
    <row r="3533" spans="1:5" x14ac:dyDescent="0.3">
      <c r="A3533" s="9">
        <f>'Volúmenes DIstribuidos '!B2211</f>
        <v>45335</v>
      </c>
      <c r="B3533" s="10" t="str">
        <f>IF(OR('Volúmenes DIstribuidos '!C2214="Azúcar",'Volúmenes DIstribuidos '!C2214="azúcar"),"Azúcar o dulce",IF('Volúmenes DIstribuidos '!C2214="Aceite","Aceite o grasas",IF('Volúmenes DIstribuidos '!C2214="Avena","Otros almidones",'Volúmenes DIstribuidos '!C2214)))</f>
        <v>Vegetales y hojas</v>
      </c>
      <c r="C3533" s="10" t="s">
        <v>29</v>
      </c>
      <c r="D3533" s="12">
        <f>'Volúmenes DIstribuidos '!D2214</f>
        <v>42</v>
      </c>
      <c r="E3533" s="12">
        <f>SUMIF('Parametros Inventario'!$A:$A,B3533,'Parametros Inventario'!$B:$B)+SUMIFS(D$2:D3533,B$2:B3533,B3533,C$2:C3533,"ENTRADA")-SUMIFS(D$2:D3533,B$2:B3533,B3533,C$2:C3533,"SALIDA")</f>
        <v>16846.939999999999</v>
      </c>
    </row>
    <row r="3534" spans="1:5" x14ac:dyDescent="0.3">
      <c r="A3534" s="9">
        <f>'Volúmenes DIstribuidos '!B2211</f>
        <v>45335</v>
      </c>
      <c r="B3534" s="10" t="str">
        <f>IF(OR('Volúmenes DIstribuidos '!C2215="Azúcar",'Volúmenes DIstribuidos '!C2215="azúcar"),"Azúcar o dulce",IF('Volúmenes DIstribuidos '!C2215="Aceite","Aceite o grasas",IF('Volúmenes DIstribuidos '!C2215="Avena","Otros almidones",'Volúmenes DIstribuidos '!C2215)))</f>
        <v>Panadería</v>
      </c>
      <c r="C3534" s="10" t="s">
        <v>29</v>
      </c>
      <c r="D3534" s="12">
        <f>'Volúmenes DIstribuidos '!D2215</f>
        <v>104.83</v>
      </c>
      <c r="E3534" s="12">
        <f>SUMIF('Parametros Inventario'!$A:$A,B3534,'Parametros Inventario'!$B:$B)+SUMIFS(D$2:D3534,B$2:B3534,B3534,C$2:C3534,"ENTRADA")-SUMIFS(D$2:D3534,B$2:B3534,B3534,C$2:C3534,"SALIDA")</f>
        <v>14093.016999999998</v>
      </c>
    </row>
    <row r="3535" spans="1:5" x14ac:dyDescent="0.3">
      <c r="A3535" s="9">
        <f>'Volúmenes DIstribuidos '!B2211</f>
        <v>45335</v>
      </c>
      <c r="B3535" s="10" t="str">
        <f>IF(OR('Volúmenes DIstribuidos '!C2216="Azúcar",'Volúmenes DIstribuidos '!C2216="azúcar"),"Azúcar o dulce",IF('Volúmenes DIstribuidos '!C2216="Aceite","Aceite o grasas",IF('Volúmenes DIstribuidos '!C2216="Avena","Otros almidones",'Volúmenes DIstribuidos '!C2216)))</f>
        <v>Fideo</v>
      </c>
      <c r="C3535" s="10" t="s">
        <v>29</v>
      </c>
      <c r="D3535" s="12">
        <f>'Volúmenes DIstribuidos '!D2216</f>
        <v>16.565999999999999</v>
      </c>
      <c r="E3535" s="12">
        <f>SUMIF('Parametros Inventario'!$A:$A,B3535,'Parametros Inventario'!$B:$B)+SUMIFS(D$2:D3535,B$2:B3535,B3535,C$2:C3535,"ENTRADA")-SUMIFS(D$2:D3535,B$2:B3535,B3535,C$2:C3535,"SALIDA")</f>
        <v>17911.260000000002</v>
      </c>
    </row>
    <row r="3536" spans="1:5" x14ac:dyDescent="0.3">
      <c r="A3536" s="9">
        <f>'Volúmenes DIstribuidos '!B2217</f>
        <v>45338</v>
      </c>
      <c r="B3536" s="10" t="str">
        <f>IF(OR('Volúmenes DIstribuidos '!C2217="Azúcar",'Volúmenes DIstribuidos '!C2217="azúcar"),"Azúcar o dulce",IF('Volúmenes DIstribuidos '!C2217="Aceite","Aceite o grasas",IF('Volúmenes DIstribuidos '!C2217="Avena","Otros almidones",'Volúmenes DIstribuidos '!C2217)))</f>
        <v>Carnes rojas</v>
      </c>
      <c r="C3536" s="10" t="s">
        <v>29</v>
      </c>
      <c r="D3536" s="12">
        <f>'Volúmenes DIstribuidos '!D2217</f>
        <v>26.11</v>
      </c>
      <c r="E3536" s="12">
        <f>SUMIF('Parametros Inventario'!$A:$A,B3536,'Parametros Inventario'!$B:$B)+SUMIFS(D$2:D3536,B$2:B3536,B3536,C$2:C3536,"ENTRADA")-SUMIFS(D$2:D3536,B$2:B3536,B3536,C$2:C3536,"SALIDA")</f>
        <v>15435.758000000002</v>
      </c>
    </row>
    <row r="3537" spans="1:5" x14ac:dyDescent="0.3">
      <c r="A3537" s="9">
        <f>'Volúmenes DIstribuidos '!B2217</f>
        <v>45338</v>
      </c>
      <c r="B3537" s="10" t="str">
        <f>IF(OR('Volúmenes DIstribuidos '!C2218="Azúcar",'Volúmenes DIstribuidos '!C2218="azúcar"),"Azúcar o dulce",IF('Volúmenes DIstribuidos '!C2218="Aceite","Aceite o grasas",IF('Volúmenes DIstribuidos '!C2218="Avena","Otros almidones",'Volúmenes DIstribuidos '!C2218)))</f>
        <v>Azúcar o dulce</v>
      </c>
      <c r="C3537" s="10" t="s">
        <v>29</v>
      </c>
      <c r="D3537" s="12">
        <f>'Volúmenes DIstribuidos '!D2218</f>
        <v>13.47</v>
      </c>
      <c r="E3537" s="12">
        <f>SUMIF('Parametros Inventario'!$A:$A,B3537,'Parametros Inventario'!$B:$B)+SUMIFS(D$2:D3537,B$2:B3537,B3537,C$2:C3537,"ENTRADA")-SUMIFS(D$2:D3537,B$2:B3537,B3537,C$2:C3537,"SALIDA")</f>
        <v>15042.976000000004</v>
      </c>
    </row>
    <row r="3538" spans="1:5" x14ac:dyDescent="0.3">
      <c r="A3538" s="9">
        <f>'Volúmenes DIstribuidos '!B2217</f>
        <v>45338</v>
      </c>
      <c r="B3538" s="10" t="str">
        <f>IF(OR('Volúmenes DIstribuidos '!C2219="Azúcar",'Volúmenes DIstribuidos '!C2219="azúcar"),"Azúcar o dulce",IF('Volúmenes DIstribuidos '!C2219="Aceite","Aceite o grasas",IF('Volúmenes DIstribuidos '!C2219="Avena","Otros almidones",'Volúmenes DIstribuidos '!C2219)))</f>
        <v>Carnes blancas</v>
      </c>
      <c r="C3538" s="10" t="s">
        <v>29</v>
      </c>
      <c r="D3538" s="12">
        <f>'Volúmenes DIstribuidos '!D2219</f>
        <v>20.033000000000001</v>
      </c>
      <c r="E3538" s="12">
        <f>SUMIF('Parametros Inventario'!$A:$A,B3538,'Parametros Inventario'!$B:$B)+SUMIFS(D$2:D3538,B$2:B3538,B3538,C$2:C3538,"ENTRADA")-SUMIFS(D$2:D3538,B$2:B3538,B3538,C$2:C3538,"SALIDA")</f>
        <v>16707.397999999997</v>
      </c>
    </row>
    <row r="3539" spans="1:5" x14ac:dyDescent="0.3">
      <c r="A3539" s="9">
        <f>'Volúmenes DIstribuidos '!B2217</f>
        <v>45338</v>
      </c>
      <c r="B3539" s="10" t="str">
        <f>IF(OR('Volúmenes DIstribuidos '!C2220="Azúcar",'Volúmenes DIstribuidos '!C2220="azúcar"),"Azúcar o dulce",IF('Volúmenes DIstribuidos '!C2220="Aceite","Aceite o grasas",IF('Volúmenes DIstribuidos '!C2220="Avena","Otros almidones",'Volúmenes DIstribuidos '!C2220)))</f>
        <v>Otros almidones</v>
      </c>
      <c r="C3539" s="10" t="s">
        <v>29</v>
      </c>
      <c r="D3539" s="12">
        <f>'Volúmenes DIstribuidos '!D2220</f>
        <v>29.75</v>
      </c>
      <c r="E3539" s="12">
        <f>SUMIF('Parametros Inventario'!$A:$A,B3539,'Parametros Inventario'!$B:$B)+SUMIFS(D$2:D3539,B$2:B3539,B3539,C$2:C3539,"ENTRADA")-SUMIFS(D$2:D3539,B$2:B3539,B3539,C$2:C3539,"SALIDA")</f>
        <v>17058.435000000005</v>
      </c>
    </row>
    <row r="3540" spans="1:5" x14ac:dyDescent="0.3">
      <c r="A3540" s="9">
        <f>'Volúmenes DIstribuidos '!B2217</f>
        <v>45338</v>
      </c>
      <c r="B3540" s="10" t="str">
        <f>IF(OR('Volúmenes DIstribuidos '!C2221="Azúcar",'Volúmenes DIstribuidos '!C2221="azúcar"),"Azúcar o dulce",IF('Volúmenes DIstribuidos '!C2221="Aceite","Aceite o grasas",IF('Volúmenes DIstribuidos '!C2221="Avena","Otros almidones",'Volúmenes DIstribuidos '!C2221)))</f>
        <v>Carnes blancas</v>
      </c>
      <c r="C3540" s="10" t="s">
        <v>29</v>
      </c>
      <c r="D3540" s="12">
        <f>'Volúmenes DIstribuidos '!D2221</f>
        <v>13.77</v>
      </c>
      <c r="E3540" s="12">
        <f>SUMIF('Parametros Inventario'!$A:$A,B3540,'Parametros Inventario'!$B:$B)+SUMIFS(D$2:D3540,B$2:B3540,B3540,C$2:C3540,"ENTRADA")-SUMIFS(D$2:D3540,B$2:B3540,B3540,C$2:C3540,"SALIDA")</f>
        <v>16693.627999999997</v>
      </c>
    </row>
    <row r="3541" spans="1:5" x14ac:dyDescent="0.3">
      <c r="A3541" s="9">
        <f>'Volúmenes DIstribuidos '!B2217</f>
        <v>45338</v>
      </c>
      <c r="B3541" s="10" t="str">
        <f>IF(OR('Volúmenes DIstribuidos '!C2222="Azúcar",'Volúmenes DIstribuidos '!C2222="azúcar"),"Azúcar o dulce",IF('Volúmenes DIstribuidos '!C2222="Aceite","Aceite o grasas",IF('Volúmenes DIstribuidos '!C2222="Avena","Otros almidones",'Volúmenes DIstribuidos '!C2222)))</f>
        <v>Vegetales y hojas</v>
      </c>
      <c r="C3541" s="10" t="s">
        <v>29</v>
      </c>
      <c r="D3541" s="12">
        <f>'Volúmenes DIstribuidos '!D2222</f>
        <v>8.86</v>
      </c>
      <c r="E3541" s="12">
        <f>SUMIF('Parametros Inventario'!$A:$A,B3541,'Parametros Inventario'!$B:$B)+SUMIFS(D$2:D3541,B$2:B3541,B3541,C$2:C3541,"ENTRADA")-SUMIFS(D$2:D3541,B$2:B3541,B3541,C$2:C3541,"SALIDA")</f>
        <v>16838.079999999998</v>
      </c>
    </row>
    <row r="3542" spans="1:5" x14ac:dyDescent="0.3">
      <c r="A3542" s="9">
        <v>45342</v>
      </c>
      <c r="B3542" s="10" t="s">
        <v>13</v>
      </c>
      <c r="C3542" s="10" t="s">
        <v>28</v>
      </c>
      <c r="D3542" s="12">
        <v>119.35</v>
      </c>
      <c r="E3542" s="12">
        <f>SUMIF('Parametros Inventario'!$A:$A,B3542,'Parametros Inventario'!$B:$B)+SUMIFS(D$2:D3542,B$2:B3542,B3542,C$2:C3542,"ENTRADA")-SUMIFS(D$2:D3542,B$2:B3542,B3542,C$2:C3542,"SALIDA")</f>
        <v>15162.326000000003</v>
      </c>
    </row>
    <row r="3543" spans="1:5" x14ac:dyDescent="0.3">
      <c r="A3543" s="9">
        <v>45342</v>
      </c>
      <c r="B3543" s="10" t="s">
        <v>15</v>
      </c>
      <c r="C3543" s="10" t="s">
        <v>28</v>
      </c>
      <c r="D3543" s="12">
        <v>232.28</v>
      </c>
      <c r="E3543" s="12">
        <f>SUMIF('Parametros Inventario'!$A:$A,B3543,'Parametros Inventario'!$B:$B)+SUMIFS(D$2:D3543,B$2:B3543,B3543,C$2:C3543,"ENTRADA")-SUMIFS(D$2:D3543,B$2:B3543,B3543,C$2:C3543,"SALIDA")</f>
        <v>17290.715000000004</v>
      </c>
    </row>
    <row r="3544" spans="1:5" x14ac:dyDescent="0.3">
      <c r="A3544" s="9">
        <v>45342</v>
      </c>
      <c r="B3544" s="10" t="s">
        <v>11</v>
      </c>
      <c r="C3544" s="10" t="s">
        <v>28</v>
      </c>
      <c r="D3544" s="12">
        <v>155.5</v>
      </c>
      <c r="E3544" s="12">
        <f>SUMIF('Parametros Inventario'!$A:$A,B3544,'Parametros Inventario'!$B:$B)+SUMIFS(D$2:D3544,B$2:B3544,B3544,C$2:C3544,"ENTRADA")-SUMIFS(D$2:D3544,B$2:B3544,B3544,C$2:C3544,"SALIDA")</f>
        <v>18066.760000000002</v>
      </c>
    </row>
    <row r="3545" spans="1:5" x14ac:dyDescent="0.3">
      <c r="A3545" s="9">
        <v>45342</v>
      </c>
      <c r="B3545" s="10" t="s">
        <v>9</v>
      </c>
      <c r="C3545" s="10" t="s">
        <v>28</v>
      </c>
      <c r="D3545" s="12">
        <v>187.46</v>
      </c>
      <c r="E3545" s="12">
        <f>SUMIF('Parametros Inventario'!$A:$A,B3545,'Parametros Inventario'!$B:$B)+SUMIFS(D$2:D3545,B$2:B3545,B3545,C$2:C3545,"ENTRADA")-SUMIFS(D$2:D3545,B$2:B3545,B3545,C$2:C3545,"SALIDA")</f>
        <v>14280.476999999997</v>
      </c>
    </row>
    <row r="3546" spans="1:5" x14ac:dyDescent="0.3">
      <c r="A3546" s="9">
        <v>45342</v>
      </c>
      <c r="B3546" s="10" t="s">
        <v>14</v>
      </c>
      <c r="C3546" s="10" t="s">
        <v>28</v>
      </c>
      <c r="D3546" s="12">
        <v>115.17</v>
      </c>
      <c r="E3546" s="12">
        <f>SUMIF('Parametros Inventario'!$A:$A,B3546,'Parametros Inventario'!$B:$B)+SUMIFS(D$2:D3546,B$2:B3546,B3546,C$2:C3546,"ENTRADA")-SUMIFS(D$2:D3546,B$2:B3546,B3546,C$2:C3546,"SALIDA")</f>
        <v>16231.608000000004</v>
      </c>
    </row>
    <row r="3547" spans="1:5" x14ac:dyDescent="0.3">
      <c r="A3547" s="9">
        <v>45342</v>
      </c>
      <c r="B3547" s="10" t="s">
        <v>12</v>
      </c>
      <c r="C3547" s="10" t="s">
        <v>28</v>
      </c>
      <c r="D3547" s="12">
        <v>212.44</v>
      </c>
      <c r="E3547" s="12">
        <f>SUMIF('Parametros Inventario'!$A:$A,B3547,'Parametros Inventario'!$B:$B)+SUMIFS(D$2:D3547,B$2:B3547,B3547,C$2:C3547,"ENTRADA")-SUMIFS(D$2:D3547,B$2:B3547,B3547,C$2:C3547,"SALIDA")</f>
        <v>15648.198</v>
      </c>
    </row>
    <row r="3548" spans="1:5" x14ac:dyDescent="0.3">
      <c r="A3548" s="9">
        <v>45342</v>
      </c>
      <c r="B3548" s="10" t="s">
        <v>16</v>
      </c>
      <c r="C3548" s="10" t="s">
        <v>28</v>
      </c>
      <c r="D3548" s="12">
        <v>90.83</v>
      </c>
      <c r="E3548" s="12">
        <f>SUMIF('Parametros Inventario'!$A:$A,B3548,'Parametros Inventario'!$B:$B)+SUMIFS(D$2:D3548,B$2:B3548,B3548,C$2:C3548,"ENTRADA")-SUMIFS(D$2:D3548,B$2:B3548,B3548,C$2:C3548,"SALIDA")</f>
        <v>16784.457999999999</v>
      </c>
    </row>
    <row r="3549" spans="1:5" x14ac:dyDescent="0.3">
      <c r="A3549" s="9">
        <v>45342</v>
      </c>
      <c r="B3549" s="10" t="s">
        <v>17</v>
      </c>
      <c r="C3549" s="10" t="s">
        <v>28</v>
      </c>
      <c r="D3549" s="12">
        <v>164.02</v>
      </c>
      <c r="E3549" s="12">
        <f>SUMIF('Parametros Inventario'!$A:$A,B3549,'Parametros Inventario'!$B:$B)+SUMIFS(D$2:D3549,B$2:B3549,B3549,C$2:C3549,"ENTRADA")-SUMIFS(D$2:D3549,B$2:B3549,B3549,C$2:C3549,"SALIDA")</f>
        <v>14666.294999999996</v>
      </c>
    </row>
    <row r="3550" spans="1:5" x14ac:dyDescent="0.3">
      <c r="A3550" s="9">
        <v>45342</v>
      </c>
      <c r="B3550" s="10" t="s">
        <v>18</v>
      </c>
      <c r="C3550" s="10" t="s">
        <v>28</v>
      </c>
      <c r="D3550" s="12">
        <v>286.19</v>
      </c>
      <c r="E3550" s="12">
        <f>SUMIF('Parametros Inventario'!$A:$A,B3550,'Parametros Inventario'!$B:$B)+SUMIFS(D$2:D3550,B$2:B3550,B3550,C$2:C3550,"ENTRADA")-SUMIFS(D$2:D3550,B$2:B3550,B3550,C$2:C3550,"SALIDA")</f>
        <v>15659.399999999991</v>
      </c>
    </row>
    <row r="3551" spans="1:5" x14ac:dyDescent="0.3">
      <c r="A3551" s="9">
        <v>45342</v>
      </c>
      <c r="B3551" s="10" t="s">
        <v>10</v>
      </c>
      <c r="C3551" s="10" t="s">
        <v>28</v>
      </c>
      <c r="D3551" s="12">
        <v>219.13</v>
      </c>
      <c r="E3551" s="12">
        <f>SUMIF('Parametros Inventario'!$A:$A,B3551,'Parametros Inventario'!$B:$B)+SUMIFS(D$2:D3551,B$2:B3551,B3551,C$2:C3551,"ENTRADA")-SUMIFS(D$2:D3551,B$2:B3551,B3551,C$2:C3551,"SALIDA")</f>
        <v>17057.21</v>
      </c>
    </row>
    <row r="3552" spans="1:5" x14ac:dyDescent="0.3">
      <c r="A3552" s="9">
        <f>'Volúmenes DIstribuidos '!B2223</f>
        <v>45342</v>
      </c>
      <c r="B3552" s="10" t="str">
        <f>IF(OR('Volúmenes DIstribuidos '!C2223="Azúcar",'Volúmenes DIstribuidos '!C2223="azúcar"),"Azúcar o dulce",IF('Volúmenes DIstribuidos '!C2223="Aceite","Aceite o grasas",IF('Volúmenes DIstribuidos '!C2223="Avena","Otros almidones",'Volúmenes DIstribuidos '!C2223)))</f>
        <v>Aceite o grasas</v>
      </c>
      <c r="C3552" s="10" t="s">
        <v>29</v>
      </c>
      <c r="D3552" s="12">
        <f>'Volúmenes DIstribuidos '!D2223</f>
        <v>19.437999999999999</v>
      </c>
      <c r="E3552" s="12">
        <f>SUMIF('Parametros Inventario'!$A:$A,B3552,'Parametros Inventario'!$B:$B)+SUMIFS(D$2:D3552,B$2:B3552,B3552,C$2:C3552,"ENTRADA")-SUMIFS(D$2:D3552,B$2:B3552,B3552,C$2:C3552,"SALIDA")</f>
        <v>15516.39700000001</v>
      </c>
    </row>
    <row r="3553" spans="1:5" x14ac:dyDescent="0.3">
      <c r="A3553" s="9">
        <f>'Volúmenes DIstribuidos '!B2223</f>
        <v>45342</v>
      </c>
      <c r="B3553" s="10" t="str">
        <f>IF(OR('Volúmenes DIstribuidos '!C2224="Azúcar",'Volúmenes DIstribuidos '!C2224="azúcar"),"Azúcar o dulce",IF('Volúmenes DIstribuidos '!C2224="Aceite","Aceite o grasas",IF('Volúmenes DIstribuidos '!C2224="Avena","Otros almidones",'Volúmenes DIstribuidos '!C2224)))</f>
        <v>Carnes blancas</v>
      </c>
      <c r="C3553" s="10" t="s">
        <v>29</v>
      </c>
      <c r="D3553" s="12">
        <f>'Volúmenes DIstribuidos '!D2224</f>
        <v>34.32</v>
      </c>
      <c r="E3553" s="12">
        <f>SUMIF('Parametros Inventario'!$A:$A,B3553,'Parametros Inventario'!$B:$B)+SUMIFS(D$2:D3553,B$2:B3553,B3553,C$2:C3553,"ENTRADA")-SUMIFS(D$2:D3553,B$2:B3553,B3553,C$2:C3553,"SALIDA")</f>
        <v>16750.137999999999</v>
      </c>
    </row>
    <row r="3554" spans="1:5" x14ac:dyDescent="0.3">
      <c r="A3554" s="9">
        <f>'Volúmenes DIstribuidos '!B2223</f>
        <v>45342</v>
      </c>
      <c r="B3554" s="10" t="str">
        <f>IF(OR('Volúmenes DIstribuidos '!C2225="Azúcar",'Volúmenes DIstribuidos '!C2225="azúcar"),"Azúcar o dulce",IF('Volúmenes DIstribuidos '!C2225="Aceite","Aceite o grasas",IF('Volúmenes DIstribuidos '!C2225="Avena","Otros almidones",'Volúmenes DIstribuidos '!C2225)))</f>
        <v>Menestras</v>
      </c>
      <c r="C3554" s="10" t="s">
        <v>29</v>
      </c>
      <c r="D3554" s="12">
        <f>'Volúmenes DIstribuidos '!D2225</f>
        <v>52.75</v>
      </c>
      <c r="E3554" s="12">
        <f>SUMIF('Parametros Inventario'!$A:$A,B3554,'Parametros Inventario'!$B:$B)+SUMIFS(D$2:D3554,B$2:B3554,B3554,C$2:C3554,"ENTRADA")-SUMIFS(D$2:D3554,B$2:B3554,B3554,C$2:C3554,"SALIDA")</f>
        <v>16178.858000000004</v>
      </c>
    </row>
    <row r="3555" spans="1:5" x14ac:dyDescent="0.3">
      <c r="A3555" s="9">
        <f>'Volúmenes DIstribuidos '!B2223</f>
        <v>45342</v>
      </c>
      <c r="B3555" s="10" t="str">
        <f>IF(OR('Volúmenes DIstribuidos '!C2226="Azúcar",'Volúmenes DIstribuidos '!C2226="azúcar"),"Azúcar o dulce",IF('Volúmenes DIstribuidos '!C2226="Aceite","Aceite o grasas",IF('Volúmenes DIstribuidos '!C2226="Avena","Otros almidones",'Volúmenes DIstribuidos '!C2226)))</f>
        <v>Azúcar o dulce</v>
      </c>
      <c r="C3555" s="10" t="s">
        <v>29</v>
      </c>
      <c r="D3555" s="12">
        <f>'Volúmenes DIstribuidos '!D2226</f>
        <v>14.46</v>
      </c>
      <c r="E3555" s="12">
        <f>SUMIF('Parametros Inventario'!$A:$A,B3555,'Parametros Inventario'!$B:$B)+SUMIFS(D$2:D3555,B$2:B3555,B3555,C$2:C3555,"ENTRADA")-SUMIFS(D$2:D3555,B$2:B3555,B3555,C$2:C3555,"SALIDA")</f>
        <v>15147.866000000002</v>
      </c>
    </row>
    <row r="3556" spans="1:5" x14ac:dyDescent="0.3">
      <c r="A3556" s="9">
        <f>'Volúmenes DIstribuidos '!B2223</f>
        <v>45342</v>
      </c>
      <c r="B3556" s="10" t="str">
        <f>IF(OR('Volúmenes DIstribuidos '!C2227="Azúcar",'Volúmenes DIstribuidos '!C2227="azúcar"),"Azúcar o dulce",IF('Volúmenes DIstribuidos '!C2227="Aceite","Aceite o grasas",IF('Volúmenes DIstribuidos '!C2227="Avena","Otros almidones",'Volúmenes DIstribuidos '!C2227)))</f>
        <v>Salsas</v>
      </c>
      <c r="C3556" s="10" t="s">
        <v>29</v>
      </c>
      <c r="D3556" s="12">
        <f>'Volúmenes DIstribuidos '!D2227</f>
        <v>17.045000000000002</v>
      </c>
      <c r="E3556" s="12">
        <f>SUMIF('Parametros Inventario'!$A:$A,B3556,'Parametros Inventario'!$B:$B)+SUMIFS(D$2:D3556,B$2:B3556,B3556,C$2:C3556,"ENTRADA")-SUMIFS(D$2:D3556,B$2:B3556,B3556,C$2:C3556,"SALIDA")</f>
        <v>15642.35499999999</v>
      </c>
    </row>
    <row r="3557" spans="1:5" x14ac:dyDescent="0.3">
      <c r="A3557" s="9">
        <f>'Volúmenes DIstribuidos '!B2223</f>
        <v>45342</v>
      </c>
      <c r="B3557" s="10" t="str">
        <f>IF(OR('Volúmenes DIstribuidos '!C2228="Azúcar",'Volúmenes DIstribuidos '!C2228="azúcar"),"Azúcar o dulce",IF('Volúmenes DIstribuidos '!C2228="Aceite","Aceite o grasas",IF('Volúmenes DIstribuidos '!C2228="Avena","Otros almidones",'Volúmenes DIstribuidos '!C2228)))</f>
        <v>Lácteos</v>
      </c>
      <c r="C3557" s="10" t="s">
        <v>29</v>
      </c>
      <c r="D3557" s="12">
        <f>'Volúmenes DIstribuidos '!D2228</f>
        <v>27.51</v>
      </c>
      <c r="E3557" s="12">
        <f>SUMIF('Parametros Inventario'!$A:$A,B3557,'Parametros Inventario'!$B:$B)+SUMIFS(D$2:D3557,B$2:B3557,B3557,C$2:C3557,"ENTRADA")-SUMIFS(D$2:D3557,B$2:B3557,B3557,C$2:C3557,"SALIDA")</f>
        <v>14638.784999999996</v>
      </c>
    </row>
    <row r="3558" spans="1:5" x14ac:dyDescent="0.3">
      <c r="A3558" s="9">
        <v>45345</v>
      </c>
      <c r="B3558" s="10" t="s">
        <v>8</v>
      </c>
      <c r="C3558" s="10" t="s">
        <v>28</v>
      </c>
      <c r="D3558" s="12">
        <v>285.05</v>
      </c>
      <c r="E3558" s="12">
        <f>SUMIF('Parametros Inventario'!$A:$A,B3558,'Parametros Inventario'!$B:$B)+SUMIFS(D$2:D3558,B$2:B3558,B3558,C$2:C3558,"ENTRADA")-SUMIFS(D$2:D3558,B$2:B3558,B3558,C$2:C3558,"SALIDA")</f>
        <v>15801.447000000009</v>
      </c>
    </row>
    <row r="3559" spans="1:5" x14ac:dyDescent="0.3">
      <c r="A3559" s="9">
        <v>45345</v>
      </c>
      <c r="B3559" s="10" t="s">
        <v>13</v>
      </c>
      <c r="C3559" s="10" t="s">
        <v>28</v>
      </c>
      <c r="D3559" s="12">
        <v>85.81</v>
      </c>
      <c r="E3559" s="12">
        <f>SUMIF('Parametros Inventario'!$A:$A,B3559,'Parametros Inventario'!$B:$B)+SUMIFS(D$2:D3559,B$2:B3559,B3559,C$2:C3559,"ENTRADA")-SUMIFS(D$2:D3559,B$2:B3559,B3559,C$2:C3559,"SALIDA")</f>
        <v>15233.676000000003</v>
      </c>
    </row>
    <row r="3560" spans="1:5" x14ac:dyDescent="0.3">
      <c r="A3560" s="9">
        <v>45345</v>
      </c>
      <c r="B3560" s="10" t="s">
        <v>15</v>
      </c>
      <c r="C3560" s="10" t="s">
        <v>28</v>
      </c>
      <c r="D3560" s="12">
        <v>100.94</v>
      </c>
      <c r="E3560" s="12">
        <f>SUMIF('Parametros Inventario'!$A:$A,B3560,'Parametros Inventario'!$B:$B)+SUMIFS(D$2:D3560,B$2:B3560,B3560,C$2:C3560,"ENTRADA")-SUMIFS(D$2:D3560,B$2:B3560,B3560,C$2:C3560,"SALIDA")</f>
        <v>17391.655000000002</v>
      </c>
    </row>
    <row r="3561" spans="1:5" x14ac:dyDescent="0.3">
      <c r="A3561" s="9">
        <v>45345</v>
      </c>
      <c r="B3561" s="10" t="s">
        <v>11</v>
      </c>
      <c r="C3561" s="10" t="s">
        <v>28</v>
      </c>
      <c r="D3561" s="12">
        <v>207.39</v>
      </c>
      <c r="E3561" s="12">
        <f>SUMIF('Parametros Inventario'!$A:$A,B3561,'Parametros Inventario'!$B:$B)+SUMIFS(D$2:D3561,B$2:B3561,B3561,C$2:C3561,"ENTRADA")-SUMIFS(D$2:D3561,B$2:B3561,B3561,C$2:C3561,"SALIDA")</f>
        <v>18274.150000000001</v>
      </c>
    </row>
    <row r="3562" spans="1:5" x14ac:dyDescent="0.3">
      <c r="A3562" s="9">
        <v>45345</v>
      </c>
      <c r="B3562" s="10" t="s">
        <v>9</v>
      </c>
      <c r="C3562" s="10" t="s">
        <v>28</v>
      </c>
      <c r="D3562" s="12">
        <v>117.35</v>
      </c>
      <c r="E3562" s="12">
        <f>SUMIF('Parametros Inventario'!$A:$A,B3562,'Parametros Inventario'!$B:$B)+SUMIFS(D$2:D3562,B$2:B3562,B3562,C$2:C3562,"ENTRADA")-SUMIFS(D$2:D3562,B$2:B3562,B3562,C$2:C3562,"SALIDA")</f>
        <v>14397.826999999996</v>
      </c>
    </row>
    <row r="3563" spans="1:5" x14ac:dyDescent="0.3">
      <c r="A3563" s="9">
        <v>45345</v>
      </c>
      <c r="B3563" s="10" t="s">
        <v>14</v>
      </c>
      <c r="C3563" s="10" t="s">
        <v>28</v>
      </c>
      <c r="D3563" s="12">
        <v>208.28</v>
      </c>
      <c r="E3563" s="12">
        <f>SUMIF('Parametros Inventario'!$A:$A,B3563,'Parametros Inventario'!$B:$B)+SUMIFS(D$2:D3563,B$2:B3563,B3563,C$2:C3563,"ENTRADA")-SUMIFS(D$2:D3563,B$2:B3563,B3563,C$2:C3563,"SALIDA")</f>
        <v>16387.138000000003</v>
      </c>
    </row>
    <row r="3564" spans="1:5" x14ac:dyDescent="0.3">
      <c r="A3564" s="9">
        <v>45345</v>
      </c>
      <c r="B3564" s="10" t="s">
        <v>12</v>
      </c>
      <c r="C3564" s="10" t="s">
        <v>28</v>
      </c>
      <c r="D3564" s="12">
        <v>211.39</v>
      </c>
      <c r="E3564" s="12">
        <f>SUMIF('Parametros Inventario'!$A:$A,B3564,'Parametros Inventario'!$B:$B)+SUMIFS(D$2:D3564,B$2:B3564,B3564,C$2:C3564,"ENTRADA")-SUMIFS(D$2:D3564,B$2:B3564,B3564,C$2:C3564,"SALIDA")</f>
        <v>15859.588</v>
      </c>
    </row>
    <row r="3565" spans="1:5" x14ac:dyDescent="0.3">
      <c r="A3565" s="9">
        <v>45345</v>
      </c>
      <c r="B3565" s="10" t="s">
        <v>16</v>
      </c>
      <c r="C3565" s="10" t="s">
        <v>28</v>
      </c>
      <c r="D3565" s="12">
        <v>228.61</v>
      </c>
      <c r="E3565" s="12">
        <f>SUMIF('Parametros Inventario'!$A:$A,B3565,'Parametros Inventario'!$B:$B)+SUMIFS(D$2:D3565,B$2:B3565,B3565,C$2:C3565,"ENTRADA")-SUMIFS(D$2:D3565,B$2:B3565,B3565,C$2:C3565,"SALIDA")</f>
        <v>16978.748</v>
      </c>
    </row>
    <row r="3566" spans="1:5" x14ac:dyDescent="0.3">
      <c r="A3566" s="9">
        <v>45345</v>
      </c>
      <c r="B3566" s="10" t="s">
        <v>17</v>
      </c>
      <c r="C3566" s="10" t="s">
        <v>28</v>
      </c>
      <c r="D3566" s="12">
        <v>190.91</v>
      </c>
      <c r="E3566" s="12">
        <f>SUMIF('Parametros Inventario'!$A:$A,B3566,'Parametros Inventario'!$B:$B)+SUMIFS(D$2:D3566,B$2:B3566,B3566,C$2:C3566,"ENTRADA")-SUMIFS(D$2:D3566,B$2:B3566,B3566,C$2:C3566,"SALIDA")</f>
        <v>14829.694999999996</v>
      </c>
    </row>
    <row r="3567" spans="1:5" x14ac:dyDescent="0.3">
      <c r="A3567" s="9">
        <v>45345</v>
      </c>
      <c r="B3567" s="10" t="s">
        <v>18</v>
      </c>
      <c r="C3567" s="10" t="s">
        <v>28</v>
      </c>
      <c r="D3567" s="12">
        <v>211.94</v>
      </c>
      <c r="E3567" s="12">
        <f>SUMIF('Parametros Inventario'!$A:$A,B3567,'Parametros Inventario'!$B:$B)+SUMIFS(D$2:D3567,B$2:B3567,B3567,C$2:C3567,"ENTRADA")-SUMIFS(D$2:D3567,B$2:B3567,B3567,C$2:C3567,"SALIDA")</f>
        <v>15854.294999999989</v>
      </c>
    </row>
    <row r="3568" spans="1:5" x14ac:dyDescent="0.3">
      <c r="A3568" s="9">
        <f>'Volúmenes DIstribuidos '!B2229</f>
        <v>45345</v>
      </c>
      <c r="B3568" s="10" t="str">
        <f>IF(OR('Volúmenes DIstribuidos '!C2229="Azúcar",'Volúmenes DIstribuidos '!C2229="azúcar"),"Azúcar o dulce",IF('Volúmenes DIstribuidos '!C2229="Aceite","Aceite o grasas",IF('Volúmenes DIstribuidos '!C2229="Avena","Otros almidones",'Volúmenes DIstribuidos '!C2229)))</f>
        <v>Vegetales y hojas</v>
      </c>
      <c r="C3568" s="10" t="s">
        <v>29</v>
      </c>
      <c r="D3568" s="12">
        <f>'Volúmenes DIstribuidos '!D2229</f>
        <v>21.61</v>
      </c>
      <c r="E3568" s="12">
        <f>SUMIF('Parametros Inventario'!$A:$A,B3568,'Parametros Inventario'!$B:$B)+SUMIFS(D$2:D3568,B$2:B3568,B3568,C$2:C3568,"ENTRADA")-SUMIFS(D$2:D3568,B$2:B3568,B3568,C$2:C3568,"SALIDA")</f>
        <v>17035.599999999999</v>
      </c>
    </row>
    <row r="3569" spans="1:5" x14ac:dyDescent="0.3">
      <c r="A3569" s="9">
        <f>'Volúmenes DIstribuidos '!B2229</f>
        <v>45345</v>
      </c>
      <c r="B3569" s="10" t="str">
        <f>IF(OR('Volúmenes DIstribuidos '!C2230="Azúcar",'Volúmenes DIstribuidos '!C2230="azúcar"),"Azúcar o dulce",IF('Volúmenes DIstribuidos '!C2230="Aceite","Aceite o grasas",IF('Volúmenes DIstribuidos '!C2230="Avena","Otros almidones",'Volúmenes DIstribuidos '!C2230)))</f>
        <v>Carnes rojas</v>
      </c>
      <c r="C3569" s="10" t="s">
        <v>29</v>
      </c>
      <c r="D3569" s="12">
        <f>'Volúmenes DIstribuidos '!D2230</f>
        <v>30.28</v>
      </c>
      <c r="E3569" s="12">
        <f>SUMIF('Parametros Inventario'!$A:$A,B3569,'Parametros Inventario'!$B:$B)+SUMIFS(D$2:D3569,B$2:B3569,B3569,C$2:C3569,"ENTRADA")-SUMIFS(D$2:D3569,B$2:B3569,B3569,C$2:C3569,"SALIDA")</f>
        <v>15829.307999999999</v>
      </c>
    </row>
    <row r="3570" spans="1:5" x14ac:dyDescent="0.3">
      <c r="A3570" s="9">
        <f>'Volúmenes DIstribuidos '!B2229</f>
        <v>45345</v>
      </c>
      <c r="B3570" s="10" t="str">
        <f>IF(OR('Volúmenes DIstribuidos '!C2231="Azúcar",'Volúmenes DIstribuidos '!C2231="azúcar"),"Azúcar o dulce",IF('Volúmenes DIstribuidos '!C2231="Aceite","Aceite o grasas",IF('Volúmenes DIstribuidos '!C2231="Avena","Otros almidones",'Volúmenes DIstribuidos '!C2231)))</f>
        <v>Aceite o grasas</v>
      </c>
      <c r="C3570" s="10" t="s">
        <v>29</v>
      </c>
      <c r="D3570" s="12">
        <f>'Volúmenes DIstribuidos '!D2231</f>
        <v>6.665</v>
      </c>
      <c r="E3570" s="12">
        <f>SUMIF('Parametros Inventario'!$A:$A,B3570,'Parametros Inventario'!$B:$B)+SUMIFS(D$2:D3570,B$2:B3570,B3570,C$2:C3570,"ENTRADA")-SUMIFS(D$2:D3570,B$2:B3570,B3570,C$2:C3570,"SALIDA")</f>
        <v>15794.78200000001</v>
      </c>
    </row>
    <row r="3571" spans="1:5" x14ac:dyDescent="0.3">
      <c r="A3571" s="9">
        <f>'Volúmenes DIstribuidos '!B2229</f>
        <v>45345</v>
      </c>
      <c r="B3571" s="10" t="str">
        <f>IF(OR('Volúmenes DIstribuidos '!C2232="Azúcar",'Volúmenes DIstribuidos '!C2232="azúcar"),"Azúcar o dulce",IF('Volúmenes DIstribuidos '!C2232="Aceite","Aceite o grasas",IF('Volúmenes DIstribuidos '!C2232="Avena","Otros almidones",'Volúmenes DIstribuidos '!C2232)))</f>
        <v>Salsas</v>
      </c>
      <c r="C3571" s="10" t="s">
        <v>29</v>
      </c>
      <c r="D3571" s="12">
        <f>'Volúmenes DIstribuidos '!D2232</f>
        <v>17.920000000000002</v>
      </c>
      <c r="E3571" s="12">
        <f>SUMIF('Parametros Inventario'!$A:$A,B3571,'Parametros Inventario'!$B:$B)+SUMIFS(D$2:D3571,B$2:B3571,B3571,C$2:C3571,"ENTRADA")-SUMIFS(D$2:D3571,B$2:B3571,B3571,C$2:C3571,"SALIDA")</f>
        <v>15836.374999999989</v>
      </c>
    </row>
    <row r="3572" spans="1:5" x14ac:dyDescent="0.3">
      <c r="A3572" s="9">
        <f>'Volúmenes DIstribuidos '!B2229</f>
        <v>45345</v>
      </c>
      <c r="B3572" s="10" t="str">
        <f>IF(OR('Volúmenes DIstribuidos '!C2233="Azúcar",'Volúmenes DIstribuidos '!C2233="azúcar"),"Azúcar o dulce",IF('Volúmenes DIstribuidos '!C2233="Aceite","Aceite o grasas",IF('Volúmenes DIstribuidos '!C2233="Avena","Otros almidones",'Volúmenes DIstribuidos '!C2233)))</f>
        <v>Lácteos</v>
      </c>
      <c r="C3572" s="10" t="s">
        <v>29</v>
      </c>
      <c r="D3572" s="12">
        <f>'Volúmenes DIstribuidos '!D2233</f>
        <v>21.26</v>
      </c>
      <c r="E3572" s="12">
        <f>SUMIF('Parametros Inventario'!$A:$A,B3572,'Parametros Inventario'!$B:$B)+SUMIFS(D$2:D3572,B$2:B3572,B3572,C$2:C3572,"ENTRADA")-SUMIFS(D$2:D3572,B$2:B3572,B3572,C$2:C3572,"SALIDA")</f>
        <v>14808.434999999996</v>
      </c>
    </row>
    <row r="3573" spans="1:5" x14ac:dyDescent="0.3">
      <c r="A3573" s="9">
        <f>'Volúmenes DIstribuidos '!B2229</f>
        <v>45345</v>
      </c>
      <c r="B3573" s="10" t="str">
        <f>IF(OR('Volúmenes DIstribuidos '!C2234="Azúcar",'Volúmenes DIstribuidos '!C2234="azúcar"),"Azúcar o dulce",IF('Volúmenes DIstribuidos '!C2234="Aceite","Aceite o grasas",IF('Volúmenes DIstribuidos '!C2234="Avena","Otros almidones",'Volúmenes DIstribuidos '!C2234)))</f>
        <v>Menestras</v>
      </c>
      <c r="C3573" s="10" t="s">
        <v>29</v>
      </c>
      <c r="D3573" s="12">
        <f>'Volúmenes DIstribuidos '!D2234</f>
        <v>18.47</v>
      </c>
      <c r="E3573" s="12">
        <f>SUMIF('Parametros Inventario'!$A:$A,B3573,'Parametros Inventario'!$B:$B)+SUMIFS(D$2:D3573,B$2:B3573,B3573,C$2:C3573,"ENTRADA")-SUMIFS(D$2:D3573,B$2:B3573,B3573,C$2:C3573,"SALIDA")</f>
        <v>16368.668000000003</v>
      </c>
    </row>
    <row r="3574" spans="1:5" x14ac:dyDescent="0.3">
      <c r="A3574" s="9">
        <f>'Volúmenes DIstribuidos '!B2235</f>
        <v>45349</v>
      </c>
      <c r="B3574" s="10" t="str">
        <f>IF(OR('Volúmenes DIstribuidos '!C2235="Azúcar",'Volúmenes DIstribuidos '!C2235="azúcar"),"Azúcar o dulce",IF('Volúmenes DIstribuidos '!C2235="Aceite","Aceite o grasas",IF('Volúmenes DIstribuidos '!C2235="Avena","Otros almidones",'Volúmenes DIstribuidos '!C2235)))</f>
        <v>Vegetales y hojas</v>
      </c>
      <c r="C3574" s="10" t="s">
        <v>29</v>
      </c>
      <c r="D3574" s="12">
        <f>'Volúmenes DIstribuidos '!D2235</f>
        <v>21.370999999999999</v>
      </c>
      <c r="E3574" s="12">
        <f>SUMIF('Parametros Inventario'!$A:$A,B3574,'Parametros Inventario'!$B:$B)+SUMIFS(D$2:D3574,B$2:B3574,B3574,C$2:C3574,"ENTRADA")-SUMIFS(D$2:D3574,B$2:B3574,B3574,C$2:C3574,"SALIDA")</f>
        <v>17014.228999999999</v>
      </c>
    </row>
    <row r="3575" spans="1:5" x14ac:dyDescent="0.3">
      <c r="A3575" s="9">
        <f>'Volúmenes DIstribuidos '!B2235</f>
        <v>45349</v>
      </c>
      <c r="B3575" s="10" t="str">
        <f>IF(OR('Volúmenes DIstribuidos '!C2236="Azúcar",'Volúmenes DIstribuidos '!C2236="azúcar"),"Azúcar o dulce",IF('Volúmenes DIstribuidos '!C2236="Aceite","Aceite o grasas",IF('Volúmenes DIstribuidos '!C2236="Avena","Otros almidones",'Volúmenes DIstribuidos '!C2236)))</f>
        <v>Salsas</v>
      </c>
      <c r="C3575" s="10" t="s">
        <v>29</v>
      </c>
      <c r="D3575" s="12">
        <f>'Volúmenes DIstribuidos '!D2236</f>
        <v>72.069999999999993</v>
      </c>
      <c r="E3575" s="12">
        <f>SUMIF('Parametros Inventario'!$A:$A,B3575,'Parametros Inventario'!$B:$B)+SUMIFS(D$2:D3575,B$2:B3575,B3575,C$2:C3575,"ENTRADA")-SUMIFS(D$2:D3575,B$2:B3575,B3575,C$2:C3575,"SALIDA")</f>
        <v>15764.304999999989</v>
      </c>
    </row>
    <row r="3576" spans="1:5" x14ac:dyDescent="0.3">
      <c r="A3576" s="9">
        <f>'Volúmenes DIstribuidos '!B2235</f>
        <v>45349</v>
      </c>
      <c r="B3576" s="10" t="str">
        <f>IF(OR('Volúmenes DIstribuidos '!C2237="Azúcar",'Volúmenes DIstribuidos '!C2237="azúcar"),"Azúcar o dulce",IF('Volúmenes DIstribuidos '!C2237="Aceite","Aceite o grasas",IF('Volúmenes DIstribuidos '!C2237="Avena","Otros almidones",'Volúmenes DIstribuidos '!C2237)))</f>
        <v>Azúcar o dulce</v>
      </c>
      <c r="C3576" s="10" t="s">
        <v>29</v>
      </c>
      <c r="D3576" s="12">
        <f>'Volúmenes DIstribuidos '!D2237</f>
        <v>19.420000000000002</v>
      </c>
      <c r="E3576" s="12">
        <f>SUMIF('Parametros Inventario'!$A:$A,B3576,'Parametros Inventario'!$B:$B)+SUMIFS(D$2:D3576,B$2:B3576,B3576,C$2:C3576,"ENTRADA")-SUMIFS(D$2:D3576,B$2:B3576,B3576,C$2:C3576,"SALIDA")</f>
        <v>15214.256000000005</v>
      </c>
    </row>
    <row r="3577" spans="1:5" x14ac:dyDescent="0.3">
      <c r="A3577" s="9">
        <f>'Volúmenes DIstribuidos '!B2235</f>
        <v>45349</v>
      </c>
      <c r="B3577" s="10" t="str">
        <f>IF(OR('Volúmenes DIstribuidos '!C2238="Azúcar",'Volúmenes DIstribuidos '!C2238="azúcar"),"Azúcar o dulce",IF('Volúmenes DIstribuidos '!C2238="Aceite","Aceite o grasas",IF('Volúmenes DIstribuidos '!C2238="Avena","Otros almidones",'Volúmenes DIstribuidos '!C2238)))</f>
        <v>Carnes rojas</v>
      </c>
      <c r="C3577" s="10" t="s">
        <v>29</v>
      </c>
      <c r="D3577" s="12">
        <f>'Volúmenes DIstribuidos '!D2238</f>
        <v>97.37</v>
      </c>
      <c r="E3577" s="12">
        <f>SUMIF('Parametros Inventario'!$A:$A,B3577,'Parametros Inventario'!$B:$B)+SUMIFS(D$2:D3577,B$2:B3577,B3577,C$2:C3577,"ENTRADA")-SUMIFS(D$2:D3577,B$2:B3577,B3577,C$2:C3577,"SALIDA")</f>
        <v>15731.937999999998</v>
      </c>
    </row>
    <row r="3578" spans="1:5" x14ac:dyDescent="0.3">
      <c r="A3578" s="9">
        <f>'Volúmenes DIstribuidos '!B2235</f>
        <v>45349</v>
      </c>
      <c r="B3578" s="10" t="str">
        <f>IF(OR('Volúmenes DIstribuidos '!C2239="Azúcar",'Volúmenes DIstribuidos '!C2239="azúcar"),"Azúcar o dulce",IF('Volúmenes DIstribuidos '!C2239="Aceite","Aceite o grasas",IF('Volúmenes DIstribuidos '!C2239="Avena","Otros almidones",'Volúmenes DIstribuidos '!C2239)))</f>
        <v>Panadería</v>
      </c>
      <c r="C3578" s="10" t="s">
        <v>29</v>
      </c>
      <c r="D3578" s="12">
        <f>'Volúmenes DIstribuidos '!D2239</f>
        <v>6.5629999999999997</v>
      </c>
      <c r="E3578" s="12">
        <f>SUMIF('Parametros Inventario'!$A:$A,B3578,'Parametros Inventario'!$B:$B)+SUMIFS(D$2:D3578,B$2:B3578,B3578,C$2:C3578,"ENTRADA")-SUMIFS(D$2:D3578,B$2:B3578,B3578,C$2:C3578,"SALIDA")</f>
        <v>14391.263999999996</v>
      </c>
    </row>
    <row r="3579" spans="1:5" x14ac:dyDescent="0.3">
      <c r="A3579" s="9">
        <f>'Volúmenes DIstribuidos '!B2235</f>
        <v>45349</v>
      </c>
      <c r="B3579" s="10" t="str">
        <f>IF(OR('Volúmenes DIstribuidos '!C2240="Azúcar",'Volúmenes DIstribuidos '!C2240="azúcar"),"Azúcar o dulce",IF('Volúmenes DIstribuidos '!C2240="Aceite","Aceite o grasas",IF('Volúmenes DIstribuidos '!C2240="Avena","Otros almidones",'Volúmenes DIstribuidos '!C2240)))</f>
        <v>Carnes blancas</v>
      </c>
      <c r="C3579" s="10" t="s">
        <v>29</v>
      </c>
      <c r="D3579" s="12">
        <f>'Volúmenes DIstribuidos '!D2240</f>
        <v>8.91</v>
      </c>
      <c r="E3579" s="12">
        <f>SUMIF('Parametros Inventario'!$A:$A,B3579,'Parametros Inventario'!$B:$B)+SUMIFS(D$2:D3579,B$2:B3579,B3579,C$2:C3579,"ENTRADA")-SUMIFS(D$2:D3579,B$2:B3579,B3579,C$2:C3579,"SALIDA")</f>
        <v>16969.838</v>
      </c>
    </row>
    <row r="3580" spans="1:5" x14ac:dyDescent="0.3">
      <c r="A3580" s="9">
        <v>45352</v>
      </c>
      <c r="B3580" s="10" t="s">
        <v>10</v>
      </c>
      <c r="C3580" s="10" t="s">
        <v>28</v>
      </c>
      <c r="D3580" s="12">
        <v>177.86</v>
      </c>
      <c r="E3580" s="12">
        <f>SUMIF('Parametros Inventario'!$A:$A,B3580,'Parametros Inventario'!$B:$B)+SUMIFS(D$2:D3580,B$2:B3580,B3580,C$2:C3580,"ENTRADA")-SUMIFS(D$2:D3580,B$2:B3580,B3580,C$2:C3580,"SALIDA")</f>
        <v>17192.089</v>
      </c>
    </row>
    <row r="3581" spans="1:5" x14ac:dyDescent="0.3">
      <c r="A3581" s="9">
        <v>45352</v>
      </c>
      <c r="B3581" s="10" t="s">
        <v>8</v>
      </c>
      <c r="C3581" s="10" t="s">
        <v>28</v>
      </c>
      <c r="D3581" s="12">
        <v>91.01</v>
      </c>
      <c r="E3581" s="12">
        <f>SUMIF('Parametros Inventario'!$A:$A,B3581,'Parametros Inventario'!$B:$B)+SUMIFS(D$2:D3581,B$2:B3581,B3581,C$2:C3581,"ENTRADA")-SUMIFS(D$2:D3581,B$2:B3581,B3581,C$2:C3581,"SALIDA")</f>
        <v>15885.792000000009</v>
      </c>
    </row>
    <row r="3582" spans="1:5" x14ac:dyDescent="0.3">
      <c r="A3582" s="9">
        <v>45352</v>
      </c>
      <c r="B3582" s="10" t="s">
        <v>13</v>
      </c>
      <c r="C3582" s="10" t="s">
        <v>28</v>
      </c>
      <c r="D3582" s="12">
        <v>255.39</v>
      </c>
      <c r="E3582" s="12">
        <f>SUMIF('Parametros Inventario'!$A:$A,B3582,'Parametros Inventario'!$B:$B)+SUMIFS(D$2:D3582,B$2:B3582,B3582,C$2:C3582,"ENTRADA")-SUMIFS(D$2:D3582,B$2:B3582,B3582,C$2:C3582,"SALIDA")</f>
        <v>15469.646000000004</v>
      </c>
    </row>
    <row r="3583" spans="1:5" x14ac:dyDescent="0.3">
      <c r="A3583" s="9">
        <v>45352</v>
      </c>
      <c r="B3583" s="10" t="s">
        <v>15</v>
      </c>
      <c r="C3583" s="10" t="s">
        <v>28</v>
      </c>
      <c r="D3583" s="12">
        <v>129.09</v>
      </c>
      <c r="E3583" s="12">
        <f>SUMIF('Parametros Inventario'!$A:$A,B3583,'Parametros Inventario'!$B:$B)+SUMIFS(D$2:D3583,B$2:B3583,B3583,C$2:C3583,"ENTRADA")-SUMIFS(D$2:D3583,B$2:B3583,B3583,C$2:C3583,"SALIDA")</f>
        <v>17520.745000000003</v>
      </c>
    </row>
    <row r="3584" spans="1:5" x14ac:dyDescent="0.3">
      <c r="A3584" s="9">
        <v>45352</v>
      </c>
      <c r="B3584" s="10" t="s">
        <v>11</v>
      </c>
      <c r="C3584" s="10" t="s">
        <v>28</v>
      </c>
      <c r="D3584" s="12">
        <v>246.95</v>
      </c>
      <c r="E3584" s="12">
        <f>SUMIF('Parametros Inventario'!$A:$A,B3584,'Parametros Inventario'!$B:$B)+SUMIFS(D$2:D3584,B$2:B3584,B3584,C$2:C3584,"ENTRADA")-SUMIFS(D$2:D3584,B$2:B3584,B3584,C$2:C3584,"SALIDA")</f>
        <v>18521.100000000002</v>
      </c>
    </row>
    <row r="3585" spans="1:5" x14ac:dyDescent="0.3">
      <c r="A3585" s="9">
        <v>45352</v>
      </c>
      <c r="B3585" s="10" t="s">
        <v>9</v>
      </c>
      <c r="C3585" s="10" t="s">
        <v>28</v>
      </c>
      <c r="D3585" s="12">
        <v>144.74</v>
      </c>
      <c r="E3585" s="12">
        <f>SUMIF('Parametros Inventario'!$A:$A,B3585,'Parametros Inventario'!$B:$B)+SUMIFS(D$2:D3585,B$2:B3585,B3585,C$2:C3585,"ENTRADA")-SUMIFS(D$2:D3585,B$2:B3585,B3585,C$2:C3585,"SALIDA")</f>
        <v>14536.003999999997</v>
      </c>
    </row>
    <row r="3586" spans="1:5" x14ac:dyDescent="0.3">
      <c r="A3586" s="9">
        <v>45352</v>
      </c>
      <c r="B3586" s="10" t="s">
        <v>14</v>
      </c>
      <c r="C3586" s="10" t="s">
        <v>28</v>
      </c>
      <c r="D3586" s="12">
        <v>291</v>
      </c>
      <c r="E3586" s="12">
        <f>SUMIF('Parametros Inventario'!$A:$A,B3586,'Parametros Inventario'!$B:$B)+SUMIFS(D$2:D3586,B$2:B3586,B3586,C$2:C3586,"ENTRADA")-SUMIFS(D$2:D3586,B$2:B3586,B3586,C$2:C3586,"SALIDA")</f>
        <v>16659.668000000005</v>
      </c>
    </row>
    <row r="3587" spans="1:5" x14ac:dyDescent="0.3">
      <c r="A3587" s="9">
        <f>'Volúmenes DIstribuidos '!B2241</f>
        <v>45352</v>
      </c>
      <c r="B3587" s="10" t="str">
        <f>IF(OR('Volúmenes DIstribuidos '!C2241="Azúcar",'Volúmenes DIstribuidos '!C2241="azúcar"),"Azúcar o dulce",IF('Volúmenes DIstribuidos '!C2241="Aceite","Aceite o grasas",IF('Volúmenes DIstribuidos '!C2241="Avena","Otros almidones",'Volúmenes DIstribuidos '!C2241)))</f>
        <v>Vegetales y hojas</v>
      </c>
      <c r="C3587" s="10" t="s">
        <v>29</v>
      </c>
      <c r="D3587" s="12">
        <f>'Volúmenes DIstribuidos '!D2241</f>
        <v>14.42</v>
      </c>
      <c r="E3587" s="12">
        <f>SUMIF('Parametros Inventario'!$A:$A,B3587,'Parametros Inventario'!$B:$B)+SUMIFS(D$2:D3587,B$2:B3587,B3587,C$2:C3587,"ENTRADA")-SUMIFS(D$2:D3587,B$2:B3587,B3587,C$2:C3587,"SALIDA")</f>
        <v>17177.669000000002</v>
      </c>
    </row>
    <row r="3588" spans="1:5" x14ac:dyDescent="0.3">
      <c r="A3588" s="9">
        <f>'Volúmenes DIstribuidos '!B2241</f>
        <v>45352</v>
      </c>
      <c r="B3588" s="10" t="str">
        <f>IF(OR('Volúmenes DIstribuidos '!C2242="Azúcar",'Volúmenes DIstribuidos '!C2242="azúcar"),"Azúcar o dulce",IF('Volúmenes DIstribuidos '!C2242="Aceite","Aceite o grasas",IF('Volúmenes DIstribuidos '!C2242="Avena","Otros almidones",'Volúmenes DIstribuidos '!C2242)))</f>
        <v>Fideo</v>
      </c>
      <c r="C3588" s="10" t="s">
        <v>29</v>
      </c>
      <c r="D3588" s="12">
        <f>'Volúmenes DIstribuidos '!D2242</f>
        <v>12.85</v>
      </c>
      <c r="E3588" s="12">
        <f>SUMIF('Parametros Inventario'!$A:$A,B3588,'Parametros Inventario'!$B:$B)+SUMIFS(D$2:D3588,B$2:B3588,B3588,C$2:C3588,"ENTRADA")-SUMIFS(D$2:D3588,B$2:B3588,B3588,C$2:C3588,"SALIDA")</f>
        <v>18508.250000000004</v>
      </c>
    </row>
    <row r="3589" spans="1:5" x14ac:dyDescent="0.3">
      <c r="A3589" s="9">
        <f>'Volúmenes DIstribuidos '!B2241</f>
        <v>45352</v>
      </c>
      <c r="B3589" s="10" t="str">
        <f>IF(OR('Volúmenes DIstribuidos '!C2243="Azúcar",'Volúmenes DIstribuidos '!C2243="azúcar"),"Azúcar o dulce",IF('Volúmenes DIstribuidos '!C2243="Aceite","Aceite o grasas",IF('Volúmenes DIstribuidos '!C2243="Avena","Otros almidones",'Volúmenes DIstribuidos '!C2243)))</f>
        <v>Menestras</v>
      </c>
      <c r="C3589" s="10" t="s">
        <v>29</v>
      </c>
      <c r="D3589" s="12">
        <f>'Volúmenes DIstribuidos '!D2243</f>
        <v>3.17</v>
      </c>
      <c r="E3589" s="12">
        <f>SUMIF('Parametros Inventario'!$A:$A,B3589,'Parametros Inventario'!$B:$B)+SUMIFS(D$2:D3589,B$2:B3589,B3589,C$2:C3589,"ENTRADA")-SUMIFS(D$2:D3589,B$2:B3589,B3589,C$2:C3589,"SALIDA")</f>
        <v>16656.498000000003</v>
      </c>
    </row>
    <row r="3590" spans="1:5" x14ac:dyDescent="0.3">
      <c r="A3590" s="9">
        <f>'Volúmenes DIstribuidos '!B2241</f>
        <v>45352</v>
      </c>
      <c r="B3590" s="10" t="str">
        <f>IF(OR('Volúmenes DIstribuidos '!C2244="Azúcar",'Volúmenes DIstribuidos '!C2244="azúcar"),"Azúcar o dulce",IF('Volúmenes DIstribuidos '!C2244="Aceite","Aceite o grasas",IF('Volúmenes DIstribuidos '!C2244="Avena","Otros almidones",'Volúmenes DIstribuidos '!C2244)))</f>
        <v>Aceite o grasas</v>
      </c>
      <c r="C3590" s="10" t="s">
        <v>29</v>
      </c>
      <c r="D3590" s="12">
        <f>'Volúmenes DIstribuidos '!D2244</f>
        <v>21.7</v>
      </c>
      <c r="E3590" s="12">
        <f>SUMIF('Parametros Inventario'!$A:$A,B3590,'Parametros Inventario'!$B:$B)+SUMIFS(D$2:D3590,B$2:B3590,B3590,C$2:C3590,"ENTRADA")-SUMIFS(D$2:D3590,B$2:B3590,B3590,C$2:C3590,"SALIDA")</f>
        <v>15864.092000000008</v>
      </c>
    </row>
    <row r="3591" spans="1:5" x14ac:dyDescent="0.3">
      <c r="A3591" s="9">
        <f>'Volúmenes DIstribuidos '!B2241</f>
        <v>45352</v>
      </c>
      <c r="B3591" s="10" t="str">
        <f>IF(OR('Volúmenes DIstribuidos '!C2245="Azúcar",'Volúmenes DIstribuidos '!C2245="azúcar"),"Azúcar o dulce",IF('Volúmenes DIstribuidos '!C2245="Aceite","Aceite o grasas",IF('Volúmenes DIstribuidos '!C2245="Avena","Otros almidones",'Volúmenes DIstribuidos '!C2245)))</f>
        <v>Panadería</v>
      </c>
      <c r="C3591" s="10" t="s">
        <v>29</v>
      </c>
      <c r="D3591" s="12">
        <f>'Volúmenes DIstribuidos '!D2245</f>
        <v>123.44799999999999</v>
      </c>
      <c r="E3591" s="12">
        <f>SUMIF('Parametros Inventario'!$A:$A,B3591,'Parametros Inventario'!$B:$B)+SUMIFS(D$2:D3591,B$2:B3591,B3591,C$2:C3591,"ENTRADA")-SUMIFS(D$2:D3591,B$2:B3591,B3591,C$2:C3591,"SALIDA")</f>
        <v>14412.555999999997</v>
      </c>
    </row>
    <row r="3592" spans="1:5" x14ac:dyDescent="0.3">
      <c r="A3592" s="9">
        <f>'Volúmenes DIstribuidos '!B2241</f>
        <v>45352</v>
      </c>
      <c r="B3592" s="10" t="str">
        <f>IF(OR('Volúmenes DIstribuidos '!C2246="Azúcar",'Volúmenes DIstribuidos '!C2246="azúcar"),"Azúcar o dulce",IF('Volúmenes DIstribuidos '!C2246="Aceite","Aceite o grasas",IF('Volúmenes DIstribuidos '!C2246="Avena","Otros almidones",'Volúmenes DIstribuidos '!C2246)))</f>
        <v>Fideo</v>
      </c>
      <c r="C3592" s="10" t="s">
        <v>29</v>
      </c>
      <c r="D3592" s="12">
        <f>'Volúmenes DIstribuidos '!D2246</f>
        <v>80</v>
      </c>
      <c r="E3592" s="12">
        <f>SUMIF('Parametros Inventario'!$A:$A,B3592,'Parametros Inventario'!$B:$B)+SUMIFS(D$2:D3592,B$2:B3592,B3592,C$2:C3592,"ENTRADA")-SUMIFS(D$2:D3592,B$2:B3592,B3592,C$2:C3592,"SALIDA")</f>
        <v>18428.250000000004</v>
      </c>
    </row>
    <row r="3593" spans="1:5" x14ac:dyDescent="0.3">
      <c r="A3593" s="9">
        <f>'Volúmenes DIstribuidos '!B2247</f>
        <v>45356</v>
      </c>
      <c r="B3593" s="10" t="str">
        <f>IF(OR('Volúmenes DIstribuidos '!C2247="Azúcar",'Volúmenes DIstribuidos '!C2247="azúcar"),"Azúcar o dulce",IF('Volúmenes DIstribuidos '!C2247="Aceite","Aceite o grasas",IF('Volúmenes DIstribuidos '!C2247="Avena","Otros almidones",'Volúmenes DIstribuidos '!C2247)))</f>
        <v>Menestras</v>
      </c>
      <c r="C3593" s="10" t="s">
        <v>29</v>
      </c>
      <c r="D3593" s="12">
        <f>'Volúmenes DIstribuidos '!D2247</f>
        <v>68.22</v>
      </c>
      <c r="E3593" s="12">
        <f>SUMIF('Parametros Inventario'!$A:$A,B3593,'Parametros Inventario'!$B:$B)+SUMIFS(D$2:D3593,B$2:B3593,B3593,C$2:C3593,"ENTRADA")-SUMIFS(D$2:D3593,B$2:B3593,B3593,C$2:C3593,"SALIDA")</f>
        <v>16588.278000000002</v>
      </c>
    </row>
    <row r="3594" spans="1:5" x14ac:dyDescent="0.3">
      <c r="A3594" s="9">
        <f>'Volúmenes DIstribuidos '!B2247</f>
        <v>45356</v>
      </c>
      <c r="B3594" s="10" t="str">
        <f>IF(OR('Volúmenes DIstribuidos '!C2248="Azúcar",'Volúmenes DIstribuidos '!C2248="azúcar"),"Azúcar o dulce",IF('Volúmenes DIstribuidos '!C2248="Aceite","Aceite o grasas",IF('Volúmenes DIstribuidos '!C2248="Avena","Otros almidones",'Volúmenes DIstribuidos '!C2248)))</f>
        <v>Otros almidones</v>
      </c>
      <c r="C3594" s="10" t="s">
        <v>29</v>
      </c>
      <c r="D3594" s="12">
        <f>'Volúmenes DIstribuidos '!D2248</f>
        <v>8.9179999999999993</v>
      </c>
      <c r="E3594" s="12">
        <f>SUMIF('Parametros Inventario'!$A:$A,B3594,'Parametros Inventario'!$B:$B)+SUMIFS(D$2:D3594,B$2:B3594,B3594,C$2:C3594,"ENTRADA")-SUMIFS(D$2:D3594,B$2:B3594,B3594,C$2:C3594,"SALIDA")</f>
        <v>17511.827000000001</v>
      </c>
    </row>
    <row r="3595" spans="1:5" x14ac:dyDescent="0.3">
      <c r="A3595" s="9">
        <f>'Volúmenes DIstribuidos '!B2247</f>
        <v>45356</v>
      </c>
      <c r="B3595" s="10" t="str">
        <f>IF(OR('Volúmenes DIstribuidos '!C2249="Azúcar",'Volúmenes DIstribuidos '!C2249="azúcar"),"Azúcar o dulce",IF('Volúmenes DIstribuidos '!C2249="Aceite","Aceite o grasas",IF('Volúmenes DIstribuidos '!C2249="Avena","Otros almidones",'Volúmenes DIstribuidos '!C2249)))</f>
        <v>Vegetales y hojas</v>
      </c>
      <c r="C3595" s="10" t="s">
        <v>29</v>
      </c>
      <c r="D3595" s="12">
        <f>'Volúmenes DIstribuidos '!D2249</f>
        <v>6.43</v>
      </c>
      <c r="E3595" s="12">
        <f>SUMIF('Parametros Inventario'!$A:$A,B3595,'Parametros Inventario'!$B:$B)+SUMIFS(D$2:D3595,B$2:B3595,B3595,C$2:C3595,"ENTRADA")-SUMIFS(D$2:D3595,B$2:B3595,B3595,C$2:C3595,"SALIDA")</f>
        <v>17171.239000000001</v>
      </c>
    </row>
    <row r="3596" spans="1:5" x14ac:dyDescent="0.3">
      <c r="A3596" s="9">
        <f>'Volúmenes DIstribuidos '!B2247</f>
        <v>45356</v>
      </c>
      <c r="B3596" s="10" t="str">
        <f>IF(OR('Volúmenes DIstribuidos '!C2250="Azúcar",'Volúmenes DIstribuidos '!C2250="azúcar"),"Azúcar o dulce",IF('Volúmenes DIstribuidos '!C2250="Aceite","Aceite o grasas",IF('Volúmenes DIstribuidos '!C2250="Avena","Otros almidones",'Volúmenes DIstribuidos '!C2250)))</f>
        <v>Lácteos</v>
      </c>
      <c r="C3596" s="10" t="s">
        <v>29</v>
      </c>
      <c r="D3596" s="12">
        <f>'Volúmenes DIstribuidos '!D2250</f>
        <v>7.88</v>
      </c>
      <c r="E3596" s="12">
        <f>SUMIF('Parametros Inventario'!$A:$A,B3596,'Parametros Inventario'!$B:$B)+SUMIFS(D$2:D3596,B$2:B3596,B3596,C$2:C3596,"ENTRADA")-SUMIFS(D$2:D3596,B$2:B3596,B3596,C$2:C3596,"SALIDA")</f>
        <v>14800.554999999997</v>
      </c>
    </row>
    <row r="3597" spans="1:5" x14ac:dyDescent="0.3">
      <c r="A3597" s="9">
        <f>'Volúmenes DIstribuidos '!B2247</f>
        <v>45356</v>
      </c>
      <c r="B3597" s="10" t="str">
        <f>IF(OR('Volúmenes DIstribuidos '!C2251="Azúcar",'Volúmenes DIstribuidos '!C2251="azúcar"),"Azúcar o dulce",IF('Volúmenes DIstribuidos '!C2251="Aceite","Aceite o grasas",IF('Volúmenes DIstribuidos '!C2251="Avena","Otros almidones",'Volúmenes DIstribuidos '!C2251)))</f>
        <v>Salsas</v>
      </c>
      <c r="C3597" s="10" t="s">
        <v>29</v>
      </c>
      <c r="D3597" s="12">
        <f>'Volúmenes DIstribuidos '!D2251</f>
        <v>5.2</v>
      </c>
      <c r="E3597" s="12">
        <f>SUMIF('Parametros Inventario'!$A:$A,B3597,'Parametros Inventario'!$B:$B)+SUMIFS(D$2:D3597,B$2:B3597,B3597,C$2:C3597,"ENTRADA")-SUMIFS(D$2:D3597,B$2:B3597,B3597,C$2:C3597,"SALIDA")</f>
        <v>15759.104999999989</v>
      </c>
    </row>
    <row r="3598" spans="1:5" x14ac:dyDescent="0.3">
      <c r="A3598" s="9">
        <f>'Volúmenes DIstribuidos '!B2247</f>
        <v>45356</v>
      </c>
      <c r="B3598" s="10" t="str">
        <f>IF(OR('Volúmenes DIstribuidos '!C2252="Azúcar",'Volúmenes DIstribuidos '!C2252="azúcar"),"Azúcar o dulce",IF('Volúmenes DIstribuidos '!C2252="Aceite","Aceite o grasas",IF('Volúmenes DIstribuidos '!C2252="Avena","Otros almidones",'Volúmenes DIstribuidos '!C2252)))</f>
        <v>Menestras</v>
      </c>
      <c r="C3598" s="10" t="s">
        <v>29</v>
      </c>
      <c r="D3598" s="12">
        <f>'Volúmenes DIstribuidos '!D2252</f>
        <v>33.03</v>
      </c>
      <c r="E3598" s="12">
        <f>SUMIF('Parametros Inventario'!$A:$A,B3598,'Parametros Inventario'!$B:$B)+SUMIFS(D$2:D3598,B$2:B3598,B3598,C$2:C3598,"ENTRADA")-SUMIFS(D$2:D3598,B$2:B3598,B3598,C$2:C3598,"SALIDA")</f>
        <v>16555.248000000003</v>
      </c>
    </row>
    <row r="3599" spans="1:5" x14ac:dyDescent="0.3">
      <c r="A3599" s="9">
        <v>45359</v>
      </c>
      <c r="B3599" s="10" t="s">
        <v>12</v>
      </c>
      <c r="C3599" s="10" t="s">
        <v>28</v>
      </c>
      <c r="D3599" s="12">
        <v>111.87</v>
      </c>
      <c r="E3599" s="12">
        <f>SUMIF('Parametros Inventario'!$A:$A,B3599,'Parametros Inventario'!$B:$B)+SUMIFS(D$2:D3599,B$2:B3599,B3599,C$2:C3599,"ENTRADA")-SUMIFS(D$2:D3599,B$2:B3599,B3599,C$2:C3599,"SALIDA")</f>
        <v>15843.807999999997</v>
      </c>
    </row>
    <row r="3600" spans="1:5" x14ac:dyDescent="0.3">
      <c r="A3600" s="9">
        <v>45359</v>
      </c>
      <c r="B3600" s="10" t="s">
        <v>16</v>
      </c>
      <c r="C3600" s="10" t="s">
        <v>28</v>
      </c>
      <c r="D3600" s="12">
        <v>117.53</v>
      </c>
      <c r="E3600" s="12">
        <f>SUMIF('Parametros Inventario'!$A:$A,B3600,'Parametros Inventario'!$B:$B)+SUMIFS(D$2:D3600,B$2:B3600,B3600,C$2:C3600,"ENTRADA")-SUMIFS(D$2:D3600,B$2:B3600,B3600,C$2:C3600,"SALIDA")</f>
        <v>17087.367999999999</v>
      </c>
    </row>
    <row r="3601" spans="1:5" x14ac:dyDescent="0.3">
      <c r="A3601" s="9">
        <v>45359</v>
      </c>
      <c r="B3601" s="10" t="s">
        <v>17</v>
      </c>
      <c r="C3601" s="10" t="s">
        <v>28</v>
      </c>
      <c r="D3601" s="12">
        <v>182.87</v>
      </c>
      <c r="E3601" s="12">
        <f>SUMIF('Parametros Inventario'!$A:$A,B3601,'Parametros Inventario'!$B:$B)+SUMIFS(D$2:D3601,B$2:B3601,B3601,C$2:C3601,"ENTRADA")-SUMIFS(D$2:D3601,B$2:B3601,B3601,C$2:C3601,"SALIDA")</f>
        <v>14983.424999999996</v>
      </c>
    </row>
    <row r="3602" spans="1:5" x14ac:dyDescent="0.3">
      <c r="A3602" s="9">
        <v>45359</v>
      </c>
      <c r="B3602" s="10" t="s">
        <v>18</v>
      </c>
      <c r="C3602" s="10" t="s">
        <v>28</v>
      </c>
      <c r="D3602" s="12">
        <v>220.99</v>
      </c>
      <c r="E3602" s="12">
        <f>SUMIF('Parametros Inventario'!$A:$A,B3602,'Parametros Inventario'!$B:$B)+SUMIFS(D$2:D3602,B$2:B3602,B3602,C$2:C3602,"ENTRADA")-SUMIFS(D$2:D3602,B$2:B3602,B3602,C$2:C3602,"SALIDA")</f>
        <v>15980.09499999999</v>
      </c>
    </row>
    <row r="3603" spans="1:5" x14ac:dyDescent="0.3">
      <c r="A3603" s="9">
        <v>45359</v>
      </c>
      <c r="B3603" s="10" t="s">
        <v>10</v>
      </c>
      <c r="C3603" s="10" t="s">
        <v>28</v>
      </c>
      <c r="D3603" s="12">
        <v>151.69999999999999</v>
      </c>
      <c r="E3603" s="12">
        <f>SUMIF('Parametros Inventario'!$A:$A,B3603,'Parametros Inventario'!$B:$B)+SUMIFS(D$2:D3603,B$2:B3603,B3603,C$2:C3603,"ENTRADA")-SUMIFS(D$2:D3603,B$2:B3603,B3603,C$2:C3603,"SALIDA")</f>
        <v>17322.938999999998</v>
      </c>
    </row>
    <row r="3604" spans="1:5" x14ac:dyDescent="0.3">
      <c r="A3604" s="9">
        <v>45359</v>
      </c>
      <c r="B3604" s="10" t="s">
        <v>8</v>
      </c>
      <c r="C3604" s="10" t="s">
        <v>28</v>
      </c>
      <c r="D3604" s="12">
        <v>132.34</v>
      </c>
      <c r="E3604" s="12">
        <f>SUMIF('Parametros Inventario'!$A:$A,B3604,'Parametros Inventario'!$B:$B)+SUMIFS(D$2:D3604,B$2:B3604,B3604,C$2:C3604,"ENTRADA")-SUMIFS(D$2:D3604,B$2:B3604,B3604,C$2:C3604,"SALIDA")</f>
        <v>15996.432000000008</v>
      </c>
    </row>
    <row r="3605" spans="1:5" x14ac:dyDescent="0.3">
      <c r="A3605" s="9">
        <v>45359</v>
      </c>
      <c r="B3605" s="10" t="s">
        <v>13</v>
      </c>
      <c r="C3605" s="10" t="s">
        <v>28</v>
      </c>
      <c r="D3605" s="12">
        <v>72.239999999999995</v>
      </c>
      <c r="E3605" s="12">
        <f>SUMIF('Parametros Inventario'!$A:$A,B3605,'Parametros Inventario'!$B:$B)+SUMIFS(D$2:D3605,B$2:B3605,B3605,C$2:C3605,"ENTRADA")-SUMIFS(D$2:D3605,B$2:B3605,B3605,C$2:C3605,"SALIDA")</f>
        <v>15541.886000000006</v>
      </c>
    </row>
    <row r="3606" spans="1:5" x14ac:dyDescent="0.3">
      <c r="A3606" s="9">
        <v>45359</v>
      </c>
      <c r="B3606" s="10" t="s">
        <v>15</v>
      </c>
      <c r="C3606" s="10" t="s">
        <v>28</v>
      </c>
      <c r="D3606" s="12">
        <v>277.31</v>
      </c>
      <c r="E3606" s="12">
        <f>SUMIF('Parametros Inventario'!$A:$A,B3606,'Parametros Inventario'!$B:$B)+SUMIFS(D$2:D3606,B$2:B3606,B3606,C$2:C3606,"ENTRADA")-SUMIFS(D$2:D3606,B$2:B3606,B3606,C$2:C3606,"SALIDA")</f>
        <v>17789.137000000002</v>
      </c>
    </row>
    <row r="3607" spans="1:5" x14ac:dyDescent="0.3">
      <c r="A3607" s="9">
        <v>45359</v>
      </c>
      <c r="B3607" s="10" t="s">
        <v>11</v>
      </c>
      <c r="C3607" s="10" t="s">
        <v>28</v>
      </c>
      <c r="D3607" s="12">
        <v>244.52</v>
      </c>
      <c r="E3607" s="12">
        <f>SUMIF('Parametros Inventario'!$A:$A,B3607,'Parametros Inventario'!$B:$B)+SUMIFS(D$2:D3607,B$2:B3607,B3607,C$2:C3607,"ENTRADA")-SUMIFS(D$2:D3607,B$2:B3607,B3607,C$2:C3607,"SALIDA")</f>
        <v>18672.770000000004</v>
      </c>
    </row>
    <row r="3608" spans="1:5" x14ac:dyDescent="0.3">
      <c r="A3608" s="9">
        <f>'Volúmenes DIstribuidos '!B2253</f>
        <v>45359</v>
      </c>
      <c r="B3608" s="10" t="str">
        <f>IF(OR('Volúmenes DIstribuidos '!C2253="Azúcar",'Volúmenes DIstribuidos '!C2253="azúcar"),"Azúcar o dulce",IF('Volúmenes DIstribuidos '!C2253="Aceite","Aceite o grasas",IF('Volúmenes DIstribuidos '!C2253="Avena","Otros almidones",'Volúmenes DIstribuidos '!C2253)))</f>
        <v>Azúcar o dulce</v>
      </c>
      <c r="C3608" s="10" t="s">
        <v>29</v>
      </c>
      <c r="D3608" s="12">
        <f>'Volúmenes DIstribuidos '!D2253</f>
        <v>36.229999999999997</v>
      </c>
      <c r="E3608" s="12">
        <f>SUMIF('Parametros Inventario'!$A:$A,B3608,'Parametros Inventario'!$B:$B)+SUMIFS(D$2:D3608,B$2:B3608,B3608,C$2:C3608,"ENTRADA")-SUMIFS(D$2:D3608,B$2:B3608,B3608,C$2:C3608,"SALIDA")</f>
        <v>15505.656000000006</v>
      </c>
    </row>
    <row r="3609" spans="1:5" x14ac:dyDescent="0.3">
      <c r="A3609" s="9">
        <f>'Volúmenes DIstribuidos '!B2253</f>
        <v>45359</v>
      </c>
      <c r="B3609" s="10" t="str">
        <f>IF(OR('Volúmenes DIstribuidos '!C2254="Azúcar",'Volúmenes DIstribuidos '!C2254="azúcar"),"Azúcar o dulce",IF('Volúmenes DIstribuidos '!C2254="Aceite","Aceite o grasas",IF('Volúmenes DIstribuidos '!C2254="Avena","Otros almidones",'Volúmenes DIstribuidos '!C2254)))</f>
        <v>Fideo</v>
      </c>
      <c r="C3609" s="10" t="s">
        <v>29</v>
      </c>
      <c r="D3609" s="12">
        <f>'Volúmenes DIstribuidos '!D2254</f>
        <v>47.210999999999999</v>
      </c>
      <c r="E3609" s="12">
        <f>SUMIF('Parametros Inventario'!$A:$A,B3609,'Parametros Inventario'!$B:$B)+SUMIFS(D$2:D3609,B$2:B3609,B3609,C$2:C3609,"ENTRADA")-SUMIFS(D$2:D3609,B$2:B3609,B3609,C$2:C3609,"SALIDA")</f>
        <v>18625.559000000001</v>
      </c>
    </row>
    <row r="3610" spans="1:5" x14ac:dyDescent="0.3">
      <c r="A3610" s="9">
        <f>'Volúmenes DIstribuidos '!B2253</f>
        <v>45359</v>
      </c>
      <c r="B3610" s="10" t="str">
        <f>IF(OR('Volúmenes DIstribuidos '!C2255="Azúcar",'Volúmenes DIstribuidos '!C2255="azúcar"),"Azúcar o dulce",IF('Volúmenes DIstribuidos '!C2255="Aceite","Aceite o grasas",IF('Volúmenes DIstribuidos '!C2255="Avena","Otros almidones",'Volúmenes DIstribuidos '!C2255)))</f>
        <v>Otros almidones</v>
      </c>
      <c r="C3610" s="10" t="s">
        <v>29</v>
      </c>
      <c r="D3610" s="12">
        <f>'Volúmenes DIstribuidos '!D2255</f>
        <v>39.299999999999997</v>
      </c>
      <c r="E3610" s="12">
        <f>SUMIF('Parametros Inventario'!$A:$A,B3610,'Parametros Inventario'!$B:$B)+SUMIFS(D$2:D3610,B$2:B3610,B3610,C$2:C3610,"ENTRADA")-SUMIFS(D$2:D3610,B$2:B3610,B3610,C$2:C3610,"SALIDA")</f>
        <v>17749.837000000003</v>
      </c>
    </row>
    <row r="3611" spans="1:5" x14ac:dyDescent="0.3">
      <c r="A3611" s="9">
        <f>'Volúmenes DIstribuidos '!B2253</f>
        <v>45359</v>
      </c>
      <c r="B3611" s="10" t="str">
        <f>IF(OR('Volúmenes DIstribuidos '!C2256="Azúcar",'Volúmenes DIstribuidos '!C2256="azúcar"),"Azúcar o dulce",IF('Volúmenes DIstribuidos '!C2256="Aceite","Aceite o grasas",IF('Volúmenes DIstribuidos '!C2256="Avena","Otros almidones",'Volúmenes DIstribuidos '!C2256)))</f>
        <v>Carnes blancas</v>
      </c>
      <c r="C3611" s="10" t="s">
        <v>29</v>
      </c>
      <c r="D3611" s="12">
        <f>'Volúmenes DIstribuidos '!D2256</f>
        <v>31.93</v>
      </c>
      <c r="E3611" s="12">
        <f>SUMIF('Parametros Inventario'!$A:$A,B3611,'Parametros Inventario'!$B:$B)+SUMIFS(D$2:D3611,B$2:B3611,B3611,C$2:C3611,"ENTRADA")-SUMIFS(D$2:D3611,B$2:B3611,B3611,C$2:C3611,"SALIDA")</f>
        <v>17055.437999999998</v>
      </c>
    </row>
    <row r="3612" spans="1:5" x14ac:dyDescent="0.3">
      <c r="A3612" s="9">
        <f>'Volúmenes DIstribuidos '!B2253</f>
        <v>45359</v>
      </c>
      <c r="B3612" s="10" t="str">
        <f>IF(OR('Volúmenes DIstribuidos '!C2257="Azúcar",'Volúmenes DIstribuidos '!C2257="azúcar"),"Azúcar o dulce",IF('Volúmenes DIstribuidos '!C2257="Aceite","Aceite o grasas",IF('Volúmenes DIstribuidos '!C2257="Avena","Otros almidones",'Volúmenes DIstribuidos '!C2257)))</f>
        <v>Vegetales y hojas</v>
      </c>
      <c r="C3612" s="10" t="s">
        <v>29</v>
      </c>
      <c r="D3612" s="12">
        <f>'Volúmenes DIstribuidos '!D2257</f>
        <v>14.722</v>
      </c>
      <c r="E3612" s="12">
        <f>SUMIF('Parametros Inventario'!$A:$A,B3612,'Parametros Inventario'!$B:$B)+SUMIFS(D$2:D3612,B$2:B3612,B3612,C$2:C3612,"ENTRADA")-SUMIFS(D$2:D3612,B$2:B3612,B3612,C$2:C3612,"SALIDA")</f>
        <v>17308.217000000001</v>
      </c>
    </row>
    <row r="3613" spans="1:5" x14ac:dyDescent="0.3">
      <c r="A3613" s="9">
        <f>'Volúmenes DIstribuidos '!B2253</f>
        <v>45359</v>
      </c>
      <c r="B3613" s="10" t="str">
        <f>IF(OR('Volúmenes DIstribuidos '!C2258="Azúcar",'Volúmenes DIstribuidos '!C2258="azúcar"),"Azúcar o dulce",IF('Volúmenes DIstribuidos '!C2258="Aceite","Aceite o grasas",IF('Volúmenes DIstribuidos '!C2258="Avena","Otros almidones",'Volúmenes DIstribuidos '!C2258)))</f>
        <v>Carnes rojas</v>
      </c>
      <c r="C3613" s="10" t="s">
        <v>29</v>
      </c>
      <c r="D3613" s="12">
        <f>'Volúmenes DIstribuidos '!D2258</f>
        <v>7.79</v>
      </c>
      <c r="E3613" s="12">
        <f>SUMIF('Parametros Inventario'!$A:$A,B3613,'Parametros Inventario'!$B:$B)+SUMIFS(D$2:D3613,B$2:B3613,B3613,C$2:C3613,"ENTRADA")-SUMIFS(D$2:D3613,B$2:B3613,B3613,C$2:C3613,"SALIDA")</f>
        <v>15836.017999999998</v>
      </c>
    </row>
    <row r="3614" spans="1:5" x14ac:dyDescent="0.3">
      <c r="A3614" s="9">
        <f>'Volúmenes DIstribuidos '!B2259</f>
        <v>45363</v>
      </c>
      <c r="B3614" s="10" t="str">
        <f>IF(OR('Volúmenes DIstribuidos '!C2259="Azúcar",'Volúmenes DIstribuidos '!C2259="azúcar"),"Azúcar o dulce",IF('Volúmenes DIstribuidos '!C2259="Aceite","Aceite o grasas",IF('Volúmenes DIstribuidos '!C2259="Avena","Otros almidones",'Volúmenes DIstribuidos '!C2259)))</f>
        <v>Aceite o grasas</v>
      </c>
      <c r="C3614" s="10" t="s">
        <v>29</v>
      </c>
      <c r="D3614" s="12">
        <f>'Volúmenes DIstribuidos '!D2259</f>
        <v>16.010000000000002</v>
      </c>
      <c r="E3614" s="12">
        <f>SUMIF('Parametros Inventario'!$A:$A,B3614,'Parametros Inventario'!$B:$B)+SUMIFS(D$2:D3614,B$2:B3614,B3614,C$2:C3614,"ENTRADA")-SUMIFS(D$2:D3614,B$2:B3614,B3614,C$2:C3614,"SALIDA")</f>
        <v>15980.422000000008</v>
      </c>
    </row>
    <row r="3615" spans="1:5" x14ac:dyDescent="0.3">
      <c r="A3615" s="9">
        <f>'Volúmenes DIstribuidos '!B2259</f>
        <v>45363</v>
      </c>
      <c r="B3615" s="10" t="str">
        <f>IF(OR('Volúmenes DIstribuidos '!C2260="Azúcar",'Volúmenes DIstribuidos '!C2260="azúcar"),"Azúcar o dulce",IF('Volúmenes DIstribuidos '!C2260="Aceite","Aceite o grasas",IF('Volúmenes DIstribuidos '!C2260="Avena","Otros almidones",'Volúmenes DIstribuidos '!C2260)))</f>
        <v>Menestras</v>
      </c>
      <c r="C3615" s="10" t="s">
        <v>29</v>
      </c>
      <c r="D3615" s="12">
        <f>'Volúmenes DIstribuidos '!D2260</f>
        <v>19.741</v>
      </c>
      <c r="E3615" s="12">
        <f>SUMIF('Parametros Inventario'!$A:$A,B3615,'Parametros Inventario'!$B:$B)+SUMIFS(D$2:D3615,B$2:B3615,B3615,C$2:C3615,"ENTRADA")-SUMIFS(D$2:D3615,B$2:B3615,B3615,C$2:C3615,"SALIDA")</f>
        <v>16535.507000000005</v>
      </c>
    </row>
    <row r="3616" spans="1:5" x14ac:dyDescent="0.3">
      <c r="A3616" s="9">
        <f>'Volúmenes DIstribuidos '!B2259</f>
        <v>45363</v>
      </c>
      <c r="B3616" s="10" t="str">
        <f>IF(OR('Volúmenes DIstribuidos '!C2261="Azúcar",'Volúmenes DIstribuidos '!C2261="azúcar"),"Azúcar o dulce",IF('Volúmenes DIstribuidos '!C2261="Aceite","Aceite o grasas",IF('Volúmenes DIstribuidos '!C2261="Avena","Otros almidones",'Volúmenes DIstribuidos '!C2261)))</f>
        <v>Menestras</v>
      </c>
      <c r="C3616" s="10" t="s">
        <v>29</v>
      </c>
      <c r="D3616" s="12">
        <f>'Volúmenes DIstribuidos '!D2261</f>
        <v>31.21</v>
      </c>
      <c r="E3616" s="12">
        <f>SUMIF('Parametros Inventario'!$A:$A,B3616,'Parametros Inventario'!$B:$B)+SUMIFS(D$2:D3616,B$2:B3616,B3616,C$2:C3616,"ENTRADA")-SUMIFS(D$2:D3616,B$2:B3616,B3616,C$2:C3616,"SALIDA")</f>
        <v>16504.297000000002</v>
      </c>
    </row>
    <row r="3617" spans="1:5" x14ac:dyDescent="0.3">
      <c r="A3617" s="9">
        <f>'Volúmenes DIstribuidos '!B2259</f>
        <v>45363</v>
      </c>
      <c r="B3617" s="10" t="str">
        <f>IF(OR('Volúmenes DIstribuidos '!C2262="Azúcar",'Volúmenes DIstribuidos '!C2262="azúcar"),"Azúcar o dulce",IF('Volúmenes DIstribuidos '!C2262="Aceite","Aceite o grasas",IF('Volúmenes DIstribuidos '!C2262="Avena","Otros almidones",'Volúmenes DIstribuidos '!C2262)))</f>
        <v>Vegetales y hojas</v>
      </c>
      <c r="C3617" s="10" t="s">
        <v>29</v>
      </c>
      <c r="D3617" s="12">
        <f>'Volúmenes DIstribuidos '!D2262</f>
        <v>58.03</v>
      </c>
      <c r="E3617" s="12">
        <f>SUMIF('Parametros Inventario'!$A:$A,B3617,'Parametros Inventario'!$B:$B)+SUMIFS(D$2:D3617,B$2:B3617,B3617,C$2:C3617,"ENTRADA")-SUMIFS(D$2:D3617,B$2:B3617,B3617,C$2:C3617,"SALIDA")</f>
        <v>17250.187000000002</v>
      </c>
    </row>
    <row r="3618" spans="1:5" x14ac:dyDescent="0.3">
      <c r="A3618" s="9">
        <f>'Volúmenes DIstribuidos '!B2259</f>
        <v>45363</v>
      </c>
      <c r="B3618" s="10" t="str">
        <f>IF(OR('Volúmenes DIstribuidos '!C2263="Azúcar",'Volúmenes DIstribuidos '!C2263="azúcar"),"Azúcar o dulce",IF('Volúmenes DIstribuidos '!C2263="Aceite","Aceite o grasas",IF('Volúmenes DIstribuidos '!C2263="Avena","Otros almidones",'Volúmenes DIstribuidos '!C2263)))</f>
        <v>Otros almidones</v>
      </c>
      <c r="C3618" s="10" t="s">
        <v>29</v>
      </c>
      <c r="D3618" s="12">
        <f>'Volúmenes DIstribuidos '!D2263</f>
        <v>14.06</v>
      </c>
      <c r="E3618" s="12">
        <f>SUMIF('Parametros Inventario'!$A:$A,B3618,'Parametros Inventario'!$B:$B)+SUMIFS(D$2:D3618,B$2:B3618,B3618,C$2:C3618,"ENTRADA")-SUMIFS(D$2:D3618,B$2:B3618,B3618,C$2:C3618,"SALIDA")</f>
        <v>17735.777000000002</v>
      </c>
    </row>
    <row r="3619" spans="1:5" x14ac:dyDescent="0.3">
      <c r="A3619" s="9">
        <f>'Volúmenes DIstribuidos '!B2259</f>
        <v>45363</v>
      </c>
      <c r="B3619" s="10" t="str">
        <f>IF(OR('Volúmenes DIstribuidos '!C2264="Azúcar",'Volúmenes DIstribuidos '!C2264="azúcar"),"Azúcar o dulce",IF('Volúmenes DIstribuidos '!C2264="Aceite","Aceite o grasas",IF('Volúmenes DIstribuidos '!C2264="Avena","Otros almidones",'Volúmenes DIstribuidos '!C2264)))</f>
        <v>Aceite o grasas</v>
      </c>
      <c r="C3619" s="10" t="s">
        <v>29</v>
      </c>
      <c r="D3619" s="12">
        <f>'Volúmenes DIstribuidos '!D2264</f>
        <v>17.824000000000002</v>
      </c>
      <c r="E3619" s="12">
        <f>SUMIF('Parametros Inventario'!$A:$A,B3619,'Parametros Inventario'!$B:$B)+SUMIFS(D$2:D3619,B$2:B3619,B3619,C$2:C3619,"ENTRADA")-SUMIFS(D$2:D3619,B$2:B3619,B3619,C$2:C3619,"SALIDA")</f>
        <v>15962.598000000009</v>
      </c>
    </row>
    <row r="3620" spans="1:5" x14ac:dyDescent="0.3">
      <c r="A3620" s="9">
        <v>45366</v>
      </c>
      <c r="B3620" s="10" t="s">
        <v>9</v>
      </c>
      <c r="C3620" s="10" t="s">
        <v>28</v>
      </c>
      <c r="D3620" s="12">
        <v>86.58</v>
      </c>
      <c r="E3620" s="12">
        <f>SUMIF('Parametros Inventario'!$A:$A,B3620,'Parametros Inventario'!$B:$B)+SUMIFS(D$2:D3620,B$2:B3620,B3620,C$2:C3620,"ENTRADA")-SUMIFS(D$2:D3620,B$2:B3620,B3620,C$2:C3620,"SALIDA")</f>
        <v>14499.135999999999</v>
      </c>
    </row>
    <row r="3621" spans="1:5" x14ac:dyDescent="0.3">
      <c r="A3621" s="9">
        <v>45366</v>
      </c>
      <c r="B3621" s="10" t="s">
        <v>14</v>
      </c>
      <c r="C3621" s="10" t="s">
        <v>28</v>
      </c>
      <c r="D3621" s="12">
        <v>249.52</v>
      </c>
      <c r="E3621" s="12">
        <f>SUMIF('Parametros Inventario'!$A:$A,B3621,'Parametros Inventario'!$B:$B)+SUMIFS(D$2:D3621,B$2:B3621,B3621,C$2:C3621,"ENTRADA")-SUMIFS(D$2:D3621,B$2:B3621,B3621,C$2:C3621,"SALIDA")</f>
        <v>16753.817000000003</v>
      </c>
    </row>
    <row r="3622" spans="1:5" x14ac:dyDescent="0.3">
      <c r="A3622" s="9">
        <v>45366</v>
      </c>
      <c r="B3622" s="10" t="s">
        <v>12</v>
      </c>
      <c r="C3622" s="10" t="s">
        <v>28</v>
      </c>
      <c r="D3622" s="12">
        <v>118.41</v>
      </c>
      <c r="E3622" s="12">
        <f>SUMIF('Parametros Inventario'!$A:$A,B3622,'Parametros Inventario'!$B:$B)+SUMIFS(D$2:D3622,B$2:B3622,B3622,C$2:C3622,"ENTRADA")-SUMIFS(D$2:D3622,B$2:B3622,B3622,C$2:C3622,"SALIDA")</f>
        <v>15954.427999999998</v>
      </c>
    </row>
    <row r="3623" spans="1:5" x14ac:dyDescent="0.3">
      <c r="A3623" s="9">
        <v>45366</v>
      </c>
      <c r="B3623" s="10" t="s">
        <v>16</v>
      </c>
      <c r="C3623" s="10" t="s">
        <v>28</v>
      </c>
      <c r="D3623" s="12">
        <v>74.489999999999995</v>
      </c>
      <c r="E3623" s="12">
        <f>SUMIF('Parametros Inventario'!$A:$A,B3623,'Parametros Inventario'!$B:$B)+SUMIFS(D$2:D3623,B$2:B3623,B3623,C$2:C3623,"ENTRADA")-SUMIFS(D$2:D3623,B$2:B3623,B3623,C$2:C3623,"SALIDA")</f>
        <v>17129.928</v>
      </c>
    </row>
    <row r="3624" spans="1:5" x14ac:dyDescent="0.3">
      <c r="A3624" s="9">
        <v>45366</v>
      </c>
      <c r="B3624" s="10" t="s">
        <v>17</v>
      </c>
      <c r="C3624" s="10" t="s">
        <v>28</v>
      </c>
      <c r="D3624" s="12">
        <v>294.87</v>
      </c>
      <c r="E3624" s="12">
        <f>SUMIF('Parametros Inventario'!$A:$A,B3624,'Parametros Inventario'!$B:$B)+SUMIFS(D$2:D3624,B$2:B3624,B3624,C$2:C3624,"ENTRADA")-SUMIFS(D$2:D3624,B$2:B3624,B3624,C$2:C3624,"SALIDA")</f>
        <v>15278.294999999995</v>
      </c>
    </row>
    <row r="3625" spans="1:5" x14ac:dyDescent="0.3">
      <c r="A3625" s="9">
        <v>45366</v>
      </c>
      <c r="B3625" s="10" t="s">
        <v>18</v>
      </c>
      <c r="C3625" s="10" t="s">
        <v>28</v>
      </c>
      <c r="D3625" s="12">
        <v>105.56</v>
      </c>
      <c r="E3625" s="12">
        <f>SUMIF('Parametros Inventario'!$A:$A,B3625,'Parametros Inventario'!$B:$B)+SUMIFS(D$2:D3625,B$2:B3625,B3625,C$2:C3625,"ENTRADA")-SUMIFS(D$2:D3625,B$2:B3625,B3625,C$2:C3625,"SALIDA")</f>
        <v>16085.654999999992</v>
      </c>
    </row>
    <row r="3626" spans="1:5" x14ac:dyDescent="0.3">
      <c r="A3626" s="9">
        <v>45366</v>
      </c>
      <c r="B3626" s="10" t="s">
        <v>10</v>
      </c>
      <c r="C3626" s="10" t="s">
        <v>28</v>
      </c>
      <c r="D3626" s="12">
        <v>287.95</v>
      </c>
      <c r="E3626" s="12">
        <f>SUMIF('Parametros Inventario'!$A:$A,B3626,'Parametros Inventario'!$B:$B)+SUMIFS(D$2:D3626,B$2:B3626,B3626,C$2:C3626,"ENTRADA")-SUMIFS(D$2:D3626,B$2:B3626,B3626,C$2:C3626,"SALIDA")</f>
        <v>17538.137000000002</v>
      </c>
    </row>
    <row r="3627" spans="1:5" x14ac:dyDescent="0.3">
      <c r="A3627" s="9">
        <v>45366</v>
      </c>
      <c r="B3627" s="10" t="s">
        <v>8</v>
      </c>
      <c r="C3627" s="10" t="s">
        <v>28</v>
      </c>
      <c r="D3627" s="12">
        <v>245.68</v>
      </c>
      <c r="E3627" s="12">
        <f>SUMIF('Parametros Inventario'!$A:$A,B3627,'Parametros Inventario'!$B:$B)+SUMIFS(D$2:D3627,B$2:B3627,B3627,C$2:C3627,"ENTRADA")-SUMIFS(D$2:D3627,B$2:B3627,B3627,C$2:C3627,"SALIDA")</f>
        <v>16208.278000000009</v>
      </c>
    </row>
    <row r="3628" spans="1:5" x14ac:dyDescent="0.3">
      <c r="A3628" s="9">
        <f>'Volúmenes DIstribuidos '!B2265</f>
        <v>45366</v>
      </c>
      <c r="B3628" s="10" t="str">
        <f>IF(OR('Volúmenes DIstribuidos '!C2265="Azúcar",'Volúmenes DIstribuidos '!C2265="azúcar"),"Azúcar o dulce",IF('Volúmenes DIstribuidos '!C2265="Aceite","Aceite o grasas",IF('Volúmenes DIstribuidos '!C2265="Avena","Otros almidones",'Volúmenes DIstribuidos '!C2265)))</f>
        <v>Salsas</v>
      </c>
      <c r="C3628" s="10" t="s">
        <v>29</v>
      </c>
      <c r="D3628" s="12">
        <f>'Volúmenes DIstribuidos '!D2265</f>
        <v>23.91</v>
      </c>
      <c r="E3628" s="12">
        <f>SUMIF('Parametros Inventario'!$A:$A,B3628,'Parametros Inventario'!$B:$B)+SUMIFS(D$2:D3628,B$2:B3628,B3628,C$2:C3628,"ENTRADA")-SUMIFS(D$2:D3628,B$2:B3628,B3628,C$2:C3628,"SALIDA")</f>
        <v>16061.744999999992</v>
      </c>
    </row>
    <row r="3629" spans="1:5" x14ac:dyDescent="0.3">
      <c r="A3629" s="9">
        <f>'Volúmenes DIstribuidos '!B2265</f>
        <v>45366</v>
      </c>
      <c r="B3629" s="10" t="str">
        <f>IF(OR('Volúmenes DIstribuidos '!C2266="Azúcar",'Volúmenes DIstribuidos '!C2266="azúcar"),"Azúcar o dulce",IF('Volúmenes DIstribuidos '!C2266="Aceite","Aceite o grasas",IF('Volúmenes DIstribuidos '!C2266="Avena","Otros almidones",'Volúmenes DIstribuidos '!C2266)))</f>
        <v>Vegetales y hojas</v>
      </c>
      <c r="C3629" s="10" t="s">
        <v>29</v>
      </c>
      <c r="D3629" s="12">
        <f>'Volúmenes DIstribuidos '!D2266</f>
        <v>24.39</v>
      </c>
      <c r="E3629" s="12">
        <f>SUMIF('Parametros Inventario'!$A:$A,B3629,'Parametros Inventario'!$B:$B)+SUMIFS(D$2:D3629,B$2:B3629,B3629,C$2:C3629,"ENTRADA")-SUMIFS(D$2:D3629,B$2:B3629,B3629,C$2:C3629,"SALIDA")</f>
        <v>17513.747000000003</v>
      </c>
    </row>
    <row r="3630" spans="1:5" x14ac:dyDescent="0.3">
      <c r="A3630" s="9">
        <f>'Volúmenes DIstribuidos '!B2265</f>
        <v>45366</v>
      </c>
      <c r="B3630" s="10" t="str">
        <f>IF(OR('Volúmenes DIstribuidos '!C2267="Azúcar",'Volúmenes DIstribuidos '!C2267="azúcar"),"Azúcar o dulce",IF('Volúmenes DIstribuidos '!C2267="Aceite","Aceite o grasas",IF('Volúmenes DIstribuidos '!C2267="Avena","Otros almidones",'Volúmenes DIstribuidos '!C2267)))</f>
        <v>Aceite o grasas</v>
      </c>
      <c r="C3630" s="10" t="s">
        <v>29</v>
      </c>
      <c r="D3630" s="12">
        <f>'Volúmenes DIstribuidos '!D2267</f>
        <v>28.28</v>
      </c>
      <c r="E3630" s="12">
        <f>SUMIF('Parametros Inventario'!$A:$A,B3630,'Parametros Inventario'!$B:$B)+SUMIFS(D$2:D3630,B$2:B3630,B3630,C$2:C3630,"ENTRADA")-SUMIFS(D$2:D3630,B$2:B3630,B3630,C$2:C3630,"SALIDA")</f>
        <v>16179.998000000009</v>
      </c>
    </row>
    <row r="3631" spans="1:5" x14ac:dyDescent="0.3">
      <c r="A3631" s="9">
        <f>'Volúmenes DIstribuidos '!B2265</f>
        <v>45366</v>
      </c>
      <c r="B3631" s="10" t="str">
        <f>IF(OR('Volúmenes DIstribuidos '!C2268="Azúcar",'Volúmenes DIstribuidos '!C2268="azúcar"),"Azúcar o dulce",IF('Volúmenes DIstribuidos '!C2268="Aceite","Aceite o grasas",IF('Volúmenes DIstribuidos '!C2268="Avena","Otros almidones",'Volúmenes DIstribuidos '!C2268)))</f>
        <v>Carnes blancas</v>
      </c>
      <c r="C3631" s="10" t="s">
        <v>29</v>
      </c>
      <c r="D3631" s="12">
        <f>'Volúmenes DIstribuidos '!D2268</f>
        <v>7.0869999999999997</v>
      </c>
      <c r="E3631" s="12">
        <f>SUMIF('Parametros Inventario'!$A:$A,B3631,'Parametros Inventario'!$B:$B)+SUMIFS(D$2:D3631,B$2:B3631,B3631,C$2:C3631,"ENTRADA")-SUMIFS(D$2:D3631,B$2:B3631,B3631,C$2:C3631,"SALIDA")</f>
        <v>17122.841</v>
      </c>
    </row>
    <row r="3632" spans="1:5" x14ac:dyDescent="0.3">
      <c r="A3632" s="9">
        <f>'Volúmenes DIstribuidos '!B2265</f>
        <v>45366</v>
      </c>
      <c r="B3632" s="10" t="str">
        <f>IF(OR('Volúmenes DIstribuidos '!C2269="Azúcar",'Volúmenes DIstribuidos '!C2269="azúcar"),"Azúcar o dulce",IF('Volúmenes DIstribuidos '!C2269="Aceite","Aceite o grasas",IF('Volúmenes DIstribuidos '!C2269="Avena","Otros almidones",'Volúmenes DIstribuidos '!C2269)))</f>
        <v>Aceite o grasas</v>
      </c>
      <c r="C3632" s="10" t="s">
        <v>29</v>
      </c>
      <c r="D3632" s="12">
        <f>'Volúmenes DIstribuidos '!D2269</f>
        <v>17.59</v>
      </c>
      <c r="E3632" s="12">
        <f>SUMIF('Parametros Inventario'!$A:$A,B3632,'Parametros Inventario'!$B:$B)+SUMIFS(D$2:D3632,B$2:B3632,B3632,C$2:C3632,"ENTRADA")-SUMIFS(D$2:D3632,B$2:B3632,B3632,C$2:C3632,"SALIDA")</f>
        <v>16162.408000000009</v>
      </c>
    </row>
    <row r="3633" spans="1:5" x14ac:dyDescent="0.3">
      <c r="A3633" s="9">
        <f>'Volúmenes DIstribuidos '!B2265</f>
        <v>45366</v>
      </c>
      <c r="B3633" s="10" t="str">
        <f>IF(OR('Volúmenes DIstribuidos '!C2270="Azúcar",'Volúmenes DIstribuidos '!C2270="azúcar"),"Azúcar o dulce",IF('Volúmenes DIstribuidos '!C2270="Aceite","Aceite o grasas",IF('Volúmenes DIstribuidos '!C2270="Avena","Otros almidones",'Volúmenes DIstribuidos '!C2270)))</f>
        <v>Otros almidones</v>
      </c>
      <c r="C3633" s="10" t="s">
        <v>29</v>
      </c>
      <c r="D3633" s="12">
        <f>'Volúmenes DIstribuidos '!D2270</f>
        <v>36.299999999999997</v>
      </c>
      <c r="E3633" s="12">
        <f>SUMIF('Parametros Inventario'!$A:$A,B3633,'Parametros Inventario'!$B:$B)+SUMIFS(D$2:D3633,B$2:B3633,B3633,C$2:C3633,"ENTRADA")-SUMIFS(D$2:D3633,B$2:B3633,B3633,C$2:C3633,"SALIDA")</f>
        <v>17699.477000000003</v>
      </c>
    </row>
    <row r="3634" spans="1:5" x14ac:dyDescent="0.3">
      <c r="A3634" s="9">
        <v>45370</v>
      </c>
      <c r="B3634" s="10" t="s">
        <v>13</v>
      </c>
      <c r="C3634" s="10" t="s">
        <v>28</v>
      </c>
      <c r="D3634" s="12">
        <v>80.88</v>
      </c>
      <c r="E3634" s="12">
        <f>SUMIF('Parametros Inventario'!$A:$A,B3634,'Parametros Inventario'!$B:$B)+SUMIFS(D$2:D3634,B$2:B3634,B3634,C$2:C3634,"ENTRADA")-SUMIFS(D$2:D3634,B$2:B3634,B3634,C$2:C3634,"SALIDA")</f>
        <v>15586.536000000007</v>
      </c>
    </row>
    <row r="3635" spans="1:5" x14ac:dyDescent="0.3">
      <c r="A3635" s="9">
        <v>45370</v>
      </c>
      <c r="B3635" s="10" t="s">
        <v>15</v>
      </c>
      <c r="C3635" s="10" t="s">
        <v>28</v>
      </c>
      <c r="D3635" s="12">
        <v>181.62</v>
      </c>
      <c r="E3635" s="12">
        <f>SUMIF('Parametros Inventario'!$A:$A,B3635,'Parametros Inventario'!$B:$B)+SUMIFS(D$2:D3635,B$2:B3635,B3635,C$2:C3635,"ENTRADA")-SUMIFS(D$2:D3635,B$2:B3635,B3635,C$2:C3635,"SALIDA")</f>
        <v>17881.097000000002</v>
      </c>
    </row>
    <row r="3636" spans="1:5" x14ac:dyDescent="0.3">
      <c r="A3636" s="9">
        <v>45370</v>
      </c>
      <c r="B3636" s="10" t="s">
        <v>11</v>
      </c>
      <c r="C3636" s="10" t="s">
        <v>28</v>
      </c>
      <c r="D3636" s="12">
        <v>268.88</v>
      </c>
      <c r="E3636" s="12">
        <f>SUMIF('Parametros Inventario'!$A:$A,B3636,'Parametros Inventario'!$B:$B)+SUMIFS(D$2:D3636,B$2:B3636,B3636,C$2:C3636,"ENTRADA")-SUMIFS(D$2:D3636,B$2:B3636,B3636,C$2:C3636,"SALIDA")</f>
        <v>18894.439000000006</v>
      </c>
    </row>
    <row r="3637" spans="1:5" x14ac:dyDescent="0.3">
      <c r="A3637" s="9">
        <v>45370</v>
      </c>
      <c r="B3637" s="10" t="s">
        <v>9</v>
      </c>
      <c r="C3637" s="10" t="s">
        <v>28</v>
      </c>
      <c r="D3637" s="12">
        <v>197.21</v>
      </c>
      <c r="E3637" s="12">
        <f>SUMIF('Parametros Inventario'!$A:$A,B3637,'Parametros Inventario'!$B:$B)+SUMIFS(D$2:D3637,B$2:B3637,B3637,C$2:C3637,"ENTRADA")-SUMIFS(D$2:D3637,B$2:B3637,B3637,C$2:C3637,"SALIDA")</f>
        <v>14696.345999999998</v>
      </c>
    </row>
    <row r="3638" spans="1:5" x14ac:dyDescent="0.3">
      <c r="A3638" s="9">
        <v>45370</v>
      </c>
      <c r="B3638" s="10" t="s">
        <v>14</v>
      </c>
      <c r="C3638" s="10" t="s">
        <v>28</v>
      </c>
      <c r="D3638" s="12">
        <v>251.7</v>
      </c>
      <c r="E3638" s="12">
        <f>SUMIF('Parametros Inventario'!$A:$A,B3638,'Parametros Inventario'!$B:$B)+SUMIFS(D$2:D3638,B$2:B3638,B3638,C$2:C3638,"ENTRADA")-SUMIFS(D$2:D3638,B$2:B3638,B3638,C$2:C3638,"SALIDA")</f>
        <v>17005.517000000003</v>
      </c>
    </row>
    <row r="3639" spans="1:5" x14ac:dyDescent="0.3">
      <c r="A3639" s="9">
        <v>45370</v>
      </c>
      <c r="B3639" s="10" t="s">
        <v>12</v>
      </c>
      <c r="C3639" s="10" t="s">
        <v>28</v>
      </c>
      <c r="D3639" s="12">
        <v>73.89</v>
      </c>
      <c r="E3639" s="12">
        <f>SUMIF('Parametros Inventario'!$A:$A,B3639,'Parametros Inventario'!$B:$B)+SUMIFS(D$2:D3639,B$2:B3639,B3639,C$2:C3639,"ENTRADA")-SUMIFS(D$2:D3639,B$2:B3639,B3639,C$2:C3639,"SALIDA")</f>
        <v>16028.317999999997</v>
      </c>
    </row>
    <row r="3640" spans="1:5" x14ac:dyDescent="0.3">
      <c r="A3640" s="9">
        <v>45370</v>
      </c>
      <c r="B3640" s="10" t="s">
        <v>16</v>
      </c>
      <c r="C3640" s="10" t="s">
        <v>28</v>
      </c>
      <c r="D3640" s="12">
        <v>137.22999999999999</v>
      </c>
      <c r="E3640" s="12">
        <f>SUMIF('Parametros Inventario'!$A:$A,B3640,'Parametros Inventario'!$B:$B)+SUMIFS(D$2:D3640,B$2:B3640,B3640,C$2:C3640,"ENTRADA")-SUMIFS(D$2:D3640,B$2:B3640,B3640,C$2:C3640,"SALIDA")</f>
        <v>17260.071</v>
      </c>
    </row>
    <row r="3641" spans="1:5" x14ac:dyDescent="0.3">
      <c r="A3641" s="9">
        <v>45370</v>
      </c>
      <c r="B3641" s="10" t="s">
        <v>17</v>
      </c>
      <c r="C3641" s="10" t="s">
        <v>28</v>
      </c>
      <c r="D3641" s="12">
        <v>193.04</v>
      </c>
      <c r="E3641" s="12">
        <f>SUMIF('Parametros Inventario'!$A:$A,B3641,'Parametros Inventario'!$B:$B)+SUMIFS(D$2:D3641,B$2:B3641,B3641,C$2:C3641,"ENTRADA")-SUMIFS(D$2:D3641,B$2:B3641,B3641,C$2:C3641,"SALIDA")</f>
        <v>15471.334999999995</v>
      </c>
    </row>
    <row r="3642" spans="1:5" x14ac:dyDescent="0.3">
      <c r="A3642" s="9">
        <v>45370</v>
      </c>
      <c r="B3642" s="10" t="s">
        <v>18</v>
      </c>
      <c r="C3642" s="10" t="s">
        <v>28</v>
      </c>
      <c r="D3642" s="12">
        <v>120.5</v>
      </c>
      <c r="E3642" s="12">
        <f>SUMIF('Parametros Inventario'!$A:$A,B3642,'Parametros Inventario'!$B:$B)+SUMIFS(D$2:D3642,B$2:B3642,B3642,C$2:C3642,"ENTRADA")-SUMIFS(D$2:D3642,B$2:B3642,B3642,C$2:C3642,"SALIDA")</f>
        <v>16182.244999999992</v>
      </c>
    </row>
    <row r="3643" spans="1:5" x14ac:dyDescent="0.3">
      <c r="A3643" s="9">
        <v>45370</v>
      </c>
      <c r="B3643" s="10" t="s">
        <v>10</v>
      </c>
      <c r="C3643" s="10" t="s">
        <v>28</v>
      </c>
      <c r="D3643" s="12">
        <v>117.76</v>
      </c>
      <c r="E3643" s="12">
        <f>SUMIF('Parametros Inventario'!$A:$A,B3643,'Parametros Inventario'!$B:$B)+SUMIFS(D$2:D3643,B$2:B3643,B3643,C$2:C3643,"ENTRADA")-SUMIFS(D$2:D3643,B$2:B3643,B3643,C$2:C3643,"SALIDA")</f>
        <v>17631.506999999998</v>
      </c>
    </row>
    <row r="3644" spans="1:5" x14ac:dyDescent="0.3">
      <c r="A3644" s="9">
        <f>'Volúmenes DIstribuidos '!B2271</f>
        <v>45370</v>
      </c>
      <c r="B3644" s="10" t="str">
        <f>IF(OR('Volúmenes DIstribuidos '!C2271="Azúcar",'Volúmenes DIstribuidos '!C2271="azúcar"),"Azúcar o dulce",IF('Volúmenes DIstribuidos '!C2271="Aceite","Aceite o grasas",IF('Volúmenes DIstribuidos '!C2271="Avena","Otros almidones",'Volúmenes DIstribuidos '!C2271)))</f>
        <v>Fideo</v>
      </c>
      <c r="C3644" s="10" t="s">
        <v>29</v>
      </c>
      <c r="D3644" s="12">
        <f>'Volúmenes DIstribuidos '!D2271</f>
        <v>6.5</v>
      </c>
      <c r="E3644" s="12">
        <f>SUMIF('Parametros Inventario'!$A:$A,B3644,'Parametros Inventario'!$B:$B)+SUMIFS(D$2:D3644,B$2:B3644,B3644,C$2:C3644,"ENTRADA")-SUMIFS(D$2:D3644,B$2:B3644,B3644,C$2:C3644,"SALIDA")</f>
        <v>18887.939000000006</v>
      </c>
    </row>
    <row r="3645" spans="1:5" x14ac:dyDescent="0.3">
      <c r="A3645" s="9">
        <f>'Volúmenes DIstribuidos '!B2271</f>
        <v>45370</v>
      </c>
      <c r="B3645" s="10" t="str">
        <f>IF(OR('Volúmenes DIstribuidos '!C2272="Azúcar",'Volúmenes DIstribuidos '!C2272="azúcar"),"Azúcar o dulce",IF('Volúmenes DIstribuidos '!C2272="Aceite","Aceite o grasas",IF('Volúmenes DIstribuidos '!C2272="Avena","Otros almidones",'Volúmenes DIstribuidos '!C2272)))</f>
        <v>Salsas</v>
      </c>
      <c r="C3645" s="10" t="s">
        <v>29</v>
      </c>
      <c r="D3645" s="12">
        <f>'Volúmenes DIstribuidos '!D2272</f>
        <v>14</v>
      </c>
      <c r="E3645" s="12">
        <f>SUMIF('Parametros Inventario'!$A:$A,B3645,'Parametros Inventario'!$B:$B)+SUMIFS(D$2:D3645,B$2:B3645,B3645,C$2:C3645,"ENTRADA")-SUMIFS(D$2:D3645,B$2:B3645,B3645,C$2:C3645,"SALIDA")</f>
        <v>16168.244999999992</v>
      </c>
    </row>
    <row r="3646" spans="1:5" x14ac:dyDescent="0.3">
      <c r="A3646" s="9">
        <f>'Volúmenes DIstribuidos '!B2271</f>
        <v>45370</v>
      </c>
      <c r="B3646" s="10" t="str">
        <f>IF(OR('Volúmenes DIstribuidos '!C2273="Azúcar",'Volúmenes DIstribuidos '!C2273="azúcar"),"Azúcar o dulce",IF('Volúmenes DIstribuidos '!C2273="Aceite","Aceite o grasas",IF('Volúmenes DIstribuidos '!C2273="Avena","Otros almidones",'Volúmenes DIstribuidos '!C2273)))</f>
        <v>Menestras</v>
      </c>
      <c r="C3646" s="10" t="s">
        <v>29</v>
      </c>
      <c r="D3646" s="12">
        <f>'Volúmenes DIstribuidos '!D2273</f>
        <v>23.67</v>
      </c>
      <c r="E3646" s="12">
        <f>SUMIF('Parametros Inventario'!$A:$A,B3646,'Parametros Inventario'!$B:$B)+SUMIFS(D$2:D3646,B$2:B3646,B3646,C$2:C3646,"ENTRADA")-SUMIFS(D$2:D3646,B$2:B3646,B3646,C$2:C3646,"SALIDA")</f>
        <v>16981.847000000005</v>
      </c>
    </row>
    <row r="3647" spans="1:5" x14ac:dyDescent="0.3">
      <c r="A3647" s="9">
        <f>'Volúmenes DIstribuidos '!B2271</f>
        <v>45370</v>
      </c>
      <c r="B3647" s="10" t="str">
        <f>IF(OR('Volúmenes DIstribuidos '!C2274="Azúcar",'Volúmenes DIstribuidos '!C2274="azúcar"),"Azúcar o dulce",IF('Volúmenes DIstribuidos '!C2274="Aceite","Aceite o grasas",IF('Volúmenes DIstribuidos '!C2274="Avena","Otros almidones",'Volúmenes DIstribuidos '!C2274)))</f>
        <v>Panadería</v>
      </c>
      <c r="C3647" s="10" t="s">
        <v>29</v>
      </c>
      <c r="D3647" s="12">
        <f>'Volúmenes DIstribuidos '!D2274</f>
        <v>45.704000000000001</v>
      </c>
      <c r="E3647" s="12">
        <f>SUMIF('Parametros Inventario'!$A:$A,B3647,'Parametros Inventario'!$B:$B)+SUMIFS(D$2:D3647,B$2:B3647,B3647,C$2:C3647,"ENTRADA")-SUMIFS(D$2:D3647,B$2:B3647,B3647,C$2:C3647,"SALIDA")</f>
        <v>14650.641999999998</v>
      </c>
    </row>
    <row r="3648" spans="1:5" x14ac:dyDescent="0.3">
      <c r="A3648" s="9">
        <f>'Volúmenes DIstribuidos '!B2271</f>
        <v>45370</v>
      </c>
      <c r="B3648" s="10" t="str">
        <f>IF(OR('Volúmenes DIstribuidos '!C2275="Azúcar",'Volúmenes DIstribuidos '!C2275="azúcar"),"Azúcar o dulce",IF('Volúmenes DIstribuidos '!C2275="Aceite","Aceite o grasas",IF('Volúmenes DIstribuidos '!C2275="Avena","Otros almidones",'Volúmenes DIstribuidos '!C2275)))</f>
        <v>Carnes rojas</v>
      </c>
      <c r="C3648" s="10" t="s">
        <v>29</v>
      </c>
      <c r="D3648" s="12">
        <f>'Volúmenes DIstribuidos '!D2275</f>
        <v>55.2</v>
      </c>
      <c r="E3648" s="12">
        <f>SUMIF('Parametros Inventario'!$A:$A,B3648,'Parametros Inventario'!$B:$B)+SUMIFS(D$2:D3648,B$2:B3648,B3648,C$2:C3648,"ENTRADA")-SUMIFS(D$2:D3648,B$2:B3648,B3648,C$2:C3648,"SALIDA")</f>
        <v>15973.117999999999</v>
      </c>
    </row>
    <row r="3649" spans="1:5" x14ac:dyDescent="0.3">
      <c r="A3649" s="9">
        <f>'Volúmenes DIstribuidos '!B2271</f>
        <v>45370</v>
      </c>
      <c r="B3649" s="10" t="str">
        <f>IF(OR('Volúmenes DIstribuidos '!C2276="Azúcar",'Volúmenes DIstribuidos '!C2276="azúcar"),"Azúcar o dulce",IF('Volúmenes DIstribuidos '!C2276="Aceite","Aceite o grasas",IF('Volúmenes DIstribuidos '!C2276="Avena","Otros almidones",'Volúmenes DIstribuidos '!C2276)))</f>
        <v>Carnes blancas</v>
      </c>
      <c r="C3649" s="10" t="s">
        <v>29</v>
      </c>
      <c r="D3649" s="12">
        <f>'Volúmenes DIstribuidos '!D2276</f>
        <v>42.77</v>
      </c>
      <c r="E3649" s="12">
        <f>SUMIF('Parametros Inventario'!$A:$A,B3649,'Parametros Inventario'!$B:$B)+SUMIFS(D$2:D3649,B$2:B3649,B3649,C$2:C3649,"ENTRADA")-SUMIFS(D$2:D3649,B$2:B3649,B3649,C$2:C3649,"SALIDA")</f>
        <v>17217.300999999999</v>
      </c>
    </row>
    <row r="3650" spans="1:5" x14ac:dyDescent="0.3">
      <c r="A3650" s="9">
        <v>45373</v>
      </c>
      <c r="B3650" s="10" t="s">
        <v>8</v>
      </c>
      <c r="C3650" s="10" t="s">
        <v>28</v>
      </c>
      <c r="D3650" s="12">
        <v>74.77</v>
      </c>
      <c r="E3650" s="12">
        <f>SUMIF('Parametros Inventario'!$A:$A,B3650,'Parametros Inventario'!$B:$B)+SUMIFS(D$2:D3650,B$2:B3650,B3650,C$2:C3650,"ENTRADA")-SUMIFS(D$2:D3650,B$2:B3650,B3650,C$2:C3650,"SALIDA")</f>
        <v>16237.178000000009</v>
      </c>
    </row>
    <row r="3651" spans="1:5" x14ac:dyDescent="0.3">
      <c r="A3651" s="9">
        <v>45373</v>
      </c>
      <c r="B3651" s="10" t="s">
        <v>13</v>
      </c>
      <c r="C3651" s="10" t="s">
        <v>28</v>
      </c>
      <c r="D3651" s="12">
        <v>61.99</v>
      </c>
      <c r="E3651" s="12">
        <f>SUMIF('Parametros Inventario'!$A:$A,B3651,'Parametros Inventario'!$B:$B)+SUMIFS(D$2:D3651,B$2:B3651,B3651,C$2:C3651,"ENTRADA")-SUMIFS(D$2:D3651,B$2:B3651,B3651,C$2:C3651,"SALIDA")</f>
        <v>15648.526000000009</v>
      </c>
    </row>
    <row r="3652" spans="1:5" x14ac:dyDescent="0.3">
      <c r="A3652" s="9">
        <v>45373</v>
      </c>
      <c r="B3652" s="10" t="s">
        <v>15</v>
      </c>
      <c r="C3652" s="10" t="s">
        <v>28</v>
      </c>
      <c r="D3652" s="12">
        <v>129.5</v>
      </c>
      <c r="E3652" s="12">
        <f>SUMIF('Parametros Inventario'!$A:$A,B3652,'Parametros Inventario'!$B:$B)+SUMIFS(D$2:D3652,B$2:B3652,B3652,C$2:C3652,"ENTRADA")-SUMIFS(D$2:D3652,B$2:B3652,B3652,C$2:C3652,"SALIDA")</f>
        <v>18010.597000000002</v>
      </c>
    </row>
    <row r="3653" spans="1:5" x14ac:dyDescent="0.3">
      <c r="A3653" s="9">
        <v>45373</v>
      </c>
      <c r="B3653" s="10" t="s">
        <v>11</v>
      </c>
      <c r="C3653" s="10" t="s">
        <v>28</v>
      </c>
      <c r="D3653" s="12">
        <v>237.97</v>
      </c>
      <c r="E3653" s="12">
        <f>SUMIF('Parametros Inventario'!$A:$A,B3653,'Parametros Inventario'!$B:$B)+SUMIFS(D$2:D3653,B$2:B3653,B3653,C$2:C3653,"ENTRADA")-SUMIFS(D$2:D3653,B$2:B3653,B3653,C$2:C3653,"SALIDA")</f>
        <v>19125.909000000007</v>
      </c>
    </row>
    <row r="3654" spans="1:5" x14ac:dyDescent="0.3">
      <c r="A3654" s="9">
        <v>45373</v>
      </c>
      <c r="B3654" s="10" t="s">
        <v>9</v>
      </c>
      <c r="C3654" s="10" t="s">
        <v>28</v>
      </c>
      <c r="D3654" s="12">
        <v>95.17</v>
      </c>
      <c r="E3654" s="12">
        <f>SUMIF('Parametros Inventario'!$A:$A,B3654,'Parametros Inventario'!$B:$B)+SUMIFS(D$2:D3654,B$2:B3654,B3654,C$2:C3654,"ENTRADA")-SUMIFS(D$2:D3654,B$2:B3654,B3654,C$2:C3654,"SALIDA")</f>
        <v>14745.811999999996</v>
      </c>
    </row>
    <row r="3655" spans="1:5" x14ac:dyDescent="0.3">
      <c r="A3655" s="9">
        <v>45373</v>
      </c>
      <c r="B3655" s="10" t="s">
        <v>14</v>
      </c>
      <c r="C3655" s="10" t="s">
        <v>28</v>
      </c>
      <c r="D3655" s="12">
        <v>251.52</v>
      </c>
      <c r="E3655" s="12">
        <f>SUMIF('Parametros Inventario'!$A:$A,B3655,'Parametros Inventario'!$B:$B)+SUMIFS(D$2:D3655,B$2:B3655,B3655,C$2:C3655,"ENTRADA")-SUMIFS(D$2:D3655,B$2:B3655,B3655,C$2:C3655,"SALIDA")</f>
        <v>17233.367000000006</v>
      </c>
    </row>
    <row r="3656" spans="1:5" x14ac:dyDescent="0.3">
      <c r="A3656" s="9">
        <v>45373</v>
      </c>
      <c r="B3656" s="10" t="s">
        <v>12</v>
      </c>
      <c r="C3656" s="10" t="s">
        <v>28</v>
      </c>
      <c r="D3656" s="12">
        <v>219.45</v>
      </c>
      <c r="E3656" s="12">
        <f>SUMIF('Parametros Inventario'!$A:$A,B3656,'Parametros Inventario'!$B:$B)+SUMIFS(D$2:D3656,B$2:B3656,B3656,C$2:C3656,"ENTRADA")-SUMIFS(D$2:D3656,B$2:B3656,B3656,C$2:C3656,"SALIDA")</f>
        <v>16192.567999999999</v>
      </c>
    </row>
    <row r="3657" spans="1:5" x14ac:dyDescent="0.3">
      <c r="A3657" s="9">
        <f>'Volúmenes DIstribuidos '!B2277</f>
        <v>45373</v>
      </c>
      <c r="B3657" s="10" t="str">
        <f>IF(OR('Volúmenes DIstribuidos '!C2277="Azúcar",'Volúmenes DIstribuidos '!C2277="azúcar"),"Azúcar o dulce",IF('Volúmenes DIstribuidos '!C2277="Aceite","Aceite o grasas",IF('Volúmenes DIstribuidos '!C2277="Avena","Otros almidones",'Volúmenes DIstribuidos '!C2277)))</f>
        <v>Lácteos</v>
      </c>
      <c r="C3657" s="10" t="s">
        <v>29</v>
      </c>
      <c r="D3657" s="12">
        <f>'Volúmenes DIstribuidos '!D2277</f>
        <v>32.53</v>
      </c>
      <c r="E3657" s="12">
        <f>SUMIF('Parametros Inventario'!$A:$A,B3657,'Parametros Inventario'!$B:$B)+SUMIFS(D$2:D3657,B$2:B3657,B3657,C$2:C3657,"ENTRADA")-SUMIFS(D$2:D3657,B$2:B3657,B3657,C$2:C3657,"SALIDA")</f>
        <v>15438.804999999995</v>
      </c>
    </row>
    <row r="3658" spans="1:5" x14ac:dyDescent="0.3">
      <c r="A3658" s="9">
        <f>'Volúmenes DIstribuidos '!B2277</f>
        <v>45373</v>
      </c>
      <c r="B3658" s="10" t="str">
        <f>IF(OR('Volúmenes DIstribuidos '!C2278="Azúcar",'Volúmenes DIstribuidos '!C2278="azúcar"),"Azúcar o dulce",IF('Volúmenes DIstribuidos '!C2278="Aceite","Aceite o grasas",IF('Volúmenes DIstribuidos '!C2278="Avena","Otros almidones",'Volúmenes DIstribuidos '!C2278)))</f>
        <v>Vegetales y hojas</v>
      </c>
      <c r="C3658" s="10" t="s">
        <v>29</v>
      </c>
      <c r="D3658" s="12">
        <f>'Volúmenes DIstribuidos '!D2278</f>
        <v>16.420000000000002</v>
      </c>
      <c r="E3658" s="12">
        <f>SUMIF('Parametros Inventario'!$A:$A,B3658,'Parametros Inventario'!$B:$B)+SUMIFS(D$2:D3658,B$2:B3658,B3658,C$2:C3658,"ENTRADA")-SUMIFS(D$2:D3658,B$2:B3658,B3658,C$2:C3658,"SALIDA")</f>
        <v>17615.087</v>
      </c>
    </row>
    <row r="3659" spans="1:5" x14ac:dyDescent="0.3">
      <c r="A3659" s="9">
        <f>'Volúmenes DIstribuidos '!B2277</f>
        <v>45373</v>
      </c>
      <c r="B3659" s="10" t="str">
        <f>IF(OR('Volúmenes DIstribuidos '!C2279="Azúcar",'Volúmenes DIstribuidos '!C2279="azúcar"),"Azúcar o dulce",IF('Volúmenes DIstribuidos '!C2279="Aceite","Aceite o grasas",IF('Volúmenes DIstribuidos '!C2279="Avena","Otros almidones",'Volúmenes DIstribuidos '!C2279)))</f>
        <v>Salsas</v>
      </c>
      <c r="C3659" s="10" t="s">
        <v>29</v>
      </c>
      <c r="D3659" s="12">
        <f>'Volúmenes DIstribuidos '!D2279</f>
        <v>15.114000000000001</v>
      </c>
      <c r="E3659" s="12">
        <f>SUMIF('Parametros Inventario'!$A:$A,B3659,'Parametros Inventario'!$B:$B)+SUMIFS(D$2:D3659,B$2:B3659,B3659,C$2:C3659,"ENTRADA")-SUMIFS(D$2:D3659,B$2:B3659,B3659,C$2:C3659,"SALIDA")</f>
        <v>16153.130999999994</v>
      </c>
    </row>
    <row r="3660" spans="1:5" x14ac:dyDescent="0.3">
      <c r="A3660" s="9">
        <f>'Volúmenes DIstribuidos '!B2277</f>
        <v>45373</v>
      </c>
      <c r="B3660" s="10" t="str">
        <f>IF(OR('Volúmenes DIstribuidos '!C2280="Azúcar",'Volúmenes DIstribuidos '!C2280="azúcar"),"Azúcar o dulce",IF('Volúmenes DIstribuidos '!C2280="Aceite","Aceite o grasas",IF('Volúmenes DIstribuidos '!C2280="Avena","Otros almidones",'Volúmenes DIstribuidos '!C2280)))</f>
        <v>Salsas</v>
      </c>
      <c r="C3660" s="10" t="s">
        <v>29</v>
      </c>
      <c r="D3660" s="12">
        <f>'Volúmenes DIstribuidos '!D2280</f>
        <v>6.4</v>
      </c>
      <c r="E3660" s="12">
        <f>SUMIF('Parametros Inventario'!$A:$A,B3660,'Parametros Inventario'!$B:$B)+SUMIFS(D$2:D3660,B$2:B3660,B3660,C$2:C3660,"ENTRADA")-SUMIFS(D$2:D3660,B$2:B3660,B3660,C$2:C3660,"SALIDA")</f>
        <v>16146.730999999992</v>
      </c>
    </row>
    <row r="3661" spans="1:5" x14ac:dyDescent="0.3">
      <c r="A3661" s="9">
        <f>'Volúmenes DIstribuidos '!B2277</f>
        <v>45373</v>
      </c>
      <c r="B3661" s="10" t="str">
        <f>IF(OR('Volúmenes DIstribuidos '!C2281="Azúcar",'Volúmenes DIstribuidos '!C2281="azúcar"),"Azúcar o dulce",IF('Volúmenes DIstribuidos '!C2281="Aceite","Aceite o grasas",IF('Volúmenes DIstribuidos '!C2281="Avena","Otros almidones",'Volúmenes DIstribuidos '!C2281)))</f>
        <v>Carnes rojas</v>
      </c>
      <c r="C3661" s="10" t="s">
        <v>29</v>
      </c>
      <c r="D3661" s="12">
        <f>'Volúmenes DIstribuidos '!D2281</f>
        <v>7.01</v>
      </c>
      <c r="E3661" s="12">
        <f>SUMIF('Parametros Inventario'!$A:$A,B3661,'Parametros Inventario'!$B:$B)+SUMIFS(D$2:D3661,B$2:B3661,B3661,C$2:C3661,"ENTRADA")-SUMIFS(D$2:D3661,B$2:B3661,B3661,C$2:C3661,"SALIDA")</f>
        <v>16185.557999999997</v>
      </c>
    </row>
    <row r="3662" spans="1:5" x14ac:dyDescent="0.3">
      <c r="A3662" s="9">
        <f>'Volúmenes DIstribuidos '!B2277</f>
        <v>45373</v>
      </c>
      <c r="B3662" s="10" t="str">
        <f>IF(OR('Volúmenes DIstribuidos '!C2282="Azúcar",'Volúmenes DIstribuidos '!C2282="azúcar"),"Azúcar o dulce",IF('Volúmenes DIstribuidos '!C2282="Aceite","Aceite o grasas",IF('Volúmenes DIstribuidos '!C2282="Avena","Otros almidones",'Volúmenes DIstribuidos '!C2282)))</f>
        <v>Lácteos</v>
      </c>
      <c r="C3662" s="10" t="s">
        <v>29</v>
      </c>
      <c r="D3662" s="12">
        <f>'Volúmenes DIstribuidos '!D2282</f>
        <v>8.5500000000000007</v>
      </c>
      <c r="E3662" s="12">
        <f>SUMIF('Parametros Inventario'!$A:$A,B3662,'Parametros Inventario'!$B:$B)+SUMIFS(D$2:D3662,B$2:B3662,B3662,C$2:C3662,"ENTRADA")-SUMIFS(D$2:D3662,B$2:B3662,B3662,C$2:C3662,"SALIDA")</f>
        <v>15430.254999999994</v>
      </c>
    </row>
    <row r="3663" spans="1:5" x14ac:dyDescent="0.3">
      <c r="A3663" s="9">
        <f>'Volúmenes DIstribuidos '!B2283</f>
        <v>45377</v>
      </c>
      <c r="B3663" s="10" t="str">
        <f>IF(OR('Volúmenes DIstribuidos '!C2283="Azúcar",'Volúmenes DIstribuidos '!C2283="azúcar"),"Azúcar o dulce",IF('Volúmenes DIstribuidos '!C2283="Aceite","Aceite o grasas",IF('Volúmenes DIstribuidos '!C2283="Avena","Otros almidones",'Volúmenes DIstribuidos '!C2283)))</f>
        <v>Vegetales y hojas</v>
      </c>
      <c r="C3663" s="10" t="s">
        <v>29</v>
      </c>
      <c r="D3663" s="12">
        <f>'Volúmenes DIstribuidos '!D2283</f>
        <v>8.52</v>
      </c>
      <c r="E3663" s="12">
        <f>SUMIF('Parametros Inventario'!$A:$A,B3663,'Parametros Inventario'!$B:$B)+SUMIFS(D$2:D3663,B$2:B3663,B3663,C$2:C3663,"ENTRADA")-SUMIFS(D$2:D3663,B$2:B3663,B3663,C$2:C3663,"SALIDA")</f>
        <v>17606.566999999999</v>
      </c>
    </row>
    <row r="3664" spans="1:5" x14ac:dyDescent="0.3">
      <c r="A3664" s="9">
        <f>'Volúmenes DIstribuidos '!B2283</f>
        <v>45377</v>
      </c>
      <c r="B3664" s="10" t="str">
        <f>IF(OR('Volúmenes DIstribuidos '!C2284="Azúcar",'Volúmenes DIstribuidos '!C2284="azúcar"),"Azúcar o dulce",IF('Volúmenes DIstribuidos '!C2284="Aceite","Aceite o grasas",IF('Volúmenes DIstribuidos '!C2284="Avena","Otros almidones",'Volúmenes DIstribuidos '!C2284)))</f>
        <v>Panadería</v>
      </c>
      <c r="C3664" s="10" t="s">
        <v>29</v>
      </c>
      <c r="D3664" s="12">
        <f>'Volúmenes DIstribuidos '!D2284</f>
        <v>149.209</v>
      </c>
      <c r="E3664" s="12">
        <f>SUMIF('Parametros Inventario'!$A:$A,B3664,'Parametros Inventario'!$B:$B)+SUMIFS(D$2:D3664,B$2:B3664,B3664,C$2:C3664,"ENTRADA")-SUMIFS(D$2:D3664,B$2:B3664,B3664,C$2:C3664,"SALIDA")</f>
        <v>14596.602999999996</v>
      </c>
    </row>
    <row r="3665" spans="1:5" x14ac:dyDescent="0.3">
      <c r="A3665" s="9">
        <f>'Volúmenes DIstribuidos '!B2283</f>
        <v>45377</v>
      </c>
      <c r="B3665" s="10" t="str">
        <f>IF(OR('Volúmenes DIstribuidos '!C2285="Azúcar",'Volúmenes DIstribuidos '!C2285="azúcar"),"Azúcar o dulce",IF('Volúmenes DIstribuidos '!C2285="Aceite","Aceite o grasas",IF('Volúmenes DIstribuidos '!C2285="Avena","Otros almidones",'Volúmenes DIstribuidos '!C2285)))</f>
        <v>Fideo</v>
      </c>
      <c r="C3665" s="10" t="s">
        <v>29</v>
      </c>
      <c r="D3665" s="12">
        <f>'Volúmenes DIstribuidos '!D2285</f>
        <v>94.18</v>
      </c>
      <c r="E3665" s="12">
        <f>SUMIF('Parametros Inventario'!$A:$A,B3665,'Parametros Inventario'!$B:$B)+SUMIFS(D$2:D3665,B$2:B3665,B3665,C$2:C3665,"ENTRADA")-SUMIFS(D$2:D3665,B$2:B3665,B3665,C$2:C3665,"SALIDA")</f>
        <v>19031.729000000007</v>
      </c>
    </row>
    <row r="3666" spans="1:5" x14ac:dyDescent="0.3">
      <c r="A3666" s="9">
        <f>'Volúmenes DIstribuidos '!B2283</f>
        <v>45377</v>
      </c>
      <c r="B3666" s="10" t="str">
        <f>IF(OR('Volúmenes DIstribuidos '!C2286="Azúcar",'Volúmenes DIstribuidos '!C2286="azúcar"),"Azúcar o dulce",IF('Volúmenes DIstribuidos '!C2286="Aceite","Aceite o grasas",IF('Volúmenes DIstribuidos '!C2286="Avena","Otros almidones",'Volúmenes DIstribuidos '!C2286)))</f>
        <v>Azúcar o dulce</v>
      </c>
      <c r="C3666" s="10" t="s">
        <v>29</v>
      </c>
      <c r="D3666" s="12">
        <f>'Volúmenes DIstribuidos '!D2286</f>
        <v>12.88</v>
      </c>
      <c r="E3666" s="12">
        <f>SUMIF('Parametros Inventario'!$A:$A,B3666,'Parametros Inventario'!$B:$B)+SUMIFS(D$2:D3666,B$2:B3666,B3666,C$2:C3666,"ENTRADA")-SUMIFS(D$2:D3666,B$2:B3666,B3666,C$2:C3666,"SALIDA")</f>
        <v>15635.646000000008</v>
      </c>
    </row>
    <row r="3667" spans="1:5" x14ac:dyDescent="0.3">
      <c r="A3667" s="9">
        <f>'Volúmenes DIstribuidos '!B2283</f>
        <v>45377</v>
      </c>
      <c r="B3667" s="10" t="str">
        <f>IF(OR('Volúmenes DIstribuidos '!C2287="Azúcar",'Volúmenes DIstribuidos '!C2287="azúcar"),"Azúcar o dulce",IF('Volúmenes DIstribuidos '!C2287="Aceite","Aceite o grasas",IF('Volúmenes DIstribuidos '!C2287="Avena","Otros almidones",'Volúmenes DIstribuidos '!C2287)))</f>
        <v>Carnes rojas</v>
      </c>
      <c r="C3667" s="10" t="s">
        <v>29</v>
      </c>
      <c r="D3667" s="12">
        <f>'Volúmenes DIstribuidos '!D2287</f>
        <v>51.99</v>
      </c>
      <c r="E3667" s="12">
        <f>SUMIF('Parametros Inventario'!$A:$A,B3667,'Parametros Inventario'!$B:$B)+SUMIFS(D$2:D3667,B$2:B3667,B3667,C$2:C3667,"ENTRADA")-SUMIFS(D$2:D3667,B$2:B3667,B3667,C$2:C3667,"SALIDA")</f>
        <v>16133.567999999999</v>
      </c>
    </row>
    <row r="3668" spans="1:5" x14ac:dyDescent="0.3">
      <c r="A3668" s="9">
        <f>'Volúmenes DIstribuidos '!B2283</f>
        <v>45377</v>
      </c>
      <c r="B3668" s="10" t="str">
        <f>IF(OR('Volúmenes DIstribuidos '!C2288="Azúcar",'Volúmenes DIstribuidos '!C2288="azúcar"),"Azúcar o dulce",IF('Volúmenes DIstribuidos '!C2288="Aceite","Aceite o grasas",IF('Volúmenes DIstribuidos '!C2288="Avena","Otros almidones",'Volúmenes DIstribuidos '!C2288)))</f>
        <v>Menestras</v>
      </c>
      <c r="C3668" s="10" t="s">
        <v>29</v>
      </c>
      <c r="D3668" s="12">
        <f>'Volúmenes DIstribuidos '!D2288</f>
        <v>63.88</v>
      </c>
      <c r="E3668" s="12">
        <f>SUMIF('Parametros Inventario'!$A:$A,B3668,'Parametros Inventario'!$B:$B)+SUMIFS(D$2:D3668,B$2:B3668,B3668,C$2:C3668,"ENTRADA")-SUMIFS(D$2:D3668,B$2:B3668,B3668,C$2:C3668,"SALIDA")</f>
        <v>17169.487000000005</v>
      </c>
    </row>
    <row r="3669" spans="1:5" x14ac:dyDescent="0.3">
      <c r="A3669" s="9">
        <v>45380</v>
      </c>
      <c r="B3669" s="10" t="s">
        <v>16</v>
      </c>
      <c r="C3669" s="10" t="s">
        <v>28</v>
      </c>
      <c r="D3669" s="12">
        <v>247.19</v>
      </c>
      <c r="E3669" s="12">
        <f>SUMIF('Parametros Inventario'!$A:$A,B3669,'Parametros Inventario'!$B:$B)+SUMIFS(D$2:D3669,B$2:B3669,B3669,C$2:C3669,"ENTRADA")-SUMIFS(D$2:D3669,B$2:B3669,B3669,C$2:C3669,"SALIDA")</f>
        <v>17464.490999999998</v>
      </c>
    </row>
    <row r="3670" spans="1:5" x14ac:dyDescent="0.3">
      <c r="A3670" s="9">
        <v>45380</v>
      </c>
      <c r="B3670" s="10" t="s">
        <v>17</v>
      </c>
      <c r="C3670" s="10" t="s">
        <v>28</v>
      </c>
      <c r="D3670" s="12">
        <v>187.92</v>
      </c>
      <c r="E3670" s="12">
        <f>SUMIF('Parametros Inventario'!$A:$A,B3670,'Parametros Inventario'!$B:$B)+SUMIFS(D$2:D3670,B$2:B3670,B3670,C$2:C3670,"ENTRADA")-SUMIFS(D$2:D3670,B$2:B3670,B3670,C$2:C3670,"SALIDA")</f>
        <v>15618.174999999992</v>
      </c>
    </row>
    <row r="3671" spans="1:5" x14ac:dyDescent="0.3">
      <c r="A3671" s="9">
        <v>45380</v>
      </c>
      <c r="B3671" s="10" t="s">
        <v>18</v>
      </c>
      <c r="C3671" s="10" t="s">
        <v>28</v>
      </c>
      <c r="D3671" s="12">
        <v>270.51</v>
      </c>
      <c r="E3671" s="12">
        <f>SUMIF('Parametros Inventario'!$A:$A,B3671,'Parametros Inventario'!$B:$B)+SUMIFS(D$2:D3671,B$2:B3671,B3671,C$2:C3671,"ENTRADA")-SUMIFS(D$2:D3671,B$2:B3671,B3671,C$2:C3671,"SALIDA")</f>
        <v>16417.240999999991</v>
      </c>
    </row>
    <row r="3672" spans="1:5" x14ac:dyDescent="0.3">
      <c r="A3672" s="9">
        <v>45380</v>
      </c>
      <c r="B3672" s="10" t="s">
        <v>10</v>
      </c>
      <c r="C3672" s="10" t="s">
        <v>28</v>
      </c>
      <c r="D3672" s="12">
        <v>150.66</v>
      </c>
      <c r="E3672" s="12">
        <f>SUMIF('Parametros Inventario'!$A:$A,B3672,'Parametros Inventario'!$B:$B)+SUMIFS(D$2:D3672,B$2:B3672,B3672,C$2:C3672,"ENTRADA")-SUMIFS(D$2:D3672,B$2:B3672,B3672,C$2:C3672,"SALIDA")</f>
        <v>17757.226999999999</v>
      </c>
    </row>
    <row r="3673" spans="1:5" x14ac:dyDescent="0.3">
      <c r="A3673" s="9">
        <v>45380</v>
      </c>
      <c r="B3673" s="10" t="s">
        <v>8</v>
      </c>
      <c r="C3673" s="10" t="s">
        <v>28</v>
      </c>
      <c r="D3673" s="12">
        <v>198.08</v>
      </c>
      <c r="E3673" s="12">
        <f>SUMIF('Parametros Inventario'!$A:$A,B3673,'Parametros Inventario'!$B:$B)+SUMIFS(D$2:D3673,B$2:B3673,B3673,C$2:C3673,"ENTRADA")-SUMIFS(D$2:D3673,B$2:B3673,B3673,C$2:C3673,"SALIDA")</f>
        <v>16435.258000000009</v>
      </c>
    </row>
    <row r="3674" spans="1:5" x14ac:dyDescent="0.3">
      <c r="A3674" s="9">
        <v>45380</v>
      </c>
      <c r="B3674" s="10" t="s">
        <v>13</v>
      </c>
      <c r="C3674" s="10" t="s">
        <v>28</v>
      </c>
      <c r="D3674" s="12">
        <v>114.77</v>
      </c>
      <c r="E3674" s="12">
        <f>SUMIF('Parametros Inventario'!$A:$A,B3674,'Parametros Inventario'!$B:$B)+SUMIFS(D$2:D3674,B$2:B3674,B3674,C$2:C3674,"ENTRADA")-SUMIFS(D$2:D3674,B$2:B3674,B3674,C$2:C3674,"SALIDA")</f>
        <v>15750.416000000008</v>
      </c>
    </row>
    <row r="3675" spans="1:5" x14ac:dyDescent="0.3">
      <c r="A3675" s="9">
        <v>45380</v>
      </c>
      <c r="B3675" s="10" t="s">
        <v>15</v>
      </c>
      <c r="C3675" s="10" t="s">
        <v>28</v>
      </c>
      <c r="D3675" s="12">
        <v>221.66</v>
      </c>
      <c r="E3675" s="12">
        <f>SUMIF('Parametros Inventario'!$A:$A,B3675,'Parametros Inventario'!$B:$B)+SUMIFS(D$2:D3675,B$2:B3675,B3675,C$2:C3675,"ENTRADA")-SUMIFS(D$2:D3675,B$2:B3675,B3675,C$2:C3675,"SALIDA")</f>
        <v>18232.257000000001</v>
      </c>
    </row>
    <row r="3676" spans="1:5" x14ac:dyDescent="0.3">
      <c r="A3676" s="9">
        <v>45380</v>
      </c>
      <c r="B3676" s="10" t="s">
        <v>11</v>
      </c>
      <c r="C3676" s="10" t="s">
        <v>28</v>
      </c>
      <c r="D3676" s="12">
        <v>228.31</v>
      </c>
      <c r="E3676" s="12">
        <f>SUMIF('Parametros Inventario'!$A:$A,B3676,'Parametros Inventario'!$B:$B)+SUMIFS(D$2:D3676,B$2:B3676,B3676,C$2:C3676,"ENTRADA")-SUMIFS(D$2:D3676,B$2:B3676,B3676,C$2:C3676,"SALIDA")</f>
        <v>19260.039000000004</v>
      </c>
    </row>
    <row r="3677" spans="1:5" x14ac:dyDescent="0.3">
      <c r="A3677" s="9">
        <v>45380</v>
      </c>
      <c r="B3677" s="10" t="s">
        <v>9</v>
      </c>
      <c r="C3677" s="10" t="s">
        <v>28</v>
      </c>
      <c r="D3677" s="12">
        <v>214.39</v>
      </c>
      <c r="E3677" s="12">
        <f>SUMIF('Parametros Inventario'!$A:$A,B3677,'Parametros Inventario'!$B:$B)+SUMIFS(D$2:D3677,B$2:B3677,B3677,C$2:C3677,"ENTRADA")-SUMIFS(D$2:D3677,B$2:B3677,B3677,C$2:C3677,"SALIDA")</f>
        <v>14810.992999999995</v>
      </c>
    </row>
    <row r="3678" spans="1:5" x14ac:dyDescent="0.3">
      <c r="A3678" s="9">
        <f>'Volúmenes DIstribuidos '!B2289</f>
        <v>45380</v>
      </c>
      <c r="B3678" s="10" t="str">
        <f>IF(OR('Volúmenes DIstribuidos '!C2289="Azúcar",'Volúmenes DIstribuidos '!C2289="azúcar"),"Azúcar o dulce",IF('Volúmenes DIstribuidos '!C2289="Aceite","Aceite o grasas",IF('Volúmenes DIstribuidos '!C2289="Avena","Otros almidones",'Volúmenes DIstribuidos '!C2289)))</f>
        <v>Otros almidones</v>
      </c>
      <c r="C3678" s="10" t="s">
        <v>29</v>
      </c>
      <c r="D3678" s="12">
        <f>'Volúmenes DIstribuidos '!D2289</f>
        <v>18.786999999999999</v>
      </c>
      <c r="E3678" s="12">
        <f>SUMIF('Parametros Inventario'!$A:$A,B3678,'Parametros Inventario'!$B:$B)+SUMIFS(D$2:D3678,B$2:B3678,B3678,C$2:C3678,"ENTRADA")-SUMIFS(D$2:D3678,B$2:B3678,B3678,C$2:C3678,"SALIDA")</f>
        <v>18213.47</v>
      </c>
    </row>
    <row r="3679" spans="1:5" x14ac:dyDescent="0.3">
      <c r="A3679" s="9">
        <f>'Volúmenes DIstribuidos '!B2289</f>
        <v>45380</v>
      </c>
      <c r="B3679" s="10" t="str">
        <f>IF(OR('Volúmenes DIstribuidos '!C2290="Azúcar",'Volúmenes DIstribuidos '!C2290="azúcar"),"Azúcar o dulce",IF('Volúmenes DIstribuidos '!C2290="Aceite","Aceite o grasas",IF('Volúmenes DIstribuidos '!C2290="Avena","Otros almidones",'Volúmenes DIstribuidos '!C2290)))</f>
        <v>Menestras</v>
      </c>
      <c r="C3679" s="10" t="s">
        <v>29</v>
      </c>
      <c r="D3679" s="12">
        <f>'Volúmenes DIstribuidos '!D2290</f>
        <v>14.61</v>
      </c>
      <c r="E3679" s="12">
        <f>SUMIF('Parametros Inventario'!$A:$A,B3679,'Parametros Inventario'!$B:$B)+SUMIFS(D$2:D3679,B$2:B3679,B3679,C$2:C3679,"ENTRADA")-SUMIFS(D$2:D3679,B$2:B3679,B3679,C$2:C3679,"SALIDA")</f>
        <v>17154.877000000004</v>
      </c>
    </row>
    <row r="3680" spans="1:5" x14ac:dyDescent="0.3">
      <c r="A3680" s="9">
        <f>'Volúmenes DIstribuidos '!B2289</f>
        <v>45380</v>
      </c>
      <c r="B3680" s="10" t="str">
        <f>IF(OR('Volúmenes DIstribuidos '!C2291="Azúcar",'Volúmenes DIstribuidos '!C2291="azúcar"),"Azúcar o dulce",IF('Volúmenes DIstribuidos '!C2291="Aceite","Aceite o grasas",IF('Volúmenes DIstribuidos '!C2291="Avena","Otros almidones",'Volúmenes DIstribuidos '!C2291)))</f>
        <v>Otros almidones</v>
      </c>
      <c r="C3680" s="10" t="s">
        <v>29</v>
      </c>
      <c r="D3680" s="12">
        <f>'Volúmenes DIstribuidos '!D2291</f>
        <v>13.46</v>
      </c>
      <c r="E3680" s="12">
        <f>SUMIF('Parametros Inventario'!$A:$A,B3680,'Parametros Inventario'!$B:$B)+SUMIFS(D$2:D3680,B$2:B3680,B3680,C$2:C3680,"ENTRADA")-SUMIFS(D$2:D3680,B$2:B3680,B3680,C$2:C3680,"SALIDA")</f>
        <v>18200.010000000002</v>
      </c>
    </row>
    <row r="3681" spans="1:5" x14ac:dyDescent="0.3">
      <c r="A3681" s="9">
        <f>'Volúmenes DIstribuidos '!B2289</f>
        <v>45380</v>
      </c>
      <c r="B3681" s="10" t="str">
        <f>IF(OR('Volúmenes DIstribuidos '!C2292="Azúcar",'Volúmenes DIstribuidos '!C2292="azúcar"),"Azúcar o dulce",IF('Volúmenes DIstribuidos '!C2292="Aceite","Aceite o grasas",IF('Volúmenes DIstribuidos '!C2292="Avena","Otros almidones",'Volúmenes DIstribuidos '!C2292)))</f>
        <v>Azúcar o dulce</v>
      </c>
      <c r="C3681" s="10" t="s">
        <v>29</v>
      </c>
      <c r="D3681" s="12">
        <f>'Volúmenes DIstribuidos '!D2292</f>
        <v>5.25</v>
      </c>
      <c r="E3681" s="12">
        <f>SUMIF('Parametros Inventario'!$A:$A,B3681,'Parametros Inventario'!$B:$B)+SUMIFS(D$2:D3681,B$2:B3681,B3681,C$2:C3681,"ENTRADA")-SUMIFS(D$2:D3681,B$2:B3681,B3681,C$2:C3681,"SALIDA")</f>
        <v>15745.166000000008</v>
      </c>
    </row>
    <row r="3682" spans="1:5" x14ac:dyDescent="0.3">
      <c r="A3682" s="9">
        <f>'Volúmenes DIstribuidos '!B2289</f>
        <v>45380</v>
      </c>
      <c r="B3682" s="10" t="str">
        <f>IF(OR('Volúmenes DIstribuidos '!C2293="Azúcar",'Volúmenes DIstribuidos '!C2293="azúcar"),"Azúcar o dulce",IF('Volúmenes DIstribuidos '!C2293="Aceite","Aceite o grasas",IF('Volúmenes DIstribuidos '!C2293="Avena","Otros almidones",'Volúmenes DIstribuidos '!C2293)))</f>
        <v>Salsas</v>
      </c>
      <c r="C3682" s="10" t="s">
        <v>29</v>
      </c>
      <c r="D3682" s="12">
        <f>'Volúmenes DIstribuidos '!D2293</f>
        <v>9.9969999999999999</v>
      </c>
      <c r="E3682" s="12">
        <f>SUMIF('Parametros Inventario'!$A:$A,B3682,'Parametros Inventario'!$B:$B)+SUMIFS(D$2:D3682,B$2:B3682,B3682,C$2:C3682,"ENTRADA")-SUMIFS(D$2:D3682,B$2:B3682,B3682,C$2:C3682,"SALIDA")</f>
        <v>16407.243999999992</v>
      </c>
    </row>
    <row r="3683" spans="1:5" x14ac:dyDescent="0.3">
      <c r="A3683" s="9">
        <f>'Volúmenes DIstribuidos '!B2289</f>
        <v>45380</v>
      </c>
      <c r="B3683" s="10" t="str">
        <f>IF(OR('Volúmenes DIstribuidos '!C2294="Azúcar",'Volúmenes DIstribuidos '!C2294="azúcar"),"Azúcar o dulce",IF('Volúmenes DIstribuidos '!C2294="Aceite","Aceite o grasas",IF('Volúmenes DIstribuidos '!C2294="Avena","Otros almidones",'Volúmenes DIstribuidos '!C2294)))</f>
        <v>Vegetales y hojas</v>
      </c>
      <c r="C3683" s="10" t="s">
        <v>29</v>
      </c>
      <c r="D3683" s="12">
        <f>'Volúmenes DIstribuidos '!D2294</f>
        <v>37.54</v>
      </c>
      <c r="E3683" s="12">
        <f>SUMIF('Parametros Inventario'!$A:$A,B3683,'Parametros Inventario'!$B:$B)+SUMIFS(D$2:D3683,B$2:B3683,B3683,C$2:C3683,"ENTRADA")-SUMIFS(D$2:D3683,B$2:B3683,B3683,C$2:C3683,"SALIDA")</f>
        <v>17719.686999999998</v>
      </c>
    </row>
    <row r="3684" spans="1:5" x14ac:dyDescent="0.3">
      <c r="A3684" s="9">
        <f>'Volúmenes DIstribuidos '!B2295</f>
        <v>45384</v>
      </c>
      <c r="B3684" s="10" t="str">
        <f>IF(OR('Volúmenes DIstribuidos '!C2295="Azúcar",'Volúmenes DIstribuidos '!C2295="azúcar"),"Azúcar o dulce",IF('Volúmenes DIstribuidos '!C2295="Aceite","Aceite o grasas",IF('Volúmenes DIstribuidos '!C2295="Avena","Otros almidones",'Volúmenes DIstribuidos '!C2295)))</f>
        <v>Menestras</v>
      </c>
      <c r="C3684" s="10" t="s">
        <v>29</v>
      </c>
      <c r="D3684" s="12">
        <f>'Volúmenes DIstribuidos '!D2295</f>
        <v>44.37</v>
      </c>
      <c r="E3684" s="12">
        <f>SUMIF('Parametros Inventario'!$A:$A,B3684,'Parametros Inventario'!$B:$B)+SUMIFS(D$2:D3684,B$2:B3684,B3684,C$2:C3684,"ENTRADA")-SUMIFS(D$2:D3684,B$2:B3684,B3684,C$2:C3684,"SALIDA")</f>
        <v>17110.507000000005</v>
      </c>
    </row>
    <row r="3685" spans="1:5" x14ac:dyDescent="0.3">
      <c r="A3685" s="9">
        <f>'Volúmenes DIstribuidos '!B2295</f>
        <v>45384</v>
      </c>
      <c r="B3685" s="10" t="str">
        <f>IF(OR('Volúmenes DIstribuidos '!C2296="Azúcar",'Volúmenes DIstribuidos '!C2296="azúcar"),"Azúcar o dulce",IF('Volúmenes DIstribuidos '!C2296="Aceite","Aceite o grasas",IF('Volúmenes DIstribuidos '!C2296="Avena","Otros almidones",'Volúmenes DIstribuidos '!C2296)))</f>
        <v>Otros almidones</v>
      </c>
      <c r="C3685" s="10" t="s">
        <v>29</v>
      </c>
      <c r="D3685" s="12">
        <f>'Volúmenes DIstribuidos '!D2296</f>
        <v>27.54</v>
      </c>
      <c r="E3685" s="12">
        <f>SUMIF('Parametros Inventario'!$A:$A,B3685,'Parametros Inventario'!$B:$B)+SUMIFS(D$2:D3685,B$2:B3685,B3685,C$2:C3685,"ENTRADA")-SUMIFS(D$2:D3685,B$2:B3685,B3685,C$2:C3685,"SALIDA")</f>
        <v>18172.47</v>
      </c>
    </row>
    <row r="3686" spans="1:5" x14ac:dyDescent="0.3">
      <c r="A3686" s="9">
        <f>'Volúmenes DIstribuidos '!B2295</f>
        <v>45384</v>
      </c>
      <c r="B3686" s="10" t="str">
        <f>IF(OR('Volúmenes DIstribuidos '!C2297="Azúcar",'Volúmenes DIstribuidos '!C2297="azúcar"),"Azúcar o dulce",IF('Volúmenes DIstribuidos '!C2297="Aceite","Aceite o grasas",IF('Volúmenes DIstribuidos '!C2297="Avena","Otros almidones",'Volúmenes DIstribuidos '!C2297)))</f>
        <v>Carnes blancas</v>
      </c>
      <c r="C3686" s="10" t="s">
        <v>29</v>
      </c>
      <c r="D3686" s="12">
        <f>'Volúmenes DIstribuidos '!D2297</f>
        <v>20.86</v>
      </c>
      <c r="E3686" s="12">
        <f>SUMIF('Parametros Inventario'!$A:$A,B3686,'Parametros Inventario'!$B:$B)+SUMIFS(D$2:D3686,B$2:B3686,B3686,C$2:C3686,"ENTRADA")-SUMIFS(D$2:D3686,B$2:B3686,B3686,C$2:C3686,"SALIDA")</f>
        <v>17443.630999999998</v>
      </c>
    </row>
    <row r="3687" spans="1:5" x14ac:dyDescent="0.3">
      <c r="A3687" s="9">
        <f>'Volúmenes DIstribuidos '!B2295</f>
        <v>45384</v>
      </c>
      <c r="B3687" s="10" t="str">
        <f>IF(OR('Volúmenes DIstribuidos '!C2298="Azúcar",'Volúmenes DIstribuidos '!C2298="azúcar"),"Azúcar o dulce",IF('Volúmenes DIstribuidos '!C2298="Aceite","Aceite o grasas",IF('Volúmenes DIstribuidos '!C2298="Avena","Otros almidones",'Volúmenes DIstribuidos '!C2298)))</f>
        <v>Aceite o grasas</v>
      </c>
      <c r="C3687" s="10" t="s">
        <v>29</v>
      </c>
      <c r="D3687" s="12">
        <f>'Volúmenes DIstribuidos '!D2298</f>
        <v>165.374</v>
      </c>
      <c r="E3687" s="12">
        <f>SUMIF('Parametros Inventario'!$A:$A,B3687,'Parametros Inventario'!$B:$B)+SUMIFS(D$2:D3687,B$2:B3687,B3687,C$2:C3687,"ENTRADA")-SUMIFS(D$2:D3687,B$2:B3687,B3687,C$2:C3687,"SALIDA")</f>
        <v>16269.884000000011</v>
      </c>
    </row>
    <row r="3688" spans="1:5" x14ac:dyDescent="0.3">
      <c r="A3688" s="9">
        <f>'Volúmenes DIstribuidos '!B2295</f>
        <v>45384</v>
      </c>
      <c r="B3688" s="10" t="str">
        <f>IF(OR('Volúmenes DIstribuidos '!C2299="Azúcar",'Volúmenes DIstribuidos '!C2299="azúcar"),"Azúcar o dulce",IF('Volúmenes DIstribuidos '!C2299="Aceite","Aceite o grasas",IF('Volúmenes DIstribuidos '!C2299="Avena","Otros almidones",'Volúmenes DIstribuidos '!C2299)))</f>
        <v>Fideo</v>
      </c>
      <c r="C3688" s="10" t="s">
        <v>29</v>
      </c>
      <c r="D3688" s="12">
        <f>'Volúmenes DIstribuidos '!D2299</f>
        <v>16.09</v>
      </c>
      <c r="E3688" s="12">
        <f>SUMIF('Parametros Inventario'!$A:$A,B3688,'Parametros Inventario'!$B:$B)+SUMIFS(D$2:D3688,B$2:B3688,B3688,C$2:C3688,"ENTRADA")-SUMIFS(D$2:D3688,B$2:B3688,B3688,C$2:C3688,"SALIDA")</f>
        <v>19243.949000000008</v>
      </c>
    </row>
    <row r="3689" spans="1:5" x14ac:dyDescent="0.3">
      <c r="A3689" s="9">
        <f>'Volúmenes DIstribuidos '!B2295</f>
        <v>45384</v>
      </c>
      <c r="B3689" s="10" t="str">
        <f>IF(OR('Volúmenes DIstribuidos '!C2300="Azúcar",'Volúmenes DIstribuidos '!C2300="azúcar"),"Azúcar o dulce",IF('Volúmenes DIstribuidos '!C2300="Aceite","Aceite o grasas",IF('Volúmenes DIstribuidos '!C2300="Avena","Otros almidones",'Volúmenes DIstribuidos '!C2300)))</f>
        <v>Aceite o grasas</v>
      </c>
      <c r="C3689" s="10" t="s">
        <v>29</v>
      </c>
      <c r="D3689" s="12">
        <f>'Volúmenes DIstribuidos '!D2300</f>
        <v>70</v>
      </c>
      <c r="E3689" s="12">
        <f>SUMIF('Parametros Inventario'!$A:$A,B3689,'Parametros Inventario'!$B:$B)+SUMIFS(D$2:D3689,B$2:B3689,B3689,C$2:C3689,"ENTRADA")-SUMIFS(D$2:D3689,B$2:B3689,B3689,C$2:C3689,"SALIDA")</f>
        <v>16199.884000000011</v>
      </c>
    </row>
    <row r="3690" spans="1:5" x14ac:dyDescent="0.3">
      <c r="A3690" s="9">
        <v>45387</v>
      </c>
      <c r="B3690" s="10" t="s">
        <v>14</v>
      </c>
      <c r="C3690" s="10" t="s">
        <v>28</v>
      </c>
      <c r="D3690" s="12">
        <v>85.67</v>
      </c>
      <c r="E3690" s="12">
        <f>SUMIF('Parametros Inventario'!$A:$A,B3690,'Parametros Inventario'!$B:$B)+SUMIFS(D$2:D3690,B$2:B3690,B3690,C$2:C3690,"ENTRADA")-SUMIFS(D$2:D3690,B$2:B3690,B3690,C$2:C3690,"SALIDA")</f>
        <v>17196.177000000003</v>
      </c>
    </row>
    <row r="3691" spans="1:5" x14ac:dyDescent="0.3">
      <c r="A3691" s="9">
        <v>45387</v>
      </c>
      <c r="B3691" s="10" t="s">
        <v>12</v>
      </c>
      <c r="C3691" s="10" t="s">
        <v>28</v>
      </c>
      <c r="D3691" s="12">
        <v>191.89</v>
      </c>
      <c r="E3691" s="12">
        <f>SUMIF('Parametros Inventario'!$A:$A,B3691,'Parametros Inventario'!$B:$B)+SUMIFS(D$2:D3691,B$2:B3691,B3691,C$2:C3691,"ENTRADA")-SUMIFS(D$2:D3691,B$2:B3691,B3691,C$2:C3691,"SALIDA")</f>
        <v>16325.457999999999</v>
      </c>
    </row>
    <row r="3692" spans="1:5" x14ac:dyDescent="0.3">
      <c r="A3692" s="9">
        <v>45387</v>
      </c>
      <c r="B3692" s="10" t="s">
        <v>16</v>
      </c>
      <c r="C3692" s="10" t="s">
        <v>28</v>
      </c>
      <c r="D3692" s="12">
        <v>116.84</v>
      </c>
      <c r="E3692" s="12">
        <f>SUMIF('Parametros Inventario'!$A:$A,B3692,'Parametros Inventario'!$B:$B)+SUMIFS(D$2:D3692,B$2:B3692,B3692,C$2:C3692,"ENTRADA")-SUMIFS(D$2:D3692,B$2:B3692,B3692,C$2:C3692,"SALIDA")</f>
        <v>17560.470999999998</v>
      </c>
    </row>
    <row r="3693" spans="1:5" x14ac:dyDescent="0.3">
      <c r="A3693" s="9">
        <v>45387</v>
      </c>
      <c r="B3693" s="10" t="s">
        <v>17</v>
      </c>
      <c r="C3693" s="10" t="s">
        <v>28</v>
      </c>
      <c r="D3693" s="12">
        <v>279.61</v>
      </c>
      <c r="E3693" s="12">
        <f>SUMIF('Parametros Inventario'!$A:$A,B3693,'Parametros Inventario'!$B:$B)+SUMIFS(D$2:D3693,B$2:B3693,B3693,C$2:C3693,"ENTRADA")-SUMIFS(D$2:D3693,B$2:B3693,B3693,C$2:C3693,"SALIDA")</f>
        <v>15897.784999999993</v>
      </c>
    </row>
    <row r="3694" spans="1:5" x14ac:dyDescent="0.3">
      <c r="A3694" s="9">
        <v>45387</v>
      </c>
      <c r="B3694" s="10" t="s">
        <v>18</v>
      </c>
      <c r="C3694" s="10" t="s">
        <v>28</v>
      </c>
      <c r="D3694" s="12">
        <v>209.8</v>
      </c>
      <c r="E3694" s="12">
        <f>SUMIF('Parametros Inventario'!$A:$A,B3694,'Parametros Inventario'!$B:$B)+SUMIFS(D$2:D3694,B$2:B3694,B3694,C$2:C3694,"ENTRADA")-SUMIFS(D$2:D3694,B$2:B3694,B3694,C$2:C3694,"SALIDA")</f>
        <v>16617.043999999991</v>
      </c>
    </row>
    <row r="3695" spans="1:5" x14ac:dyDescent="0.3">
      <c r="A3695" s="9">
        <v>45387</v>
      </c>
      <c r="B3695" s="10" t="s">
        <v>10</v>
      </c>
      <c r="C3695" s="10" t="s">
        <v>28</v>
      </c>
      <c r="D3695" s="12">
        <v>142.54</v>
      </c>
      <c r="E3695" s="12">
        <f>SUMIF('Parametros Inventario'!$A:$A,B3695,'Parametros Inventario'!$B:$B)+SUMIFS(D$2:D3695,B$2:B3695,B3695,C$2:C3695,"ENTRADA")-SUMIFS(D$2:D3695,B$2:B3695,B3695,C$2:C3695,"SALIDA")</f>
        <v>17862.226999999999</v>
      </c>
    </row>
    <row r="3696" spans="1:5" x14ac:dyDescent="0.3">
      <c r="A3696" s="9">
        <v>45387</v>
      </c>
      <c r="B3696" s="10" t="s">
        <v>8</v>
      </c>
      <c r="C3696" s="10" t="s">
        <v>28</v>
      </c>
      <c r="D3696" s="12">
        <v>244.38</v>
      </c>
      <c r="E3696" s="12">
        <f>SUMIF('Parametros Inventario'!$A:$A,B3696,'Parametros Inventario'!$B:$B)+SUMIFS(D$2:D3696,B$2:B3696,B3696,C$2:C3696,"ENTRADA")-SUMIFS(D$2:D3696,B$2:B3696,B3696,C$2:C3696,"SALIDA")</f>
        <v>16444.26400000001</v>
      </c>
    </row>
    <row r="3697" spans="1:5" x14ac:dyDescent="0.3">
      <c r="A3697" s="9">
        <f>'Volúmenes DIstribuidos '!B2301</f>
        <v>45387</v>
      </c>
      <c r="B3697" s="10" t="str">
        <f>IF(OR('Volúmenes DIstribuidos '!C2301="Azúcar",'Volúmenes DIstribuidos '!C2301="azúcar"),"Azúcar o dulce",IF('Volúmenes DIstribuidos '!C2301="Aceite","Aceite o grasas",IF('Volúmenes DIstribuidos '!C2301="Avena","Otros almidones",'Volúmenes DIstribuidos '!C2301)))</f>
        <v>Carnes rojas</v>
      </c>
      <c r="C3697" s="10" t="s">
        <v>29</v>
      </c>
      <c r="D3697" s="12">
        <f>'Volúmenes DIstribuidos '!D2301</f>
        <v>19.225999999999999</v>
      </c>
      <c r="E3697" s="12">
        <f>SUMIF('Parametros Inventario'!$A:$A,B3697,'Parametros Inventario'!$B:$B)+SUMIFS(D$2:D3697,B$2:B3697,B3697,C$2:C3697,"ENTRADA")-SUMIFS(D$2:D3697,B$2:B3697,B3697,C$2:C3697,"SALIDA")</f>
        <v>16306.231999999998</v>
      </c>
    </row>
    <row r="3698" spans="1:5" x14ac:dyDescent="0.3">
      <c r="A3698" s="9">
        <f>'Volúmenes DIstribuidos '!B2301</f>
        <v>45387</v>
      </c>
      <c r="B3698" s="10" t="str">
        <f>IF(OR('Volúmenes DIstribuidos '!C2302="Azúcar",'Volúmenes DIstribuidos '!C2302="azúcar"),"Azúcar o dulce",IF('Volúmenes DIstribuidos '!C2302="Aceite","Aceite o grasas",IF('Volúmenes DIstribuidos '!C2302="Avena","Otros almidones",'Volúmenes DIstribuidos '!C2302)))</f>
        <v>Carnes blancas</v>
      </c>
      <c r="C3698" s="10" t="s">
        <v>29</v>
      </c>
      <c r="D3698" s="12">
        <f>'Volúmenes DIstribuidos '!D2302</f>
        <v>60.33</v>
      </c>
      <c r="E3698" s="12">
        <f>SUMIF('Parametros Inventario'!$A:$A,B3698,'Parametros Inventario'!$B:$B)+SUMIFS(D$2:D3698,B$2:B3698,B3698,C$2:C3698,"ENTRADA")-SUMIFS(D$2:D3698,B$2:B3698,B3698,C$2:C3698,"SALIDA")</f>
        <v>17500.141</v>
      </c>
    </row>
    <row r="3699" spans="1:5" x14ac:dyDescent="0.3">
      <c r="A3699" s="9">
        <f>'Volúmenes DIstribuidos '!B2301</f>
        <v>45387</v>
      </c>
      <c r="B3699" s="10" t="str">
        <f>IF(OR('Volúmenes DIstribuidos '!C2303="Azúcar",'Volúmenes DIstribuidos '!C2303="azúcar"),"Azúcar o dulce",IF('Volúmenes DIstribuidos '!C2303="Aceite","Aceite o grasas",IF('Volúmenes DIstribuidos '!C2303="Avena","Otros almidones",'Volúmenes DIstribuidos '!C2303)))</f>
        <v>Carnes rojas</v>
      </c>
      <c r="C3699" s="10" t="s">
        <v>29</v>
      </c>
      <c r="D3699" s="12">
        <f>'Volúmenes DIstribuidos '!D2303</f>
        <v>26</v>
      </c>
      <c r="E3699" s="12">
        <f>SUMIF('Parametros Inventario'!$A:$A,B3699,'Parametros Inventario'!$B:$B)+SUMIFS(D$2:D3699,B$2:B3699,B3699,C$2:C3699,"ENTRADA")-SUMIFS(D$2:D3699,B$2:B3699,B3699,C$2:C3699,"SALIDA")</f>
        <v>16280.231999999998</v>
      </c>
    </row>
    <row r="3700" spans="1:5" x14ac:dyDescent="0.3">
      <c r="A3700" s="9">
        <f>'Volúmenes DIstribuidos '!B2301</f>
        <v>45387</v>
      </c>
      <c r="B3700" s="10" t="str">
        <f>IF(OR('Volúmenes DIstribuidos '!C2304="Azúcar",'Volúmenes DIstribuidos '!C2304="azúcar"),"Azúcar o dulce",IF('Volúmenes DIstribuidos '!C2304="Aceite","Aceite o grasas",IF('Volúmenes DIstribuidos '!C2304="Avena","Otros almidones",'Volúmenes DIstribuidos '!C2304)))</f>
        <v>Aceite o grasas</v>
      </c>
      <c r="C3700" s="10" t="s">
        <v>29</v>
      </c>
      <c r="D3700" s="12">
        <f>'Volúmenes DIstribuidos '!D2304</f>
        <v>64.728999999999999</v>
      </c>
      <c r="E3700" s="12">
        <f>SUMIF('Parametros Inventario'!$A:$A,B3700,'Parametros Inventario'!$B:$B)+SUMIFS(D$2:D3700,B$2:B3700,B3700,C$2:C3700,"ENTRADA")-SUMIFS(D$2:D3700,B$2:B3700,B3700,C$2:C3700,"SALIDA")</f>
        <v>16379.535000000011</v>
      </c>
    </row>
    <row r="3701" spans="1:5" x14ac:dyDescent="0.3">
      <c r="A3701" s="9">
        <f>'Volúmenes DIstribuidos '!B2301</f>
        <v>45387</v>
      </c>
      <c r="B3701" s="10" t="str">
        <f>IF(OR('Volúmenes DIstribuidos '!C2305="Azúcar",'Volúmenes DIstribuidos '!C2305="azúcar"),"Azúcar o dulce",IF('Volúmenes DIstribuidos '!C2305="Aceite","Aceite o grasas",IF('Volúmenes DIstribuidos '!C2305="Avena","Otros almidones",'Volúmenes DIstribuidos '!C2305)))</f>
        <v>Otros almidones</v>
      </c>
      <c r="C3701" s="10" t="s">
        <v>29</v>
      </c>
      <c r="D3701" s="12">
        <f>'Volúmenes DIstribuidos '!D2305</f>
        <v>7.91</v>
      </c>
      <c r="E3701" s="12">
        <f>SUMIF('Parametros Inventario'!$A:$A,B3701,'Parametros Inventario'!$B:$B)+SUMIFS(D$2:D3701,B$2:B3701,B3701,C$2:C3701,"ENTRADA")-SUMIFS(D$2:D3701,B$2:B3701,B3701,C$2:C3701,"SALIDA")</f>
        <v>18164.560000000001</v>
      </c>
    </row>
    <row r="3702" spans="1:5" x14ac:dyDescent="0.3">
      <c r="A3702" s="9">
        <f>'Volúmenes DIstribuidos '!B2301</f>
        <v>45387</v>
      </c>
      <c r="B3702" s="10" t="str">
        <f>IF(OR('Volúmenes DIstribuidos '!C2306="Azúcar",'Volúmenes DIstribuidos '!C2306="azúcar"),"Azúcar o dulce",IF('Volúmenes DIstribuidos '!C2306="Aceite","Aceite o grasas",IF('Volúmenes DIstribuidos '!C2306="Avena","Otros almidones",'Volúmenes DIstribuidos '!C2306)))</f>
        <v>Aceite o grasas</v>
      </c>
      <c r="C3702" s="10" t="s">
        <v>29</v>
      </c>
      <c r="D3702" s="12">
        <f>'Volúmenes DIstribuidos '!D2306</f>
        <v>60.08</v>
      </c>
      <c r="E3702" s="12">
        <f>SUMIF('Parametros Inventario'!$A:$A,B3702,'Parametros Inventario'!$B:$B)+SUMIFS(D$2:D3702,B$2:B3702,B3702,C$2:C3702,"ENTRADA")-SUMIFS(D$2:D3702,B$2:B3702,B3702,C$2:C3702,"SALIDA")</f>
        <v>16319.455000000013</v>
      </c>
    </row>
    <row r="3703" spans="1:5" x14ac:dyDescent="0.3">
      <c r="A3703" s="9">
        <v>45391</v>
      </c>
      <c r="B3703" s="10" t="s">
        <v>13</v>
      </c>
      <c r="C3703" s="10" t="s">
        <v>28</v>
      </c>
      <c r="D3703" s="12">
        <v>219.55</v>
      </c>
      <c r="E3703" s="12">
        <f>SUMIF('Parametros Inventario'!$A:$A,B3703,'Parametros Inventario'!$B:$B)+SUMIFS(D$2:D3703,B$2:B3703,B3703,C$2:C3703,"ENTRADA")-SUMIFS(D$2:D3703,B$2:B3703,B3703,C$2:C3703,"SALIDA")</f>
        <v>15964.716000000008</v>
      </c>
    </row>
    <row r="3704" spans="1:5" x14ac:dyDescent="0.3">
      <c r="A3704" s="9">
        <v>45391</v>
      </c>
      <c r="B3704" s="10" t="s">
        <v>15</v>
      </c>
      <c r="C3704" s="10" t="s">
        <v>28</v>
      </c>
      <c r="D3704" s="12">
        <v>154.56</v>
      </c>
      <c r="E3704" s="12">
        <f>SUMIF('Parametros Inventario'!$A:$A,B3704,'Parametros Inventario'!$B:$B)+SUMIFS(D$2:D3704,B$2:B3704,B3704,C$2:C3704,"ENTRADA")-SUMIFS(D$2:D3704,B$2:B3704,B3704,C$2:C3704,"SALIDA")</f>
        <v>18319.120000000003</v>
      </c>
    </row>
    <row r="3705" spans="1:5" x14ac:dyDescent="0.3">
      <c r="A3705" s="9">
        <v>45391</v>
      </c>
      <c r="B3705" s="10" t="s">
        <v>11</v>
      </c>
      <c r="C3705" s="10" t="s">
        <v>28</v>
      </c>
      <c r="D3705" s="12">
        <v>164.45</v>
      </c>
      <c r="E3705" s="12">
        <f>SUMIF('Parametros Inventario'!$A:$A,B3705,'Parametros Inventario'!$B:$B)+SUMIFS(D$2:D3705,B$2:B3705,B3705,C$2:C3705,"ENTRADA")-SUMIFS(D$2:D3705,B$2:B3705,B3705,C$2:C3705,"SALIDA")</f>
        <v>19408.399000000005</v>
      </c>
    </row>
    <row r="3706" spans="1:5" x14ac:dyDescent="0.3">
      <c r="A3706" s="9">
        <v>45391</v>
      </c>
      <c r="B3706" s="10" t="s">
        <v>9</v>
      </c>
      <c r="C3706" s="10" t="s">
        <v>28</v>
      </c>
      <c r="D3706" s="12">
        <v>159.74</v>
      </c>
      <c r="E3706" s="12">
        <f>SUMIF('Parametros Inventario'!$A:$A,B3706,'Parametros Inventario'!$B:$B)+SUMIFS(D$2:D3706,B$2:B3706,B3706,C$2:C3706,"ENTRADA")-SUMIFS(D$2:D3706,B$2:B3706,B3706,C$2:C3706,"SALIDA")</f>
        <v>14970.732999999997</v>
      </c>
    </row>
    <row r="3707" spans="1:5" x14ac:dyDescent="0.3">
      <c r="A3707" s="9">
        <v>45391</v>
      </c>
      <c r="B3707" s="10" t="s">
        <v>14</v>
      </c>
      <c r="C3707" s="10" t="s">
        <v>28</v>
      </c>
      <c r="D3707" s="12">
        <v>138.5</v>
      </c>
      <c r="E3707" s="12">
        <f>SUMIF('Parametros Inventario'!$A:$A,B3707,'Parametros Inventario'!$B:$B)+SUMIFS(D$2:D3707,B$2:B3707,B3707,C$2:C3707,"ENTRADA")-SUMIFS(D$2:D3707,B$2:B3707,B3707,C$2:C3707,"SALIDA")</f>
        <v>17334.677000000003</v>
      </c>
    </row>
    <row r="3708" spans="1:5" x14ac:dyDescent="0.3">
      <c r="A3708" s="9">
        <v>45391</v>
      </c>
      <c r="B3708" s="10" t="s">
        <v>12</v>
      </c>
      <c r="C3708" s="10" t="s">
        <v>28</v>
      </c>
      <c r="D3708" s="12">
        <v>167.17</v>
      </c>
      <c r="E3708" s="12">
        <f>SUMIF('Parametros Inventario'!$A:$A,B3708,'Parametros Inventario'!$B:$B)+SUMIFS(D$2:D3708,B$2:B3708,B3708,C$2:C3708,"ENTRADA")-SUMIFS(D$2:D3708,B$2:B3708,B3708,C$2:C3708,"SALIDA")</f>
        <v>16447.401999999995</v>
      </c>
    </row>
    <row r="3709" spans="1:5" x14ac:dyDescent="0.3">
      <c r="A3709" s="9">
        <v>45391</v>
      </c>
      <c r="B3709" s="10" t="s">
        <v>16</v>
      </c>
      <c r="C3709" s="10" t="s">
        <v>28</v>
      </c>
      <c r="D3709" s="12">
        <v>121.7</v>
      </c>
      <c r="E3709" s="12">
        <f>SUMIF('Parametros Inventario'!$A:$A,B3709,'Parametros Inventario'!$B:$B)+SUMIFS(D$2:D3709,B$2:B3709,B3709,C$2:C3709,"ENTRADA")-SUMIFS(D$2:D3709,B$2:B3709,B3709,C$2:C3709,"SALIDA")</f>
        <v>17621.841</v>
      </c>
    </row>
    <row r="3710" spans="1:5" x14ac:dyDescent="0.3">
      <c r="A3710" s="9">
        <v>45391</v>
      </c>
      <c r="B3710" s="10" t="s">
        <v>17</v>
      </c>
      <c r="C3710" s="10" t="s">
        <v>28</v>
      </c>
      <c r="D3710" s="12">
        <v>288.14999999999998</v>
      </c>
      <c r="E3710" s="12">
        <f>SUMIF('Parametros Inventario'!$A:$A,B3710,'Parametros Inventario'!$B:$B)+SUMIFS(D$2:D3710,B$2:B3710,B3710,C$2:C3710,"ENTRADA")-SUMIFS(D$2:D3710,B$2:B3710,B3710,C$2:C3710,"SALIDA")</f>
        <v>16185.934999999994</v>
      </c>
    </row>
    <row r="3711" spans="1:5" x14ac:dyDescent="0.3">
      <c r="A3711" s="9">
        <v>45391</v>
      </c>
      <c r="B3711" s="10" t="s">
        <v>18</v>
      </c>
      <c r="C3711" s="10" t="s">
        <v>28</v>
      </c>
      <c r="D3711" s="12">
        <v>180.15</v>
      </c>
      <c r="E3711" s="12">
        <f>SUMIF('Parametros Inventario'!$A:$A,B3711,'Parametros Inventario'!$B:$B)+SUMIFS(D$2:D3711,B$2:B3711,B3711,C$2:C3711,"ENTRADA")-SUMIFS(D$2:D3711,B$2:B3711,B3711,C$2:C3711,"SALIDA")</f>
        <v>16797.193999999992</v>
      </c>
    </row>
    <row r="3712" spans="1:5" x14ac:dyDescent="0.3">
      <c r="A3712" s="9">
        <v>45391</v>
      </c>
      <c r="B3712" s="10" t="s">
        <v>10</v>
      </c>
      <c r="C3712" s="10" t="s">
        <v>28</v>
      </c>
      <c r="D3712" s="12">
        <v>229.62</v>
      </c>
      <c r="E3712" s="12">
        <f>SUMIF('Parametros Inventario'!$A:$A,B3712,'Parametros Inventario'!$B:$B)+SUMIFS(D$2:D3712,B$2:B3712,B3712,C$2:C3712,"ENTRADA")-SUMIFS(D$2:D3712,B$2:B3712,B3712,C$2:C3712,"SALIDA")</f>
        <v>18091.846999999998</v>
      </c>
    </row>
    <row r="3713" spans="1:5" x14ac:dyDescent="0.3">
      <c r="A3713" s="9">
        <v>45391</v>
      </c>
      <c r="B3713" s="10" t="s">
        <v>8</v>
      </c>
      <c r="C3713" s="10" t="s">
        <v>28</v>
      </c>
      <c r="D3713" s="12">
        <v>280.95</v>
      </c>
      <c r="E3713" s="12">
        <f>SUMIF('Parametros Inventario'!$A:$A,B3713,'Parametros Inventario'!$B:$B)+SUMIFS(D$2:D3713,B$2:B3713,B3713,C$2:C3713,"ENTRADA")-SUMIFS(D$2:D3713,B$2:B3713,B3713,C$2:C3713,"SALIDA")</f>
        <v>16600.405000000013</v>
      </c>
    </row>
    <row r="3714" spans="1:5" x14ac:dyDescent="0.3">
      <c r="A3714" s="9">
        <f>'Volúmenes DIstribuidos '!B2307</f>
        <v>45391</v>
      </c>
      <c r="B3714" s="10" t="str">
        <f>IF(OR('Volúmenes DIstribuidos '!C2307="Azúcar",'Volúmenes DIstribuidos '!C2307="azúcar"),"Azúcar o dulce",IF('Volúmenes DIstribuidos '!C2307="Aceite","Aceite o grasas",IF('Volúmenes DIstribuidos '!C2307="Avena","Otros almidones",'Volúmenes DIstribuidos '!C2307)))</f>
        <v>Azúcar o dulce</v>
      </c>
      <c r="C3714" s="10" t="s">
        <v>29</v>
      </c>
      <c r="D3714" s="12">
        <f>'Volúmenes DIstribuidos '!D2307</f>
        <v>19.53</v>
      </c>
      <c r="E3714" s="12">
        <f>SUMIF('Parametros Inventario'!$A:$A,B3714,'Parametros Inventario'!$B:$B)+SUMIFS(D$2:D3714,B$2:B3714,B3714,C$2:C3714,"ENTRADA")-SUMIFS(D$2:D3714,B$2:B3714,B3714,C$2:C3714,"SALIDA")</f>
        <v>15945.186000000009</v>
      </c>
    </row>
    <row r="3715" spans="1:5" x14ac:dyDescent="0.3">
      <c r="A3715" s="9">
        <f>'Volúmenes DIstribuidos '!B2307</f>
        <v>45391</v>
      </c>
      <c r="B3715" s="10" t="str">
        <f>IF(OR('Volúmenes DIstribuidos '!C2308="Azúcar",'Volúmenes DIstribuidos '!C2308="azúcar"),"Azúcar o dulce",IF('Volúmenes DIstribuidos '!C2308="Aceite","Aceite o grasas",IF('Volúmenes DIstribuidos '!C2308="Avena","Otros almidones",'Volúmenes DIstribuidos '!C2308)))</f>
        <v>Lácteos</v>
      </c>
      <c r="C3715" s="10" t="s">
        <v>29</v>
      </c>
      <c r="D3715" s="12">
        <f>'Volúmenes DIstribuidos '!D2308</f>
        <v>4.7949999999999999</v>
      </c>
      <c r="E3715" s="12">
        <f>SUMIF('Parametros Inventario'!$A:$A,B3715,'Parametros Inventario'!$B:$B)+SUMIFS(D$2:D3715,B$2:B3715,B3715,C$2:C3715,"ENTRADA")-SUMIFS(D$2:D3715,B$2:B3715,B3715,C$2:C3715,"SALIDA")</f>
        <v>16181.139999999996</v>
      </c>
    </row>
    <row r="3716" spans="1:5" x14ac:dyDescent="0.3">
      <c r="A3716" s="9">
        <f>'Volúmenes DIstribuidos '!B2307</f>
        <v>45391</v>
      </c>
      <c r="B3716" s="10" t="str">
        <f>IF(OR('Volúmenes DIstribuidos '!C2309="Azúcar",'Volúmenes DIstribuidos '!C2309="azúcar"),"Azúcar o dulce",IF('Volúmenes DIstribuidos '!C2309="Aceite","Aceite o grasas",IF('Volúmenes DIstribuidos '!C2309="Avena","Otros almidones",'Volúmenes DIstribuidos '!C2309)))</f>
        <v>Vegetales y hojas</v>
      </c>
      <c r="C3716" s="10" t="s">
        <v>29</v>
      </c>
      <c r="D3716" s="12">
        <f>'Volúmenes DIstribuidos '!D2309</f>
        <v>58.61</v>
      </c>
      <c r="E3716" s="12">
        <f>SUMIF('Parametros Inventario'!$A:$A,B3716,'Parametros Inventario'!$B:$B)+SUMIFS(D$2:D3716,B$2:B3716,B3716,C$2:C3716,"ENTRADA")-SUMIFS(D$2:D3716,B$2:B3716,B3716,C$2:C3716,"SALIDA")</f>
        <v>18033.237000000001</v>
      </c>
    </row>
    <row r="3717" spans="1:5" x14ac:dyDescent="0.3">
      <c r="A3717" s="9">
        <f>'Volúmenes DIstribuidos '!B2307</f>
        <v>45391</v>
      </c>
      <c r="B3717" s="10" t="str">
        <f>IF(OR('Volúmenes DIstribuidos '!C2310="Azúcar",'Volúmenes DIstribuidos '!C2310="azúcar"),"Azúcar o dulce",IF('Volúmenes DIstribuidos '!C2310="Aceite","Aceite o grasas",IF('Volúmenes DIstribuidos '!C2310="Avena","Otros almidones",'Volúmenes DIstribuidos '!C2310)))</f>
        <v>Fideo</v>
      </c>
      <c r="C3717" s="10" t="s">
        <v>29</v>
      </c>
      <c r="D3717" s="12">
        <f>'Volúmenes DIstribuidos '!D2310</f>
        <v>34.590000000000003</v>
      </c>
      <c r="E3717" s="12">
        <f>SUMIF('Parametros Inventario'!$A:$A,B3717,'Parametros Inventario'!$B:$B)+SUMIFS(D$2:D3717,B$2:B3717,B3717,C$2:C3717,"ENTRADA")-SUMIFS(D$2:D3717,B$2:B3717,B3717,C$2:C3717,"SALIDA")</f>
        <v>19373.809000000008</v>
      </c>
    </row>
    <row r="3718" spans="1:5" x14ac:dyDescent="0.3">
      <c r="A3718" s="9">
        <f>'Volúmenes DIstribuidos '!B2307</f>
        <v>45391</v>
      </c>
      <c r="B3718" s="10" t="str">
        <f>IF(OR('Volúmenes DIstribuidos '!C2311="Azúcar",'Volúmenes DIstribuidos '!C2311="azúcar"),"Azúcar o dulce",IF('Volúmenes DIstribuidos '!C2311="Aceite","Aceite o grasas",IF('Volúmenes DIstribuidos '!C2311="Avena","Otros almidones",'Volúmenes DIstribuidos '!C2311)))</f>
        <v>Azúcar o dulce</v>
      </c>
      <c r="C3718" s="10" t="s">
        <v>29</v>
      </c>
      <c r="D3718" s="12">
        <f>'Volúmenes DIstribuidos '!D2311</f>
        <v>14.12</v>
      </c>
      <c r="E3718" s="12">
        <f>SUMIF('Parametros Inventario'!$A:$A,B3718,'Parametros Inventario'!$B:$B)+SUMIFS(D$2:D3718,B$2:B3718,B3718,C$2:C3718,"ENTRADA")-SUMIFS(D$2:D3718,B$2:B3718,B3718,C$2:C3718,"SALIDA")</f>
        <v>15931.066000000008</v>
      </c>
    </row>
    <row r="3719" spans="1:5" x14ac:dyDescent="0.3">
      <c r="A3719" s="9">
        <f>'Volúmenes DIstribuidos '!B2307</f>
        <v>45391</v>
      </c>
      <c r="B3719" s="10" t="str">
        <f>IF(OR('Volúmenes DIstribuidos '!C2312="Azúcar",'Volúmenes DIstribuidos '!C2312="azúcar"),"Azúcar o dulce",IF('Volúmenes DIstribuidos '!C2312="Aceite","Aceite o grasas",IF('Volúmenes DIstribuidos '!C2312="Avena","Otros almidones",'Volúmenes DIstribuidos '!C2312)))</f>
        <v>Carnes blancas</v>
      </c>
      <c r="C3719" s="10" t="s">
        <v>29</v>
      </c>
      <c r="D3719" s="12">
        <f>'Volúmenes DIstribuidos '!D2312</f>
        <v>26.271999999999998</v>
      </c>
      <c r="E3719" s="12">
        <f>SUMIF('Parametros Inventario'!$A:$A,B3719,'Parametros Inventario'!$B:$B)+SUMIFS(D$2:D3719,B$2:B3719,B3719,C$2:C3719,"ENTRADA")-SUMIFS(D$2:D3719,B$2:B3719,B3719,C$2:C3719,"SALIDA")</f>
        <v>17595.569</v>
      </c>
    </row>
    <row r="3720" spans="1:5" x14ac:dyDescent="0.3">
      <c r="A3720" s="9">
        <v>45394</v>
      </c>
      <c r="B3720" s="10" t="s">
        <v>13</v>
      </c>
      <c r="C3720" s="10" t="s">
        <v>28</v>
      </c>
      <c r="D3720" s="12">
        <v>107.19</v>
      </c>
      <c r="E3720" s="12">
        <f>SUMIF('Parametros Inventario'!$A:$A,B3720,'Parametros Inventario'!$B:$B)+SUMIFS(D$2:D3720,B$2:B3720,B3720,C$2:C3720,"ENTRADA")-SUMIFS(D$2:D3720,B$2:B3720,B3720,C$2:C3720,"SALIDA")</f>
        <v>16038.256000000007</v>
      </c>
    </row>
    <row r="3721" spans="1:5" x14ac:dyDescent="0.3">
      <c r="A3721" s="9">
        <v>45394</v>
      </c>
      <c r="B3721" s="10" t="s">
        <v>15</v>
      </c>
      <c r="C3721" s="10" t="s">
        <v>28</v>
      </c>
      <c r="D3721" s="12">
        <v>208.91</v>
      </c>
      <c r="E3721" s="12">
        <f>SUMIF('Parametros Inventario'!$A:$A,B3721,'Parametros Inventario'!$B:$B)+SUMIFS(D$2:D3721,B$2:B3721,B3721,C$2:C3721,"ENTRADA")-SUMIFS(D$2:D3721,B$2:B3721,B3721,C$2:C3721,"SALIDA")</f>
        <v>18528.030000000002</v>
      </c>
    </row>
    <row r="3722" spans="1:5" x14ac:dyDescent="0.3">
      <c r="A3722" s="9">
        <v>45394</v>
      </c>
      <c r="B3722" s="10" t="s">
        <v>11</v>
      </c>
      <c r="C3722" s="10" t="s">
        <v>28</v>
      </c>
      <c r="D3722" s="12">
        <v>71.739999999999995</v>
      </c>
      <c r="E3722" s="12">
        <f>SUMIF('Parametros Inventario'!$A:$A,B3722,'Parametros Inventario'!$B:$B)+SUMIFS(D$2:D3722,B$2:B3722,B3722,C$2:C3722,"ENTRADA")-SUMIFS(D$2:D3722,B$2:B3722,B3722,C$2:C3722,"SALIDA")</f>
        <v>19445.549000000006</v>
      </c>
    </row>
    <row r="3723" spans="1:5" x14ac:dyDescent="0.3">
      <c r="A3723" s="9">
        <v>45394</v>
      </c>
      <c r="B3723" s="10" t="s">
        <v>9</v>
      </c>
      <c r="C3723" s="10" t="s">
        <v>28</v>
      </c>
      <c r="D3723" s="12">
        <v>126.42</v>
      </c>
      <c r="E3723" s="12">
        <f>SUMIF('Parametros Inventario'!$A:$A,B3723,'Parametros Inventario'!$B:$B)+SUMIFS(D$2:D3723,B$2:B3723,B3723,C$2:C3723,"ENTRADA")-SUMIFS(D$2:D3723,B$2:B3723,B3723,C$2:C3723,"SALIDA")</f>
        <v>15097.152999999995</v>
      </c>
    </row>
    <row r="3724" spans="1:5" x14ac:dyDescent="0.3">
      <c r="A3724" s="9">
        <v>45394</v>
      </c>
      <c r="B3724" s="10" t="s">
        <v>14</v>
      </c>
      <c r="C3724" s="10" t="s">
        <v>28</v>
      </c>
      <c r="D3724" s="12">
        <v>242.64</v>
      </c>
      <c r="E3724" s="12">
        <f>SUMIF('Parametros Inventario'!$A:$A,B3724,'Parametros Inventario'!$B:$B)+SUMIFS(D$2:D3724,B$2:B3724,B3724,C$2:C3724,"ENTRADA")-SUMIFS(D$2:D3724,B$2:B3724,B3724,C$2:C3724,"SALIDA")</f>
        <v>17577.317000000003</v>
      </c>
    </row>
    <row r="3725" spans="1:5" x14ac:dyDescent="0.3">
      <c r="A3725" s="9">
        <v>45394</v>
      </c>
      <c r="B3725" s="10" t="s">
        <v>12</v>
      </c>
      <c r="C3725" s="10" t="s">
        <v>28</v>
      </c>
      <c r="D3725" s="12">
        <v>261.31</v>
      </c>
      <c r="E3725" s="12">
        <f>SUMIF('Parametros Inventario'!$A:$A,B3725,'Parametros Inventario'!$B:$B)+SUMIFS(D$2:D3725,B$2:B3725,B3725,C$2:C3725,"ENTRADA")-SUMIFS(D$2:D3725,B$2:B3725,B3725,C$2:C3725,"SALIDA")</f>
        <v>16708.712</v>
      </c>
    </row>
    <row r="3726" spans="1:5" x14ac:dyDescent="0.3">
      <c r="A3726" s="9">
        <v>45394</v>
      </c>
      <c r="B3726" s="10" t="s">
        <v>16</v>
      </c>
      <c r="C3726" s="10" t="s">
        <v>28</v>
      </c>
      <c r="D3726" s="12">
        <v>208.67</v>
      </c>
      <c r="E3726" s="12">
        <f>SUMIF('Parametros Inventario'!$A:$A,B3726,'Parametros Inventario'!$B:$B)+SUMIFS(D$2:D3726,B$2:B3726,B3726,C$2:C3726,"ENTRADA")-SUMIFS(D$2:D3726,B$2:B3726,B3726,C$2:C3726,"SALIDA")</f>
        <v>17804.238999999998</v>
      </c>
    </row>
    <row r="3727" spans="1:5" x14ac:dyDescent="0.3">
      <c r="A3727" s="9">
        <v>45394</v>
      </c>
      <c r="B3727" s="10" t="s">
        <v>17</v>
      </c>
      <c r="C3727" s="10" t="s">
        <v>28</v>
      </c>
      <c r="D3727" s="12">
        <v>69.17</v>
      </c>
      <c r="E3727" s="12">
        <f>SUMIF('Parametros Inventario'!$A:$A,B3727,'Parametros Inventario'!$B:$B)+SUMIFS(D$2:D3727,B$2:B3727,B3727,C$2:C3727,"ENTRADA")-SUMIFS(D$2:D3727,B$2:B3727,B3727,C$2:C3727,"SALIDA")</f>
        <v>16250.309999999994</v>
      </c>
    </row>
    <row r="3728" spans="1:5" x14ac:dyDescent="0.3">
      <c r="A3728" s="9">
        <v>45394</v>
      </c>
      <c r="B3728" s="10" t="s">
        <v>18</v>
      </c>
      <c r="C3728" s="10" t="s">
        <v>28</v>
      </c>
      <c r="D3728" s="12">
        <v>110.01</v>
      </c>
      <c r="E3728" s="12">
        <f>SUMIF('Parametros Inventario'!$A:$A,B3728,'Parametros Inventario'!$B:$B)+SUMIFS(D$2:D3728,B$2:B3728,B3728,C$2:C3728,"ENTRADA")-SUMIFS(D$2:D3728,B$2:B3728,B3728,C$2:C3728,"SALIDA")</f>
        <v>16907.203999999991</v>
      </c>
    </row>
    <row r="3729" spans="1:5" x14ac:dyDescent="0.3">
      <c r="A3729" s="9">
        <f>'Volúmenes DIstribuidos '!B2313</f>
        <v>45394</v>
      </c>
      <c r="B3729" s="10" t="str">
        <f>IF(OR('Volúmenes DIstribuidos '!C2313="Azúcar",'Volúmenes DIstribuidos '!C2313="azúcar"),"Azúcar o dulce",IF('Volúmenes DIstribuidos '!C2313="Aceite","Aceite o grasas",IF('Volúmenes DIstribuidos '!C2313="Avena","Otros almidones",'Volúmenes DIstribuidos '!C2313)))</f>
        <v>Otros almidones</v>
      </c>
      <c r="C3729" s="10" t="s">
        <v>29</v>
      </c>
      <c r="D3729" s="12">
        <f>'Volúmenes DIstribuidos '!D2313</f>
        <v>10.8</v>
      </c>
      <c r="E3729" s="12">
        <f>SUMIF('Parametros Inventario'!$A:$A,B3729,'Parametros Inventario'!$B:$B)+SUMIFS(D$2:D3729,B$2:B3729,B3729,C$2:C3729,"ENTRADA")-SUMIFS(D$2:D3729,B$2:B3729,B3729,C$2:C3729,"SALIDA")</f>
        <v>18517.230000000003</v>
      </c>
    </row>
    <row r="3730" spans="1:5" x14ac:dyDescent="0.3">
      <c r="A3730" s="9">
        <f>'Volúmenes DIstribuidos '!B2313</f>
        <v>45394</v>
      </c>
      <c r="B3730" s="10" t="str">
        <f>IF(OR('Volúmenes DIstribuidos '!C2314="Azúcar",'Volúmenes DIstribuidos '!C2314="azúcar"),"Azúcar o dulce",IF('Volúmenes DIstribuidos '!C2314="Aceite","Aceite o grasas",IF('Volúmenes DIstribuidos '!C2314="Avena","Otros almidones",'Volúmenes DIstribuidos '!C2314)))</f>
        <v>Lácteos</v>
      </c>
      <c r="C3730" s="10" t="s">
        <v>29</v>
      </c>
      <c r="D3730" s="12">
        <f>'Volúmenes DIstribuidos '!D2314</f>
        <v>36.14</v>
      </c>
      <c r="E3730" s="12">
        <f>SUMIF('Parametros Inventario'!$A:$A,B3730,'Parametros Inventario'!$B:$B)+SUMIFS(D$2:D3730,B$2:B3730,B3730,C$2:C3730,"ENTRADA")-SUMIFS(D$2:D3730,B$2:B3730,B3730,C$2:C3730,"SALIDA")</f>
        <v>16214.169999999993</v>
      </c>
    </row>
    <row r="3731" spans="1:5" x14ac:dyDescent="0.3">
      <c r="A3731" s="9">
        <f>'Volúmenes DIstribuidos '!B2313</f>
        <v>45394</v>
      </c>
      <c r="B3731" s="10" t="str">
        <f>IF(OR('Volúmenes DIstribuidos '!C2315="Azúcar",'Volúmenes DIstribuidos '!C2315="azúcar"),"Azúcar o dulce",IF('Volúmenes DIstribuidos '!C2315="Aceite","Aceite o grasas",IF('Volúmenes DIstribuidos '!C2315="Avena","Otros almidones",'Volúmenes DIstribuidos '!C2315)))</f>
        <v>Panadería</v>
      </c>
      <c r="C3731" s="10" t="s">
        <v>29</v>
      </c>
      <c r="D3731" s="12">
        <f>'Volúmenes DIstribuidos '!D2315</f>
        <v>6.58</v>
      </c>
      <c r="E3731" s="12">
        <f>SUMIF('Parametros Inventario'!$A:$A,B3731,'Parametros Inventario'!$B:$B)+SUMIFS(D$2:D3731,B$2:B3731,B3731,C$2:C3731,"ENTRADA")-SUMIFS(D$2:D3731,B$2:B3731,B3731,C$2:C3731,"SALIDA")</f>
        <v>15090.572999999997</v>
      </c>
    </row>
    <row r="3732" spans="1:5" x14ac:dyDescent="0.3">
      <c r="A3732" s="9">
        <f>'Volúmenes DIstribuidos '!B2313</f>
        <v>45394</v>
      </c>
      <c r="B3732" s="10" t="str">
        <f>IF(OR('Volúmenes DIstribuidos '!C2316="Azúcar",'Volúmenes DIstribuidos '!C2316="azúcar"),"Azúcar o dulce",IF('Volúmenes DIstribuidos '!C2316="Aceite","Aceite o grasas",IF('Volúmenes DIstribuidos '!C2316="Avena","Otros almidones",'Volúmenes DIstribuidos '!C2316)))</f>
        <v>Vegetales y hojas</v>
      </c>
      <c r="C3732" s="10" t="s">
        <v>29</v>
      </c>
      <c r="D3732" s="12">
        <f>'Volúmenes DIstribuidos '!D2316</f>
        <v>12.09</v>
      </c>
      <c r="E3732" s="12">
        <f>SUMIF('Parametros Inventario'!$A:$A,B3732,'Parametros Inventario'!$B:$B)+SUMIFS(D$2:D3732,B$2:B3732,B3732,C$2:C3732,"ENTRADA")-SUMIFS(D$2:D3732,B$2:B3732,B3732,C$2:C3732,"SALIDA")</f>
        <v>18021.146999999997</v>
      </c>
    </row>
    <row r="3733" spans="1:5" x14ac:dyDescent="0.3">
      <c r="A3733" s="9">
        <f>'Volúmenes DIstribuidos '!B2313</f>
        <v>45394</v>
      </c>
      <c r="B3733" s="10" t="str">
        <f>IF(OR('Volúmenes DIstribuidos '!C2317="Azúcar",'Volúmenes DIstribuidos '!C2317="azúcar"),"Azúcar o dulce",IF('Volúmenes DIstribuidos '!C2317="Aceite","Aceite o grasas",IF('Volúmenes DIstribuidos '!C2317="Avena","Otros almidones",'Volúmenes DIstribuidos '!C2317)))</f>
        <v>Salsas</v>
      </c>
      <c r="C3733" s="10" t="s">
        <v>29</v>
      </c>
      <c r="D3733" s="12">
        <f>'Volúmenes DIstribuidos '!D2317</f>
        <v>37.128999999999998</v>
      </c>
      <c r="E3733" s="12">
        <f>SUMIF('Parametros Inventario'!$A:$A,B3733,'Parametros Inventario'!$B:$B)+SUMIFS(D$2:D3733,B$2:B3733,B3733,C$2:C3733,"ENTRADA")-SUMIFS(D$2:D3733,B$2:B3733,B3733,C$2:C3733,"SALIDA")</f>
        <v>16870.07499999999</v>
      </c>
    </row>
    <row r="3734" spans="1:5" x14ac:dyDescent="0.3">
      <c r="A3734" s="9">
        <f>'Volúmenes DIstribuidos '!B2313</f>
        <v>45394</v>
      </c>
      <c r="B3734" s="10" t="str">
        <f>IF(OR('Volúmenes DIstribuidos '!C2318="Azúcar",'Volúmenes DIstribuidos '!C2318="azúcar"),"Azúcar o dulce",IF('Volúmenes DIstribuidos '!C2318="Aceite","Aceite o grasas",IF('Volúmenes DIstribuidos '!C2318="Avena","Otros almidones",'Volúmenes DIstribuidos '!C2318)))</f>
        <v>Otros almidones</v>
      </c>
      <c r="C3734" s="10" t="s">
        <v>29</v>
      </c>
      <c r="D3734" s="12">
        <f>'Volúmenes DIstribuidos '!D2318</f>
        <v>35.42</v>
      </c>
      <c r="E3734" s="12">
        <f>SUMIF('Parametros Inventario'!$A:$A,B3734,'Parametros Inventario'!$B:$B)+SUMIFS(D$2:D3734,B$2:B3734,B3734,C$2:C3734,"ENTRADA")-SUMIFS(D$2:D3734,B$2:B3734,B3734,C$2:C3734,"SALIDA")</f>
        <v>18481.810000000001</v>
      </c>
    </row>
    <row r="3735" spans="1:5" x14ac:dyDescent="0.3">
      <c r="A3735" s="9">
        <f>'Volúmenes DIstribuidos '!B2319</f>
        <v>45398</v>
      </c>
      <c r="B3735" s="10" t="str">
        <f>IF(OR('Volúmenes DIstribuidos '!C2319="Azúcar",'Volúmenes DIstribuidos '!C2319="azúcar"),"Azúcar o dulce",IF('Volúmenes DIstribuidos '!C2319="Aceite","Aceite o grasas",IF('Volúmenes DIstribuidos '!C2319="Avena","Otros almidones",'Volúmenes DIstribuidos '!C2319)))</f>
        <v>Panadería</v>
      </c>
      <c r="C3735" s="10" t="s">
        <v>29</v>
      </c>
      <c r="D3735" s="12">
        <f>'Volúmenes DIstribuidos '!D2319</f>
        <v>21.65</v>
      </c>
      <c r="E3735" s="12">
        <f>SUMIF('Parametros Inventario'!$A:$A,B3735,'Parametros Inventario'!$B:$B)+SUMIFS(D$2:D3735,B$2:B3735,B3735,C$2:C3735,"ENTRADA")-SUMIFS(D$2:D3735,B$2:B3735,B3735,C$2:C3735,"SALIDA")</f>
        <v>15068.922999999995</v>
      </c>
    </row>
    <row r="3736" spans="1:5" x14ac:dyDescent="0.3">
      <c r="A3736" s="9">
        <f>'Volúmenes DIstribuidos '!B2319</f>
        <v>45398</v>
      </c>
      <c r="B3736" s="10" t="str">
        <f>IF(OR('Volúmenes DIstribuidos '!C2320="Azúcar",'Volúmenes DIstribuidos '!C2320="azúcar"),"Azúcar o dulce",IF('Volúmenes DIstribuidos '!C2320="Aceite","Aceite o grasas",IF('Volúmenes DIstribuidos '!C2320="Avena","Otros almidones",'Volúmenes DIstribuidos '!C2320)))</f>
        <v>Aceite o grasas</v>
      </c>
      <c r="C3736" s="10" t="s">
        <v>29</v>
      </c>
      <c r="D3736" s="12">
        <f>'Volúmenes DIstribuidos '!D2320</f>
        <v>9.5299999999999994</v>
      </c>
      <c r="E3736" s="12">
        <f>SUMIF('Parametros Inventario'!$A:$A,B3736,'Parametros Inventario'!$B:$B)+SUMIFS(D$2:D3736,B$2:B3736,B3736,C$2:C3736,"ENTRADA")-SUMIFS(D$2:D3736,B$2:B3736,B3736,C$2:C3736,"SALIDA")</f>
        <v>16590.875000000015</v>
      </c>
    </row>
    <row r="3737" spans="1:5" x14ac:dyDescent="0.3">
      <c r="A3737" s="9">
        <f>'Volúmenes DIstribuidos '!B2319</f>
        <v>45398</v>
      </c>
      <c r="B3737" s="10" t="str">
        <f>IF(OR('Volúmenes DIstribuidos '!C2321="Azúcar",'Volúmenes DIstribuidos '!C2321="azúcar"),"Azúcar o dulce",IF('Volúmenes DIstribuidos '!C2321="Aceite","Aceite o grasas",IF('Volúmenes DIstribuidos '!C2321="Avena","Otros almidones",'Volúmenes DIstribuidos '!C2321)))</f>
        <v>Salsas</v>
      </c>
      <c r="C3737" s="10" t="s">
        <v>29</v>
      </c>
      <c r="D3737" s="12">
        <f>'Volúmenes DIstribuidos '!D2321</f>
        <v>29.56</v>
      </c>
      <c r="E3737" s="12">
        <f>SUMIF('Parametros Inventario'!$A:$A,B3737,'Parametros Inventario'!$B:$B)+SUMIFS(D$2:D3737,B$2:B3737,B3737,C$2:C3737,"ENTRADA")-SUMIFS(D$2:D3737,B$2:B3737,B3737,C$2:C3737,"SALIDA")</f>
        <v>16840.514999999992</v>
      </c>
    </row>
    <row r="3738" spans="1:5" x14ac:dyDescent="0.3">
      <c r="A3738" s="9">
        <f>'Volúmenes DIstribuidos '!B2319</f>
        <v>45398</v>
      </c>
      <c r="B3738" s="10" t="str">
        <f>IF(OR('Volúmenes DIstribuidos '!C2322="Azúcar",'Volúmenes DIstribuidos '!C2322="azúcar"),"Azúcar o dulce",IF('Volúmenes DIstribuidos '!C2322="Aceite","Aceite o grasas",IF('Volúmenes DIstribuidos '!C2322="Avena","Otros almidones",'Volúmenes DIstribuidos '!C2322)))</f>
        <v>Carnes rojas</v>
      </c>
      <c r="C3738" s="10" t="s">
        <v>29</v>
      </c>
      <c r="D3738" s="12">
        <f>'Volúmenes DIstribuidos '!D2322</f>
        <v>94.62</v>
      </c>
      <c r="E3738" s="12">
        <f>SUMIF('Parametros Inventario'!$A:$A,B3738,'Parametros Inventario'!$B:$B)+SUMIFS(D$2:D3738,B$2:B3738,B3738,C$2:C3738,"ENTRADA")-SUMIFS(D$2:D3738,B$2:B3738,B3738,C$2:C3738,"SALIDA")</f>
        <v>16614.091999999997</v>
      </c>
    </row>
    <row r="3739" spans="1:5" x14ac:dyDescent="0.3">
      <c r="A3739" s="9">
        <f>'Volúmenes DIstribuidos '!B2319</f>
        <v>45398</v>
      </c>
      <c r="B3739" s="10" t="str">
        <f>IF(OR('Volúmenes DIstribuidos '!C2323="Azúcar",'Volúmenes DIstribuidos '!C2323="azúcar"),"Azúcar o dulce",IF('Volúmenes DIstribuidos '!C2323="Aceite","Aceite o grasas",IF('Volúmenes DIstribuidos '!C2323="Avena","Otros almidones",'Volúmenes DIstribuidos '!C2323)))</f>
        <v>Fideo</v>
      </c>
      <c r="C3739" s="10" t="s">
        <v>29</v>
      </c>
      <c r="D3739" s="12">
        <f>'Volúmenes DIstribuidos '!D2323</f>
        <v>27.57</v>
      </c>
      <c r="E3739" s="12">
        <f>SUMIF('Parametros Inventario'!$A:$A,B3739,'Parametros Inventario'!$B:$B)+SUMIFS(D$2:D3739,B$2:B3739,B3739,C$2:C3739,"ENTRADA")-SUMIFS(D$2:D3739,B$2:B3739,B3739,C$2:C3739,"SALIDA")</f>
        <v>19417.979000000007</v>
      </c>
    </row>
    <row r="3740" spans="1:5" x14ac:dyDescent="0.3">
      <c r="A3740" s="9">
        <f>'Volúmenes DIstribuidos '!B2319</f>
        <v>45398</v>
      </c>
      <c r="B3740" s="10" t="str">
        <f>IF(OR('Volúmenes DIstribuidos '!C2324="Azúcar",'Volúmenes DIstribuidos '!C2324="azúcar"),"Azúcar o dulce",IF('Volúmenes DIstribuidos '!C2324="Aceite","Aceite o grasas",IF('Volúmenes DIstribuidos '!C2324="Avena","Otros almidones",'Volúmenes DIstribuidos '!C2324)))</f>
        <v>Panadería</v>
      </c>
      <c r="C3740" s="10" t="s">
        <v>29</v>
      </c>
      <c r="D3740" s="12">
        <f>'Volúmenes DIstribuidos '!D2324</f>
        <v>31.89</v>
      </c>
      <c r="E3740" s="12">
        <f>SUMIF('Parametros Inventario'!$A:$A,B3740,'Parametros Inventario'!$B:$B)+SUMIFS(D$2:D3740,B$2:B3740,B3740,C$2:C3740,"ENTRADA")-SUMIFS(D$2:D3740,B$2:B3740,B3740,C$2:C3740,"SALIDA")</f>
        <v>15037.032999999996</v>
      </c>
    </row>
    <row r="3741" spans="1:5" x14ac:dyDescent="0.3">
      <c r="A3741" s="9">
        <v>45401</v>
      </c>
      <c r="B3741" s="10" t="s">
        <v>10</v>
      </c>
      <c r="C3741" s="10" t="s">
        <v>28</v>
      </c>
      <c r="D3741" s="12">
        <v>73.41</v>
      </c>
      <c r="E3741" s="12">
        <f>SUMIF('Parametros Inventario'!$A:$A,B3741,'Parametros Inventario'!$B:$B)+SUMIFS(D$2:D3741,B$2:B3741,B3741,C$2:C3741,"ENTRADA")-SUMIFS(D$2:D3741,B$2:B3741,B3741,C$2:C3741,"SALIDA")</f>
        <v>18094.557000000001</v>
      </c>
    </row>
    <row r="3742" spans="1:5" x14ac:dyDescent="0.3">
      <c r="A3742" s="9">
        <v>45401</v>
      </c>
      <c r="B3742" s="10" t="s">
        <v>8</v>
      </c>
      <c r="C3742" s="10" t="s">
        <v>28</v>
      </c>
      <c r="D3742" s="12">
        <v>193.83</v>
      </c>
      <c r="E3742" s="12">
        <f>SUMIF('Parametros Inventario'!$A:$A,B3742,'Parametros Inventario'!$B:$B)+SUMIFS(D$2:D3742,B$2:B3742,B3742,C$2:C3742,"ENTRADA")-SUMIFS(D$2:D3742,B$2:B3742,B3742,C$2:C3742,"SALIDA")</f>
        <v>16784.705000000016</v>
      </c>
    </row>
    <row r="3743" spans="1:5" x14ac:dyDescent="0.3">
      <c r="A3743" s="9">
        <v>45401</v>
      </c>
      <c r="B3743" s="10" t="s">
        <v>13</v>
      </c>
      <c r="C3743" s="10" t="s">
        <v>28</v>
      </c>
      <c r="D3743" s="12">
        <v>71.150000000000006</v>
      </c>
      <c r="E3743" s="12">
        <f>SUMIF('Parametros Inventario'!$A:$A,B3743,'Parametros Inventario'!$B:$B)+SUMIFS(D$2:D3743,B$2:B3743,B3743,C$2:C3743,"ENTRADA")-SUMIFS(D$2:D3743,B$2:B3743,B3743,C$2:C3743,"SALIDA")</f>
        <v>16109.406000000008</v>
      </c>
    </row>
    <row r="3744" spans="1:5" x14ac:dyDescent="0.3">
      <c r="A3744" s="9">
        <v>45401</v>
      </c>
      <c r="B3744" s="10" t="s">
        <v>15</v>
      </c>
      <c r="C3744" s="10" t="s">
        <v>28</v>
      </c>
      <c r="D3744" s="12">
        <v>121.46</v>
      </c>
      <c r="E3744" s="12">
        <f>SUMIF('Parametros Inventario'!$A:$A,B3744,'Parametros Inventario'!$B:$B)+SUMIFS(D$2:D3744,B$2:B3744,B3744,C$2:C3744,"ENTRADA")-SUMIFS(D$2:D3744,B$2:B3744,B3744,C$2:C3744,"SALIDA")</f>
        <v>18603.27</v>
      </c>
    </row>
    <row r="3745" spans="1:5" x14ac:dyDescent="0.3">
      <c r="A3745" s="9">
        <v>45401</v>
      </c>
      <c r="B3745" s="10" t="s">
        <v>11</v>
      </c>
      <c r="C3745" s="10" t="s">
        <v>28</v>
      </c>
      <c r="D3745" s="12">
        <v>282.39999999999998</v>
      </c>
      <c r="E3745" s="12">
        <f>SUMIF('Parametros Inventario'!$A:$A,B3745,'Parametros Inventario'!$B:$B)+SUMIFS(D$2:D3745,B$2:B3745,B3745,C$2:C3745,"ENTRADA")-SUMIFS(D$2:D3745,B$2:B3745,B3745,C$2:C3745,"SALIDA")</f>
        <v>19700.379000000008</v>
      </c>
    </row>
    <row r="3746" spans="1:5" x14ac:dyDescent="0.3">
      <c r="A3746" s="9">
        <v>45401</v>
      </c>
      <c r="B3746" s="10" t="s">
        <v>9</v>
      </c>
      <c r="C3746" s="10" t="s">
        <v>28</v>
      </c>
      <c r="D3746" s="12">
        <v>252.09</v>
      </c>
      <c r="E3746" s="12">
        <f>SUMIF('Parametros Inventario'!$A:$A,B3746,'Parametros Inventario'!$B:$B)+SUMIFS(D$2:D3746,B$2:B3746,B3746,C$2:C3746,"ENTRADA")-SUMIFS(D$2:D3746,B$2:B3746,B3746,C$2:C3746,"SALIDA")</f>
        <v>15289.122999999996</v>
      </c>
    </row>
    <row r="3747" spans="1:5" x14ac:dyDescent="0.3">
      <c r="A3747" s="9">
        <v>45401</v>
      </c>
      <c r="B3747" s="10" t="s">
        <v>14</v>
      </c>
      <c r="C3747" s="10" t="s">
        <v>28</v>
      </c>
      <c r="D3747" s="12">
        <v>52.67</v>
      </c>
      <c r="E3747" s="12">
        <f>SUMIF('Parametros Inventario'!$A:$A,B3747,'Parametros Inventario'!$B:$B)+SUMIFS(D$2:D3747,B$2:B3747,B3747,C$2:C3747,"ENTRADA")-SUMIFS(D$2:D3747,B$2:B3747,B3747,C$2:C3747,"SALIDA")</f>
        <v>17629.987000000001</v>
      </c>
    </row>
    <row r="3748" spans="1:5" x14ac:dyDescent="0.3">
      <c r="A3748" s="9">
        <v>45401</v>
      </c>
      <c r="B3748" s="10" t="s">
        <v>12</v>
      </c>
      <c r="C3748" s="10" t="s">
        <v>28</v>
      </c>
      <c r="D3748" s="12">
        <v>287.10000000000002</v>
      </c>
      <c r="E3748" s="12">
        <f>SUMIF('Parametros Inventario'!$A:$A,B3748,'Parametros Inventario'!$B:$B)+SUMIFS(D$2:D3748,B$2:B3748,B3748,C$2:C3748,"ENTRADA")-SUMIFS(D$2:D3748,B$2:B3748,B3748,C$2:C3748,"SALIDA")</f>
        <v>16901.191999999995</v>
      </c>
    </row>
    <row r="3749" spans="1:5" x14ac:dyDescent="0.3">
      <c r="A3749" s="9">
        <f>'Volúmenes DIstribuidos '!B2325</f>
        <v>45401</v>
      </c>
      <c r="B3749" s="10" t="str">
        <f>IF(OR('Volúmenes DIstribuidos '!C2325="Azúcar",'Volúmenes DIstribuidos '!C2325="azúcar"),"Azúcar o dulce",IF('Volúmenes DIstribuidos '!C2325="Aceite","Aceite o grasas",IF('Volúmenes DIstribuidos '!C2325="Avena","Otros almidones",'Volúmenes DIstribuidos '!C2325)))</f>
        <v>Lácteos</v>
      </c>
      <c r="C3749" s="10" t="s">
        <v>29</v>
      </c>
      <c r="D3749" s="12">
        <f>'Volúmenes DIstribuidos '!D2325</f>
        <v>27.21</v>
      </c>
      <c r="E3749" s="12">
        <f>SUMIF('Parametros Inventario'!$A:$A,B3749,'Parametros Inventario'!$B:$B)+SUMIFS(D$2:D3749,B$2:B3749,B3749,C$2:C3749,"ENTRADA")-SUMIFS(D$2:D3749,B$2:B3749,B3749,C$2:C3749,"SALIDA")</f>
        <v>16186.959999999992</v>
      </c>
    </row>
    <row r="3750" spans="1:5" x14ac:dyDescent="0.3">
      <c r="A3750" s="9">
        <f>'Volúmenes DIstribuidos '!B2325</f>
        <v>45401</v>
      </c>
      <c r="B3750" s="10" t="str">
        <f>IF(OR('Volúmenes DIstribuidos '!C2326="Azúcar",'Volúmenes DIstribuidos '!C2326="azúcar"),"Azúcar o dulce",IF('Volúmenes DIstribuidos '!C2326="Aceite","Aceite o grasas",IF('Volúmenes DIstribuidos '!C2326="Avena","Otros almidones",'Volúmenes DIstribuidos '!C2326)))</f>
        <v>Carnes blancas</v>
      </c>
      <c r="C3750" s="10" t="s">
        <v>29</v>
      </c>
      <c r="D3750" s="12">
        <f>'Volúmenes DIstribuidos '!D2326</f>
        <v>40.51</v>
      </c>
      <c r="E3750" s="12">
        <f>SUMIF('Parametros Inventario'!$A:$A,B3750,'Parametros Inventario'!$B:$B)+SUMIFS(D$2:D3750,B$2:B3750,B3750,C$2:C3750,"ENTRADA")-SUMIFS(D$2:D3750,B$2:B3750,B3750,C$2:C3750,"SALIDA")</f>
        <v>17763.728999999999</v>
      </c>
    </row>
    <row r="3751" spans="1:5" x14ac:dyDescent="0.3">
      <c r="A3751" s="9">
        <f>'Volúmenes DIstribuidos '!B2325</f>
        <v>45401</v>
      </c>
      <c r="B3751" s="10" t="str">
        <f>IF(OR('Volúmenes DIstribuidos '!C2327="Azúcar",'Volúmenes DIstribuidos '!C2327="azúcar"),"Azúcar o dulce",IF('Volúmenes DIstribuidos '!C2327="Aceite","Aceite o grasas",IF('Volúmenes DIstribuidos '!C2327="Avena","Otros almidones",'Volúmenes DIstribuidos '!C2327)))</f>
        <v>Otros almidones</v>
      </c>
      <c r="C3751" s="10" t="s">
        <v>29</v>
      </c>
      <c r="D3751" s="12">
        <f>'Volúmenes DIstribuidos '!D2327</f>
        <v>50.45</v>
      </c>
      <c r="E3751" s="12">
        <f>SUMIF('Parametros Inventario'!$A:$A,B3751,'Parametros Inventario'!$B:$B)+SUMIFS(D$2:D3751,B$2:B3751,B3751,C$2:C3751,"ENTRADA")-SUMIFS(D$2:D3751,B$2:B3751,B3751,C$2:C3751,"SALIDA")</f>
        <v>18552.82</v>
      </c>
    </row>
    <row r="3752" spans="1:5" x14ac:dyDescent="0.3">
      <c r="A3752" s="9">
        <f>'Volúmenes DIstribuidos '!B2325</f>
        <v>45401</v>
      </c>
      <c r="B3752" s="10" t="str">
        <f>IF(OR('Volúmenes DIstribuidos '!C2328="Azúcar",'Volúmenes DIstribuidos '!C2328="azúcar"),"Azúcar o dulce",IF('Volúmenes DIstribuidos '!C2328="Aceite","Aceite o grasas",IF('Volúmenes DIstribuidos '!C2328="Avena","Otros almidones",'Volúmenes DIstribuidos '!C2328)))</f>
        <v>Azúcar o dulce</v>
      </c>
      <c r="C3752" s="10" t="s">
        <v>29</v>
      </c>
      <c r="D3752" s="12">
        <f>'Volúmenes DIstribuidos '!D2328</f>
        <v>9.0540000000000003</v>
      </c>
      <c r="E3752" s="12">
        <f>SUMIF('Parametros Inventario'!$A:$A,B3752,'Parametros Inventario'!$B:$B)+SUMIFS(D$2:D3752,B$2:B3752,B3752,C$2:C3752,"ENTRADA")-SUMIFS(D$2:D3752,B$2:B3752,B3752,C$2:C3752,"SALIDA")</f>
        <v>16100.352000000008</v>
      </c>
    </row>
    <row r="3753" spans="1:5" x14ac:dyDescent="0.3">
      <c r="A3753" s="9">
        <f>'Volúmenes DIstribuidos '!B2325</f>
        <v>45401</v>
      </c>
      <c r="B3753" s="10" t="str">
        <f>IF(OR('Volúmenes DIstribuidos '!C2329="Azúcar",'Volúmenes DIstribuidos '!C2329="azúcar"),"Azúcar o dulce",IF('Volúmenes DIstribuidos '!C2329="Aceite","Aceite o grasas",IF('Volúmenes DIstribuidos '!C2329="Avena","Otros almidones",'Volúmenes DIstribuidos '!C2329)))</f>
        <v>Vegetales y hojas</v>
      </c>
      <c r="C3753" s="10" t="s">
        <v>29</v>
      </c>
      <c r="D3753" s="12">
        <f>'Volúmenes DIstribuidos '!D2329</f>
        <v>15.83</v>
      </c>
      <c r="E3753" s="12">
        <f>SUMIF('Parametros Inventario'!$A:$A,B3753,'Parametros Inventario'!$B:$B)+SUMIFS(D$2:D3753,B$2:B3753,B3753,C$2:C3753,"ENTRADA")-SUMIFS(D$2:D3753,B$2:B3753,B3753,C$2:C3753,"SALIDA")</f>
        <v>18078.726999999999</v>
      </c>
    </row>
    <row r="3754" spans="1:5" x14ac:dyDescent="0.3">
      <c r="A3754" s="9">
        <f>'Volúmenes DIstribuidos '!B2325</f>
        <v>45401</v>
      </c>
      <c r="B3754" s="10" t="str">
        <f>IF(OR('Volúmenes DIstribuidos '!C2330="Azúcar",'Volúmenes DIstribuidos '!C2330="azúcar"),"Azúcar o dulce",IF('Volúmenes DIstribuidos '!C2330="Aceite","Aceite o grasas",IF('Volúmenes DIstribuidos '!C2330="Avena","Otros almidones",'Volúmenes DIstribuidos '!C2330)))</f>
        <v>Fideo</v>
      </c>
      <c r="C3754" s="10" t="s">
        <v>29</v>
      </c>
      <c r="D3754" s="12">
        <f>'Volúmenes DIstribuidos '!D2330</f>
        <v>4.6100000000000003</v>
      </c>
      <c r="E3754" s="12">
        <f>SUMIF('Parametros Inventario'!$A:$A,B3754,'Parametros Inventario'!$B:$B)+SUMIFS(D$2:D3754,B$2:B3754,B3754,C$2:C3754,"ENTRADA")-SUMIFS(D$2:D3754,B$2:B3754,B3754,C$2:C3754,"SALIDA")</f>
        <v>19695.769000000011</v>
      </c>
    </row>
    <row r="3755" spans="1:5" x14ac:dyDescent="0.3">
      <c r="A3755" s="9">
        <f>'Volúmenes DIstribuidos '!B2331</f>
        <v>45405</v>
      </c>
      <c r="B3755" s="10" t="str">
        <f>IF(OR('Volúmenes DIstribuidos '!C2331="Azúcar",'Volúmenes DIstribuidos '!C2331="azúcar"),"Azúcar o dulce",IF('Volúmenes DIstribuidos '!C2331="Aceite","Aceite o grasas",IF('Volúmenes DIstribuidos '!C2331="Avena","Otros almidones",'Volúmenes DIstribuidos '!C2331)))</f>
        <v>Carnes rojas</v>
      </c>
      <c r="C3755" s="10" t="s">
        <v>29</v>
      </c>
      <c r="D3755" s="12">
        <f>'Volúmenes DIstribuidos '!D2331</f>
        <v>13</v>
      </c>
      <c r="E3755" s="12">
        <f>SUMIF('Parametros Inventario'!$A:$A,B3755,'Parametros Inventario'!$B:$B)+SUMIFS(D$2:D3755,B$2:B3755,B3755,C$2:C3755,"ENTRADA")-SUMIFS(D$2:D3755,B$2:B3755,B3755,C$2:C3755,"SALIDA")</f>
        <v>16888.191999999995</v>
      </c>
    </row>
    <row r="3756" spans="1:5" x14ac:dyDescent="0.3">
      <c r="A3756" s="9">
        <f>'Volúmenes DIstribuidos '!B2331</f>
        <v>45405</v>
      </c>
      <c r="B3756" s="10" t="str">
        <f>IF(OR('Volúmenes DIstribuidos '!C2332="Azúcar",'Volúmenes DIstribuidos '!C2332="azúcar"),"Azúcar o dulce",IF('Volúmenes DIstribuidos '!C2332="Aceite","Aceite o grasas",IF('Volúmenes DIstribuidos '!C2332="Avena","Otros almidones",'Volúmenes DIstribuidos '!C2332)))</f>
        <v>Lácteos</v>
      </c>
      <c r="C3756" s="10" t="s">
        <v>29</v>
      </c>
      <c r="D3756" s="12">
        <f>'Volúmenes DIstribuidos '!D2332</f>
        <v>8</v>
      </c>
      <c r="E3756" s="12">
        <f>SUMIF('Parametros Inventario'!$A:$A,B3756,'Parametros Inventario'!$B:$B)+SUMIFS(D$2:D3756,B$2:B3756,B3756,C$2:C3756,"ENTRADA")-SUMIFS(D$2:D3756,B$2:B3756,B3756,C$2:C3756,"SALIDA")</f>
        <v>16178.959999999992</v>
      </c>
    </row>
    <row r="3757" spans="1:5" x14ac:dyDescent="0.3">
      <c r="A3757" s="9">
        <f>'Volúmenes DIstribuidos '!B2331</f>
        <v>45405</v>
      </c>
      <c r="B3757" s="10" t="str">
        <f>IF(OR('Volúmenes DIstribuidos '!C2333="Azúcar",'Volúmenes DIstribuidos '!C2333="azúcar"),"Azúcar o dulce",IF('Volúmenes DIstribuidos '!C2333="Aceite","Aceite o grasas",IF('Volúmenes DIstribuidos '!C2333="Avena","Otros almidones",'Volúmenes DIstribuidos '!C2333)))</f>
        <v>Menestras</v>
      </c>
      <c r="C3757" s="10" t="s">
        <v>29</v>
      </c>
      <c r="D3757" s="12">
        <f>'Volúmenes DIstribuidos '!D2333</f>
        <v>19.539000000000001</v>
      </c>
      <c r="E3757" s="12">
        <f>SUMIF('Parametros Inventario'!$A:$A,B3757,'Parametros Inventario'!$B:$B)+SUMIFS(D$2:D3757,B$2:B3757,B3757,C$2:C3757,"ENTRADA")-SUMIFS(D$2:D3757,B$2:B3757,B3757,C$2:C3757,"SALIDA")</f>
        <v>17610.448</v>
      </c>
    </row>
    <row r="3758" spans="1:5" x14ac:dyDescent="0.3">
      <c r="A3758" s="9">
        <f>'Volúmenes DIstribuidos '!B2331</f>
        <v>45405</v>
      </c>
      <c r="B3758" s="10" t="str">
        <f>IF(OR('Volúmenes DIstribuidos '!C2334="Azúcar",'Volúmenes DIstribuidos '!C2334="azúcar"),"Azúcar o dulce",IF('Volúmenes DIstribuidos '!C2334="Aceite","Aceite o grasas",IF('Volúmenes DIstribuidos '!C2334="Avena","Otros almidones",'Volúmenes DIstribuidos '!C2334)))</f>
        <v>Carnes rojas</v>
      </c>
      <c r="C3758" s="10" t="s">
        <v>29</v>
      </c>
      <c r="D3758" s="12">
        <f>'Volúmenes DIstribuidos '!D2334</f>
        <v>39.56</v>
      </c>
      <c r="E3758" s="12">
        <f>SUMIF('Parametros Inventario'!$A:$A,B3758,'Parametros Inventario'!$B:$B)+SUMIFS(D$2:D3758,B$2:B3758,B3758,C$2:C3758,"ENTRADA")-SUMIFS(D$2:D3758,B$2:B3758,B3758,C$2:C3758,"SALIDA")</f>
        <v>16848.631999999998</v>
      </c>
    </row>
    <row r="3759" spans="1:5" x14ac:dyDescent="0.3">
      <c r="A3759" s="9">
        <f>'Volúmenes DIstribuidos '!B2331</f>
        <v>45405</v>
      </c>
      <c r="B3759" s="10" t="str">
        <f>IF(OR('Volúmenes DIstribuidos '!C2335="Azúcar",'Volúmenes DIstribuidos '!C2335="azúcar"),"Azúcar o dulce",IF('Volúmenes DIstribuidos '!C2335="Aceite","Aceite o grasas",IF('Volúmenes DIstribuidos '!C2335="Avena","Otros almidones",'Volúmenes DIstribuidos '!C2335)))</f>
        <v>Otros almidones</v>
      </c>
      <c r="C3759" s="10" t="s">
        <v>29</v>
      </c>
      <c r="D3759" s="12">
        <f>'Volúmenes DIstribuidos '!D2335</f>
        <v>81.680000000000007</v>
      </c>
      <c r="E3759" s="12">
        <f>SUMIF('Parametros Inventario'!$A:$A,B3759,'Parametros Inventario'!$B:$B)+SUMIFS(D$2:D3759,B$2:B3759,B3759,C$2:C3759,"ENTRADA")-SUMIFS(D$2:D3759,B$2:B3759,B3759,C$2:C3759,"SALIDA")</f>
        <v>18471.14</v>
      </c>
    </row>
    <row r="3760" spans="1:5" x14ac:dyDescent="0.3">
      <c r="A3760" s="9">
        <f>'Volúmenes DIstribuidos '!B2331</f>
        <v>45405</v>
      </c>
      <c r="B3760" s="10" t="str">
        <f>IF(OR('Volúmenes DIstribuidos '!C2336="Azúcar",'Volúmenes DIstribuidos '!C2336="azúcar"),"Azúcar o dulce",IF('Volúmenes DIstribuidos '!C2336="Aceite","Aceite o grasas",IF('Volúmenes DIstribuidos '!C2336="Avena","Otros almidones",'Volúmenes DIstribuidos '!C2336)))</f>
        <v>Azúcar o dulce</v>
      </c>
      <c r="C3760" s="10" t="s">
        <v>29</v>
      </c>
      <c r="D3760" s="12">
        <f>'Volúmenes DIstribuidos '!D2336</f>
        <v>44.75</v>
      </c>
      <c r="E3760" s="12">
        <f>SUMIF('Parametros Inventario'!$A:$A,B3760,'Parametros Inventario'!$B:$B)+SUMIFS(D$2:D3760,B$2:B3760,B3760,C$2:C3760,"ENTRADA")-SUMIFS(D$2:D3760,B$2:B3760,B3760,C$2:C3760,"SALIDA")</f>
        <v>16055.602000000008</v>
      </c>
    </row>
    <row r="3761" spans="1:5" x14ac:dyDescent="0.3">
      <c r="A3761" s="9">
        <v>45408</v>
      </c>
      <c r="B3761" s="10" t="s">
        <v>16</v>
      </c>
      <c r="C3761" s="10" t="s">
        <v>28</v>
      </c>
      <c r="D3761" s="12">
        <v>219.26</v>
      </c>
      <c r="E3761" s="12">
        <f>SUMIF('Parametros Inventario'!$A:$A,B3761,'Parametros Inventario'!$B:$B)+SUMIFS(D$2:D3761,B$2:B3761,B3761,C$2:C3761,"ENTRADA")-SUMIFS(D$2:D3761,B$2:B3761,B3761,C$2:C3761,"SALIDA")</f>
        <v>17982.988999999994</v>
      </c>
    </row>
    <row r="3762" spans="1:5" x14ac:dyDescent="0.3">
      <c r="A3762" s="9">
        <v>45408</v>
      </c>
      <c r="B3762" s="10" t="s">
        <v>17</v>
      </c>
      <c r="C3762" s="10" t="s">
        <v>28</v>
      </c>
      <c r="D3762" s="12">
        <v>283.11</v>
      </c>
      <c r="E3762" s="12">
        <f>SUMIF('Parametros Inventario'!$A:$A,B3762,'Parametros Inventario'!$B:$B)+SUMIFS(D$2:D3762,B$2:B3762,B3762,C$2:C3762,"ENTRADA")-SUMIFS(D$2:D3762,B$2:B3762,B3762,C$2:C3762,"SALIDA")</f>
        <v>16462.069999999992</v>
      </c>
    </row>
    <row r="3763" spans="1:5" x14ac:dyDescent="0.3">
      <c r="A3763" s="9">
        <v>45408</v>
      </c>
      <c r="B3763" s="10" t="s">
        <v>18</v>
      </c>
      <c r="C3763" s="10" t="s">
        <v>28</v>
      </c>
      <c r="D3763" s="12">
        <v>84.11</v>
      </c>
      <c r="E3763" s="12">
        <f>SUMIF('Parametros Inventario'!$A:$A,B3763,'Parametros Inventario'!$B:$B)+SUMIFS(D$2:D3763,B$2:B3763,B3763,C$2:C3763,"ENTRADA")-SUMIFS(D$2:D3763,B$2:B3763,B3763,C$2:C3763,"SALIDA")</f>
        <v>16924.624999999993</v>
      </c>
    </row>
    <row r="3764" spans="1:5" x14ac:dyDescent="0.3">
      <c r="A3764" s="9">
        <v>45408</v>
      </c>
      <c r="B3764" s="10" t="s">
        <v>10</v>
      </c>
      <c r="C3764" s="10" t="s">
        <v>28</v>
      </c>
      <c r="D3764" s="12">
        <v>174.45</v>
      </c>
      <c r="E3764" s="12">
        <f>SUMIF('Parametros Inventario'!$A:$A,B3764,'Parametros Inventario'!$B:$B)+SUMIFS(D$2:D3764,B$2:B3764,B3764,C$2:C3764,"ENTRADA")-SUMIFS(D$2:D3764,B$2:B3764,B3764,C$2:C3764,"SALIDA")</f>
        <v>18253.177</v>
      </c>
    </row>
    <row r="3765" spans="1:5" x14ac:dyDescent="0.3">
      <c r="A3765" s="9">
        <v>45408</v>
      </c>
      <c r="B3765" s="10" t="s">
        <v>8</v>
      </c>
      <c r="C3765" s="10" t="s">
        <v>28</v>
      </c>
      <c r="D3765" s="12">
        <v>221.28</v>
      </c>
      <c r="E3765" s="12">
        <f>SUMIF('Parametros Inventario'!$A:$A,B3765,'Parametros Inventario'!$B:$B)+SUMIFS(D$2:D3765,B$2:B3765,B3765,C$2:C3765,"ENTRADA")-SUMIFS(D$2:D3765,B$2:B3765,B3765,C$2:C3765,"SALIDA")</f>
        <v>17005.985000000015</v>
      </c>
    </row>
    <row r="3766" spans="1:5" x14ac:dyDescent="0.3">
      <c r="A3766" s="9">
        <v>45408</v>
      </c>
      <c r="B3766" s="10" t="s">
        <v>13</v>
      </c>
      <c r="C3766" s="10" t="s">
        <v>28</v>
      </c>
      <c r="D3766" s="12">
        <v>219.19</v>
      </c>
      <c r="E3766" s="12">
        <f>SUMIF('Parametros Inventario'!$A:$A,B3766,'Parametros Inventario'!$B:$B)+SUMIFS(D$2:D3766,B$2:B3766,B3766,C$2:C3766,"ENTRADA")-SUMIFS(D$2:D3766,B$2:B3766,B3766,C$2:C3766,"SALIDA")</f>
        <v>16274.792000000007</v>
      </c>
    </row>
    <row r="3767" spans="1:5" x14ac:dyDescent="0.3">
      <c r="A3767" s="9">
        <v>45408</v>
      </c>
      <c r="B3767" s="10" t="s">
        <v>15</v>
      </c>
      <c r="C3767" s="10" t="s">
        <v>28</v>
      </c>
      <c r="D3767" s="12">
        <v>183.1</v>
      </c>
      <c r="E3767" s="12">
        <f>SUMIF('Parametros Inventario'!$A:$A,B3767,'Parametros Inventario'!$B:$B)+SUMIFS(D$2:D3767,B$2:B3767,B3767,C$2:C3767,"ENTRADA")-SUMIFS(D$2:D3767,B$2:B3767,B3767,C$2:C3767,"SALIDA")</f>
        <v>18654.239999999998</v>
      </c>
    </row>
    <row r="3768" spans="1:5" x14ac:dyDescent="0.3">
      <c r="A3768" s="9">
        <v>45408</v>
      </c>
      <c r="B3768" s="10" t="s">
        <v>11</v>
      </c>
      <c r="C3768" s="10" t="s">
        <v>28</v>
      </c>
      <c r="D3768" s="12">
        <v>81.17</v>
      </c>
      <c r="E3768" s="12">
        <f>SUMIF('Parametros Inventario'!$A:$A,B3768,'Parametros Inventario'!$B:$B)+SUMIFS(D$2:D3768,B$2:B3768,B3768,C$2:C3768,"ENTRADA")-SUMIFS(D$2:D3768,B$2:B3768,B3768,C$2:C3768,"SALIDA")</f>
        <v>19776.939000000009</v>
      </c>
    </row>
    <row r="3769" spans="1:5" x14ac:dyDescent="0.3">
      <c r="A3769" s="9">
        <f>'Volúmenes DIstribuidos '!B2337</f>
        <v>45408</v>
      </c>
      <c r="B3769" s="10" t="str">
        <f>IF(OR('Volúmenes DIstribuidos '!C2337="Azúcar",'Volúmenes DIstribuidos '!C2337="azúcar"),"Azúcar o dulce",IF('Volúmenes DIstribuidos '!C2337="Aceite","Aceite o grasas",IF('Volúmenes DIstribuidos '!C2337="Avena","Otros almidones",'Volúmenes DIstribuidos '!C2337)))</f>
        <v>Fideo</v>
      </c>
      <c r="C3769" s="10" t="s">
        <v>29</v>
      </c>
      <c r="D3769" s="12">
        <f>'Volúmenes DIstribuidos '!D2337</f>
        <v>21.25</v>
      </c>
      <c r="E3769" s="12">
        <f>SUMIF('Parametros Inventario'!$A:$A,B3769,'Parametros Inventario'!$B:$B)+SUMIFS(D$2:D3769,B$2:B3769,B3769,C$2:C3769,"ENTRADA")-SUMIFS(D$2:D3769,B$2:B3769,B3769,C$2:C3769,"SALIDA")</f>
        <v>19755.689000000009</v>
      </c>
    </row>
    <row r="3770" spans="1:5" x14ac:dyDescent="0.3">
      <c r="A3770" s="9">
        <f>'Volúmenes DIstribuidos '!B2337</f>
        <v>45408</v>
      </c>
      <c r="B3770" s="10" t="str">
        <f>IF(OR('Volúmenes DIstribuidos '!C2338="Azúcar",'Volúmenes DIstribuidos '!C2338="azúcar"),"Azúcar o dulce",IF('Volúmenes DIstribuidos '!C2338="Aceite","Aceite o grasas",IF('Volúmenes DIstribuidos '!C2338="Avena","Otros almidones",'Volúmenes DIstribuidos '!C2338)))</f>
        <v>Azúcar o dulce</v>
      </c>
      <c r="C3770" s="10" t="s">
        <v>29</v>
      </c>
      <c r="D3770" s="12">
        <f>'Volúmenes DIstribuidos '!D2338</f>
        <v>4.3099999999999996</v>
      </c>
      <c r="E3770" s="12">
        <f>SUMIF('Parametros Inventario'!$A:$A,B3770,'Parametros Inventario'!$B:$B)+SUMIFS(D$2:D3770,B$2:B3770,B3770,C$2:C3770,"ENTRADA")-SUMIFS(D$2:D3770,B$2:B3770,B3770,C$2:C3770,"SALIDA")</f>
        <v>16270.482000000007</v>
      </c>
    </row>
    <row r="3771" spans="1:5" x14ac:dyDescent="0.3">
      <c r="A3771" s="9">
        <f>'Volúmenes DIstribuidos '!B2337</f>
        <v>45408</v>
      </c>
      <c r="B3771" s="10" t="str">
        <f>IF(OR('Volúmenes DIstribuidos '!C2339="Azúcar",'Volúmenes DIstribuidos '!C2339="azúcar"),"Azúcar o dulce",IF('Volúmenes DIstribuidos '!C2339="Aceite","Aceite o grasas",IF('Volúmenes DIstribuidos '!C2339="Avena","Otros almidones",'Volúmenes DIstribuidos '!C2339)))</f>
        <v>Carnes blancas</v>
      </c>
      <c r="C3771" s="10" t="s">
        <v>29</v>
      </c>
      <c r="D3771" s="12">
        <f>'Volúmenes DIstribuidos '!D2339</f>
        <v>11.68</v>
      </c>
      <c r="E3771" s="12">
        <f>SUMIF('Parametros Inventario'!$A:$A,B3771,'Parametros Inventario'!$B:$B)+SUMIFS(D$2:D3771,B$2:B3771,B3771,C$2:C3771,"ENTRADA")-SUMIFS(D$2:D3771,B$2:B3771,B3771,C$2:C3771,"SALIDA")</f>
        <v>17971.308999999994</v>
      </c>
    </row>
    <row r="3772" spans="1:5" x14ac:dyDescent="0.3">
      <c r="A3772" s="9">
        <f>'Volúmenes DIstribuidos '!B2337</f>
        <v>45408</v>
      </c>
      <c r="B3772" s="10" t="str">
        <f>IF(OR('Volúmenes DIstribuidos '!C2340="Azúcar",'Volúmenes DIstribuidos '!C2340="azúcar"),"Azúcar o dulce",IF('Volúmenes DIstribuidos '!C2340="Aceite","Aceite o grasas",IF('Volúmenes DIstribuidos '!C2340="Avena","Otros almidones",'Volúmenes DIstribuidos '!C2340)))</f>
        <v>Otros almidones</v>
      </c>
      <c r="C3772" s="10" t="s">
        <v>29</v>
      </c>
      <c r="D3772" s="12">
        <f>'Volúmenes DIstribuidos '!D2340</f>
        <v>15.76</v>
      </c>
      <c r="E3772" s="12">
        <f>SUMIF('Parametros Inventario'!$A:$A,B3772,'Parametros Inventario'!$B:$B)+SUMIFS(D$2:D3772,B$2:B3772,B3772,C$2:C3772,"ENTRADA")-SUMIFS(D$2:D3772,B$2:B3772,B3772,C$2:C3772,"SALIDA")</f>
        <v>18638.48</v>
      </c>
    </row>
    <row r="3773" spans="1:5" x14ac:dyDescent="0.3">
      <c r="A3773" s="9">
        <f>'Volúmenes DIstribuidos '!B2337</f>
        <v>45408</v>
      </c>
      <c r="B3773" s="10" t="str">
        <f>IF(OR('Volúmenes DIstribuidos '!C2341="Azúcar",'Volúmenes DIstribuidos '!C2341="azúcar"),"Azúcar o dulce",IF('Volúmenes DIstribuidos '!C2341="Aceite","Aceite o grasas",IF('Volúmenes DIstribuidos '!C2341="Avena","Otros almidones",'Volúmenes DIstribuidos '!C2341)))</f>
        <v>Panadería</v>
      </c>
      <c r="C3773" s="10" t="s">
        <v>29</v>
      </c>
      <c r="D3773" s="12">
        <f>'Volúmenes DIstribuidos '!D2341</f>
        <v>76.456999999999994</v>
      </c>
      <c r="E3773" s="12">
        <f>SUMIF('Parametros Inventario'!$A:$A,B3773,'Parametros Inventario'!$B:$B)+SUMIFS(D$2:D3773,B$2:B3773,B3773,C$2:C3773,"ENTRADA")-SUMIFS(D$2:D3773,B$2:B3773,B3773,C$2:C3773,"SALIDA")</f>
        <v>15212.665999999996</v>
      </c>
    </row>
    <row r="3774" spans="1:5" x14ac:dyDescent="0.3">
      <c r="A3774" s="9">
        <f>'Volúmenes DIstribuidos '!B2337</f>
        <v>45408</v>
      </c>
      <c r="B3774" s="10" t="str">
        <f>IF(OR('Volúmenes DIstribuidos '!C2342="Azúcar",'Volúmenes DIstribuidos '!C2342="azúcar"),"Azúcar o dulce",IF('Volúmenes DIstribuidos '!C2342="Aceite","Aceite o grasas",IF('Volúmenes DIstribuidos '!C2342="Avena","Otros almidones",'Volúmenes DIstribuidos '!C2342)))</f>
        <v>Panadería</v>
      </c>
      <c r="C3774" s="10" t="s">
        <v>29</v>
      </c>
      <c r="D3774" s="12">
        <f>'Volúmenes DIstribuidos '!D2342</f>
        <v>45.54</v>
      </c>
      <c r="E3774" s="12">
        <f>SUMIF('Parametros Inventario'!$A:$A,B3774,'Parametros Inventario'!$B:$B)+SUMIFS(D$2:D3774,B$2:B3774,B3774,C$2:C3774,"ENTRADA")-SUMIFS(D$2:D3774,B$2:B3774,B3774,C$2:C3774,"SALIDA")</f>
        <v>15167.125999999997</v>
      </c>
    </row>
    <row r="3775" spans="1:5" x14ac:dyDescent="0.3">
      <c r="A3775" s="9">
        <f>'Volúmenes DIstribuidos '!B2343</f>
        <v>45412</v>
      </c>
      <c r="B3775" s="10" t="str">
        <f>IF(OR('Volúmenes DIstribuidos '!C2343="Azúcar",'Volúmenes DIstribuidos '!C2343="azúcar"),"Azúcar o dulce",IF('Volúmenes DIstribuidos '!C2343="Aceite","Aceite o grasas",IF('Volúmenes DIstribuidos '!C2343="Avena","Otros almidones",'Volúmenes DIstribuidos '!C2343)))</f>
        <v>Vegetales y hojas</v>
      </c>
      <c r="C3775" s="10" t="s">
        <v>29</v>
      </c>
      <c r="D3775" s="12">
        <f>'Volúmenes DIstribuidos '!D2343</f>
        <v>12.66</v>
      </c>
      <c r="E3775" s="12">
        <f>SUMIF('Parametros Inventario'!$A:$A,B3775,'Parametros Inventario'!$B:$B)+SUMIFS(D$2:D3775,B$2:B3775,B3775,C$2:C3775,"ENTRADA")-SUMIFS(D$2:D3775,B$2:B3775,B3775,C$2:C3775,"SALIDA")</f>
        <v>18240.517</v>
      </c>
    </row>
    <row r="3776" spans="1:5" x14ac:dyDescent="0.3">
      <c r="A3776" s="9">
        <f>'Volúmenes DIstribuidos '!B2343</f>
        <v>45412</v>
      </c>
      <c r="B3776" s="10" t="str">
        <f>IF(OR('Volúmenes DIstribuidos '!C2344="Azúcar",'Volúmenes DIstribuidos '!C2344="azúcar"),"Azúcar o dulce",IF('Volúmenes DIstribuidos '!C2344="Aceite","Aceite o grasas",IF('Volúmenes DIstribuidos '!C2344="Avena","Otros almidones",'Volúmenes DIstribuidos '!C2344)))</f>
        <v>Salsas</v>
      </c>
      <c r="C3776" s="10" t="s">
        <v>29</v>
      </c>
      <c r="D3776" s="12">
        <f>'Volúmenes DIstribuidos '!D2344</f>
        <v>159.94</v>
      </c>
      <c r="E3776" s="12">
        <f>SUMIF('Parametros Inventario'!$A:$A,B3776,'Parametros Inventario'!$B:$B)+SUMIFS(D$2:D3776,B$2:B3776,B3776,C$2:C3776,"ENTRADA")-SUMIFS(D$2:D3776,B$2:B3776,B3776,C$2:C3776,"SALIDA")</f>
        <v>16764.68499999999</v>
      </c>
    </row>
    <row r="3777" spans="1:5" x14ac:dyDescent="0.3">
      <c r="A3777" s="9">
        <f>'Volúmenes DIstribuidos '!B2343</f>
        <v>45412</v>
      </c>
      <c r="B3777" s="10" t="str">
        <f>IF(OR('Volúmenes DIstribuidos '!C2345="Azúcar",'Volúmenes DIstribuidos '!C2345="azúcar"),"Azúcar o dulce",IF('Volúmenes DIstribuidos '!C2345="Aceite","Aceite o grasas",IF('Volúmenes DIstribuidos '!C2345="Avena","Otros almidones",'Volúmenes DIstribuidos '!C2345)))</f>
        <v>Fideo</v>
      </c>
      <c r="C3777" s="10" t="s">
        <v>29</v>
      </c>
      <c r="D3777" s="12">
        <f>'Volúmenes DIstribuidos '!D2345</f>
        <v>62.2</v>
      </c>
      <c r="E3777" s="12">
        <f>SUMIF('Parametros Inventario'!$A:$A,B3777,'Parametros Inventario'!$B:$B)+SUMIFS(D$2:D3777,B$2:B3777,B3777,C$2:C3777,"ENTRADA")-SUMIFS(D$2:D3777,B$2:B3777,B3777,C$2:C3777,"SALIDA")</f>
        <v>19693.489000000009</v>
      </c>
    </row>
    <row r="3778" spans="1:5" x14ac:dyDescent="0.3">
      <c r="A3778" s="9">
        <f>'Volúmenes DIstribuidos '!B2343</f>
        <v>45412</v>
      </c>
      <c r="B3778" s="10" t="str">
        <f>IF(OR('Volúmenes DIstribuidos '!C2346="Azúcar",'Volúmenes DIstribuidos '!C2346="azúcar"),"Azúcar o dulce",IF('Volúmenes DIstribuidos '!C2346="Aceite","Aceite o grasas",IF('Volúmenes DIstribuidos '!C2346="Avena","Otros almidones",'Volúmenes DIstribuidos '!C2346)))</f>
        <v>Carnes blancas</v>
      </c>
      <c r="C3778" s="10" t="s">
        <v>29</v>
      </c>
      <c r="D3778" s="12">
        <f>'Volúmenes DIstribuidos '!D2346</f>
        <v>16.385999999999999</v>
      </c>
      <c r="E3778" s="12">
        <f>SUMIF('Parametros Inventario'!$A:$A,B3778,'Parametros Inventario'!$B:$B)+SUMIFS(D$2:D3778,B$2:B3778,B3778,C$2:C3778,"ENTRADA")-SUMIFS(D$2:D3778,B$2:B3778,B3778,C$2:C3778,"SALIDA")</f>
        <v>17954.922999999995</v>
      </c>
    </row>
    <row r="3779" spans="1:5" x14ac:dyDescent="0.3">
      <c r="A3779" s="9">
        <f>'Volúmenes DIstribuidos '!B2343</f>
        <v>45412</v>
      </c>
      <c r="B3779" s="10" t="str">
        <f>IF(OR('Volúmenes DIstribuidos '!C2347="Azúcar",'Volúmenes DIstribuidos '!C2347="azúcar"),"Azúcar o dulce",IF('Volúmenes DIstribuidos '!C2347="Aceite","Aceite o grasas",IF('Volúmenes DIstribuidos '!C2347="Avena","Otros almidones",'Volúmenes DIstribuidos '!C2347)))</f>
        <v>Azúcar o dulce</v>
      </c>
      <c r="C3779" s="10" t="s">
        <v>29</v>
      </c>
      <c r="D3779" s="12">
        <f>'Volúmenes DIstribuidos '!D2347</f>
        <v>14.65</v>
      </c>
      <c r="E3779" s="12">
        <f>SUMIF('Parametros Inventario'!$A:$A,B3779,'Parametros Inventario'!$B:$B)+SUMIFS(D$2:D3779,B$2:B3779,B3779,C$2:C3779,"ENTRADA")-SUMIFS(D$2:D3779,B$2:B3779,B3779,C$2:C3779,"SALIDA")</f>
        <v>16255.832000000006</v>
      </c>
    </row>
    <row r="3780" spans="1:5" x14ac:dyDescent="0.3">
      <c r="A3780" s="9">
        <f>'Volúmenes DIstribuidos '!B2343</f>
        <v>45412</v>
      </c>
      <c r="B3780" s="10" t="str">
        <f>IF(OR('Volúmenes DIstribuidos '!C2348="Azúcar",'Volúmenes DIstribuidos '!C2348="azúcar"),"Azúcar o dulce",IF('Volúmenes DIstribuidos '!C2348="Aceite","Aceite o grasas",IF('Volúmenes DIstribuidos '!C2348="Avena","Otros almidones",'Volúmenes DIstribuidos '!C2348)))</f>
        <v>Carnes rojas</v>
      </c>
      <c r="C3780" s="10" t="s">
        <v>29</v>
      </c>
      <c r="D3780" s="12">
        <f>'Volúmenes DIstribuidos '!D2348</f>
        <v>14.27</v>
      </c>
      <c r="E3780" s="12">
        <f>SUMIF('Parametros Inventario'!$A:$A,B3780,'Parametros Inventario'!$B:$B)+SUMIFS(D$2:D3780,B$2:B3780,B3780,C$2:C3780,"ENTRADA")-SUMIFS(D$2:D3780,B$2:B3780,B3780,C$2:C3780,"SALIDA")</f>
        <v>16834.361999999994</v>
      </c>
    </row>
    <row r="3781" spans="1:5" x14ac:dyDescent="0.3">
      <c r="A3781" s="9">
        <v>45415</v>
      </c>
      <c r="B3781" s="10" t="s">
        <v>9</v>
      </c>
      <c r="C3781" s="10" t="s">
        <v>28</v>
      </c>
      <c r="D3781" s="12">
        <v>53.48</v>
      </c>
      <c r="E3781" s="12">
        <f>SUMIF('Parametros Inventario'!$A:$A,B3781,'Parametros Inventario'!$B:$B)+SUMIFS(D$2:D3781,B$2:B3781,B3781,C$2:C3781,"ENTRADA")-SUMIFS(D$2:D3781,B$2:B3781,B3781,C$2:C3781,"SALIDA")</f>
        <v>15220.605999999996</v>
      </c>
    </row>
    <row r="3782" spans="1:5" x14ac:dyDescent="0.3">
      <c r="A3782" s="9">
        <v>45415</v>
      </c>
      <c r="B3782" s="10" t="s">
        <v>14</v>
      </c>
      <c r="C3782" s="10" t="s">
        <v>28</v>
      </c>
      <c r="D3782" s="12">
        <v>97.55</v>
      </c>
      <c r="E3782" s="12">
        <f>SUMIF('Parametros Inventario'!$A:$A,B3782,'Parametros Inventario'!$B:$B)+SUMIFS(D$2:D3782,B$2:B3782,B3782,C$2:C3782,"ENTRADA")-SUMIFS(D$2:D3782,B$2:B3782,B3782,C$2:C3782,"SALIDA")</f>
        <v>17707.998</v>
      </c>
    </row>
    <row r="3783" spans="1:5" x14ac:dyDescent="0.3">
      <c r="A3783" s="9">
        <v>45415</v>
      </c>
      <c r="B3783" s="10" t="s">
        <v>12</v>
      </c>
      <c r="C3783" s="10" t="s">
        <v>28</v>
      </c>
      <c r="D3783" s="12">
        <v>257.85000000000002</v>
      </c>
      <c r="E3783" s="12">
        <f>SUMIF('Parametros Inventario'!$A:$A,B3783,'Parametros Inventario'!$B:$B)+SUMIFS(D$2:D3783,B$2:B3783,B3783,C$2:C3783,"ENTRADA")-SUMIFS(D$2:D3783,B$2:B3783,B3783,C$2:C3783,"SALIDA")</f>
        <v>17092.211999999992</v>
      </c>
    </row>
    <row r="3784" spans="1:5" x14ac:dyDescent="0.3">
      <c r="A3784" s="9">
        <v>45415</v>
      </c>
      <c r="B3784" s="10" t="s">
        <v>16</v>
      </c>
      <c r="C3784" s="10" t="s">
        <v>28</v>
      </c>
      <c r="D3784" s="12">
        <v>51.82</v>
      </c>
      <c r="E3784" s="12">
        <f>SUMIF('Parametros Inventario'!$A:$A,B3784,'Parametros Inventario'!$B:$B)+SUMIFS(D$2:D3784,B$2:B3784,B3784,C$2:C3784,"ENTRADA")-SUMIFS(D$2:D3784,B$2:B3784,B3784,C$2:C3784,"SALIDA")</f>
        <v>18006.742999999995</v>
      </c>
    </row>
    <row r="3785" spans="1:5" x14ac:dyDescent="0.3">
      <c r="A3785" s="9">
        <v>45415</v>
      </c>
      <c r="B3785" s="10" t="s">
        <v>17</v>
      </c>
      <c r="C3785" s="10" t="s">
        <v>28</v>
      </c>
      <c r="D3785" s="12">
        <v>156.24</v>
      </c>
      <c r="E3785" s="12">
        <f>SUMIF('Parametros Inventario'!$A:$A,B3785,'Parametros Inventario'!$B:$B)+SUMIFS(D$2:D3785,B$2:B3785,B3785,C$2:C3785,"ENTRADA")-SUMIFS(D$2:D3785,B$2:B3785,B3785,C$2:C3785,"SALIDA")</f>
        <v>16618.309999999994</v>
      </c>
    </row>
    <row r="3786" spans="1:5" x14ac:dyDescent="0.3">
      <c r="A3786" s="9">
        <v>45415</v>
      </c>
      <c r="B3786" s="10" t="s">
        <v>18</v>
      </c>
      <c r="C3786" s="10" t="s">
        <v>28</v>
      </c>
      <c r="D3786" s="12">
        <v>183.58</v>
      </c>
      <c r="E3786" s="12">
        <f>SUMIF('Parametros Inventario'!$A:$A,B3786,'Parametros Inventario'!$B:$B)+SUMIFS(D$2:D3786,B$2:B3786,B3786,C$2:C3786,"ENTRADA")-SUMIFS(D$2:D3786,B$2:B3786,B3786,C$2:C3786,"SALIDA")</f>
        <v>16948.264999999992</v>
      </c>
    </row>
    <row r="3787" spans="1:5" x14ac:dyDescent="0.3">
      <c r="A3787" s="9">
        <v>45415</v>
      </c>
      <c r="B3787" s="10" t="s">
        <v>10</v>
      </c>
      <c r="C3787" s="10" t="s">
        <v>28</v>
      </c>
      <c r="D3787" s="12">
        <v>136.27000000000001</v>
      </c>
      <c r="E3787" s="12">
        <f>SUMIF('Parametros Inventario'!$A:$A,B3787,'Parametros Inventario'!$B:$B)+SUMIFS(D$2:D3787,B$2:B3787,B3787,C$2:C3787,"ENTRADA")-SUMIFS(D$2:D3787,B$2:B3787,B3787,C$2:C3787,"SALIDA")</f>
        <v>18376.787</v>
      </c>
    </row>
    <row r="3788" spans="1:5" x14ac:dyDescent="0.3">
      <c r="A3788" s="9">
        <v>45415</v>
      </c>
      <c r="B3788" s="10" t="s">
        <v>8</v>
      </c>
      <c r="C3788" s="10" t="s">
        <v>28</v>
      </c>
      <c r="D3788" s="12">
        <v>298.56</v>
      </c>
      <c r="E3788" s="12">
        <f>SUMIF('Parametros Inventario'!$A:$A,B3788,'Parametros Inventario'!$B:$B)+SUMIFS(D$2:D3788,B$2:B3788,B3788,C$2:C3788,"ENTRADA")-SUMIFS(D$2:D3788,B$2:B3788,B3788,C$2:C3788,"SALIDA")</f>
        <v>17304.545000000013</v>
      </c>
    </row>
    <row r="3789" spans="1:5" x14ac:dyDescent="0.3">
      <c r="A3789" s="9">
        <f>'Volúmenes DIstribuidos '!B2349</f>
        <v>45415</v>
      </c>
      <c r="B3789" s="10" t="str">
        <f>IF(OR('Volúmenes DIstribuidos '!C2349="Azúcar",'Volúmenes DIstribuidos '!C2349="azúcar"),"Azúcar o dulce",IF('Volúmenes DIstribuidos '!C2349="Aceite","Aceite o grasas",IF('Volúmenes DIstribuidos '!C2349="Avena","Otros almidones",'Volúmenes DIstribuidos '!C2349)))</f>
        <v>Menestras</v>
      </c>
      <c r="C3789" s="10" t="s">
        <v>29</v>
      </c>
      <c r="D3789" s="12">
        <f>'Volúmenes DIstribuidos '!D2349</f>
        <v>56.222000000000001</v>
      </c>
      <c r="E3789" s="12">
        <f>SUMIF('Parametros Inventario'!$A:$A,B3789,'Parametros Inventario'!$B:$B)+SUMIFS(D$2:D3789,B$2:B3789,B3789,C$2:C3789,"ENTRADA")-SUMIFS(D$2:D3789,B$2:B3789,B3789,C$2:C3789,"SALIDA")</f>
        <v>17651.776000000002</v>
      </c>
    </row>
    <row r="3790" spans="1:5" x14ac:dyDescent="0.3">
      <c r="A3790" s="9">
        <f>'Volúmenes DIstribuidos '!B2349</f>
        <v>45415</v>
      </c>
      <c r="B3790" s="10" t="str">
        <f>IF(OR('Volúmenes DIstribuidos '!C2350="Azúcar",'Volúmenes DIstribuidos '!C2350="azúcar"),"Azúcar o dulce",IF('Volúmenes DIstribuidos '!C2350="Aceite","Aceite o grasas",IF('Volúmenes DIstribuidos '!C2350="Avena","Otros almidones",'Volúmenes DIstribuidos '!C2350)))</f>
        <v>Azúcar o dulce</v>
      </c>
      <c r="C3790" s="10" t="s">
        <v>29</v>
      </c>
      <c r="D3790" s="12">
        <f>'Volúmenes DIstribuidos '!D2350</f>
        <v>94.68</v>
      </c>
      <c r="E3790" s="12">
        <f>SUMIF('Parametros Inventario'!$A:$A,B3790,'Parametros Inventario'!$B:$B)+SUMIFS(D$2:D3790,B$2:B3790,B3790,C$2:C3790,"ENTRADA")-SUMIFS(D$2:D3790,B$2:B3790,B3790,C$2:C3790,"SALIDA")</f>
        <v>16161.152000000006</v>
      </c>
    </row>
    <row r="3791" spans="1:5" x14ac:dyDescent="0.3">
      <c r="A3791" s="9">
        <f>'Volúmenes DIstribuidos '!B2349</f>
        <v>45415</v>
      </c>
      <c r="B3791" s="10" t="str">
        <f>IF(OR('Volúmenes DIstribuidos '!C2351="Azúcar",'Volúmenes DIstribuidos '!C2351="azúcar"),"Azúcar o dulce",IF('Volúmenes DIstribuidos '!C2351="Aceite","Aceite o grasas",IF('Volúmenes DIstribuidos '!C2351="Avena","Otros almidones",'Volúmenes DIstribuidos '!C2351)))</f>
        <v>Fideo</v>
      </c>
      <c r="C3791" s="10" t="s">
        <v>29</v>
      </c>
      <c r="D3791" s="12">
        <f>'Volúmenes DIstribuidos '!D2351</f>
        <v>29.36</v>
      </c>
      <c r="E3791" s="12">
        <f>SUMIF('Parametros Inventario'!$A:$A,B3791,'Parametros Inventario'!$B:$B)+SUMIFS(D$2:D3791,B$2:B3791,B3791,C$2:C3791,"ENTRADA")-SUMIFS(D$2:D3791,B$2:B3791,B3791,C$2:C3791,"SALIDA")</f>
        <v>19664.129000000008</v>
      </c>
    </row>
    <row r="3792" spans="1:5" x14ac:dyDescent="0.3">
      <c r="A3792" s="9">
        <f>'Volúmenes DIstribuidos '!B2349</f>
        <v>45415</v>
      </c>
      <c r="B3792" s="10" t="str">
        <f>IF(OR('Volúmenes DIstribuidos '!C2352="Azúcar",'Volúmenes DIstribuidos '!C2352="azúcar"),"Azúcar o dulce",IF('Volúmenes DIstribuidos '!C2352="Aceite","Aceite o grasas",IF('Volúmenes DIstribuidos '!C2352="Avena","Otros almidones",'Volúmenes DIstribuidos '!C2352)))</f>
        <v>Lácteos</v>
      </c>
      <c r="C3792" s="10" t="s">
        <v>29</v>
      </c>
      <c r="D3792" s="12">
        <f>'Volúmenes DIstribuidos '!D2352</f>
        <v>23.187999999999999</v>
      </c>
      <c r="E3792" s="12">
        <f>SUMIF('Parametros Inventario'!$A:$A,B3792,'Parametros Inventario'!$B:$B)+SUMIFS(D$2:D3792,B$2:B3792,B3792,C$2:C3792,"ENTRADA")-SUMIFS(D$2:D3792,B$2:B3792,B3792,C$2:C3792,"SALIDA")</f>
        <v>16595.121999999996</v>
      </c>
    </row>
    <row r="3793" spans="1:5" x14ac:dyDescent="0.3">
      <c r="A3793" s="9">
        <f>'Volúmenes DIstribuidos '!B2349</f>
        <v>45415</v>
      </c>
      <c r="B3793" s="10" t="str">
        <f>IF(OR('Volúmenes DIstribuidos '!C2353="Azúcar",'Volúmenes DIstribuidos '!C2353="azúcar"),"Azúcar o dulce",IF('Volúmenes DIstribuidos '!C2353="Aceite","Aceite o grasas",IF('Volúmenes DIstribuidos '!C2353="Avena","Otros almidones",'Volúmenes DIstribuidos '!C2353)))</f>
        <v>Aceite o grasas</v>
      </c>
      <c r="C3793" s="10" t="s">
        <v>29</v>
      </c>
      <c r="D3793" s="12">
        <f>'Volúmenes DIstribuidos '!D2353</f>
        <v>120.4</v>
      </c>
      <c r="E3793" s="12">
        <f>SUMIF('Parametros Inventario'!$A:$A,B3793,'Parametros Inventario'!$B:$B)+SUMIFS(D$2:D3793,B$2:B3793,B3793,C$2:C3793,"ENTRADA")-SUMIFS(D$2:D3793,B$2:B3793,B3793,C$2:C3793,"SALIDA")</f>
        <v>17184.145000000015</v>
      </c>
    </row>
    <row r="3794" spans="1:5" x14ac:dyDescent="0.3">
      <c r="A3794" s="9">
        <f>'Volúmenes DIstribuidos '!B2349</f>
        <v>45415</v>
      </c>
      <c r="B3794" s="10" t="str">
        <f>IF(OR('Volúmenes DIstribuidos '!C2354="Azúcar",'Volúmenes DIstribuidos '!C2354="azúcar"),"Azúcar o dulce",IF('Volúmenes DIstribuidos '!C2354="Aceite","Aceite o grasas",IF('Volúmenes DIstribuidos '!C2354="Avena","Otros almidones",'Volúmenes DIstribuidos '!C2354)))</f>
        <v>Azúcar o dulce</v>
      </c>
      <c r="C3794" s="10" t="s">
        <v>29</v>
      </c>
      <c r="D3794" s="12">
        <f>'Volúmenes DIstribuidos '!D2354</f>
        <v>56.02</v>
      </c>
      <c r="E3794" s="12">
        <f>SUMIF('Parametros Inventario'!$A:$A,B3794,'Parametros Inventario'!$B:$B)+SUMIFS(D$2:D3794,B$2:B3794,B3794,C$2:C3794,"ENTRADA")-SUMIFS(D$2:D3794,B$2:B3794,B3794,C$2:C3794,"SALIDA")</f>
        <v>16105.132000000005</v>
      </c>
    </row>
    <row r="3795" spans="1:5" x14ac:dyDescent="0.3">
      <c r="A3795" s="9">
        <v>45419</v>
      </c>
      <c r="B3795" s="10" t="s">
        <v>13</v>
      </c>
      <c r="C3795" s="10" t="s">
        <v>28</v>
      </c>
      <c r="D3795" s="12">
        <v>215.29</v>
      </c>
      <c r="E3795" s="12">
        <f>SUMIF('Parametros Inventario'!$A:$A,B3795,'Parametros Inventario'!$B:$B)+SUMIFS(D$2:D3795,B$2:B3795,B3795,C$2:C3795,"ENTRADA")-SUMIFS(D$2:D3795,B$2:B3795,B3795,C$2:C3795,"SALIDA")</f>
        <v>16320.422000000006</v>
      </c>
    </row>
    <row r="3796" spans="1:5" x14ac:dyDescent="0.3">
      <c r="A3796" s="9">
        <v>45419</v>
      </c>
      <c r="B3796" s="10" t="s">
        <v>15</v>
      </c>
      <c r="C3796" s="10" t="s">
        <v>28</v>
      </c>
      <c r="D3796" s="12">
        <v>280.11</v>
      </c>
      <c r="E3796" s="12">
        <f>SUMIF('Parametros Inventario'!$A:$A,B3796,'Parametros Inventario'!$B:$B)+SUMIFS(D$2:D3796,B$2:B3796,B3796,C$2:C3796,"ENTRADA")-SUMIFS(D$2:D3796,B$2:B3796,B3796,C$2:C3796,"SALIDA")</f>
        <v>18918.59</v>
      </c>
    </row>
    <row r="3797" spans="1:5" x14ac:dyDescent="0.3">
      <c r="A3797" s="9">
        <v>45419</v>
      </c>
      <c r="B3797" s="10" t="s">
        <v>11</v>
      </c>
      <c r="C3797" s="10" t="s">
        <v>28</v>
      </c>
      <c r="D3797" s="12">
        <v>299.79000000000002</v>
      </c>
      <c r="E3797" s="12">
        <f>SUMIF('Parametros Inventario'!$A:$A,B3797,'Parametros Inventario'!$B:$B)+SUMIFS(D$2:D3797,B$2:B3797,B3797,C$2:C3797,"ENTRADA")-SUMIFS(D$2:D3797,B$2:B3797,B3797,C$2:C3797,"SALIDA")</f>
        <v>19963.919000000009</v>
      </c>
    </row>
    <row r="3798" spans="1:5" x14ac:dyDescent="0.3">
      <c r="A3798" s="9">
        <v>45419</v>
      </c>
      <c r="B3798" s="10" t="s">
        <v>9</v>
      </c>
      <c r="C3798" s="10" t="s">
        <v>28</v>
      </c>
      <c r="D3798" s="12">
        <v>286.24</v>
      </c>
      <c r="E3798" s="12">
        <f>SUMIF('Parametros Inventario'!$A:$A,B3798,'Parametros Inventario'!$B:$B)+SUMIFS(D$2:D3798,B$2:B3798,B3798,C$2:C3798,"ENTRADA")-SUMIFS(D$2:D3798,B$2:B3798,B3798,C$2:C3798,"SALIDA")</f>
        <v>15506.845999999998</v>
      </c>
    </row>
    <row r="3799" spans="1:5" x14ac:dyDescent="0.3">
      <c r="A3799" s="9">
        <v>45419</v>
      </c>
      <c r="B3799" s="10" t="s">
        <v>14</v>
      </c>
      <c r="C3799" s="10" t="s">
        <v>28</v>
      </c>
      <c r="D3799" s="12">
        <v>221.02</v>
      </c>
      <c r="E3799" s="12">
        <f>SUMIF('Parametros Inventario'!$A:$A,B3799,'Parametros Inventario'!$B:$B)+SUMIFS(D$2:D3799,B$2:B3799,B3799,C$2:C3799,"ENTRADA")-SUMIFS(D$2:D3799,B$2:B3799,B3799,C$2:C3799,"SALIDA")</f>
        <v>17872.796000000002</v>
      </c>
    </row>
    <row r="3800" spans="1:5" x14ac:dyDescent="0.3">
      <c r="A3800" s="9">
        <v>45419</v>
      </c>
      <c r="B3800" s="10" t="s">
        <v>12</v>
      </c>
      <c r="C3800" s="10" t="s">
        <v>28</v>
      </c>
      <c r="D3800" s="12">
        <v>60.59</v>
      </c>
      <c r="E3800" s="12">
        <f>SUMIF('Parametros Inventario'!$A:$A,B3800,'Parametros Inventario'!$B:$B)+SUMIFS(D$2:D3800,B$2:B3800,B3800,C$2:C3800,"ENTRADA")-SUMIFS(D$2:D3800,B$2:B3800,B3800,C$2:C3800,"SALIDA")</f>
        <v>17152.801999999996</v>
      </c>
    </row>
    <row r="3801" spans="1:5" x14ac:dyDescent="0.3">
      <c r="A3801" s="9">
        <v>45419</v>
      </c>
      <c r="B3801" s="10" t="s">
        <v>16</v>
      </c>
      <c r="C3801" s="10" t="s">
        <v>28</v>
      </c>
      <c r="D3801" s="12">
        <v>162.16</v>
      </c>
      <c r="E3801" s="12">
        <f>SUMIF('Parametros Inventario'!$A:$A,B3801,'Parametros Inventario'!$B:$B)+SUMIFS(D$2:D3801,B$2:B3801,B3801,C$2:C3801,"ENTRADA")-SUMIFS(D$2:D3801,B$2:B3801,B3801,C$2:C3801,"SALIDA")</f>
        <v>18168.902999999995</v>
      </c>
    </row>
    <row r="3802" spans="1:5" x14ac:dyDescent="0.3">
      <c r="A3802" s="9">
        <v>45419</v>
      </c>
      <c r="B3802" s="10" t="s">
        <v>17</v>
      </c>
      <c r="C3802" s="10" t="s">
        <v>28</v>
      </c>
      <c r="D3802" s="12">
        <v>92.13</v>
      </c>
      <c r="E3802" s="12">
        <f>SUMIF('Parametros Inventario'!$A:$A,B3802,'Parametros Inventario'!$B:$B)+SUMIFS(D$2:D3802,B$2:B3802,B3802,C$2:C3802,"ENTRADA")-SUMIFS(D$2:D3802,B$2:B3802,B3802,C$2:C3802,"SALIDA")</f>
        <v>16687.251999999997</v>
      </c>
    </row>
    <row r="3803" spans="1:5" x14ac:dyDescent="0.3">
      <c r="A3803" s="9">
        <v>45419</v>
      </c>
      <c r="B3803" s="10" t="s">
        <v>18</v>
      </c>
      <c r="C3803" s="10" t="s">
        <v>28</v>
      </c>
      <c r="D3803" s="12">
        <v>282.55</v>
      </c>
      <c r="E3803" s="12">
        <f>SUMIF('Parametros Inventario'!$A:$A,B3803,'Parametros Inventario'!$B:$B)+SUMIFS(D$2:D3803,B$2:B3803,B3803,C$2:C3803,"ENTRADA")-SUMIFS(D$2:D3803,B$2:B3803,B3803,C$2:C3803,"SALIDA")</f>
        <v>17230.814999999991</v>
      </c>
    </row>
    <row r="3804" spans="1:5" x14ac:dyDescent="0.3">
      <c r="A3804" s="9">
        <v>45419</v>
      </c>
      <c r="B3804" s="10" t="s">
        <v>10</v>
      </c>
      <c r="C3804" s="10" t="s">
        <v>28</v>
      </c>
      <c r="D3804" s="12">
        <v>240.93</v>
      </c>
      <c r="E3804" s="12">
        <f>SUMIF('Parametros Inventario'!$A:$A,B3804,'Parametros Inventario'!$B:$B)+SUMIFS(D$2:D3804,B$2:B3804,B3804,C$2:C3804,"ENTRADA")-SUMIFS(D$2:D3804,B$2:B3804,B3804,C$2:C3804,"SALIDA")</f>
        <v>18617.717000000001</v>
      </c>
    </row>
    <row r="3805" spans="1:5" x14ac:dyDescent="0.3">
      <c r="A3805" s="9">
        <v>45419</v>
      </c>
      <c r="B3805" s="10" t="s">
        <v>8</v>
      </c>
      <c r="C3805" s="10" t="s">
        <v>28</v>
      </c>
      <c r="D3805" s="12">
        <v>275.95</v>
      </c>
      <c r="E3805" s="12">
        <f>SUMIF('Parametros Inventario'!$A:$A,B3805,'Parametros Inventario'!$B:$B)+SUMIFS(D$2:D3805,B$2:B3805,B3805,C$2:C3805,"ENTRADA")-SUMIFS(D$2:D3805,B$2:B3805,B3805,C$2:C3805,"SALIDA")</f>
        <v>17460.095000000016</v>
      </c>
    </row>
    <row r="3806" spans="1:5" x14ac:dyDescent="0.3">
      <c r="A3806" s="9">
        <f>'Volúmenes DIstribuidos '!B2355</f>
        <v>45419</v>
      </c>
      <c r="B3806" s="10" t="str">
        <f>IF(OR('Volúmenes DIstribuidos '!C2355="Azúcar",'Volúmenes DIstribuidos '!C2355="azúcar"),"Azúcar o dulce",IF('Volúmenes DIstribuidos '!C2355="Aceite","Aceite o grasas",IF('Volúmenes DIstribuidos '!C2355="Avena","Otros almidones",'Volúmenes DIstribuidos '!C2355)))</f>
        <v>Menestras</v>
      </c>
      <c r="C3806" s="10" t="s">
        <v>29</v>
      </c>
      <c r="D3806" s="12">
        <f>'Volúmenes DIstribuidos '!D2355</f>
        <v>39.353000000000002</v>
      </c>
      <c r="E3806" s="12">
        <f>SUMIF('Parametros Inventario'!$A:$A,B3806,'Parametros Inventario'!$B:$B)+SUMIFS(D$2:D3806,B$2:B3806,B3806,C$2:C3806,"ENTRADA")-SUMIFS(D$2:D3806,B$2:B3806,B3806,C$2:C3806,"SALIDA")</f>
        <v>17833.442999999999</v>
      </c>
    </row>
    <row r="3807" spans="1:5" x14ac:dyDescent="0.3">
      <c r="A3807" s="9">
        <f>'Volúmenes DIstribuidos '!B2355</f>
        <v>45419</v>
      </c>
      <c r="B3807" s="10" t="str">
        <f>IF(OR('Volúmenes DIstribuidos '!C2356="Azúcar",'Volúmenes DIstribuidos '!C2356="azúcar"),"Azúcar o dulce",IF('Volúmenes DIstribuidos '!C2356="Aceite","Aceite o grasas",IF('Volúmenes DIstribuidos '!C2356="Avena","Otros almidones",'Volúmenes DIstribuidos '!C2356)))</f>
        <v>Panadería</v>
      </c>
      <c r="C3807" s="10" t="s">
        <v>29</v>
      </c>
      <c r="D3807" s="12">
        <f>'Volúmenes DIstribuidos '!D2356</f>
        <v>25.12</v>
      </c>
      <c r="E3807" s="12">
        <f>SUMIF('Parametros Inventario'!$A:$A,B3807,'Parametros Inventario'!$B:$B)+SUMIFS(D$2:D3807,B$2:B3807,B3807,C$2:C3807,"ENTRADA")-SUMIFS(D$2:D3807,B$2:B3807,B3807,C$2:C3807,"SALIDA")</f>
        <v>15481.725999999997</v>
      </c>
    </row>
    <row r="3808" spans="1:5" x14ac:dyDescent="0.3">
      <c r="A3808" s="9">
        <f>'Volúmenes DIstribuidos '!B2355</f>
        <v>45419</v>
      </c>
      <c r="B3808" s="10" t="str">
        <f>IF(OR('Volúmenes DIstribuidos '!C2357="Azúcar",'Volúmenes DIstribuidos '!C2357="azúcar"),"Azúcar o dulce",IF('Volúmenes DIstribuidos '!C2357="Aceite","Aceite o grasas",IF('Volúmenes DIstribuidos '!C2357="Avena","Otros almidones",'Volúmenes DIstribuidos '!C2357)))</f>
        <v>Carnes blancas</v>
      </c>
      <c r="C3808" s="10" t="s">
        <v>29</v>
      </c>
      <c r="D3808" s="12">
        <f>'Volúmenes DIstribuidos '!D2357</f>
        <v>10.38</v>
      </c>
      <c r="E3808" s="12">
        <f>SUMIF('Parametros Inventario'!$A:$A,B3808,'Parametros Inventario'!$B:$B)+SUMIFS(D$2:D3808,B$2:B3808,B3808,C$2:C3808,"ENTRADA")-SUMIFS(D$2:D3808,B$2:B3808,B3808,C$2:C3808,"SALIDA")</f>
        <v>18158.522999999994</v>
      </c>
    </row>
    <row r="3809" spans="1:5" x14ac:dyDescent="0.3">
      <c r="A3809" s="9">
        <f>'Volúmenes DIstribuidos '!B2355</f>
        <v>45419</v>
      </c>
      <c r="B3809" s="10" t="str">
        <f>IF(OR('Volúmenes DIstribuidos '!C2358="Azúcar",'Volúmenes DIstribuidos '!C2358="azúcar"),"Azúcar o dulce",IF('Volúmenes DIstribuidos '!C2358="Aceite","Aceite o grasas",IF('Volúmenes DIstribuidos '!C2358="Avena","Otros almidones",'Volúmenes DIstribuidos '!C2358)))</f>
        <v>Salsas</v>
      </c>
      <c r="C3809" s="10" t="s">
        <v>29</v>
      </c>
      <c r="D3809" s="12">
        <f>'Volúmenes DIstribuidos '!D2358</f>
        <v>46.683</v>
      </c>
      <c r="E3809" s="12">
        <f>SUMIF('Parametros Inventario'!$A:$A,B3809,'Parametros Inventario'!$B:$B)+SUMIFS(D$2:D3809,B$2:B3809,B3809,C$2:C3809,"ENTRADA")-SUMIFS(D$2:D3809,B$2:B3809,B3809,C$2:C3809,"SALIDA")</f>
        <v>17184.131999999991</v>
      </c>
    </row>
    <row r="3810" spans="1:5" x14ac:dyDescent="0.3">
      <c r="A3810" s="9">
        <f>'Volúmenes DIstribuidos '!B2355</f>
        <v>45419</v>
      </c>
      <c r="B3810" s="10" t="str">
        <f>IF(OR('Volúmenes DIstribuidos '!C2359="Azúcar",'Volúmenes DIstribuidos '!C2359="azúcar"),"Azúcar o dulce",IF('Volúmenes DIstribuidos '!C2359="Aceite","Aceite o grasas",IF('Volúmenes DIstribuidos '!C2359="Avena","Otros almidones",'Volúmenes DIstribuidos '!C2359)))</f>
        <v>Fideo</v>
      </c>
      <c r="C3810" s="10" t="s">
        <v>29</v>
      </c>
      <c r="D3810" s="12">
        <f>'Volúmenes DIstribuidos '!D2359</f>
        <v>14.43</v>
      </c>
      <c r="E3810" s="12">
        <f>SUMIF('Parametros Inventario'!$A:$A,B3810,'Parametros Inventario'!$B:$B)+SUMIFS(D$2:D3810,B$2:B3810,B3810,C$2:C3810,"ENTRADA")-SUMIFS(D$2:D3810,B$2:B3810,B3810,C$2:C3810,"SALIDA")</f>
        <v>19949.489000000009</v>
      </c>
    </row>
    <row r="3811" spans="1:5" x14ac:dyDescent="0.3">
      <c r="A3811" s="9">
        <f>'Volúmenes DIstribuidos '!B2355</f>
        <v>45419</v>
      </c>
      <c r="B3811" s="10" t="str">
        <f>IF(OR('Volúmenes DIstribuidos '!C2360="Azúcar",'Volúmenes DIstribuidos '!C2360="azúcar"),"Azúcar o dulce",IF('Volúmenes DIstribuidos '!C2360="Aceite","Aceite o grasas",IF('Volúmenes DIstribuidos '!C2360="Avena","Otros almidones",'Volúmenes DIstribuidos '!C2360)))</f>
        <v>Vegetales y hojas</v>
      </c>
      <c r="C3811" s="10" t="s">
        <v>29</v>
      </c>
      <c r="D3811" s="12">
        <f>'Volúmenes DIstribuidos '!D2360</f>
        <v>57.85</v>
      </c>
      <c r="E3811" s="12">
        <f>SUMIF('Parametros Inventario'!$A:$A,B3811,'Parametros Inventario'!$B:$B)+SUMIFS(D$2:D3811,B$2:B3811,B3811,C$2:C3811,"ENTRADA")-SUMIFS(D$2:D3811,B$2:B3811,B3811,C$2:C3811,"SALIDA")</f>
        <v>18559.866999999998</v>
      </c>
    </row>
    <row r="3812" spans="1:5" x14ac:dyDescent="0.3">
      <c r="A3812" s="9">
        <v>45422</v>
      </c>
      <c r="B3812" s="10" t="s">
        <v>13</v>
      </c>
      <c r="C3812" s="10" t="s">
        <v>28</v>
      </c>
      <c r="D3812" s="12">
        <v>93.7</v>
      </c>
      <c r="E3812" s="12">
        <f>SUMIF('Parametros Inventario'!$A:$A,B3812,'Parametros Inventario'!$B:$B)+SUMIFS(D$2:D3812,B$2:B3812,B3812,C$2:C3812,"ENTRADA")-SUMIFS(D$2:D3812,B$2:B3812,B3812,C$2:C3812,"SALIDA")</f>
        <v>16414.122000000007</v>
      </c>
    </row>
    <row r="3813" spans="1:5" x14ac:dyDescent="0.3">
      <c r="A3813" s="9">
        <v>45422</v>
      </c>
      <c r="B3813" s="10" t="s">
        <v>15</v>
      </c>
      <c r="C3813" s="10" t="s">
        <v>28</v>
      </c>
      <c r="D3813" s="12">
        <v>141.76</v>
      </c>
      <c r="E3813" s="12">
        <f>SUMIF('Parametros Inventario'!$A:$A,B3813,'Parametros Inventario'!$B:$B)+SUMIFS(D$2:D3813,B$2:B3813,B3813,C$2:C3813,"ENTRADA")-SUMIFS(D$2:D3813,B$2:B3813,B3813,C$2:C3813,"SALIDA")</f>
        <v>19060.349999999999</v>
      </c>
    </row>
    <row r="3814" spans="1:5" x14ac:dyDescent="0.3">
      <c r="A3814" s="9">
        <v>45422</v>
      </c>
      <c r="B3814" s="10" t="s">
        <v>11</v>
      </c>
      <c r="C3814" s="10" t="s">
        <v>28</v>
      </c>
      <c r="D3814" s="12">
        <v>83.33</v>
      </c>
      <c r="E3814" s="12">
        <f>SUMIF('Parametros Inventario'!$A:$A,B3814,'Parametros Inventario'!$B:$B)+SUMIFS(D$2:D3814,B$2:B3814,B3814,C$2:C3814,"ENTRADA")-SUMIFS(D$2:D3814,B$2:B3814,B3814,C$2:C3814,"SALIDA")</f>
        <v>20032.81900000001</v>
      </c>
    </row>
    <row r="3815" spans="1:5" x14ac:dyDescent="0.3">
      <c r="A3815" s="9">
        <v>45422</v>
      </c>
      <c r="B3815" s="10" t="s">
        <v>9</v>
      </c>
      <c r="C3815" s="10" t="s">
        <v>28</v>
      </c>
      <c r="D3815" s="12">
        <v>138.32</v>
      </c>
      <c r="E3815" s="12">
        <f>SUMIF('Parametros Inventario'!$A:$A,B3815,'Parametros Inventario'!$B:$B)+SUMIFS(D$2:D3815,B$2:B3815,B3815,C$2:C3815,"ENTRADA")-SUMIFS(D$2:D3815,B$2:B3815,B3815,C$2:C3815,"SALIDA")</f>
        <v>15620.045999999997</v>
      </c>
    </row>
    <row r="3816" spans="1:5" x14ac:dyDescent="0.3">
      <c r="A3816" s="9">
        <v>45422</v>
      </c>
      <c r="B3816" s="10" t="s">
        <v>14</v>
      </c>
      <c r="C3816" s="10" t="s">
        <v>28</v>
      </c>
      <c r="D3816" s="12">
        <v>62.73</v>
      </c>
      <c r="E3816" s="12">
        <f>SUMIF('Parametros Inventario'!$A:$A,B3816,'Parametros Inventario'!$B:$B)+SUMIFS(D$2:D3816,B$2:B3816,B3816,C$2:C3816,"ENTRADA")-SUMIFS(D$2:D3816,B$2:B3816,B3816,C$2:C3816,"SALIDA")</f>
        <v>17896.173000000003</v>
      </c>
    </row>
    <row r="3817" spans="1:5" x14ac:dyDescent="0.3">
      <c r="A3817" s="9">
        <v>45422</v>
      </c>
      <c r="B3817" s="10" t="s">
        <v>12</v>
      </c>
      <c r="C3817" s="10" t="s">
        <v>28</v>
      </c>
      <c r="D3817" s="12">
        <v>173.88</v>
      </c>
      <c r="E3817" s="12">
        <f>SUMIF('Parametros Inventario'!$A:$A,B3817,'Parametros Inventario'!$B:$B)+SUMIFS(D$2:D3817,B$2:B3817,B3817,C$2:C3817,"ENTRADA")-SUMIFS(D$2:D3817,B$2:B3817,B3817,C$2:C3817,"SALIDA")</f>
        <v>17326.681999999993</v>
      </c>
    </row>
    <row r="3818" spans="1:5" x14ac:dyDescent="0.3">
      <c r="A3818" s="9">
        <v>45422</v>
      </c>
      <c r="B3818" s="10" t="s">
        <v>16</v>
      </c>
      <c r="C3818" s="10" t="s">
        <v>28</v>
      </c>
      <c r="D3818" s="12">
        <v>92.62</v>
      </c>
      <c r="E3818" s="12">
        <f>SUMIF('Parametros Inventario'!$A:$A,B3818,'Parametros Inventario'!$B:$B)+SUMIFS(D$2:D3818,B$2:B3818,B3818,C$2:C3818,"ENTRADA")-SUMIFS(D$2:D3818,B$2:B3818,B3818,C$2:C3818,"SALIDA")</f>
        <v>18251.142999999993</v>
      </c>
    </row>
    <row r="3819" spans="1:5" x14ac:dyDescent="0.3">
      <c r="A3819" s="9">
        <v>45422</v>
      </c>
      <c r="B3819" s="10" t="s">
        <v>17</v>
      </c>
      <c r="C3819" s="10" t="s">
        <v>28</v>
      </c>
      <c r="D3819" s="12">
        <v>292.43</v>
      </c>
      <c r="E3819" s="12">
        <f>SUMIF('Parametros Inventario'!$A:$A,B3819,'Parametros Inventario'!$B:$B)+SUMIFS(D$2:D3819,B$2:B3819,B3819,C$2:C3819,"ENTRADA")-SUMIFS(D$2:D3819,B$2:B3819,B3819,C$2:C3819,"SALIDA")</f>
        <v>16979.681999999997</v>
      </c>
    </row>
    <row r="3820" spans="1:5" x14ac:dyDescent="0.3">
      <c r="A3820" s="9">
        <f>'Volúmenes DIstribuidos '!B2361</f>
        <v>45422</v>
      </c>
      <c r="B3820" s="10" t="str">
        <f>IF(OR('Volúmenes DIstribuidos '!C2361="Azúcar",'Volúmenes DIstribuidos '!C2361="azúcar"),"Azúcar o dulce",IF('Volúmenes DIstribuidos '!C2361="Aceite","Aceite o grasas",IF('Volúmenes DIstribuidos '!C2361="Avena","Otros almidones",'Volúmenes DIstribuidos '!C2361)))</f>
        <v>Azúcar o dulce</v>
      </c>
      <c r="C3820" s="10" t="s">
        <v>29</v>
      </c>
      <c r="D3820" s="12">
        <f>'Volúmenes DIstribuidos '!D2361</f>
        <v>25.85</v>
      </c>
      <c r="E3820" s="12">
        <f>SUMIF('Parametros Inventario'!$A:$A,B3820,'Parametros Inventario'!$B:$B)+SUMIFS(D$2:D3820,B$2:B3820,B3820,C$2:C3820,"ENTRADA")-SUMIFS(D$2:D3820,B$2:B3820,B3820,C$2:C3820,"SALIDA")</f>
        <v>16388.272000000008</v>
      </c>
    </row>
    <row r="3821" spans="1:5" x14ac:dyDescent="0.3">
      <c r="A3821" s="9">
        <f>'Volúmenes DIstribuidos '!B2361</f>
        <v>45422</v>
      </c>
      <c r="B3821" s="10" t="str">
        <f>IF(OR('Volúmenes DIstribuidos '!C2362="Azúcar",'Volúmenes DIstribuidos '!C2362="azúcar"),"Azúcar o dulce",IF('Volúmenes DIstribuidos '!C2362="Aceite","Aceite o grasas",IF('Volúmenes DIstribuidos '!C2362="Avena","Otros almidones",'Volúmenes DIstribuidos '!C2362)))</f>
        <v>Aceite o grasas</v>
      </c>
      <c r="C3821" s="10" t="s">
        <v>29</v>
      </c>
      <c r="D3821" s="12">
        <f>'Volúmenes DIstribuidos '!D2362</f>
        <v>20.46</v>
      </c>
      <c r="E3821" s="12">
        <f>SUMIF('Parametros Inventario'!$A:$A,B3821,'Parametros Inventario'!$B:$B)+SUMIFS(D$2:D3821,B$2:B3821,B3821,C$2:C3821,"ENTRADA")-SUMIFS(D$2:D3821,B$2:B3821,B3821,C$2:C3821,"SALIDA")</f>
        <v>17439.635000000017</v>
      </c>
    </row>
    <row r="3822" spans="1:5" x14ac:dyDescent="0.3">
      <c r="A3822" s="9">
        <f>'Volúmenes DIstribuidos '!B2361</f>
        <v>45422</v>
      </c>
      <c r="B3822" s="10" t="str">
        <f>IF(OR('Volúmenes DIstribuidos '!C2363="Azúcar",'Volúmenes DIstribuidos '!C2363="azúcar"),"Azúcar o dulce",IF('Volúmenes DIstribuidos '!C2363="Aceite","Aceite o grasas",IF('Volúmenes DIstribuidos '!C2363="Avena","Otros almidones",'Volúmenes DIstribuidos '!C2363)))</f>
        <v>Otros almidones</v>
      </c>
      <c r="C3822" s="10" t="s">
        <v>29</v>
      </c>
      <c r="D3822" s="12">
        <f>'Volúmenes DIstribuidos '!D2363</f>
        <v>34.42</v>
      </c>
      <c r="E3822" s="12">
        <f>SUMIF('Parametros Inventario'!$A:$A,B3822,'Parametros Inventario'!$B:$B)+SUMIFS(D$2:D3822,B$2:B3822,B3822,C$2:C3822,"ENTRADA")-SUMIFS(D$2:D3822,B$2:B3822,B3822,C$2:C3822,"SALIDA")</f>
        <v>19025.93</v>
      </c>
    </row>
    <row r="3823" spans="1:5" x14ac:dyDescent="0.3">
      <c r="A3823" s="9">
        <f>'Volúmenes DIstribuidos '!B2361</f>
        <v>45422</v>
      </c>
      <c r="B3823" s="10" t="str">
        <f>IF(OR('Volúmenes DIstribuidos '!C2364="Azúcar",'Volúmenes DIstribuidos '!C2364="azúcar"),"Azúcar o dulce",IF('Volúmenes DIstribuidos '!C2364="Aceite","Aceite o grasas",IF('Volúmenes DIstribuidos '!C2364="Avena","Otros almidones",'Volúmenes DIstribuidos '!C2364)))</f>
        <v>Carnes rojas</v>
      </c>
      <c r="C3823" s="10" t="s">
        <v>29</v>
      </c>
      <c r="D3823" s="12">
        <f>'Volúmenes DIstribuidos '!D2364</f>
        <v>57.226999999999997</v>
      </c>
      <c r="E3823" s="12">
        <f>SUMIF('Parametros Inventario'!$A:$A,B3823,'Parametros Inventario'!$B:$B)+SUMIFS(D$2:D3823,B$2:B3823,B3823,C$2:C3823,"ENTRADA")-SUMIFS(D$2:D3823,B$2:B3823,B3823,C$2:C3823,"SALIDA")</f>
        <v>17269.454999999994</v>
      </c>
    </row>
    <row r="3824" spans="1:5" x14ac:dyDescent="0.3">
      <c r="A3824" s="9">
        <f>'Volúmenes DIstribuidos '!B2361</f>
        <v>45422</v>
      </c>
      <c r="B3824" s="10" t="str">
        <f>IF(OR('Volúmenes DIstribuidos '!C2365="Azúcar",'Volúmenes DIstribuidos '!C2365="azúcar"),"Azúcar o dulce",IF('Volúmenes DIstribuidos '!C2365="Aceite","Aceite o grasas",IF('Volúmenes DIstribuidos '!C2365="Avena","Otros almidones",'Volúmenes DIstribuidos '!C2365)))</f>
        <v>Carnes rojas</v>
      </c>
      <c r="C3824" s="10" t="s">
        <v>29</v>
      </c>
      <c r="D3824" s="12">
        <f>'Volúmenes DIstribuidos '!D2365</f>
        <v>40.29</v>
      </c>
      <c r="E3824" s="12">
        <f>SUMIF('Parametros Inventario'!$A:$A,B3824,'Parametros Inventario'!$B:$B)+SUMIFS(D$2:D3824,B$2:B3824,B3824,C$2:C3824,"ENTRADA")-SUMIFS(D$2:D3824,B$2:B3824,B3824,C$2:C3824,"SALIDA")</f>
        <v>17229.164999999994</v>
      </c>
    </row>
    <row r="3825" spans="1:5" x14ac:dyDescent="0.3">
      <c r="A3825" s="9">
        <f>'Volúmenes DIstribuidos '!B2361</f>
        <v>45422</v>
      </c>
      <c r="B3825" s="10" t="str">
        <f>IF(OR('Volúmenes DIstribuidos '!C2366="Azúcar",'Volúmenes DIstribuidos '!C2366="azúcar"),"Azúcar o dulce",IF('Volúmenes DIstribuidos '!C2366="Aceite","Aceite o grasas",IF('Volúmenes DIstribuidos '!C2366="Avena","Otros almidones",'Volúmenes DIstribuidos '!C2366)))</f>
        <v>Vegetales y hojas</v>
      </c>
      <c r="C3825" s="10" t="s">
        <v>29</v>
      </c>
      <c r="D3825" s="12">
        <f>'Volúmenes DIstribuidos '!D2366</f>
        <v>80</v>
      </c>
      <c r="E3825" s="12">
        <f>SUMIF('Parametros Inventario'!$A:$A,B3825,'Parametros Inventario'!$B:$B)+SUMIFS(D$2:D3825,B$2:B3825,B3825,C$2:C3825,"ENTRADA")-SUMIFS(D$2:D3825,B$2:B3825,B3825,C$2:C3825,"SALIDA")</f>
        <v>18479.866999999998</v>
      </c>
    </row>
    <row r="3826" spans="1:5" x14ac:dyDescent="0.3">
      <c r="A3826" s="9">
        <f>'Volúmenes DIstribuidos '!B2367</f>
        <v>45426</v>
      </c>
      <c r="B3826" s="10" t="str">
        <f>IF(OR('Volúmenes DIstribuidos '!C2367="Azúcar",'Volúmenes DIstribuidos '!C2367="azúcar"),"Azúcar o dulce",IF('Volúmenes DIstribuidos '!C2367="Aceite","Aceite o grasas",IF('Volúmenes DIstribuidos '!C2367="Avena","Otros almidones",'Volúmenes DIstribuidos '!C2367)))</f>
        <v>Menestras</v>
      </c>
      <c r="C3826" s="10" t="s">
        <v>29</v>
      </c>
      <c r="D3826" s="12">
        <f>'Volúmenes DIstribuidos '!D2367</f>
        <v>140</v>
      </c>
      <c r="E3826" s="12">
        <f>SUMIF('Parametros Inventario'!$A:$A,B3826,'Parametros Inventario'!$B:$B)+SUMIFS(D$2:D3826,B$2:B3826,B3826,C$2:C3826,"ENTRADA")-SUMIFS(D$2:D3826,B$2:B3826,B3826,C$2:C3826,"SALIDA")</f>
        <v>17756.173000000003</v>
      </c>
    </row>
    <row r="3827" spans="1:5" x14ac:dyDescent="0.3">
      <c r="A3827" s="9">
        <f>'Volúmenes DIstribuidos '!B2367</f>
        <v>45426</v>
      </c>
      <c r="B3827" s="10" t="str">
        <f>IF(OR('Volúmenes DIstribuidos '!C2368="Azúcar",'Volúmenes DIstribuidos '!C2368="azúcar"),"Azúcar o dulce",IF('Volúmenes DIstribuidos '!C2368="Aceite","Aceite o grasas",IF('Volúmenes DIstribuidos '!C2368="Avena","Otros almidones",'Volúmenes DIstribuidos '!C2368)))</f>
        <v>Azúcar o dulce</v>
      </c>
      <c r="C3827" s="10" t="s">
        <v>29</v>
      </c>
      <c r="D3827" s="12">
        <f>'Volúmenes DIstribuidos '!D2368</f>
        <v>100.81</v>
      </c>
      <c r="E3827" s="12">
        <f>SUMIF('Parametros Inventario'!$A:$A,B3827,'Parametros Inventario'!$B:$B)+SUMIFS(D$2:D3827,B$2:B3827,B3827,C$2:C3827,"ENTRADA")-SUMIFS(D$2:D3827,B$2:B3827,B3827,C$2:C3827,"SALIDA")</f>
        <v>16287.462000000007</v>
      </c>
    </row>
    <row r="3828" spans="1:5" x14ac:dyDescent="0.3">
      <c r="A3828" s="9">
        <f>'Volúmenes DIstribuidos '!B2367</f>
        <v>45426</v>
      </c>
      <c r="B3828" s="10" t="str">
        <f>IF(OR('Volúmenes DIstribuidos '!C2369="Azúcar",'Volúmenes DIstribuidos '!C2369="azúcar"),"Azúcar o dulce",IF('Volúmenes DIstribuidos '!C2369="Aceite","Aceite o grasas",IF('Volúmenes DIstribuidos '!C2369="Avena","Otros almidones",'Volúmenes DIstribuidos '!C2369)))</f>
        <v>Azúcar o dulce</v>
      </c>
      <c r="C3828" s="10" t="s">
        <v>29</v>
      </c>
      <c r="D3828" s="12">
        <f>'Volúmenes DIstribuidos '!D2369</f>
        <v>44.56</v>
      </c>
      <c r="E3828" s="12">
        <f>SUMIF('Parametros Inventario'!$A:$A,B3828,'Parametros Inventario'!$B:$B)+SUMIFS(D$2:D3828,B$2:B3828,B3828,C$2:C3828,"ENTRADA")-SUMIFS(D$2:D3828,B$2:B3828,B3828,C$2:C3828,"SALIDA")</f>
        <v>16242.902000000006</v>
      </c>
    </row>
    <row r="3829" spans="1:5" x14ac:dyDescent="0.3">
      <c r="A3829" s="9">
        <f>'Volúmenes DIstribuidos '!B2367</f>
        <v>45426</v>
      </c>
      <c r="B3829" s="10" t="str">
        <f>IF(OR('Volúmenes DIstribuidos '!C2370="Azúcar",'Volúmenes DIstribuidos '!C2370="azúcar"),"Azúcar o dulce",IF('Volúmenes DIstribuidos '!C2370="Aceite","Aceite o grasas",IF('Volúmenes DIstribuidos '!C2370="Avena","Otros almidones",'Volúmenes DIstribuidos '!C2370)))</f>
        <v>Menestras</v>
      </c>
      <c r="C3829" s="10" t="s">
        <v>29</v>
      </c>
      <c r="D3829" s="12">
        <f>'Volúmenes DIstribuidos '!D2370</f>
        <v>20.27</v>
      </c>
      <c r="E3829" s="12">
        <f>SUMIF('Parametros Inventario'!$A:$A,B3829,'Parametros Inventario'!$B:$B)+SUMIFS(D$2:D3829,B$2:B3829,B3829,C$2:C3829,"ENTRADA")-SUMIFS(D$2:D3829,B$2:B3829,B3829,C$2:C3829,"SALIDA")</f>
        <v>17735.902999999998</v>
      </c>
    </row>
    <row r="3830" spans="1:5" x14ac:dyDescent="0.3">
      <c r="A3830" s="9">
        <f>'Volúmenes DIstribuidos '!B2367</f>
        <v>45426</v>
      </c>
      <c r="B3830" s="10" t="str">
        <f>IF(OR('Volúmenes DIstribuidos '!C2371="Azúcar",'Volúmenes DIstribuidos '!C2371="azúcar"),"Azúcar o dulce",IF('Volúmenes DIstribuidos '!C2371="Aceite","Aceite o grasas",IF('Volúmenes DIstribuidos '!C2371="Avena","Otros almidones",'Volúmenes DIstribuidos '!C2371)))</f>
        <v>Panadería</v>
      </c>
      <c r="C3830" s="10" t="s">
        <v>29</v>
      </c>
      <c r="D3830" s="12">
        <f>'Volúmenes DIstribuidos '!D2371</f>
        <v>27.48</v>
      </c>
      <c r="E3830" s="12">
        <f>SUMIF('Parametros Inventario'!$A:$A,B3830,'Parametros Inventario'!$B:$B)+SUMIFS(D$2:D3830,B$2:B3830,B3830,C$2:C3830,"ENTRADA")-SUMIFS(D$2:D3830,B$2:B3830,B3830,C$2:C3830,"SALIDA")</f>
        <v>15592.565999999997</v>
      </c>
    </row>
    <row r="3831" spans="1:5" x14ac:dyDescent="0.3">
      <c r="A3831" s="9">
        <f>'Volúmenes DIstribuidos '!B2367</f>
        <v>45426</v>
      </c>
      <c r="B3831" s="10" t="str">
        <f>IF(OR('Volúmenes DIstribuidos '!C2372="Azúcar",'Volúmenes DIstribuidos '!C2372="azúcar"),"Azúcar o dulce",IF('Volúmenes DIstribuidos '!C2372="Aceite","Aceite o grasas",IF('Volúmenes DIstribuidos '!C2372="Avena","Otros almidones",'Volúmenes DIstribuidos '!C2372)))</f>
        <v>Carnes blancas</v>
      </c>
      <c r="C3831" s="10" t="s">
        <v>29</v>
      </c>
      <c r="D3831" s="12">
        <f>'Volúmenes DIstribuidos '!D2372</f>
        <v>36.32</v>
      </c>
      <c r="E3831" s="12">
        <f>SUMIF('Parametros Inventario'!$A:$A,B3831,'Parametros Inventario'!$B:$B)+SUMIFS(D$2:D3831,B$2:B3831,B3831,C$2:C3831,"ENTRADA")-SUMIFS(D$2:D3831,B$2:B3831,B3831,C$2:C3831,"SALIDA")</f>
        <v>18214.822999999993</v>
      </c>
    </row>
    <row r="3832" spans="1:5" x14ac:dyDescent="0.3">
      <c r="A3832" s="9">
        <v>45429</v>
      </c>
      <c r="B3832" s="10" t="s">
        <v>18</v>
      </c>
      <c r="C3832" s="10" t="s">
        <v>28</v>
      </c>
      <c r="D3832" s="12">
        <v>134.49</v>
      </c>
      <c r="E3832" s="12">
        <f>SUMIF('Parametros Inventario'!$A:$A,B3832,'Parametros Inventario'!$B:$B)+SUMIFS(D$2:D3832,B$2:B3832,B3832,C$2:C3832,"ENTRADA")-SUMIFS(D$2:D3832,B$2:B3832,B3832,C$2:C3832,"SALIDA")</f>
        <v>17318.621999999996</v>
      </c>
    </row>
    <row r="3833" spans="1:5" x14ac:dyDescent="0.3">
      <c r="A3833" s="9">
        <v>45429</v>
      </c>
      <c r="B3833" s="10" t="s">
        <v>10</v>
      </c>
      <c r="C3833" s="10" t="s">
        <v>28</v>
      </c>
      <c r="D3833" s="12">
        <v>219.77</v>
      </c>
      <c r="E3833" s="12">
        <f>SUMIF('Parametros Inventario'!$A:$A,B3833,'Parametros Inventario'!$B:$B)+SUMIFS(D$2:D3833,B$2:B3833,B3833,C$2:C3833,"ENTRADA")-SUMIFS(D$2:D3833,B$2:B3833,B3833,C$2:C3833,"SALIDA")</f>
        <v>18699.637000000002</v>
      </c>
    </row>
    <row r="3834" spans="1:5" x14ac:dyDescent="0.3">
      <c r="A3834" s="9">
        <v>45429</v>
      </c>
      <c r="B3834" s="10" t="s">
        <v>8</v>
      </c>
      <c r="C3834" s="10" t="s">
        <v>28</v>
      </c>
      <c r="D3834" s="12">
        <v>257.93</v>
      </c>
      <c r="E3834" s="12">
        <f>SUMIF('Parametros Inventario'!$A:$A,B3834,'Parametros Inventario'!$B:$B)+SUMIFS(D$2:D3834,B$2:B3834,B3834,C$2:C3834,"ENTRADA")-SUMIFS(D$2:D3834,B$2:B3834,B3834,C$2:C3834,"SALIDA")</f>
        <v>17697.565000000017</v>
      </c>
    </row>
    <row r="3835" spans="1:5" x14ac:dyDescent="0.3">
      <c r="A3835" s="9">
        <v>45429</v>
      </c>
      <c r="B3835" s="10" t="s">
        <v>13</v>
      </c>
      <c r="C3835" s="10" t="s">
        <v>28</v>
      </c>
      <c r="D3835" s="12">
        <v>262.69</v>
      </c>
      <c r="E3835" s="12">
        <f>SUMIF('Parametros Inventario'!$A:$A,B3835,'Parametros Inventario'!$B:$B)+SUMIFS(D$2:D3835,B$2:B3835,B3835,C$2:C3835,"ENTRADA")-SUMIFS(D$2:D3835,B$2:B3835,B3835,C$2:C3835,"SALIDA")</f>
        <v>16505.592000000004</v>
      </c>
    </row>
    <row r="3836" spans="1:5" x14ac:dyDescent="0.3">
      <c r="A3836" s="9">
        <v>45429</v>
      </c>
      <c r="B3836" s="10" t="s">
        <v>15</v>
      </c>
      <c r="C3836" s="10" t="s">
        <v>28</v>
      </c>
      <c r="D3836" s="12">
        <v>264.45</v>
      </c>
      <c r="E3836" s="12">
        <f>SUMIF('Parametros Inventario'!$A:$A,B3836,'Parametros Inventario'!$B:$B)+SUMIFS(D$2:D3836,B$2:B3836,B3836,C$2:C3836,"ENTRADA")-SUMIFS(D$2:D3836,B$2:B3836,B3836,C$2:C3836,"SALIDA")</f>
        <v>19290.379999999997</v>
      </c>
    </row>
    <row r="3837" spans="1:5" x14ac:dyDescent="0.3">
      <c r="A3837" s="9">
        <v>45429</v>
      </c>
      <c r="B3837" s="10" t="s">
        <v>11</v>
      </c>
      <c r="C3837" s="10" t="s">
        <v>28</v>
      </c>
      <c r="D3837" s="12">
        <v>122.52</v>
      </c>
      <c r="E3837" s="12">
        <f>SUMIF('Parametros Inventario'!$A:$A,B3837,'Parametros Inventario'!$B:$B)+SUMIFS(D$2:D3837,B$2:B3837,B3837,C$2:C3837,"ENTRADA")-SUMIFS(D$2:D3837,B$2:B3837,B3837,C$2:C3837,"SALIDA")</f>
        <v>20155.339000000011</v>
      </c>
    </row>
    <row r="3838" spans="1:5" x14ac:dyDescent="0.3">
      <c r="A3838" s="9">
        <v>45429</v>
      </c>
      <c r="B3838" s="10" t="s">
        <v>9</v>
      </c>
      <c r="C3838" s="10" t="s">
        <v>28</v>
      </c>
      <c r="D3838" s="12">
        <v>170.78</v>
      </c>
      <c r="E3838" s="12">
        <f>SUMIF('Parametros Inventario'!$A:$A,B3838,'Parametros Inventario'!$B:$B)+SUMIFS(D$2:D3838,B$2:B3838,B3838,C$2:C3838,"ENTRADA")-SUMIFS(D$2:D3838,B$2:B3838,B3838,C$2:C3838,"SALIDA")</f>
        <v>15763.345999999996</v>
      </c>
    </row>
    <row r="3839" spans="1:5" x14ac:dyDescent="0.3">
      <c r="A3839" s="9">
        <v>45429</v>
      </c>
      <c r="B3839" s="10" t="s">
        <v>14</v>
      </c>
      <c r="C3839" s="10" t="s">
        <v>28</v>
      </c>
      <c r="D3839" s="12">
        <v>116.19</v>
      </c>
      <c r="E3839" s="12">
        <f>SUMIF('Parametros Inventario'!$A:$A,B3839,'Parametros Inventario'!$B:$B)+SUMIFS(D$2:D3839,B$2:B3839,B3839,C$2:C3839,"ENTRADA")-SUMIFS(D$2:D3839,B$2:B3839,B3839,C$2:C3839,"SALIDA")</f>
        <v>17852.093000000001</v>
      </c>
    </row>
    <row r="3840" spans="1:5" x14ac:dyDescent="0.3">
      <c r="A3840" s="9">
        <v>45429</v>
      </c>
      <c r="B3840" s="10" t="s">
        <v>12</v>
      </c>
      <c r="C3840" s="10" t="s">
        <v>28</v>
      </c>
      <c r="D3840" s="12">
        <v>50.56</v>
      </c>
      <c r="E3840" s="12">
        <f>SUMIF('Parametros Inventario'!$A:$A,B3840,'Parametros Inventario'!$B:$B)+SUMIFS(D$2:D3840,B$2:B3840,B3840,C$2:C3840,"ENTRADA")-SUMIFS(D$2:D3840,B$2:B3840,B3840,C$2:C3840,"SALIDA")</f>
        <v>17279.724999999999</v>
      </c>
    </row>
    <row r="3841" spans="1:5" x14ac:dyDescent="0.3">
      <c r="A3841" s="9">
        <v>45429</v>
      </c>
      <c r="B3841" s="10" t="s">
        <v>16</v>
      </c>
      <c r="C3841" s="10" t="s">
        <v>28</v>
      </c>
      <c r="D3841" s="12">
        <v>207.79</v>
      </c>
      <c r="E3841" s="12">
        <f>SUMIF('Parametros Inventario'!$A:$A,B3841,'Parametros Inventario'!$B:$B)+SUMIFS(D$2:D3841,B$2:B3841,B3841,C$2:C3841,"ENTRADA")-SUMIFS(D$2:D3841,B$2:B3841,B3841,C$2:C3841,"SALIDA")</f>
        <v>18422.612999999994</v>
      </c>
    </row>
    <row r="3842" spans="1:5" x14ac:dyDescent="0.3">
      <c r="A3842" s="9">
        <v>45429</v>
      </c>
      <c r="B3842" s="10" t="s">
        <v>17</v>
      </c>
      <c r="C3842" s="10" t="s">
        <v>28</v>
      </c>
      <c r="D3842" s="12">
        <v>148.41</v>
      </c>
      <c r="E3842" s="12">
        <f>SUMIF('Parametros Inventario'!$A:$A,B3842,'Parametros Inventario'!$B:$B)+SUMIFS(D$2:D3842,B$2:B3842,B3842,C$2:C3842,"ENTRADA")-SUMIFS(D$2:D3842,B$2:B3842,B3842,C$2:C3842,"SALIDA")</f>
        <v>17128.091999999997</v>
      </c>
    </row>
    <row r="3843" spans="1:5" x14ac:dyDescent="0.3">
      <c r="A3843" s="9">
        <f>'Volúmenes DIstribuidos '!B2373</f>
        <v>45429</v>
      </c>
      <c r="B3843" s="10" t="str">
        <f>IF(OR('Volúmenes DIstribuidos '!C2373="Azúcar",'Volúmenes DIstribuidos '!C2373="azúcar"),"Azúcar o dulce",IF('Volúmenes DIstribuidos '!C2373="Aceite","Aceite o grasas",IF('Volúmenes DIstribuidos '!C2373="Avena","Otros almidones",'Volúmenes DIstribuidos '!C2373)))</f>
        <v>Aceite o grasas</v>
      </c>
      <c r="C3843" s="10" t="s">
        <v>29</v>
      </c>
      <c r="D3843" s="12">
        <f>'Volúmenes DIstribuidos '!D2373</f>
        <v>29.19</v>
      </c>
      <c r="E3843" s="12">
        <f>SUMIF('Parametros Inventario'!$A:$A,B3843,'Parametros Inventario'!$B:$B)+SUMIFS(D$2:D3843,B$2:B3843,B3843,C$2:C3843,"ENTRADA")-SUMIFS(D$2:D3843,B$2:B3843,B3843,C$2:C3843,"SALIDA")</f>
        <v>17668.375000000015</v>
      </c>
    </row>
    <row r="3844" spans="1:5" x14ac:dyDescent="0.3">
      <c r="A3844" s="9">
        <f>'Volúmenes DIstribuidos '!B2373</f>
        <v>45429</v>
      </c>
      <c r="B3844" s="10" t="str">
        <f>IF(OR('Volúmenes DIstribuidos '!C2374="Azúcar",'Volúmenes DIstribuidos '!C2374="azúcar"),"Azúcar o dulce",IF('Volúmenes DIstribuidos '!C2374="Aceite","Aceite o grasas",IF('Volúmenes DIstribuidos '!C2374="Avena","Otros almidones",'Volúmenes DIstribuidos '!C2374)))</f>
        <v>Vegetales y hojas</v>
      </c>
      <c r="C3844" s="10" t="s">
        <v>29</v>
      </c>
      <c r="D3844" s="12">
        <f>'Volúmenes DIstribuidos '!D2374</f>
        <v>25.37</v>
      </c>
      <c r="E3844" s="12">
        <f>SUMIF('Parametros Inventario'!$A:$A,B3844,'Parametros Inventario'!$B:$B)+SUMIFS(D$2:D3844,B$2:B3844,B3844,C$2:C3844,"ENTRADA")-SUMIFS(D$2:D3844,B$2:B3844,B3844,C$2:C3844,"SALIDA")</f>
        <v>18674.267</v>
      </c>
    </row>
    <row r="3845" spans="1:5" x14ac:dyDescent="0.3">
      <c r="A3845" s="9">
        <f>'Volúmenes DIstribuidos '!B2373</f>
        <v>45429</v>
      </c>
      <c r="B3845" s="10" t="str">
        <f>IF(OR('Volúmenes DIstribuidos '!C2375="Azúcar",'Volúmenes DIstribuidos '!C2375="azúcar"),"Azúcar o dulce",IF('Volúmenes DIstribuidos '!C2375="Aceite","Aceite o grasas",IF('Volúmenes DIstribuidos '!C2375="Avena","Otros almidones",'Volúmenes DIstribuidos '!C2375)))</f>
        <v>Carnes blancas</v>
      </c>
      <c r="C3845" s="10" t="s">
        <v>29</v>
      </c>
      <c r="D3845" s="12">
        <f>'Volúmenes DIstribuidos '!D2375</f>
        <v>29.24</v>
      </c>
      <c r="E3845" s="12">
        <f>SUMIF('Parametros Inventario'!$A:$A,B3845,'Parametros Inventario'!$B:$B)+SUMIFS(D$2:D3845,B$2:B3845,B3845,C$2:C3845,"ENTRADA")-SUMIFS(D$2:D3845,B$2:B3845,B3845,C$2:C3845,"SALIDA")</f>
        <v>18393.372999999996</v>
      </c>
    </row>
    <row r="3846" spans="1:5" x14ac:dyDescent="0.3">
      <c r="A3846" s="9">
        <f>'Volúmenes DIstribuidos '!B2373</f>
        <v>45429</v>
      </c>
      <c r="B3846" s="10" t="str">
        <f>IF(OR('Volúmenes DIstribuidos '!C2376="Azúcar",'Volúmenes DIstribuidos '!C2376="azúcar"),"Azúcar o dulce",IF('Volúmenes DIstribuidos '!C2376="Aceite","Aceite o grasas",IF('Volúmenes DIstribuidos '!C2376="Avena","Otros almidones",'Volúmenes DIstribuidos '!C2376)))</f>
        <v>Panadería</v>
      </c>
      <c r="C3846" s="10" t="s">
        <v>29</v>
      </c>
      <c r="D3846" s="12">
        <f>'Volúmenes DIstribuidos '!D2376</f>
        <v>88.96</v>
      </c>
      <c r="E3846" s="12">
        <f>SUMIF('Parametros Inventario'!$A:$A,B3846,'Parametros Inventario'!$B:$B)+SUMIFS(D$2:D3846,B$2:B3846,B3846,C$2:C3846,"ENTRADA")-SUMIFS(D$2:D3846,B$2:B3846,B3846,C$2:C3846,"SALIDA")</f>
        <v>15674.385999999995</v>
      </c>
    </row>
    <row r="3847" spans="1:5" x14ac:dyDescent="0.3">
      <c r="A3847" s="9">
        <f>'Volúmenes DIstribuidos '!B2373</f>
        <v>45429</v>
      </c>
      <c r="B3847" s="10" t="str">
        <f>IF(OR('Volúmenes DIstribuidos '!C2377="Azúcar",'Volúmenes DIstribuidos '!C2377="azúcar"),"Azúcar o dulce",IF('Volúmenes DIstribuidos '!C2377="Aceite","Aceite o grasas",IF('Volúmenes DIstribuidos '!C2377="Avena","Otros almidones",'Volúmenes DIstribuidos '!C2377)))</f>
        <v>Fideo</v>
      </c>
      <c r="C3847" s="10" t="s">
        <v>29</v>
      </c>
      <c r="D3847" s="12">
        <f>'Volúmenes DIstribuidos '!D2377</f>
        <v>9.9649999999999999</v>
      </c>
      <c r="E3847" s="12">
        <f>SUMIF('Parametros Inventario'!$A:$A,B3847,'Parametros Inventario'!$B:$B)+SUMIFS(D$2:D3847,B$2:B3847,B3847,C$2:C3847,"ENTRADA")-SUMIFS(D$2:D3847,B$2:B3847,B3847,C$2:C3847,"SALIDA")</f>
        <v>20145.374000000011</v>
      </c>
    </row>
    <row r="3848" spans="1:5" x14ac:dyDescent="0.3">
      <c r="A3848" s="9">
        <f>'Volúmenes DIstribuidos '!B2373</f>
        <v>45429</v>
      </c>
      <c r="B3848" s="10" t="str">
        <f>IF(OR('Volúmenes DIstribuidos '!C2378="Azúcar",'Volúmenes DIstribuidos '!C2378="azúcar"),"Azúcar o dulce",IF('Volúmenes DIstribuidos '!C2378="Aceite","Aceite o grasas",IF('Volúmenes DIstribuidos '!C2378="Avena","Otros almidones",'Volúmenes DIstribuidos '!C2378)))</f>
        <v>Lácteos</v>
      </c>
      <c r="C3848" s="10" t="s">
        <v>29</v>
      </c>
      <c r="D3848" s="12">
        <f>'Volúmenes DIstribuidos '!D2378</f>
        <v>44.5</v>
      </c>
      <c r="E3848" s="12">
        <f>SUMIF('Parametros Inventario'!$A:$A,B3848,'Parametros Inventario'!$B:$B)+SUMIFS(D$2:D3848,B$2:B3848,B3848,C$2:C3848,"ENTRADA")-SUMIFS(D$2:D3848,B$2:B3848,B3848,C$2:C3848,"SALIDA")</f>
        <v>17083.591999999997</v>
      </c>
    </row>
    <row r="3849" spans="1:5" x14ac:dyDescent="0.3">
      <c r="A3849" s="9">
        <f>'Volúmenes DIstribuidos '!B2379</f>
        <v>45433</v>
      </c>
      <c r="B3849" s="10" t="str">
        <f>IF(OR('Volúmenes DIstribuidos '!C2379="Azúcar",'Volúmenes DIstribuidos '!C2379="azúcar"),"Azúcar o dulce",IF('Volúmenes DIstribuidos '!C2379="Aceite","Aceite o grasas",IF('Volúmenes DIstribuidos '!C2379="Avena","Otros almidones",'Volúmenes DIstribuidos '!C2379)))</f>
        <v>Fideo</v>
      </c>
      <c r="C3849" s="10" t="s">
        <v>29</v>
      </c>
      <c r="D3849" s="12">
        <f>'Volúmenes DIstribuidos '!D2379</f>
        <v>5.59</v>
      </c>
      <c r="E3849" s="12">
        <f>SUMIF('Parametros Inventario'!$A:$A,B3849,'Parametros Inventario'!$B:$B)+SUMIFS(D$2:D3849,B$2:B3849,B3849,C$2:C3849,"ENTRADA")-SUMIFS(D$2:D3849,B$2:B3849,B3849,C$2:C3849,"SALIDA")</f>
        <v>20139.784000000011</v>
      </c>
    </row>
    <row r="3850" spans="1:5" x14ac:dyDescent="0.3">
      <c r="A3850" s="9">
        <f>'Volúmenes DIstribuidos '!B2379</f>
        <v>45433</v>
      </c>
      <c r="B3850" s="10" t="str">
        <f>IF(OR('Volúmenes DIstribuidos '!C2380="Azúcar",'Volúmenes DIstribuidos '!C2380="azúcar"),"Azúcar o dulce",IF('Volúmenes DIstribuidos '!C2380="Aceite","Aceite o grasas",IF('Volúmenes DIstribuidos '!C2380="Avena","Otros almidones",'Volúmenes DIstribuidos '!C2380)))</f>
        <v>Vegetales y hojas</v>
      </c>
      <c r="C3850" s="10" t="s">
        <v>29</v>
      </c>
      <c r="D3850" s="12">
        <f>'Volúmenes DIstribuidos '!D2380</f>
        <v>19.100000000000001</v>
      </c>
      <c r="E3850" s="12">
        <f>SUMIF('Parametros Inventario'!$A:$A,B3850,'Parametros Inventario'!$B:$B)+SUMIFS(D$2:D3850,B$2:B3850,B3850,C$2:C3850,"ENTRADA")-SUMIFS(D$2:D3850,B$2:B3850,B3850,C$2:C3850,"SALIDA")</f>
        <v>18655.167000000001</v>
      </c>
    </row>
    <row r="3851" spans="1:5" x14ac:dyDescent="0.3">
      <c r="A3851" s="9">
        <f>'Volúmenes DIstribuidos '!B2379</f>
        <v>45433</v>
      </c>
      <c r="B3851" s="10" t="str">
        <f>IF(OR('Volúmenes DIstribuidos '!C2381="Azúcar",'Volúmenes DIstribuidos '!C2381="azúcar"),"Azúcar o dulce",IF('Volúmenes DIstribuidos '!C2381="Aceite","Aceite o grasas",IF('Volúmenes DIstribuidos '!C2381="Avena","Otros almidones",'Volúmenes DIstribuidos '!C2381)))</f>
        <v>Panadería</v>
      </c>
      <c r="C3851" s="10" t="s">
        <v>29</v>
      </c>
      <c r="D3851" s="12">
        <f>'Volúmenes DIstribuidos '!D2381</f>
        <v>9.3219999999999992</v>
      </c>
      <c r="E3851" s="12">
        <f>SUMIF('Parametros Inventario'!$A:$A,B3851,'Parametros Inventario'!$B:$B)+SUMIFS(D$2:D3851,B$2:B3851,B3851,C$2:C3851,"ENTRADA")-SUMIFS(D$2:D3851,B$2:B3851,B3851,C$2:C3851,"SALIDA")</f>
        <v>15665.063999999995</v>
      </c>
    </row>
    <row r="3852" spans="1:5" x14ac:dyDescent="0.3">
      <c r="A3852" s="9">
        <f>'Volúmenes DIstribuidos '!B2379</f>
        <v>45433</v>
      </c>
      <c r="B3852" s="10" t="str">
        <f>IF(OR('Volúmenes DIstribuidos '!C2382="Azúcar",'Volúmenes DIstribuidos '!C2382="azúcar"),"Azúcar o dulce",IF('Volúmenes DIstribuidos '!C2382="Aceite","Aceite o grasas",IF('Volúmenes DIstribuidos '!C2382="Avena","Otros almidones",'Volúmenes DIstribuidos '!C2382)))</f>
        <v>Salsas</v>
      </c>
      <c r="C3852" s="10" t="s">
        <v>29</v>
      </c>
      <c r="D3852" s="12">
        <f>'Volúmenes DIstribuidos '!D2382</f>
        <v>31.32</v>
      </c>
      <c r="E3852" s="12">
        <f>SUMIF('Parametros Inventario'!$A:$A,B3852,'Parametros Inventario'!$B:$B)+SUMIFS(D$2:D3852,B$2:B3852,B3852,C$2:C3852,"ENTRADA")-SUMIFS(D$2:D3852,B$2:B3852,B3852,C$2:C3852,"SALIDA")</f>
        <v>17287.301999999996</v>
      </c>
    </row>
    <row r="3853" spans="1:5" x14ac:dyDescent="0.3">
      <c r="A3853" s="9">
        <f>'Volúmenes DIstribuidos '!B2379</f>
        <v>45433</v>
      </c>
      <c r="B3853" s="10" t="str">
        <f>IF(OR('Volúmenes DIstribuidos '!C2383="Azúcar",'Volúmenes DIstribuidos '!C2383="azúcar"),"Azúcar o dulce",IF('Volúmenes DIstribuidos '!C2383="Aceite","Aceite o grasas",IF('Volúmenes DIstribuidos '!C2383="Avena","Otros almidones",'Volúmenes DIstribuidos '!C2383)))</f>
        <v>Fideo</v>
      </c>
      <c r="C3853" s="10" t="s">
        <v>29</v>
      </c>
      <c r="D3853" s="12">
        <f>'Volúmenes DIstribuidos '!D2383</f>
        <v>9.69</v>
      </c>
      <c r="E3853" s="12">
        <f>SUMIF('Parametros Inventario'!$A:$A,B3853,'Parametros Inventario'!$B:$B)+SUMIFS(D$2:D3853,B$2:B3853,B3853,C$2:C3853,"ENTRADA")-SUMIFS(D$2:D3853,B$2:B3853,B3853,C$2:C3853,"SALIDA")</f>
        <v>20130.094000000012</v>
      </c>
    </row>
    <row r="3854" spans="1:5" x14ac:dyDescent="0.3">
      <c r="A3854" s="9">
        <f>'Volúmenes DIstribuidos '!B2379</f>
        <v>45433</v>
      </c>
      <c r="B3854" s="10" t="str">
        <f>IF(OR('Volúmenes DIstribuidos '!C2384="Azúcar",'Volúmenes DIstribuidos '!C2384="azúcar"),"Azúcar o dulce",IF('Volúmenes DIstribuidos '!C2384="Aceite","Aceite o grasas",IF('Volúmenes DIstribuidos '!C2384="Avena","Otros almidones",'Volúmenes DIstribuidos '!C2384)))</f>
        <v>Aceite o grasas</v>
      </c>
      <c r="C3854" s="10" t="s">
        <v>29</v>
      </c>
      <c r="D3854" s="12">
        <f>'Volúmenes DIstribuidos '!D2384</f>
        <v>6.49</v>
      </c>
      <c r="E3854" s="12">
        <f>SUMIF('Parametros Inventario'!$A:$A,B3854,'Parametros Inventario'!$B:$B)+SUMIFS(D$2:D3854,B$2:B3854,B3854,C$2:C3854,"ENTRADA")-SUMIFS(D$2:D3854,B$2:B3854,B3854,C$2:C3854,"SALIDA")</f>
        <v>17661.885000000017</v>
      </c>
    </row>
    <row r="3855" spans="1:5" x14ac:dyDescent="0.3">
      <c r="A3855" s="9">
        <v>45436</v>
      </c>
      <c r="B3855" s="10" t="s">
        <v>18</v>
      </c>
      <c r="C3855" s="10" t="s">
        <v>28</v>
      </c>
      <c r="D3855" s="12">
        <v>280.76</v>
      </c>
      <c r="E3855" s="12">
        <f>SUMIF('Parametros Inventario'!$A:$A,B3855,'Parametros Inventario'!$B:$B)+SUMIFS(D$2:D3855,B$2:B3855,B3855,C$2:C3855,"ENTRADA")-SUMIFS(D$2:D3855,B$2:B3855,B3855,C$2:C3855,"SALIDA")</f>
        <v>17568.061999999991</v>
      </c>
    </row>
    <row r="3856" spans="1:5" x14ac:dyDescent="0.3">
      <c r="A3856" s="9">
        <v>45436</v>
      </c>
      <c r="B3856" s="10" t="s">
        <v>10</v>
      </c>
      <c r="C3856" s="10" t="s">
        <v>28</v>
      </c>
      <c r="D3856" s="12">
        <v>282.27999999999997</v>
      </c>
      <c r="E3856" s="12">
        <f>SUMIF('Parametros Inventario'!$A:$A,B3856,'Parametros Inventario'!$B:$B)+SUMIFS(D$2:D3856,B$2:B3856,B3856,C$2:C3856,"ENTRADA")-SUMIFS(D$2:D3856,B$2:B3856,B3856,C$2:C3856,"SALIDA")</f>
        <v>18937.447</v>
      </c>
    </row>
    <row r="3857" spans="1:5" x14ac:dyDescent="0.3">
      <c r="A3857" s="9">
        <v>45436</v>
      </c>
      <c r="B3857" s="10" t="s">
        <v>8</v>
      </c>
      <c r="C3857" s="10" t="s">
        <v>28</v>
      </c>
      <c r="D3857" s="12">
        <v>289.77999999999997</v>
      </c>
      <c r="E3857" s="12">
        <f>SUMIF('Parametros Inventario'!$A:$A,B3857,'Parametros Inventario'!$B:$B)+SUMIFS(D$2:D3857,B$2:B3857,B3857,C$2:C3857,"ENTRADA")-SUMIFS(D$2:D3857,B$2:B3857,B3857,C$2:C3857,"SALIDA")</f>
        <v>17951.665000000015</v>
      </c>
    </row>
    <row r="3858" spans="1:5" x14ac:dyDescent="0.3">
      <c r="A3858" s="9">
        <v>45436</v>
      </c>
      <c r="B3858" s="10" t="s">
        <v>13</v>
      </c>
      <c r="C3858" s="10" t="s">
        <v>28</v>
      </c>
      <c r="D3858" s="12">
        <v>178.88</v>
      </c>
      <c r="E3858" s="12">
        <f>SUMIF('Parametros Inventario'!$A:$A,B3858,'Parametros Inventario'!$B:$B)+SUMIFS(D$2:D3858,B$2:B3858,B3858,C$2:C3858,"ENTRADA")-SUMIFS(D$2:D3858,B$2:B3858,B3858,C$2:C3858,"SALIDA")</f>
        <v>16684.472000000005</v>
      </c>
    </row>
    <row r="3859" spans="1:5" x14ac:dyDescent="0.3">
      <c r="A3859" s="9">
        <v>45436</v>
      </c>
      <c r="B3859" s="10" t="s">
        <v>15</v>
      </c>
      <c r="C3859" s="10" t="s">
        <v>28</v>
      </c>
      <c r="D3859" s="12">
        <v>273.35000000000002</v>
      </c>
      <c r="E3859" s="12">
        <f>SUMIF('Parametros Inventario'!$A:$A,B3859,'Parametros Inventario'!$B:$B)+SUMIFS(D$2:D3859,B$2:B3859,B3859,C$2:C3859,"ENTRADA")-SUMIFS(D$2:D3859,B$2:B3859,B3859,C$2:C3859,"SALIDA")</f>
        <v>19563.729999999996</v>
      </c>
    </row>
    <row r="3860" spans="1:5" x14ac:dyDescent="0.3">
      <c r="A3860" s="9">
        <v>45436</v>
      </c>
      <c r="B3860" s="10" t="s">
        <v>11</v>
      </c>
      <c r="C3860" s="10" t="s">
        <v>28</v>
      </c>
      <c r="D3860" s="12">
        <v>283.85000000000002</v>
      </c>
      <c r="E3860" s="12">
        <f>SUMIF('Parametros Inventario'!$A:$A,B3860,'Parametros Inventario'!$B:$B)+SUMIFS(D$2:D3860,B$2:B3860,B3860,C$2:C3860,"ENTRADA")-SUMIFS(D$2:D3860,B$2:B3860,B3860,C$2:C3860,"SALIDA")</f>
        <v>20413.94400000001</v>
      </c>
    </row>
    <row r="3861" spans="1:5" x14ac:dyDescent="0.3">
      <c r="A3861" s="9">
        <v>45436</v>
      </c>
      <c r="B3861" s="10" t="s">
        <v>9</v>
      </c>
      <c r="C3861" s="10" t="s">
        <v>28</v>
      </c>
      <c r="D3861" s="12">
        <v>273.12</v>
      </c>
      <c r="E3861" s="12">
        <f>SUMIF('Parametros Inventario'!$A:$A,B3861,'Parametros Inventario'!$B:$B)+SUMIFS(D$2:D3861,B$2:B3861,B3861,C$2:C3861,"ENTRADA")-SUMIFS(D$2:D3861,B$2:B3861,B3861,C$2:C3861,"SALIDA")</f>
        <v>15938.183999999994</v>
      </c>
    </row>
    <row r="3862" spans="1:5" x14ac:dyDescent="0.3">
      <c r="A3862" s="9">
        <v>45436</v>
      </c>
      <c r="B3862" s="10" t="s">
        <v>14</v>
      </c>
      <c r="C3862" s="10" t="s">
        <v>28</v>
      </c>
      <c r="D3862" s="12">
        <v>262.08999999999997</v>
      </c>
      <c r="E3862" s="12">
        <f>SUMIF('Parametros Inventario'!$A:$A,B3862,'Parametros Inventario'!$B:$B)+SUMIFS(D$2:D3862,B$2:B3862,B3862,C$2:C3862,"ENTRADA")-SUMIFS(D$2:D3862,B$2:B3862,B3862,C$2:C3862,"SALIDA")</f>
        <v>18114.182999999997</v>
      </c>
    </row>
    <row r="3863" spans="1:5" x14ac:dyDescent="0.3">
      <c r="A3863" s="9">
        <f>'Volúmenes DIstribuidos '!B2385</f>
        <v>45436</v>
      </c>
      <c r="B3863" s="10" t="str">
        <f>IF(OR('Volúmenes DIstribuidos '!C2385="Azúcar",'Volúmenes DIstribuidos '!C2385="azúcar"),"Azúcar o dulce",IF('Volúmenes DIstribuidos '!C2385="Aceite","Aceite o grasas",IF('Volúmenes DIstribuidos '!C2385="Avena","Otros almidones",'Volúmenes DIstribuidos '!C2385)))</f>
        <v>Carnes rojas</v>
      </c>
      <c r="C3863" s="10" t="s">
        <v>29</v>
      </c>
      <c r="D3863" s="12">
        <f>'Volúmenes DIstribuidos '!D2385</f>
        <v>30.99</v>
      </c>
      <c r="E3863" s="12">
        <f>SUMIF('Parametros Inventario'!$A:$A,B3863,'Parametros Inventario'!$B:$B)+SUMIFS(D$2:D3863,B$2:B3863,B3863,C$2:C3863,"ENTRADA")-SUMIFS(D$2:D3863,B$2:B3863,B3863,C$2:C3863,"SALIDA")</f>
        <v>17248.734999999997</v>
      </c>
    </row>
    <row r="3864" spans="1:5" x14ac:dyDescent="0.3">
      <c r="A3864" s="9">
        <f>'Volúmenes DIstribuidos '!B2385</f>
        <v>45436</v>
      </c>
      <c r="B3864" s="10" t="str">
        <f>IF(OR('Volúmenes DIstribuidos '!C2386="Azúcar",'Volúmenes DIstribuidos '!C2386="azúcar"),"Azúcar o dulce",IF('Volúmenes DIstribuidos '!C2386="Aceite","Aceite o grasas",IF('Volúmenes DIstribuidos '!C2386="Avena","Otros almidones",'Volúmenes DIstribuidos '!C2386)))</f>
        <v>Azúcar o dulce</v>
      </c>
      <c r="C3864" s="10" t="s">
        <v>29</v>
      </c>
      <c r="D3864" s="12">
        <f>'Volúmenes DIstribuidos '!D2386</f>
        <v>7.18</v>
      </c>
      <c r="E3864" s="12">
        <f>SUMIF('Parametros Inventario'!$A:$A,B3864,'Parametros Inventario'!$B:$B)+SUMIFS(D$2:D3864,B$2:B3864,B3864,C$2:C3864,"ENTRADA")-SUMIFS(D$2:D3864,B$2:B3864,B3864,C$2:C3864,"SALIDA")</f>
        <v>16677.292000000005</v>
      </c>
    </row>
    <row r="3865" spans="1:5" x14ac:dyDescent="0.3">
      <c r="A3865" s="9">
        <f>'Volúmenes DIstribuidos '!B2385</f>
        <v>45436</v>
      </c>
      <c r="B3865" s="10" t="str">
        <f>IF(OR('Volúmenes DIstribuidos '!C2387="Azúcar",'Volúmenes DIstribuidos '!C2387="azúcar"),"Azúcar o dulce",IF('Volúmenes DIstribuidos '!C2387="Aceite","Aceite o grasas",IF('Volúmenes DIstribuidos '!C2387="Avena","Otros almidones",'Volúmenes DIstribuidos '!C2387)))</f>
        <v>Menestras</v>
      </c>
      <c r="C3865" s="10" t="s">
        <v>29</v>
      </c>
      <c r="D3865" s="12">
        <f>'Volúmenes DIstribuidos '!D2387</f>
        <v>110.71599999999999</v>
      </c>
      <c r="E3865" s="12">
        <f>SUMIF('Parametros Inventario'!$A:$A,B3865,'Parametros Inventario'!$B:$B)+SUMIFS(D$2:D3865,B$2:B3865,B3865,C$2:C3865,"ENTRADA")-SUMIFS(D$2:D3865,B$2:B3865,B3865,C$2:C3865,"SALIDA")</f>
        <v>18003.466999999997</v>
      </c>
    </row>
    <row r="3866" spans="1:5" x14ac:dyDescent="0.3">
      <c r="A3866" s="9">
        <f>'Volúmenes DIstribuidos '!B2385</f>
        <v>45436</v>
      </c>
      <c r="B3866" s="10" t="str">
        <f>IF(OR('Volúmenes DIstribuidos '!C2388="Azúcar",'Volúmenes DIstribuidos '!C2388="azúcar"),"Azúcar o dulce",IF('Volúmenes DIstribuidos '!C2388="Aceite","Aceite o grasas",IF('Volúmenes DIstribuidos '!C2388="Avena","Otros almidones",'Volúmenes DIstribuidos '!C2388)))</f>
        <v>Azúcar o dulce</v>
      </c>
      <c r="C3866" s="10" t="s">
        <v>29</v>
      </c>
      <c r="D3866" s="12">
        <f>'Volúmenes DIstribuidos '!D2388</f>
        <v>54.21</v>
      </c>
      <c r="E3866" s="12">
        <f>SUMIF('Parametros Inventario'!$A:$A,B3866,'Parametros Inventario'!$B:$B)+SUMIFS(D$2:D3866,B$2:B3866,B3866,C$2:C3866,"ENTRADA")-SUMIFS(D$2:D3866,B$2:B3866,B3866,C$2:C3866,"SALIDA")</f>
        <v>16623.082000000006</v>
      </c>
    </row>
    <row r="3867" spans="1:5" x14ac:dyDescent="0.3">
      <c r="A3867" s="9">
        <f>'Volúmenes DIstribuidos '!B2385</f>
        <v>45436</v>
      </c>
      <c r="B3867" s="10" t="str">
        <f>IF(OR('Volúmenes DIstribuidos '!C2389="Azúcar",'Volúmenes DIstribuidos '!C2389="azúcar"),"Azúcar o dulce",IF('Volúmenes DIstribuidos '!C2389="Aceite","Aceite o grasas",IF('Volúmenes DIstribuidos '!C2389="Avena","Otros almidones",'Volúmenes DIstribuidos '!C2389)))</f>
        <v>Lácteos</v>
      </c>
      <c r="C3867" s="10" t="s">
        <v>29</v>
      </c>
      <c r="D3867" s="12">
        <f>'Volúmenes DIstribuidos '!D2389</f>
        <v>29.25</v>
      </c>
      <c r="E3867" s="12">
        <f>SUMIF('Parametros Inventario'!$A:$A,B3867,'Parametros Inventario'!$B:$B)+SUMIFS(D$2:D3867,B$2:B3867,B3867,C$2:C3867,"ENTRADA")-SUMIFS(D$2:D3867,B$2:B3867,B3867,C$2:C3867,"SALIDA")</f>
        <v>17054.341999999997</v>
      </c>
    </row>
    <row r="3868" spans="1:5" x14ac:dyDescent="0.3">
      <c r="A3868" s="9">
        <f>'Volúmenes DIstribuidos '!B2385</f>
        <v>45436</v>
      </c>
      <c r="B3868" s="10" t="str">
        <f>IF(OR('Volúmenes DIstribuidos '!C2390="Azúcar",'Volúmenes DIstribuidos '!C2390="azúcar"),"Azúcar o dulce",IF('Volúmenes DIstribuidos '!C2390="Aceite","Aceite o grasas",IF('Volúmenes DIstribuidos '!C2390="Avena","Otros almidones",'Volúmenes DIstribuidos '!C2390)))</f>
        <v>Carnes rojas</v>
      </c>
      <c r="C3868" s="10" t="s">
        <v>29</v>
      </c>
      <c r="D3868" s="12">
        <f>'Volúmenes DIstribuidos '!D2390</f>
        <v>31.7</v>
      </c>
      <c r="E3868" s="12">
        <f>SUMIF('Parametros Inventario'!$A:$A,B3868,'Parametros Inventario'!$B:$B)+SUMIFS(D$2:D3868,B$2:B3868,B3868,C$2:C3868,"ENTRADA")-SUMIFS(D$2:D3868,B$2:B3868,B3868,C$2:C3868,"SALIDA")</f>
        <v>17217.034999999996</v>
      </c>
    </row>
    <row r="3869" spans="1:5" x14ac:dyDescent="0.3">
      <c r="A3869" s="9">
        <f>'Volúmenes DIstribuidos '!B2391</f>
        <v>45440</v>
      </c>
      <c r="B3869" s="10" t="str">
        <f>IF(OR('Volúmenes DIstribuidos '!C2391="Azúcar",'Volúmenes DIstribuidos '!C2391="azúcar"),"Azúcar o dulce",IF('Volúmenes DIstribuidos '!C2391="Aceite","Aceite o grasas",IF('Volúmenes DIstribuidos '!C2391="Avena","Otros almidones",'Volúmenes DIstribuidos '!C2391)))</f>
        <v>Salsas</v>
      </c>
      <c r="C3869" s="10" t="s">
        <v>29</v>
      </c>
      <c r="D3869" s="12">
        <f>'Volúmenes DIstribuidos '!D2391</f>
        <v>20.68</v>
      </c>
      <c r="E3869" s="12">
        <f>SUMIF('Parametros Inventario'!$A:$A,B3869,'Parametros Inventario'!$B:$B)+SUMIFS(D$2:D3869,B$2:B3869,B3869,C$2:C3869,"ENTRADA")-SUMIFS(D$2:D3869,B$2:B3869,B3869,C$2:C3869,"SALIDA")</f>
        <v>17547.381999999991</v>
      </c>
    </row>
    <row r="3870" spans="1:5" x14ac:dyDescent="0.3">
      <c r="A3870" s="9">
        <f>'Volúmenes DIstribuidos '!B2391</f>
        <v>45440</v>
      </c>
      <c r="B3870" s="10" t="str">
        <f>IF(OR('Volúmenes DIstribuidos '!C2392="Azúcar",'Volúmenes DIstribuidos '!C2392="azúcar"),"Azúcar o dulce",IF('Volúmenes DIstribuidos '!C2392="Aceite","Aceite o grasas",IF('Volúmenes DIstribuidos '!C2392="Avena","Otros almidones",'Volúmenes DIstribuidos '!C2392)))</f>
        <v>Carnes blancas</v>
      </c>
      <c r="C3870" s="10" t="s">
        <v>29</v>
      </c>
      <c r="D3870" s="12">
        <f>'Volúmenes DIstribuidos '!D2392</f>
        <v>16.52</v>
      </c>
      <c r="E3870" s="12">
        <f>SUMIF('Parametros Inventario'!$A:$A,B3870,'Parametros Inventario'!$B:$B)+SUMIFS(D$2:D3870,B$2:B3870,B3870,C$2:C3870,"ENTRADA")-SUMIFS(D$2:D3870,B$2:B3870,B3870,C$2:C3870,"SALIDA")</f>
        <v>18376.852999999996</v>
      </c>
    </row>
    <row r="3871" spans="1:5" x14ac:dyDescent="0.3">
      <c r="A3871" s="9">
        <f>'Volúmenes DIstribuidos '!B2391</f>
        <v>45440</v>
      </c>
      <c r="B3871" s="10" t="str">
        <f>IF(OR('Volúmenes DIstribuidos '!C2393="Azúcar",'Volúmenes DIstribuidos '!C2393="azúcar"),"Azúcar o dulce",IF('Volúmenes DIstribuidos '!C2393="Aceite","Aceite o grasas",IF('Volúmenes DIstribuidos '!C2393="Avena","Otros almidones",'Volúmenes DIstribuidos '!C2393)))</f>
        <v>Aceite o grasas</v>
      </c>
      <c r="C3871" s="10" t="s">
        <v>29</v>
      </c>
      <c r="D3871" s="12">
        <f>'Volúmenes DIstribuidos '!D2393</f>
        <v>26.007999999999999</v>
      </c>
      <c r="E3871" s="12">
        <f>SUMIF('Parametros Inventario'!$A:$A,B3871,'Parametros Inventario'!$B:$B)+SUMIFS(D$2:D3871,B$2:B3871,B3871,C$2:C3871,"ENTRADA")-SUMIFS(D$2:D3871,B$2:B3871,B3871,C$2:C3871,"SALIDA")</f>
        <v>17925.657000000014</v>
      </c>
    </row>
    <row r="3872" spans="1:5" x14ac:dyDescent="0.3">
      <c r="A3872" s="9">
        <f>'Volúmenes DIstribuidos '!B2391</f>
        <v>45440</v>
      </c>
      <c r="B3872" s="10" t="str">
        <f>IF(OR('Volúmenes DIstribuidos '!C2394="Azúcar",'Volúmenes DIstribuidos '!C2394="azúcar"),"Azúcar o dulce",IF('Volúmenes DIstribuidos '!C2394="Aceite","Aceite o grasas",IF('Volúmenes DIstribuidos '!C2394="Avena","Otros almidones",'Volúmenes DIstribuidos '!C2394)))</f>
        <v>Vegetales y hojas</v>
      </c>
      <c r="C3872" s="10" t="s">
        <v>29</v>
      </c>
      <c r="D3872" s="12">
        <f>'Volúmenes DIstribuidos '!D2394</f>
        <v>28.12</v>
      </c>
      <c r="E3872" s="12">
        <f>SUMIF('Parametros Inventario'!$A:$A,B3872,'Parametros Inventario'!$B:$B)+SUMIFS(D$2:D3872,B$2:B3872,B3872,C$2:C3872,"ENTRADA")-SUMIFS(D$2:D3872,B$2:B3872,B3872,C$2:C3872,"SALIDA")</f>
        <v>18909.326999999997</v>
      </c>
    </row>
    <row r="3873" spans="1:5" x14ac:dyDescent="0.3">
      <c r="A3873" s="9">
        <f>'Volúmenes DIstribuidos '!B2391</f>
        <v>45440</v>
      </c>
      <c r="B3873" s="10" t="str">
        <f>IF(OR('Volúmenes DIstribuidos '!C2395="Azúcar",'Volúmenes DIstribuidos '!C2395="azúcar"),"Azúcar o dulce",IF('Volúmenes DIstribuidos '!C2395="Aceite","Aceite o grasas",IF('Volúmenes DIstribuidos '!C2395="Avena","Otros almidones",'Volúmenes DIstribuidos '!C2395)))</f>
        <v>Aceite o grasas</v>
      </c>
      <c r="C3873" s="10" t="s">
        <v>29</v>
      </c>
      <c r="D3873" s="12">
        <f>'Volúmenes DIstribuidos '!D2395</f>
        <v>36.56</v>
      </c>
      <c r="E3873" s="12">
        <f>SUMIF('Parametros Inventario'!$A:$A,B3873,'Parametros Inventario'!$B:$B)+SUMIFS(D$2:D3873,B$2:B3873,B3873,C$2:C3873,"ENTRADA")-SUMIFS(D$2:D3873,B$2:B3873,B3873,C$2:C3873,"SALIDA")</f>
        <v>17889.097000000016</v>
      </c>
    </row>
    <row r="3874" spans="1:5" x14ac:dyDescent="0.3">
      <c r="A3874" s="9">
        <f>'Volúmenes DIstribuidos '!B2391</f>
        <v>45440</v>
      </c>
      <c r="B3874" s="10" t="str">
        <f>IF(OR('Volúmenes DIstribuidos '!C2396="Azúcar",'Volúmenes DIstribuidos '!C2396="azúcar"),"Azúcar o dulce",IF('Volúmenes DIstribuidos '!C2396="Aceite","Aceite o grasas",IF('Volúmenes DIstribuidos '!C2396="Avena","Otros almidones",'Volúmenes DIstribuidos '!C2396)))</f>
        <v>Panadería</v>
      </c>
      <c r="C3874" s="10" t="s">
        <v>29</v>
      </c>
      <c r="D3874" s="12">
        <f>'Volúmenes DIstribuidos '!D2396</f>
        <v>22.98</v>
      </c>
      <c r="E3874" s="12">
        <f>SUMIF('Parametros Inventario'!$A:$A,B3874,'Parametros Inventario'!$B:$B)+SUMIFS(D$2:D3874,B$2:B3874,B3874,C$2:C3874,"ENTRADA")-SUMIFS(D$2:D3874,B$2:B3874,B3874,C$2:C3874,"SALIDA")</f>
        <v>15915.203999999994</v>
      </c>
    </row>
    <row r="3875" spans="1:5" x14ac:dyDescent="0.3">
      <c r="A3875" s="9">
        <v>45443</v>
      </c>
      <c r="B3875" s="10" t="s">
        <v>12</v>
      </c>
      <c r="C3875" s="10" t="s">
        <v>28</v>
      </c>
      <c r="D3875" s="12">
        <v>64.37</v>
      </c>
      <c r="E3875" s="12">
        <f>SUMIF('Parametros Inventario'!$A:$A,B3875,'Parametros Inventario'!$B:$B)+SUMIFS(D$2:D3875,B$2:B3875,B3875,C$2:C3875,"ENTRADA")-SUMIFS(D$2:D3875,B$2:B3875,B3875,C$2:C3875,"SALIDA")</f>
        <v>17281.404999999995</v>
      </c>
    </row>
    <row r="3876" spans="1:5" x14ac:dyDescent="0.3">
      <c r="A3876" s="9">
        <v>45443</v>
      </c>
      <c r="B3876" s="10" t="s">
        <v>16</v>
      </c>
      <c r="C3876" s="10" t="s">
        <v>28</v>
      </c>
      <c r="D3876" s="12">
        <v>51.47</v>
      </c>
      <c r="E3876" s="12">
        <f>SUMIF('Parametros Inventario'!$A:$A,B3876,'Parametros Inventario'!$B:$B)+SUMIFS(D$2:D3876,B$2:B3876,B3876,C$2:C3876,"ENTRADA")-SUMIFS(D$2:D3876,B$2:B3876,B3876,C$2:C3876,"SALIDA")</f>
        <v>18428.322999999997</v>
      </c>
    </row>
    <row r="3877" spans="1:5" x14ac:dyDescent="0.3">
      <c r="A3877" s="9">
        <v>45443</v>
      </c>
      <c r="B3877" s="10" t="s">
        <v>17</v>
      </c>
      <c r="C3877" s="10" t="s">
        <v>28</v>
      </c>
      <c r="D3877" s="12">
        <v>165.09</v>
      </c>
      <c r="E3877" s="12">
        <f>SUMIF('Parametros Inventario'!$A:$A,B3877,'Parametros Inventario'!$B:$B)+SUMIFS(D$2:D3877,B$2:B3877,B3877,C$2:C3877,"ENTRADA")-SUMIFS(D$2:D3877,B$2:B3877,B3877,C$2:C3877,"SALIDA")</f>
        <v>17219.431999999997</v>
      </c>
    </row>
    <row r="3878" spans="1:5" x14ac:dyDescent="0.3">
      <c r="A3878" s="9">
        <v>45443</v>
      </c>
      <c r="B3878" s="10" t="s">
        <v>18</v>
      </c>
      <c r="C3878" s="10" t="s">
        <v>28</v>
      </c>
      <c r="D3878" s="12">
        <v>124.59</v>
      </c>
      <c r="E3878" s="12">
        <f>SUMIF('Parametros Inventario'!$A:$A,B3878,'Parametros Inventario'!$B:$B)+SUMIFS(D$2:D3878,B$2:B3878,B3878,C$2:C3878,"ENTRADA")-SUMIFS(D$2:D3878,B$2:B3878,B3878,C$2:C3878,"SALIDA")</f>
        <v>17671.971999999994</v>
      </c>
    </row>
    <row r="3879" spans="1:5" x14ac:dyDescent="0.3">
      <c r="A3879" s="9">
        <v>45443</v>
      </c>
      <c r="B3879" s="10" t="s">
        <v>10</v>
      </c>
      <c r="C3879" s="10" t="s">
        <v>28</v>
      </c>
      <c r="D3879" s="12">
        <v>76.790000000000006</v>
      </c>
      <c r="E3879" s="12">
        <f>SUMIF('Parametros Inventario'!$A:$A,B3879,'Parametros Inventario'!$B:$B)+SUMIFS(D$2:D3879,B$2:B3879,B3879,C$2:C3879,"ENTRADA")-SUMIFS(D$2:D3879,B$2:B3879,B3879,C$2:C3879,"SALIDA")</f>
        <v>18986.116999999998</v>
      </c>
    </row>
    <row r="3880" spans="1:5" x14ac:dyDescent="0.3">
      <c r="A3880" s="9">
        <v>45443</v>
      </c>
      <c r="B3880" s="10" t="s">
        <v>8</v>
      </c>
      <c r="C3880" s="10" t="s">
        <v>28</v>
      </c>
      <c r="D3880" s="12">
        <v>137.43</v>
      </c>
      <c r="E3880" s="12">
        <f>SUMIF('Parametros Inventario'!$A:$A,B3880,'Parametros Inventario'!$B:$B)+SUMIFS(D$2:D3880,B$2:B3880,B3880,C$2:C3880,"ENTRADA")-SUMIFS(D$2:D3880,B$2:B3880,B3880,C$2:C3880,"SALIDA")</f>
        <v>18026.527000000016</v>
      </c>
    </row>
    <row r="3881" spans="1:5" x14ac:dyDescent="0.3">
      <c r="A3881" s="9">
        <v>45443</v>
      </c>
      <c r="B3881" s="10" t="s">
        <v>13</v>
      </c>
      <c r="C3881" s="10" t="s">
        <v>28</v>
      </c>
      <c r="D3881" s="12">
        <v>230.61</v>
      </c>
      <c r="E3881" s="12">
        <f>SUMIF('Parametros Inventario'!$A:$A,B3881,'Parametros Inventario'!$B:$B)+SUMIFS(D$2:D3881,B$2:B3881,B3881,C$2:C3881,"ENTRADA")-SUMIFS(D$2:D3881,B$2:B3881,B3881,C$2:C3881,"SALIDA")</f>
        <v>16853.692000000006</v>
      </c>
    </row>
    <row r="3882" spans="1:5" x14ac:dyDescent="0.3">
      <c r="A3882" s="9">
        <v>45443</v>
      </c>
      <c r="B3882" s="10" t="s">
        <v>15</v>
      </c>
      <c r="C3882" s="10" t="s">
        <v>28</v>
      </c>
      <c r="D3882" s="12">
        <v>150.52000000000001</v>
      </c>
      <c r="E3882" s="12">
        <f>SUMIF('Parametros Inventario'!$A:$A,B3882,'Parametros Inventario'!$B:$B)+SUMIFS(D$2:D3882,B$2:B3882,B3882,C$2:C3882,"ENTRADA")-SUMIFS(D$2:D3882,B$2:B3882,B3882,C$2:C3882,"SALIDA")</f>
        <v>19714.25</v>
      </c>
    </row>
    <row r="3883" spans="1:5" x14ac:dyDescent="0.3">
      <c r="A3883" s="9">
        <f>'Volúmenes DIstribuidos '!B2397</f>
        <v>45443</v>
      </c>
      <c r="B3883" s="10" t="str">
        <f>IF(OR('Volúmenes DIstribuidos '!C2397="Azúcar",'Volúmenes DIstribuidos '!C2397="azúcar"),"Azúcar o dulce",IF('Volúmenes DIstribuidos '!C2397="Aceite","Aceite o grasas",IF('Volúmenes DIstribuidos '!C2397="Avena","Otros almidones",'Volúmenes DIstribuidos '!C2397)))</f>
        <v>Salsas</v>
      </c>
      <c r="C3883" s="10" t="s">
        <v>29</v>
      </c>
      <c r="D3883" s="12">
        <f>'Volúmenes DIstribuidos '!D2397</f>
        <v>17.52</v>
      </c>
      <c r="E3883" s="12">
        <f>SUMIF('Parametros Inventario'!$A:$A,B3883,'Parametros Inventario'!$B:$B)+SUMIFS(D$2:D3883,B$2:B3883,B3883,C$2:C3883,"ENTRADA")-SUMIFS(D$2:D3883,B$2:B3883,B3883,C$2:C3883,"SALIDA")</f>
        <v>17654.45199999999</v>
      </c>
    </row>
    <row r="3884" spans="1:5" x14ac:dyDescent="0.3">
      <c r="A3884" s="9">
        <f>'Volúmenes DIstribuidos '!B2397</f>
        <v>45443</v>
      </c>
      <c r="B3884" s="10" t="str">
        <f>IF(OR('Volúmenes DIstribuidos '!C2398="Azúcar",'Volúmenes DIstribuidos '!C2398="azúcar"),"Azúcar o dulce",IF('Volúmenes DIstribuidos '!C2398="Aceite","Aceite o grasas",IF('Volúmenes DIstribuidos '!C2398="Avena","Otros almidones",'Volúmenes DIstribuidos '!C2398)))</f>
        <v>Lácteos</v>
      </c>
      <c r="C3884" s="10" t="s">
        <v>29</v>
      </c>
      <c r="D3884" s="12">
        <f>'Volúmenes DIstribuidos '!D2398</f>
        <v>18.739999999999998</v>
      </c>
      <c r="E3884" s="12">
        <f>SUMIF('Parametros Inventario'!$A:$A,B3884,'Parametros Inventario'!$B:$B)+SUMIFS(D$2:D3884,B$2:B3884,B3884,C$2:C3884,"ENTRADA")-SUMIFS(D$2:D3884,B$2:B3884,B3884,C$2:C3884,"SALIDA")</f>
        <v>17200.691999999995</v>
      </c>
    </row>
    <row r="3885" spans="1:5" x14ac:dyDescent="0.3">
      <c r="A3885" s="9">
        <f>'Volúmenes DIstribuidos '!B2397</f>
        <v>45443</v>
      </c>
      <c r="B3885" s="10" t="str">
        <f>IF(OR('Volúmenes DIstribuidos '!C2399="Azúcar",'Volúmenes DIstribuidos '!C2399="azúcar"),"Azúcar o dulce",IF('Volúmenes DIstribuidos '!C2399="Aceite","Aceite o grasas",IF('Volúmenes DIstribuidos '!C2399="Avena","Otros almidones",'Volúmenes DIstribuidos '!C2399)))</f>
        <v>Carnes rojas</v>
      </c>
      <c r="C3885" s="10" t="s">
        <v>29</v>
      </c>
      <c r="D3885" s="12">
        <f>'Volúmenes DIstribuidos '!D2399</f>
        <v>56.74</v>
      </c>
      <c r="E3885" s="12">
        <f>SUMIF('Parametros Inventario'!$A:$A,B3885,'Parametros Inventario'!$B:$B)+SUMIFS(D$2:D3885,B$2:B3885,B3885,C$2:C3885,"ENTRADA")-SUMIFS(D$2:D3885,B$2:B3885,B3885,C$2:C3885,"SALIDA")</f>
        <v>17224.664999999997</v>
      </c>
    </row>
    <row r="3886" spans="1:5" x14ac:dyDescent="0.3">
      <c r="A3886" s="9">
        <f>'Volúmenes DIstribuidos '!B2397</f>
        <v>45443</v>
      </c>
      <c r="B3886" s="10" t="str">
        <f>IF(OR('Volúmenes DIstribuidos '!C2400="Azúcar",'Volúmenes DIstribuidos '!C2400="azúcar"),"Azúcar o dulce",IF('Volúmenes DIstribuidos '!C2400="Aceite","Aceite o grasas",IF('Volúmenes DIstribuidos '!C2400="Avena","Otros almidones",'Volúmenes DIstribuidos '!C2400)))</f>
        <v>Fideo</v>
      </c>
      <c r="C3886" s="10" t="s">
        <v>29</v>
      </c>
      <c r="D3886" s="12">
        <f>'Volúmenes DIstribuidos '!D2400</f>
        <v>14.19</v>
      </c>
      <c r="E3886" s="12">
        <f>SUMIF('Parametros Inventario'!$A:$A,B3886,'Parametros Inventario'!$B:$B)+SUMIFS(D$2:D3886,B$2:B3886,B3886,C$2:C3886,"ENTRADA")-SUMIFS(D$2:D3886,B$2:B3886,B3886,C$2:C3886,"SALIDA")</f>
        <v>20399.754000000012</v>
      </c>
    </row>
    <row r="3887" spans="1:5" x14ac:dyDescent="0.3">
      <c r="A3887" s="9">
        <f>'Volúmenes DIstribuidos '!B2397</f>
        <v>45443</v>
      </c>
      <c r="B3887" s="10" t="str">
        <f>IF(OR('Volúmenes DIstribuidos '!C2401="Azúcar",'Volúmenes DIstribuidos '!C2401="azúcar"),"Azúcar o dulce",IF('Volúmenes DIstribuidos '!C2401="Aceite","Aceite o grasas",IF('Volúmenes DIstribuidos '!C2401="Avena","Otros almidones",'Volúmenes DIstribuidos '!C2401)))</f>
        <v>Carnes blancas</v>
      </c>
      <c r="C3887" s="10" t="s">
        <v>29</v>
      </c>
      <c r="D3887" s="12">
        <f>'Volúmenes DIstribuidos '!D2401</f>
        <v>64.930000000000007</v>
      </c>
      <c r="E3887" s="12">
        <f>SUMIF('Parametros Inventario'!$A:$A,B3887,'Parametros Inventario'!$B:$B)+SUMIFS(D$2:D3887,B$2:B3887,B3887,C$2:C3887,"ENTRADA")-SUMIFS(D$2:D3887,B$2:B3887,B3887,C$2:C3887,"SALIDA")</f>
        <v>18363.392999999996</v>
      </c>
    </row>
    <row r="3888" spans="1:5" x14ac:dyDescent="0.3">
      <c r="A3888" s="9">
        <f>'Volúmenes DIstribuidos '!B2397</f>
        <v>45443</v>
      </c>
      <c r="B3888" s="10" t="str">
        <f>IF(OR('Volúmenes DIstribuidos '!C2402="Azúcar",'Volúmenes DIstribuidos '!C2402="azúcar"),"Azúcar o dulce",IF('Volúmenes DIstribuidos '!C2402="Aceite","Aceite o grasas",IF('Volúmenes DIstribuidos '!C2402="Avena","Otros almidones",'Volúmenes DIstribuidos '!C2402)))</f>
        <v>Panadería</v>
      </c>
      <c r="C3888" s="10" t="s">
        <v>29</v>
      </c>
      <c r="D3888" s="12">
        <f>'Volúmenes DIstribuidos '!D2402</f>
        <v>8.36</v>
      </c>
      <c r="E3888" s="12">
        <f>SUMIF('Parametros Inventario'!$A:$A,B3888,'Parametros Inventario'!$B:$B)+SUMIFS(D$2:D3888,B$2:B3888,B3888,C$2:C3888,"ENTRADA")-SUMIFS(D$2:D3888,B$2:B3888,B3888,C$2:C3888,"SALIDA")</f>
        <v>15906.843999999996</v>
      </c>
    </row>
    <row r="3889" spans="1:5" x14ac:dyDescent="0.3">
      <c r="A3889" s="9">
        <f>'Volúmenes DIstribuidos '!B2403</f>
        <v>45447</v>
      </c>
      <c r="B3889" s="10" t="str">
        <f>IF(OR('Volúmenes DIstribuidos '!C2403="Azúcar",'Volúmenes DIstribuidos '!C2403="azúcar"),"Azúcar o dulce",IF('Volúmenes DIstribuidos '!C2403="Aceite","Aceite o grasas",IF('Volúmenes DIstribuidos '!C2403="Avena","Otros almidones",'Volúmenes DIstribuidos '!C2403)))</f>
        <v>Salsas</v>
      </c>
      <c r="C3889" s="10" t="s">
        <v>29</v>
      </c>
      <c r="D3889" s="12">
        <f>'Volúmenes DIstribuidos '!D2403</f>
        <v>61.61</v>
      </c>
      <c r="E3889" s="12">
        <f>SUMIF('Parametros Inventario'!$A:$A,B3889,'Parametros Inventario'!$B:$B)+SUMIFS(D$2:D3889,B$2:B3889,B3889,C$2:C3889,"ENTRADA")-SUMIFS(D$2:D3889,B$2:B3889,B3889,C$2:C3889,"SALIDA")</f>
        <v>17592.841999999993</v>
      </c>
    </row>
    <row r="3890" spans="1:5" x14ac:dyDescent="0.3">
      <c r="A3890" s="9">
        <f>'Volúmenes DIstribuidos '!B2403</f>
        <v>45447</v>
      </c>
      <c r="B3890" s="10" t="str">
        <f>IF(OR('Volúmenes DIstribuidos '!C2404="Azúcar",'Volúmenes DIstribuidos '!C2404="azúcar"),"Azúcar o dulce",IF('Volúmenes DIstribuidos '!C2404="Aceite","Aceite o grasas",IF('Volúmenes DIstribuidos '!C2404="Avena","Otros almidones",'Volúmenes DIstribuidos '!C2404)))</f>
        <v>Menestras</v>
      </c>
      <c r="C3890" s="10" t="s">
        <v>29</v>
      </c>
      <c r="D3890" s="12">
        <f>'Volúmenes DIstribuidos '!D2404</f>
        <v>27.33</v>
      </c>
      <c r="E3890" s="12">
        <f>SUMIF('Parametros Inventario'!$A:$A,B3890,'Parametros Inventario'!$B:$B)+SUMIFS(D$2:D3890,B$2:B3890,B3890,C$2:C3890,"ENTRADA")-SUMIFS(D$2:D3890,B$2:B3890,B3890,C$2:C3890,"SALIDA")</f>
        <v>17976.136999999999</v>
      </c>
    </row>
    <row r="3891" spans="1:5" x14ac:dyDescent="0.3">
      <c r="A3891" s="9">
        <f>'Volúmenes DIstribuidos '!B2403</f>
        <v>45447</v>
      </c>
      <c r="B3891" s="10" t="str">
        <f>IF(OR('Volúmenes DIstribuidos '!C2405="Azúcar",'Volúmenes DIstribuidos '!C2405="azúcar"),"Azúcar o dulce",IF('Volúmenes DIstribuidos '!C2405="Aceite","Aceite o grasas",IF('Volúmenes DIstribuidos '!C2405="Avena","Otros almidones",'Volúmenes DIstribuidos '!C2405)))</f>
        <v>Panadería</v>
      </c>
      <c r="C3891" s="10" t="s">
        <v>29</v>
      </c>
      <c r="D3891" s="12">
        <f>'Volúmenes DIstribuidos '!D2405</f>
        <v>38.549999999999997</v>
      </c>
      <c r="E3891" s="12">
        <f>SUMIF('Parametros Inventario'!$A:$A,B3891,'Parametros Inventario'!$B:$B)+SUMIFS(D$2:D3891,B$2:B3891,B3891,C$2:C3891,"ENTRADA")-SUMIFS(D$2:D3891,B$2:B3891,B3891,C$2:C3891,"SALIDA")</f>
        <v>15868.293999999994</v>
      </c>
    </row>
    <row r="3892" spans="1:5" x14ac:dyDescent="0.3">
      <c r="A3892" s="9">
        <f>'Volúmenes DIstribuidos '!B2403</f>
        <v>45447</v>
      </c>
      <c r="B3892" s="10" t="str">
        <f>IF(OR('Volúmenes DIstribuidos '!C2406="Azúcar",'Volúmenes DIstribuidos '!C2406="azúcar"),"Azúcar o dulce",IF('Volúmenes DIstribuidos '!C2406="Aceite","Aceite o grasas",IF('Volúmenes DIstribuidos '!C2406="Avena","Otros almidones",'Volúmenes DIstribuidos '!C2406)))</f>
        <v>Aceite o grasas</v>
      </c>
      <c r="C3892" s="10" t="s">
        <v>29</v>
      </c>
      <c r="D3892" s="12">
        <f>'Volúmenes DIstribuidos '!D2406</f>
        <v>52.11</v>
      </c>
      <c r="E3892" s="12">
        <f>SUMIF('Parametros Inventario'!$A:$A,B3892,'Parametros Inventario'!$B:$B)+SUMIFS(D$2:D3892,B$2:B3892,B3892,C$2:C3892,"ENTRADA")-SUMIFS(D$2:D3892,B$2:B3892,B3892,C$2:C3892,"SALIDA")</f>
        <v>17974.417000000016</v>
      </c>
    </row>
    <row r="3893" spans="1:5" x14ac:dyDescent="0.3">
      <c r="A3893" s="9">
        <f>'Volúmenes DIstribuidos '!B2403</f>
        <v>45447</v>
      </c>
      <c r="B3893" s="10" t="str">
        <f>IF(OR('Volúmenes DIstribuidos '!C2407="Azúcar",'Volúmenes DIstribuidos '!C2407="azúcar"),"Azúcar o dulce",IF('Volúmenes DIstribuidos '!C2407="Aceite","Aceite o grasas",IF('Volúmenes DIstribuidos '!C2407="Avena","Otros almidones",'Volúmenes DIstribuidos '!C2407)))</f>
        <v>Otros almidones</v>
      </c>
      <c r="C3893" s="10" t="s">
        <v>29</v>
      </c>
      <c r="D3893" s="12">
        <f>'Volúmenes DIstribuidos '!D2407</f>
        <v>31.077999999999999</v>
      </c>
      <c r="E3893" s="12">
        <f>SUMIF('Parametros Inventario'!$A:$A,B3893,'Parametros Inventario'!$B:$B)+SUMIFS(D$2:D3893,B$2:B3893,B3893,C$2:C3893,"ENTRADA")-SUMIFS(D$2:D3893,B$2:B3893,B3893,C$2:C3893,"SALIDA")</f>
        <v>19683.171999999999</v>
      </c>
    </row>
    <row r="3894" spans="1:5" x14ac:dyDescent="0.3">
      <c r="A3894" s="9">
        <f>'Volúmenes DIstribuidos '!B2403</f>
        <v>45447</v>
      </c>
      <c r="B3894" s="10" t="str">
        <f>IF(OR('Volúmenes DIstribuidos '!C2408="Azúcar",'Volúmenes DIstribuidos '!C2408="azúcar"),"Azúcar o dulce",IF('Volúmenes DIstribuidos '!C2408="Aceite","Aceite o grasas",IF('Volúmenes DIstribuidos '!C2408="Avena","Otros almidones",'Volúmenes DIstribuidos '!C2408)))</f>
        <v>Vegetales y hojas</v>
      </c>
      <c r="C3894" s="10" t="s">
        <v>29</v>
      </c>
      <c r="D3894" s="12">
        <f>'Volúmenes DIstribuidos '!D2408</f>
        <v>52.66</v>
      </c>
      <c r="E3894" s="12">
        <f>SUMIF('Parametros Inventario'!$A:$A,B3894,'Parametros Inventario'!$B:$B)+SUMIFS(D$2:D3894,B$2:B3894,B3894,C$2:C3894,"ENTRADA")-SUMIFS(D$2:D3894,B$2:B3894,B3894,C$2:C3894,"SALIDA")</f>
        <v>18933.457000000002</v>
      </c>
    </row>
    <row r="3895" spans="1:5" x14ac:dyDescent="0.3">
      <c r="A3895" s="9">
        <v>45450</v>
      </c>
      <c r="B3895" s="10" t="s">
        <v>11</v>
      </c>
      <c r="C3895" s="10" t="s">
        <v>28</v>
      </c>
      <c r="D3895" s="12">
        <v>52.22</v>
      </c>
      <c r="E3895" s="12">
        <f>SUMIF('Parametros Inventario'!$A:$A,B3895,'Parametros Inventario'!$B:$B)+SUMIFS(D$2:D3895,B$2:B3895,B3895,C$2:C3895,"ENTRADA")-SUMIFS(D$2:D3895,B$2:B3895,B3895,C$2:C3895,"SALIDA")</f>
        <v>20451.974000000013</v>
      </c>
    </row>
    <row r="3896" spans="1:5" x14ac:dyDescent="0.3">
      <c r="A3896" s="9">
        <v>45450</v>
      </c>
      <c r="B3896" s="10" t="s">
        <v>9</v>
      </c>
      <c r="C3896" s="10" t="s">
        <v>28</v>
      </c>
      <c r="D3896" s="12">
        <v>157.69999999999999</v>
      </c>
      <c r="E3896" s="12">
        <f>SUMIF('Parametros Inventario'!$A:$A,B3896,'Parametros Inventario'!$B:$B)+SUMIFS(D$2:D3896,B$2:B3896,B3896,C$2:C3896,"ENTRADA")-SUMIFS(D$2:D3896,B$2:B3896,B3896,C$2:C3896,"SALIDA")</f>
        <v>16025.993999999995</v>
      </c>
    </row>
    <row r="3897" spans="1:5" x14ac:dyDescent="0.3">
      <c r="A3897" s="9">
        <v>45450</v>
      </c>
      <c r="B3897" s="10" t="s">
        <v>14</v>
      </c>
      <c r="C3897" s="10" t="s">
        <v>28</v>
      </c>
      <c r="D3897" s="12">
        <v>99.39</v>
      </c>
      <c r="E3897" s="12">
        <f>SUMIF('Parametros Inventario'!$A:$A,B3897,'Parametros Inventario'!$B:$B)+SUMIFS(D$2:D3897,B$2:B3897,B3897,C$2:C3897,"ENTRADA")-SUMIFS(D$2:D3897,B$2:B3897,B3897,C$2:C3897,"SALIDA")</f>
        <v>18075.526999999998</v>
      </c>
    </row>
    <row r="3898" spans="1:5" x14ac:dyDescent="0.3">
      <c r="A3898" s="9">
        <v>45450</v>
      </c>
      <c r="B3898" s="10" t="s">
        <v>12</v>
      </c>
      <c r="C3898" s="10" t="s">
        <v>28</v>
      </c>
      <c r="D3898" s="12">
        <v>182.27</v>
      </c>
      <c r="E3898" s="12">
        <f>SUMIF('Parametros Inventario'!$A:$A,B3898,'Parametros Inventario'!$B:$B)+SUMIFS(D$2:D3898,B$2:B3898,B3898,C$2:C3898,"ENTRADA")-SUMIFS(D$2:D3898,B$2:B3898,B3898,C$2:C3898,"SALIDA")</f>
        <v>17406.934999999998</v>
      </c>
    </row>
    <row r="3899" spans="1:5" x14ac:dyDescent="0.3">
      <c r="A3899" s="9">
        <v>45450</v>
      </c>
      <c r="B3899" s="10" t="s">
        <v>16</v>
      </c>
      <c r="C3899" s="10" t="s">
        <v>28</v>
      </c>
      <c r="D3899" s="12">
        <v>274.63</v>
      </c>
      <c r="E3899" s="12">
        <f>SUMIF('Parametros Inventario'!$A:$A,B3899,'Parametros Inventario'!$B:$B)+SUMIFS(D$2:D3899,B$2:B3899,B3899,C$2:C3899,"ENTRADA")-SUMIFS(D$2:D3899,B$2:B3899,B3899,C$2:C3899,"SALIDA")</f>
        <v>18638.022999999997</v>
      </c>
    </row>
    <row r="3900" spans="1:5" x14ac:dyDescent="0.3">
      <c r="A3900" s="9">
        <v>45450</v>
      </c>
      <c r="B3900" s="10" t="s">
        <v>17</v>
      </c>
      <c r="C3900" s="10" t="s">
        <v>28</v>
      </c>
      <c r="D3900" s="12">
        <v>152.68</v>
      </c>
      <c r="E3900" s="12">
        <f>SUMIF('Parametros Inventario'!$A:$A,B3900,'Parametros Inventario'!$B:$B)+SUMIFS(D$2:D3900,B$2:B3900,B3900,C$2:C3900,"ENTRADA")-SUMIFS(D$2:D3900,B$2:B3900,B3900,C$2:C3900,"SALIDA")</f>
        <v>17353.371999999996</v>
      </c>
    </row>
    <row r="3901" spans="1:5" x14ac:dyDescent="0.3">
      <c r="A3901" s="9">
        <v>45450</v>
      </c>
      <c r="B3901" s="10" t="s">
        <v>18</v>
      </c>
      <c r="C3901" s="10" t="s">
        <v>28</v>
      </c>
      <c r="D3901" s="12">
        <v>278.27999999999997</v>
      </c>
      <c r="E3901" s="12">
        <f>SUMIF('Parametros Inventario'!$A:$A,B3901,'Parametros Inventario'!$B:$B)+SUMIFS(D$2:D3901,B$2:B3901,B3901,C$2:C3901,"ENTRADA")-SUMIFS(D$2:D3901,B$2:B3901,B3901,C$2:C3901,"SALIDA")</f>
        <v>17871.121999999992</v>
      </c>
    </row>
    <row r="3902" spans="1:5" x14ac:dyDescent="0.3">
      <c r="A3902" s="9">
        <v>45450</v>
      </c>
      <c r="B3902" s="10" t="s">
        <v>10</v>
      </c>
      <c r="C3902" s="10" t="s">
        <v>28</v>
      </c>
      <c r="D3902" s="12">
        <v>51.73</v>
      </c>
      <c r="E3902" s="12">
        <f>SUMIF('Parametros Inventario'!$A:$A,B3902,'Parametros Inventario'!$B:$B)+SUMIFS(D$2:D3902,B$2:B3902,B3902,C$2:C3902,"ENTRADA")-SUMIFS(D$2:D3902,B$2:B3902,B3902,C$2:C3902,"SALIDA")</f>
        <v>18985.186999999998</v>
      </c>
    </row>
    <row r="3903" spans="1:5" x14ac:dyDescent="0.3">
      <c r="A3903" s="9">
        <v>45450</v>
      </c>
      <c r="B3903" s="10" t="s">
        <v>8</v>
      </c>
      <c r="C3903" s="10" t="s">
        <v>28</v>
      </c>
      <c r="D3903" s="12">
        <v>242.36</v>
      </c>
      <c r="E3903" s="12">
        <f>SUMIF('Parametros Inventario'!$A:$A,B3903,'Parametros Inventario'!$B:$B)+SUMIFS(D$2:D3903,B$2:B3903,B3903,C$2:C3903,"ENTRADA")-SUMIFS(D$2:D3903,B$2:B3903,B3903,C$2:C3903,"SALIDA")</f>
        <v>18216.777000000016</v>
      </c>
    </row>
    <row r="3904" spans="1:5" x14ac:dyDescent="0.3">
      <c r="A3904" s="9">
        <v>45450</v>
      </c>
      <c r="B3904" s="10" t="s">
        <v>13</v>
      </c>
      <c r="C3904" s="10" t="s">
        <v>28</v>
      </c>
      <c r="D3904" s="12">
        <v>112.53</v>
      </c>
      <c r="E3904" s="12">
        <f>SUMIF('Parametros Inventario'!$A:$A,B3904,'Parametros Inventario'!$B:$B)+SUMIFS(D$2:D3904,B$2:B3904,B3904,C$2:C3904,"ENTRADA")-SUMIFS(D$2:D3904,B$2:B3904,B3904,C$2:C3904,"SALIDA")</f>
        <v>16966.222000000005</v>
      </c>
    </row>
    <row r="3905" spans="1:5" x14ac:dyDescent="0.3">
      <c r="A3905" s="9">
        <f>'Volúmenes DIstribuidos '!B2409</f>
        <v>45450</v>
      </c>
      <c r="B3905" s="10" t="str">
        <f>IF(OR('Volúmenes DIstribuidos '!C2409="Azúcar",'Volúmenes DIstribuidos '!C2409="azúcar"),"Azúcar o dulce",IF('Volúmenes DIstribuidos '!C2409="Aceite","Aceite o grasas",IF('Volúmenes DIstribuidos '!C2409="Avena","Otros almidones",'Volúmenes DIstribuidos '!C2409)))</f>
        <v>Lácteos</v>
      </c>
      <c r="C3905" s="10" t="s">
        <v>29</v>
      </c>
      <c r="D3905" s="12">
        <f>'Volúmenes DIstribuidos '!D2409</f>
        <v>72.069999999999993</v>
      </c>
      <c r="E3905" s="12">
        <f>SUMIF('Parametros Inventario'!$A:$A,B3905,'Parametros Inventario'!$B:$B)+SUMIFS(D$2:D3905,B$2:B3905,B3905,C$2:C3905,"ENTRADA")-SUMIFS(D$2:D3905,B$2:B3905,B3905,C$2:C3905,"SALIDA")</f>
        <v>17281.301999999996</v>
      </c>
    </row>
    <row r="3906" spans="1:5" x14ac:dyDescent="0.3">
      <c r="A3906" s="9">
        <f>'Volúmenes DIstribuidos '!B2409</f>
        <v>45450</v>
      </c>
      <c r="B3906" s="10" t="str">
        <f>IF(OR('Volúmenes DIstribuidos '!C2410="Azúcar",'Volúmenes DIstribuidos '!C2410="azúcar"),"Azúcar o dulce",IF('Volúmenes DIstribuidos '!C2410="Aceite","Aceite o grasas",IF('Volúmenes DIstribuidos '!C2410="Avena","Otros almidones",'Volúmenes DIstribuidos '!C2410)))</f>
        <v>Panadería</v>
      </c>
      <c r="C3906" s="10" t="s">
        <v>29</v>
      </c>
      <c r="D3906" s="12">
        <f>'Volúmenes DIstribuidos '!D2410</f>
        <v>63.54</v>
      </c>
      <c r="E3906" s="12">
        <f>SUMIF('Parametros Inventario'!$A:$A,B3906,'Parametros Inventario'!$B:$B)+SUMIFS(D$2:D3906,B$2:B3906,B3906,C$2:C3906,"ENTRADA")-SUMIFS(D$2:D3906,B$2:B3906,B3906,C$2:C3906,"SALIDA")</f>
        <v>15962.453999999996</v>
      </c>
    </row>
    <row r="3907" spans="1:5" x14ac:dyDescent="0.3">
      <c r="A3907" s="9">
        <f>'Volúmenes DIstribuidos '!B2409</f>
        <v>45450</v>
      </c>
      <c r="B3907" s="10" t="str">
        <f>IF(OR('Volúmenes DIstribuidos '!C2411="Azúcar",'Volúmenes DIstribuidos '!C2411="azúcar"),"Azúcar o dulce",IF('Volúmenes DIstribuidos '!C2411="Aceite","Aceite o grasas",IF('Volúmenes DIstribuidos '!C2411="Avena","Otros almidones",'Volúmenes DIstribuidos '!C2411)))</f>
        <v>Carnes blancas</v>
      </c>
      <c r="C3907" s="10" t="s">
        <v>29</v>
      </c>
      <c r="D3907" s="12">
        <f>'Volúmenes DIstribuidos '!D2411</f>
        <v>33.19</v>
      </c>
      <c r="E3907" s="12">
        <f>SUMIF('Parametros Inventario'!$A:$A,B3907,'Parametros Inventario'!$B:$B)+SUMIFS(D$2:D3907,B$2:B3907,B3907,C$2:C3907,"ENTRADA")-SUMIFS(D$2:D3907,B$2:B3907,B3907,C$2:C3907,"SALIDA")</f>
        <v>18604.832999999999</v>
      </c>
    </row>
    <row r="3908" spans="1:5" x14ac:dyDescent="0.3">
      <c r="A3908" s="9">
        <f>'Volúmenes DIstribuidos '!B2409</f>
        <v>45450</v>
      </c>
      <c r="B3908" s="10" t="str">
        <f>IF(OR('Volúmenes DIstribuidos '!C2412="Azúcar",'Volúmenes DIstribuidos '!C2412="azúcar"),"Azúcar o dulce",IF('Volúmenes DIstribuidos '!C2412="Aceite","Aceite o grasas",IF('Volúmenes DIstribuidos '!C2412="Avena","Otros almidones",'Volúmenes DIstribuidos '!C2412)))</f>
        <v>Salsas</v>
      </c>
      <c r="C3908" s="10" t="s">
        <v>29</v>
      </c>
      <c r="D3908" s="12">
        <f>'Volúmenes DIstribuidos '!D2412</f>
        <v>19.609000000000002</v>
      </c>
      <c r="E3908" s="12">
        <f>SUMIF('Parametros Inventario'!$A:$A,B3908,'Parametros Inventario'!$B:$B)+SUMIFS(D$2:D3908,B$2:B3908,B3908,C$2:C3908,"ENTRADA")-SUMIFS(D$2:D3908,B$2:B3908,B3908,C$2:C3908,"SALIDA")</f>
        <v>17851.512999999992</v>
      </c>
    </row>
    <row r="3909" spans="1:5" x14ac:dyDescent="0.3">
      <c r="A3909" s="9">
        <f>'Volúmenes DIstribuidos '!B2409</f>
        <v>45450</v>
      </c>
      <c r="B3909" s="10" t="str">
        <f>IF(OR('Volúmenes DIstribuidos '!C2413="Azúcar",'Volúmenes DIstribuidos '!C2413="azúcar"),"Azúcar o dulce",IF('Volúmenes DIstribuidos '!C2413="Aceite","Aceite o grasas",IF('Volúmenes DIstribuidos '!C2413="Avena","Otros almidones",'Volúmenes DIstribuidos '!C2413)))</f>
        <v>Carnes blancas</v>
      </c>
      <c r="C3909" s="10" t="s">
        <v>29</v>
      </c>
      <c r="D3909" s="12">
        <f>'Volúmenes DIstribuidos '!D2413</f>
        <v>11.23</v>
      </c>
      <c r="E3909" s="12">
        <f>SUMIF('Parametros Inventario'!$A:$A,B3909,'Parametros Inventario'!$B:$B)+SUMIFS(D$2:D3909,B$2:B3909,B3909,C$2:C3909,"ENTRADA")-SUMIFS(D$2:D3909,B$2:B3909,B3909,C$2:C3909,"SALIDA")</f>
        <v>18593.602999999996</v>
      </c>
    </row>
    <row r="3910" spans="1:5" x14ac:dyDescent="0.3">
      <c r="A3910" s="9">
        <f>'Volúmenes DIstribuidos '!B2409</f>
        <v>45450</v>
      </c>
      <c r="B3910" s="10" t="str">
        <f>IF(OR('Volúmenes DIstribuidos '!C2414="Azúcar",'Volúmenes DIstribuidos '!C2414="azúcar"),"Azúcar o dulce",IF('Volúmenes DIstribuidos '!C2414="Aceite","Aceite o grasas",IF('Volúmenes DIstribuidos '!C2414="Avena","Otros almidones",'Volúmenes DIstribuidos '!C2414)))</f>
        <v>Vegetales y hojas</v>
      </c>
      <c r="C3910" s="10" t="s">
        <v>29</v>
      </c>
      <c r="D3910" s="12">
        <f>'Volúmenes DIstribuidos '!D2414</f>
        <v>38.46</v>
      </c>
      <c r="E3910" s="12">
        <f>SUMIF('Parametros Inventario'!$A:$A,B3910,'Parametros Inventario'!$B:$B)+SUMIFS(D$2:D3910,B$2:B3910,B3910,C$2:C3910,"ENTRADA")-SUMIFS(D$2:D3910,B$2:B3910,B3910,C$2:C3910,"SALIDA")</f>
        <v>18946.726999999999</v>
      </c>
    </row>
    <row r="3911" spans="1:5" x14ac:dyDescent="0.3">
      <c r="A3911" s="9">
        <f>'Volúmenes DIstribuidos '!B2415</f>
        <v>45454</v>
      </c>
      <c r="B3911" s="10" t="str">
        <f>IF(OR('Volúmenes DIstribuidos '!C2415="Azúcar",'Volúmenes DIstribuidos '!C2415="azúcar"),"Azúcar o dulce",IF('Volúmenes DIstribuidos '!C2415="Aceite","Aceite o grasas",IF('Volúmenes DIstribuidos '!C2415="Avena","Otros almidones",'Volúmenes DIstribuidos '!C2415)))</f>
        <v>Otros almidones</v>
      </c>
      <c r="C3911" s="10" t="s">
        <v>29</v>
      </c>
      <c r="D3911" s="12">
        <f>'Volúmenes DIstribuidos '!D2415</f>
        <v>70.278000000000006</v>
      </c>
      <c r="E3911" s="12">
        <f>SUMIF('Parametros Inventario'!$A:$A,B3911,'Parametros Inventario'!$B:$B)+SUMIFS(D$2:D3911,B$2:B3911,B3911,C$2:C3911,"ENTRADA")-SUMIFS(D$2:D3911,B$2:B3911,B3911,C$2:C3911,"SALIDA")</f>
        <v>19612.893999999997</v>
      </c>
    </row>
    <row r="3912" spans="1:5" x14ac:dyDescent="0.3">
      <c r="A3912" s="9">
        <f>'Volúmenes DIstribuidos '!B2415</f>
        <v>45454</v>
      </c>
      <c r="B3912" s="10" t="str">
        <f>IF(OR('Volúmenes DIstribuidos '!C2416="Azúcar",'Volúmenes DIstribuidos '!C2416="azúcar"),"Azúcar o dulce",IF('Volúmenes DIstribuidos '!C2416="Aceite","Aceite o grasas",IF('Volúmenes DIstribuidos '!C2416="Avena","Otros almidones",'Volúmenes DIstribuidos '!C2416)))</f>
        <v>Azúcar o dulce</v>
      </c>
      <c r="C3912" s="10" t="s">
        <v>29</v>
      </c>
      <c r="D3912" s="12">
        <f>'Volúmenes DIstribuidos '!D2416</f>
        <v>27.14</v>
      </c>
      <c r="E3912" s="12">
        <f>SUMIF('Parametros Inventario'!$A:$A,B3912,'Parametros Inventario'!$B:$B)+SUMIFS(D$2:D3912,B$2:B3912,B3912,C$2:C3912,"ENTRADA")-SUMIFS(D$2:D3912,B$2:B3912,B3912,C$2:C3912,"SALIDA")</f>
        <v>16939.082000000006</v>
      </c>
    </row>
    <row r="3913" spans="1:5" x14ac:dyDescent="0.3">
      <c r="A3913" s="9">
        <f>'Volúmenes DIstribuidos '!B2415</f>
        <v>45454</v>
      </c>
      <c r="B3913" s="10" t="str">
        <f>IF(OR('Volúmenes DIstribuidos '!C2417="Azúcar",'Volúmenes DIstribuidos '!C2417="azúcar"),"Azúcar o dulce",IF('Volúmenes DIstribuidos '!C2417="Aceite","Aceite o grasas",IF('Volúmenes DIstribuidos '!C2417="Avena","Otros almidones",'Volúmenes DIstribuidos '!C2417)))</f>
        <v>Vegetales y hojas</v>
      </c>
      <c r="C3913" s="10" t="s">
        <v>29</v>
      </c>
      <c r="D3913" s="12">
        <f>'Volúmenes DIstribuidos '!D2417</f>
        <v>6.36</v>
      </c>
      <c r="E3913" s="12">
        <f>SUMIF('Parametros Inventario'!$A:$A,B3913,'Parametros Inventario'!$B:$B)+SUMIFS(D$2:D3913,B$2:B3913,B3913,C$2:C3913,"ENTRADA")-SUMIFS(D$2:D3913,B$2:B3913,B3913,C$2:C3913,"SALIDA")</f>
        <v>18940.366999999998</v>
      </c>
    </row>
    <row r="3914" spans="1:5" x14ac:dyDescent="0.3">
      <c r="A3914" s="9">
        <f>'Volúmenes DIstribuidos '!B2415</f>
        <v>45454</v>
      </c>
      <c r="B3914" s="10" t="str">
        <f>IF(OR('Volúmenes DIstribuidos '!C2418="Azúcar",'Volúmenes DIstribuidos '!C2418="azúcar"),"Azúcar o dulce",IF('Volúmenes DIstribuidos '!C2418="Aceite","Aceite o grasas",IF('Volúmenes DIstribuidos '!C2418="Avena","Otros almidones",'Volúmenes DIstribuidos '!C2418)))</f>
        <v>Aceite o grasas</v>
      </c>
      <c r="C3914" s="10" t="s">
        <v>29</v>
      </c>
      <c r="D3914" s="12">
        <f>'Volúmenes DIstribuidos '!D2418</f>
        <v>18.18</v>
      </c>
      <c r="E3914" s="12">
        <f>SUMIF('Parametros Inventario'!$A:$A,B3914,'Parametros Inventario'!$B:$B)+SUMIFS(D$2:D3914,B$2:B3914,B3914,C$2:C3914,"ENTRADA")-SUMIFS(D$2:D3914,B$2:B3914,B3914,C$2:C3914,"SALIDA")</f>
        <v>18198.597000000016</v>
      </c>
    </row>
    <row r="3915" spans="1:5" x14ac:dyDescent="0.3">
      <c r="A3915" s="9">
        <f>'Volúmenes DIstribuidos '!B2415</f>
        <v>45454</v>
      </c>
      <c r="B3915" s="10" t="str">
        <f>IF(OR('Volúmenes DIstribuidos '!C2419="Azúcar",'Volúmenes DIstribuidos '!C2419="azúcar"),"Azúcar o dulce",IF('Volúmenes DIstribuidos '!C2419="Aceite","Aceite o grasas",IF('Volúmenes DIstribuidos '!C2419="Avena","Otros almidones",'Volúmenes DIstribuidos '!C2419)))</f>
        <v>Lácteos</v>
      </c>
      <c r="C3915" s="10" t="s">
        <v>29</v>
      </c>
      <c r="D3915" s="12">
        <f>'Volúmenes DIstribuidos '!D2419</f>
        <v>12.125999999999999</v>
      </c>
      <c r="E3915" s="12">
        <f>SUMIF('Parametros Inventario'!$A:$A,B3915,'Parametros Inventario'!$B:$B)+SUMIFS(D$2:D3915,B$2:B3915,B3915,C$2:C3915,"ENTRADA")-SUMIFS(D$2:D3915,B$2:B3915,B3915,C$2:C3915,"SALIDA")</f>
        <v>17269.175999999996</v>
      </c>
    </row>
    <row r="3916" spans="1:5" x14ac:dyDescent="0.3">
      <c r="A3916" s="9">
        <f>'Volúmenes DIstribuidos '!B2415</f>
        <v>45454</v>
      </c>
      <c r="B3916" s="10" t="str">
        <f>IF(OR('Volúmenes DIstribuidos '!C2420="Azúcar",'Volúmenes DIstribuidos '!C2420="azúcar"),"Azúcar o dulce",IF('Volúmenes DIstribuidos '!C2420="Aceite","Aceite o grasas",IF('Volúmenes DIstribuidos '!C2420="Avena","Otros almidones",'Volúmenes DIstribuidos '!C2420)))</f>
        <v>Aceite o grasas</v>
      </c>
      <c r="C3916" s="10" t="s">
        <v>29</v>
      </c>
      <c r="D3916" s="12">
        <f>'Volúmenes DIstribuidos '!D2420</f>
        <v>18.27</v>
      </c>
      <c r="E3916" s="12">
        <f>SUMIF('Parametros Inventario'!$A:$A,B3916,'Parametros Inventario'!$B:$B)+SUMIFS(D$2:D3916,B$2:B3916,B3916,C$2:C3916,"ENTRADA")-SUMIFS(D$2:D3916,B$2:B3916,B3916,C$2:C3916,"SALIDA")</f>
        <v>18180.327000000016</v>
      </c>
    </row>
    <row r="3917" spans="1:5" x14ac:dyDescent="0.3">
      <c r="A3917" s="9">
        <v>45457</v>
      </c>
      <c r="B3917" s="10" t="s">
        <v>15</v>
      </c>
      <c r="C3917" s="10" t="s">
        <v>28</v>
      </c>
      <c r="D3917" s="12">
        <v>167.67</v>
      </c>
      <c r="E3917" s="12">
        <f>SUMIF('Parametros Inventario'!$A:$A,B3917,'Parametros Inventario'!$B:$B)+SUMIFS(D$2:D3917,B$2:B3917,B3917,C$2:C3917,"ENTRADA")-SUMIFS(D$2:D3917,B$2:B3917,B3917,C$2:C3917,"SALIDA")</f>
        <v>19780.563999999995</v>
      </c>
    </row>
    <row r="3918" spans="1:5" x14ac:dyDescent="0.3">
      <c r="A3918" s="9">
        <v>45457</v>
      </c>
      <c r="B3918" s="10" t="s">
        <v>11</v>
      </c>
      <c r="C3918" s="10" t="s">
        <v>28</v>
      </c>
      <c r="D3918" s="12">
        <v>143.58000000000001</v>
      </c>
      <c r="E3918" s="12">
        <f>SUMIF('Parametros Inventario'!$A:$A,B3918,'Parametros Inventario'!$B:$B)+SUMIFS(D$2:D3918,B$2:B3918,B3918,C$2:C3918,"ENTRADA")-SUMIFS(D$2:D3918,B$2:B3918,B3918,C$2:C3918,"SALIDA")</f>
        <v>20595.554000000015</v>
      </c>
    </row>
    <row r="3919" spans="1:5" x14ac:dyDescent="0.3">
      <c r="A3919" s="9">
        <v>45457</v>
      </c>
      <c r="B3919" s="10" t="s">
        <v>9</v>
      </c>
      <c r="C3919" s="10" t="s">
        <v>28</v>
      </c>
      <c r="D3919" s="12">
        <v>141.12</v>
      </c>
      <c r="E3919" s="12">
        <f>SUMIF('Parametros Inventario'!$A:$A,B3919,'Parametros Inventario'!$B:$B)+SUMIFS(D$2:D3919,B$2:B3919,B3919,C$2:C3919,"ENTRADA")-SUMIFS(D$2:D3919,B$2:B3919,B3919,C$2:C3919,"SALIDA")</f>
        <v>16103.573999999995</v>
      </c>
    </row>
    <row r="3920" spans="1:5" x14ac:dyDescent="0.3">
      <c r="A3920" s="9">
        <v>45457</v>
      </c>
      <c r="B3920" s="10" t="s">
        <v>14</v>
      </c>
      <c r="C3920" s="10" t="s">
        <v>28</v>
      </c>
      <c r="D3920" s="12">
        <v>273.05</v>
      </c>
      <c r="E3920" s="12">
        <f>SUMIF('Parametros Inventario'!$A:$A,B3920,'Parametros Inventario'!$B:$B)+SUMIFS(D$2:D3920,B$2:B3920,B3920,C$2:C3920,"ENTRADA")-SUMIFS(D$2:D3920,B$2:B3920,B3920,C$2:C3920,"SALIDA")</f>
        <v>18348.576999999997</v>
      </c>
    </row>
    <row r="3921" spans="1:5" x14ac:dyDescent="0.3">
      <c r="A3921" s="9">
        <v>45457</v>
      </c>
      <c r="B3921" s="10" t="s">
        <v>12</v>
      </c>
      <c r="C3921" s="10" t="s">
        <v>28</v>
      </c>
      <c r="D3921" s="12">
        <v>184.11</v>
      </c>
      <c r="E3921" s="12">
        <f>SUMIF('Parametros Inventario'!$A:$A,B3921,'Parametros Inventario'!$B:$B)+SUMIFS(D$2:D3921,B$2:B3921,B3921,C$2:C3921,"ENTRADA")-SUMIFS(D$2:D3921,B$2:B3921,B3921,C$2:C3921,"SALIDA")</f>
        <v>17591.044999999998</v>
      </c>
    </row>
    <row r="3922" spans="1:5" x14ac:dyDescent="0.3">
      <c r="A3922" s="9">
        <v>45457</v>
      </c>
      <c r="B3922" s="10" t="s">
        <v>16</v>
      </c>
      <c r="C3922" s="10" t="s">
        <v>28</v>
      </c>
      <c r="D3922" s="12">
        <v>117.37</v>
      </c>
      <c r="E3922" s="12">
        <f>SUMIF('Parametros Inventario'!$A:$A,B3922,'Parametros Inventario'!$B:$B)+SUMIFS(D$2:D3922,B$2:B3922,B3922,C$2:C3922,"ENTRADA")-SUMIFS(D$2:D3922,B$2:B3922,B3922,C$2:C3922,"SALIDA")</f>
        <v>18710.972999999998</v>
      </c>
    </row>
    <row r="3923" spans="1:5" x14ac:dyDescent="0.3">
      <c r="A3923" s="9">
        <v>45457</v>
      </c>
      <c r="B3923" s="10" t="s">
        <v>17</v>
      </c>
      <c r="C3923" s="10" t="s">
        <v>28</v>
      </c>
      <c r="D3923" s="12">
        <v>297.33999999999997</v>
      </c>
      <c r="E3923" s="12">
        <f>SUMIF('Parametros Inventario'!$A:$A,B3923,'Parametros Inventario'!$B:$B)+SUMIFS(D$2:D3923,B$2:B3923,B3923,C$2:C3923,"ENTRADA")-SUMIFS(D$2:D3923,B$2:B3923,B3923,C$2:C3923,"SALIDA")</f>
        <v>17566.515999999996</v>
      </c>
    </row>
    <row r="3924" spans="1:5" x14ac:dyDescent="0.3">
      <c r="A3924" s="9">
        <v>45457</v>
      </c>
      <c r="B3924" s="10" t="s">
        <v>18</v>
      </c>
      <c r="C3924" s="10" t="s">
        <v>28</v>
      </c>
      <c r="D3924" s="12">
        <v>214.07</v>
      </c>
      <c r="E3924" s="12">
        <f>SUMIF('Parametros Inventario'!$A:$A,B3924,'Parametros Inventario'!$B:$B)+SUMIFS(D$2:D3924,B$2:B3924,B3924,C$2:C3924,"ENTRADA")-SUMIFS(D$2:D3924,B$2:B3924,B3924,C$2:C3924,"SALIDA")</f>
        <v>18065.582999999991</v>
      </c>
    </row>
    <row r="3925" spans="1:5" x14ac:dyDescent="0.3">
      <c r="A3925" s="9">
        <v>45457</v>
      </c>
      <c r="B3925" s="10" t="s">
        <v>10</v>
      </c>
      <c r="C3925" s="10" t="s">
        <v>28</v>
      </c>
      <c r="D3925" s="12">
        <v>159.84</v>
      </c>
      <c r="E3925" s="12">
        <f>SUMIF('Parametros Inventario'!$A:$A,B3925,'Parametros Inventario'!$B:$B)+SUMIFS(D$2:D3925,B$2:B3925,B3925,C$2:C3925,"ENTRADA")-SUMIFS(D$2:D3925,B$2:B3925,B3925,C$2:C3925,"SALIDA")</f>
        <v>19100.207000000002</v>
      </c>
    </row>
    <row r="3926" spans="1:5" x14ac:dyDescent="0.3">
      <c r="A3926" s="9">
        <v>45457</v>
      </c>
      <c r="B3926" s="10" t="s">
        <v>8</v>
      </c>
      <c r="C3926" s="10" t="s">
        <v>28</v>
      </c>
      <c r="D3926" s="12">
        <v>84.97</v>
      </c>
      <c r="E3926" s="12">
        <f>SUMIF('Parametros Inventario'!$A:$A,B3926,'Parametros Inventario'!$B:$B)+SUMIFS(D$2:D3926,B$2:B3926,B3926,C$2:C3926,"ENTRADA")-SUMIFS(D$2:D3926,B$2:B3926,B3926,C$2:C3926,"SALIDA")</f>
        <v>18265.297000000017</v>
      </c>
    </row>
    <row r="3927" spans="1:5" x14ac:dyDescent="0.3">
      <c r="A3927" s="9">
        <f>'Volúmenes DIstribuidos '!B2421</f>
        <v>45457</v>
      </c>
      <c r="B3927" s="10" t="str">
        <f>IF(OR('Volúmenes DIstribuidos '!C2421="Azúcar",'Volúmenes DIstribuidos '!C2421="azúcar"),"Azúcar o dulce",IF('Volúmenes DIstribuidos '!C2421="Aceite","Aceite o grasas",IF('Volúmenes DIstribuidos '!C2421="Avena","Otros almidones",'Volúmenes DIstribuidos '!C2421)))</f>
        <v>Menestras</v>
      </c>
      <c r="C3927" s="10" t="s">
        <v>29</v>
      </c>
      <c r="D3927" s="12">
        <f>'Volúmenes DIstribuidos '!D2421</f>
        <v>12.51</v>
      </c>
      <c r="E3927" s="12">
        <f>SUMIF('Parametros Inventario'!$A:$A,B3927,'Parametros Inventario'!$B:$B)+SUMIFS(D$2:D3927,B$2:B3927,B3927,C$2:C3927,"ENTRADA")-SUMIFS(D$2:D3927,B$2:B3927,B3927,C$2:C3927,"SALIDA")</f>
        <v>18336.066999999995</v>
      </c>
    </row>
    <row r="3928" spans="1:5" x14ac:dyDescent="0.3">
      <c r="A3928" s="9">
        <f>'Volúmenes DIstribuidos '!B2421</f>
        <v>45457</v>
      </c>
      <c r="B3928" s="10" t="str">
        <f>IF(OR('Volúmenes DIstribuidos '!C2422="Azúcar",'Volúmenes DIstribuidos '!C2422="azúcar"),"Azúcar o dulce",IF('Volúmenes DIstribuidos '!C2422="Aceite","Aceite o grasas",IF('Volúmenes DIstribuidos '!C2422="Avena","Otros almidones",'Volúmenes DIstribuidos '!C2422)))</f>
        <v>Lácteos</v>
      </c>
      <c r="C3928" s="10" t="s">
        <v>29</v>
      </c>
      <c r="D3928" s="12">
        <f>'Volúmenes DIstribuidos '!D2422</f>
        <v>7.86</v>
      </c>
      <c r="E3928" s="12">
        <f>SUMIF('Parametros Inventario'!$A:$A,B3928,'Parametros Inventario'!$B:$B)+SUMIFS(D$2:D3928,B$2:B3928,B3928,C$2:C3928,"ENTRADA")-SUMIFS(D$2:D3928,B$2:B3928,B3928,C$2:C3928,"SALIDA")</f>
        <v>17558.655999999995</v>
      </c>
    </row>
    <row r="3929" spans="1:5" x14ac:dyDescent="0.3">
      <c r="A3929" s="9">
        <f>'Volúmenes DIstribuidos '!B2421</f>
        <v>45457</v>
      </c>
      <c r="B3929" s="10" t="str">
        <f>IF(OR('Volúmenes DIstribuidos '!C2423="Azúcar",'Volúmenes DIstribuidos '!C2423="azúcar"),"Azúcar o dulce",IF('Volúmenes DIstribuidos '!C2423="Aceite","Aceite o grasas",IF('Volúmenes DIstribuidos '!C2423="Avena","Otros almidones",'Volúmenes DIstribuidos '!C2423)))</f>
        <v>Carnes blancas</v>
      </c>
      <c r="C3929" s="10" t="s">
        <v>29</v>
      </c>
      <c r="D3929" s="12">
        <f>'Volúmenes DIstribuidos '!D2423</f>
        <v>26.898</v>
      </c>
      <c r="E3929" s="12">
        <f>SUMIF('Parametros Inventario'!$A:$A,B3929,'Parametros Inventario'!$B:$B)+SUMIFS(D$2:D3929,B$2:B3929,B3929,C$2:C3929,"ENTRADA")-SUMIFS(D$2:D3929,B$2:B3929,B3929,C$2:C3929,"SALIDA")</f>
        <v>18684.074999999997</v>
      </c>
    </row>
    <row r="3930" spans="1:5" x14ac:dyDescent="0.3">
      <c r="A3930" s="9">
        <f>'Volúmenes DIstribuidos '!B2421</f>
        <v>45457</v>
      </c>
      <c r="B3930" s="10" t="str">
        <f>IF(OR('Volúmenes DIstribuidos '!C2424="Azúcar",'Volúmenes DIstribuidos '!C2424="azúcar"),"Azúcar o dulce",IF('Volúmenes DIstribuidos '!C2424="Aceite","Aceite o grasas",IF('Volúmenes DIstribuidos '!C2424="Avena","Otros almidones",'Volúmenes DIstribuidos '!C2424)))</f>
        <v>Fideo</v>
      </c>
      <c r="C3930" s="10" t="s">
        <v>29</v>
      </c>
      <c r="D3930" s="12">
        <f>'Volúmenes DIstribuidos '!D2424</f>
        <v>7.14</v>
      </c>
      <c r="E3930" s="12">
        <f>SUMIF('Parametros Inventario'!$A:$A,B3930,'Parametros Inventario'!$B:$B)+SUMIFS(D$2:D3930,B$2:B3930,B3930,C$2:C3930,"ENTRADA")-SUMIFS(D$2:D3930,B$2:B3930,B3930,C$2:C3930,"SALIDA")</f>
        <v>20588.414000000012</v>
      </c>
    </row>
    <row r="3931" spans="1:5" x14ac:dyDescent="0.3">
      <c r="A3931" s="9">
        <f>'Volúmenes DIstribuidos '!B2421</f>
        <v>45457</v>
      </c>
      <c r="B3931" s="10" t="str">
        <f>IF(OR('Volúmenes DIstribuidos '!C2425="Azúcar",'Volúmenes DIstribuidos '!C2425="azúcar"),"Azúcar o dulce",IF('Volúmenes DIstribuidos '!C2425="Aceite","Aceite o grasas",IF('Volúmenes DIstribuidos '!C2425="Avena","Otros almidones",'Volúmenes DIstribuidos '!C2425)))</f>
        <v>Vegetales y hojas</v>
      </c>
      <c r="C3931" s="10" t="s">
        <v>29</v>
      </c>
      <c r="D3931" s="12">
        <f>'Volúmenes DIstribuidos '!D2425</f>
        <v>17.920000000000002</v>
      </c>
      <c r="E3931" s="12">
        <f>SUMIF('Parametros Inventario'!$A:$A,B3931,'Parametros Inventario'!$B:$B)+SUMIFS(D$2:D3931,B$2:B3931,B3931,C$2:C3931,"ENTRADA")-SUMIFS(D$2:D3931,B$2:B3931,B3931,C$2:C3931,"SALIDA")</f>
        <v>19082.287</v>
      </c>
    </row>
    <row r="3932" spans="1:5" x14ac:dyDescent="0.3">
      <c r="A3932" s="9">
        <f>'Volúmenes DIstribuidos '!B2421</f>
        <v>45457</v>
      </c>
      <c r="B3932" s="10" t="str">
        <f>IF(OR('Volúmenes DIstribuidos '!C2426="Azúcar",'Volúmenes DIstribuidos '!C2426="azúcar"),"Azúcar o dulce",IF('Volúmenes DIstribuidos '!C2426="Aceite","Aceite o grasas",IF('Volúmenes DIstribuidos '!C2426="Avena","Otros almidones",'Volúmenes DIstribuidos '!C2426)))</f>
        <v>Panadería</v>
      </c>
      <c r="C3932" s="10" t="s">
        <v>29</v>
      </c>
      <c r="D3932" s="12">
        <f>'Volúmenes DIstribuidos '!D2426</f>
        <v>21.952999999999999</v>
      </c>
      <c r="E3932" s="12">
        <f>SUMIF('Parametros Inventario'!$A:$A,B3932,'Parametros Inventario'!$B:$B)+SUMIFS(D$2:D3932,B$2:B3932,B3932,C$2:C3932,"ENTRADA")-SUMIFS(D$2:D3932,B$2:B3932,B3932,C$2:C3932,"SALIDA")</f>
        <v>16081.620999999996</v>
      </c>
    </row>
    <row r="3933" spans="1:5" x14ac:dyDescent="0.3">
      <c r="A3933" s="9">
        <v>45461</v>
      </c>
      <c r="B3933" s="10" t="s">
        <v>13</v>
      </c>
      <c r="C3933" s="10" t="s">
        <v>28</v>
      </c>
      <c r="D3933" s="12">
        <v>236.77</v>
      </c>
      <c r="E3933" s="12">
        <f>SUMIF('Parametros Inventario'!$A:$A,B3933,'Parametros Inventario'!$B:$B)+SUMIFS(D$2:D3933,B$2:B3933,B3933,C$2:C3933,"ENTRADA")-SUMIFS(D$2:D3933,B$2:B3933,B3933,C$2:C3933,"SALIDA")</f>
        <v>17175.852000000006</v>
      </c>
    </row>
    <row r="3934" spans="1:5" x14ac:dyDescent="0.3">
      <c r="A3934" s="9">
        <v>45461</v>
      </c>
      <c r="B3934" s="10" t="s">
        <v>15</v>
      </c>
      <c r="C3934" s="10" t="s">
        <v>28</v>
      </c>
      <c r="D3934" s="12">
        <v>51.45</v>
      </c>
      <c r="E3934" s="12">
        <f>SUMIF('Parametros Inventario'!$A:$A,B3934,'Parametros Inventario'!$B:$B)+SUMIFS(D$2:D3934,B$2:B3934,B3934,C$2:C3934,"ENTRADA")-SUMIFS(D$2:D3934,B$2:B3934,B3934,C$2:C3934,"SALIDA")</f>
        <v>19832.013999999996</v>
      </c>
    </row>
    <row r="3935" spans="1:5" x14ac:dyDescent="0.3">
      <c r="A3935" s="9">
        <v>45461</v>
      </c>
      <c r="B3935" s="10" t="s">
        <v>11</v>
      </c>
      <c r="C3935" s="10" t="s">
        <v>28</v>
      </c>
      <c r="D3935" s="12">
        <v>270.89</v>
      </c>
      <c r="E3935" s="12">
        <f>SUMIF('Parametros Inventario'!$A:$A,B3935,'Parametros Inventario'!$B:$B)+SUMIFS(D$2:D3935,B$2:B3935,B3935,C$2:C3935,"ENTRADA")-SUMIFS(D$2:D3935,B$2:B3935,B3935,C$2:C3935,"SALIDA")</f>
        <v>20859.304000000011</v>
      </c>
    </row>
    <row r="3936" spans="1:5" x14ac:dyDescent="0.3">
      <c r="A3936" s="9">
        <v>45461</v>
      </c>
      <c r="B3936" s="10" t="s">
        <v>9</v>
      </c>
      <c r="C3936" s="10" t="s">
        <v>28</v>
      </c>
      <c r="D3936" s="12">
        <v>227.3</v>
      </c>
      <c r="E3936" s="12">
        <f>SUMIF('Parametros Inventario'!$A:$A,B3936,'Parametros Inventario'!$B:$B)+SUMIFS(D$2:D3936,B$2:B3936,B3936,C$2:C3936,"ENTRADA")-SUMIFS(D$2:D3936,B$2:B3936,B3936,C$2:C3936,"SALIDA")</f>
        <v>16308.920999999995</v>
      </c>
    </row>
    <row r="3937" spans="1:5" x14ac:dyDescent="0.3">
      <c r="A3937" s="9">
        <v>45461</v>
      </c>
      <c r="B3937" s="10" t="s">
        <v>14</v>
      </c>
      <c r="C3937" s="10" t="s">
        <v>28</v>
      </c>
      <c r="D3937" s="12">
        <v>77.67</v>
      </c>
      <c r="E3937" s="12">
        <f>SUMIF('Parametros Inventario'!$A:$A,B3937,'Parametros Inventario'!$B:$B)+SUMIFS(D$2:D3937,B$2:B3937,B3937,C$2:C3937,"ENTRADA")-SUMIFS(D$2:D3937,B$2:B3937,B3937,C$2:C3937,"SALIDA")</f>
        <v>18413.736999999994</v>
      </c>
    </row>
    <row r="3938" spans="1:5" x14ac:dyDescent="0.3">
      <c r="A3938" s="9">
        <v>45461</v>
      </c>
      <c r="B3938" s="10" t="s">
        <v>12</v>
      </c>
      <c r="C3938" s="10" t="s">
        <v>28</v>
      </c>
      <c r="D3938" s="12">
        <v>121.22</v>
      </c>
      <c r="E3938" s="12">
        <f>SUMIF('Parametros Inventario'!$A:$A,B3938,'Parametros Inventario'!$B:$B)+SUMIFS(D$2:D3938,B$2:B3938,B3938,C$2:C3938,"ENTRADA")-SUMIFS(D$2:D3938,B$2:B3938,B3938,C$2:C3938,"SALIDA")</f>
        <v>17712.264999999999</v>
      </c>
    </row>
    <row r="3939" spans="1:5" x14ac:dyDescent="0.3">
      <c r="A3939" s="9">
        <v>45461</v>
      </c>
      <c r="B3939" s="10" t="s">
        <v>16</v>
      </c>
      <c r="C3939" s="10" t="s">
        <v>28</v>
      </c>
      <c r="D3939" s="12">
        <v>83.42</v>
      </c>
      <c r="E3939" s="12">
        <f>SUMIF('Parametros Inventario'!$A:$A,B3939,'Parametros Inventario'!$B:$B)+SUMIFS(D$2:D3939,B$2:B3939,B3939,C$2:C3939,"ENTRADA")-SUMIFS(D$2:D3939,B$2:B3939,B3939,C$2:C3939,"SALIDA")</f>
        <v>18767.494999999995</v>
      </c>
    </row>
    <row r="3940" spans="1:5" x14ac:dyDescent="0.3">
      <c r="A3940" s="9">
        <v>45461</v>
      </c>
      <c r="B3940" s="10" t="s">
        <v>17</v>
      </c>
      <c r="C3940" s="10" t="s">
        <v>28</v>
      </c>
      <c r="D3940" s="12">
        <v>155.26</v>
      </c>
      <c r="E3940" s="12">
        <f>SUMIF('Parametros Inventario'!$A:$A,B3940,'Parametros Inventario'!$B:$B)+SUMIFS(D$2:D3940,B$2:B3940,B3940,C$2:C3940,"ENTRADA")-SUMIFS(D$2:D3940,B$2:B3940,B3940,C$2:C3940,"SALIDA")</f>
        <v>17713.915999999997</v>
      </c>
    </row>
    <row r="3941" spans="1:5" x14ac:dyDescent="0.3">
      <c r="A3941" s="9">
        <v>45461</v>
      </c>
      <c r="B3941" s="10" t="s">
        <v>18</v>
      </c>
      <c r="C3941" s="10" t="s">
        <v>28</v>
      </c>
      <c r="D3941" s="12">
        <v>132.80000000000001</v>
      </c>
      <c r="E3941" s="12">
        <f>SUMIF('Parametros Inventario'!$A:$A,B3941,'Parametros Inventario'!$B:$B)+SUMIFS(D$2:D3941,B$2:B3941,B3941,C$2:C3941,"ENTRADA")-SUMIFS(D$2:D3941,B$2:B3941,B3941,C$2:C3941,"SALIDA")</f>
        <v>18198.382999999991</v>
      </c>
    </row>
    <row r="3942" spans="1:5" x14ac:dyDescent="0.3">
      <c r="A3942" s="9">
        <f>'Volúmenes DIstribuidos '!B2427</f>
        <v>45461</v>
      </c>
      <c r="B3942" s="10" t="str">
        <f>IF(OR('Volúmenes DIstribuidos '!C2427="Azúcar",'Volúmenes DIstribuidos '!C2427="azúcar"),"Azúcar o dulce",IF('Volúmenes DIstribuidos '!C2427="Aceite","Aceite o grasas",IF('Volúmenes DIstribuidos '!C2427="Avena","Otros almidones",'Volúmenes DIstribuidos '!C2427)))</f>
        <v>Otros almidones</v>
      </c>
      <c r="C3942" s="10" t="s">
        <v>29</v>
      </c>
      <c r="D3942" s="12">
        <f>'Volúmenes DIstribuidos '!D2427</f>
        <v>7.71</v>
      </c>
      <c r="E3942" s="12">
        <f>SUMIF('Parametros Inventario'!$A:$A,B3942,'Parametros Inventario'!$B:$B)+SUMIFS(D$2:D3942,B$2:B3942,B3942,C$2:C3942,"ENTRADA")-SUMIFS(D$2:D3942,B$2:B3942,B3942,C$2:C3942,"SALIDA")</f>
        <v>19824.303999999996</v>
      </c>
    </row>
    <row r="3943" spans="1:5" x14ac:dyDescent="0.3">
      <c r="A3943" s="9">
        <f>'Volúmenes DIstribuidos '!B2427</f>
        <v>45461</v>
      </c>
      <c r="B3943" s="10" t="str">
        <f>IF(OR('Volúmenes DIstribuidos '!C2428="Azúcar",'Volúmenes DIstribuidos '!C2428="azúcar"),"Azúcar o dulce",IF('Volúmenes DIstribuidos '!C2428="Aceite","Aceite o grasas",IF('Volúmenes DIstribuidos '!C2428="Avena","Otros almidones",'Volúmenes DIstribuidos '!C2428)))</f>
        <v>Panadería</v>
      </c>
      <c r="C3943" s="10" t="s">
        <v>29</v>
      </c>
      <c r="D3943" s="12">
        <f>'Volúmenes DIstribuidos '!D2428</f>
        <v>6.64</v>
      </c>
      <c r="E3943" s="12">
        <f>SUMIF('Parametros Inventario'!$A:$A,B3943,'Parametros Inventario'!$B:$B)+SUMIFS(D$2:D3943,B$2:B3943,B3943,C$2:C3943,"ENTRADA")-SUMIFS(D$2:D3943,B$2:B3943,B3943,C$2:C3943,"SALIDA")</f>
        <v>16302.280999999994</v>
      </c>
    </row>
    <row r="3944" spans="1:5" x14ac:dyDescent="0.3">
      <c r="A3944" s="9">
        <f>'Volúmenes DIstribuidos '!B2427</f>
        <v>45461</v>
      </c>
      <c r="B3944" s="10" t="str">
        <f>IF(OR('Volúmenes DIstribuidos '!C2429="Azúcar",'Volúmenes DIstribuidos '!C2429="azúcar"),"Azúcar o dulce",IF('Volúmenes DIstribuidos '!C2429="Aceite","Aceite o grasas",IF('Volúmenes DIstribuidos '!C2429="Avena","Otros almidones",'Volúmenes DIstribuidos '!C2429)))</f>
        <v>Vegetales y hojas</v>
      </c>
      <c r="C3944" s="10" t="s">
        <v>29</v>
      </c>
      <c r="D3944" s="12">
        <f>'Volúmenes DIstribuidos '!D2429</f>
        <v>4.274</v>
      </c>
      <c r="E3944" s="12">
        <f>SUMIF('Parametros Inventario'!$A:$A,B3944,'Parametros Inventario'!$B:$B)+SUMIFS(D$2:D3944,B$2:B3944,B3944,C$2:C3944,"ENTRADA")-SUMIFS(D$2:D3944,B$2:B3944,B3944,C$2:C3944,"SALIDA")</f>
        <v>19078.012999999999</v>
      </c>
    </row>
    <row r="3945" spans="1:5" x14ac:dyDescent="0.3">
      <c r="A3945" s="9">
        <f>'Volúmenes DIstribuidos '!B2427</f>
        <v>45461</v>
      </c>
      <c r="B3945" s="10" t="str">
        <f>IF(OR('Volúmenes DIstribuidos '!C2430="Azúcar",'Volúmenes DIstribuidos '!C2430="azúcar"),"Azúcar o dulce",IF('Volúmenes DIstribuidos '!C2430="Aceite","Aceite o grasas",IF('Volúmenes DIstribuidos '!C2430="Avena","Otros almidones",'Volúmenes DIstribuidos '!C2430)))</f>
        <v>Lácteos</v>
      </c>
      <c r="C3945" s="10" t="s">
        <v>29</v>
      </c>
      <c r="D3945" s="12">
        <f>'Volúmenes DIstribuidos '!D2430</f>
        <v>5.74</v>
      </c>
      <c r="E3945" s="12">
        <f>SUMIF('Parametros Inventario'!$A:$A,B3945,'Parametros Inventario'!$B:$B)+SUMIFS(D$2:D3945,B$2:B3945,B3945,C$2:C3945,"ENTRADA")-SUMIFS(D$2:D3945,B$2:B3945,B3945,C$2:C3945,"SALIDA")</f>
        <v>17708.175999999996</v>
      </c>
    </row>
    <row r="3946" spans="1:5" x14ac:dyDescent="0.3">
      <c r="A3946" s="9">
        <f>'Volúmenes DIstribuidos '!B2427</f>
        <v>45461</v>
      </c>
      <c r="B3946" s="10" t="str">
        <f>IF(OR('Volúmenes DIstribuidos '!C2431="Azúcar",'Volúmenes DIstribuidos '!C2431="azúcar"),"Azúcar o dulce",IF('Volúmenes DIstribuidos '!C2431="Aceite","Aceite o grasas",IF('Volúmenes DIstribuidos '!C2431="Avena","Otros almidones",'Volúmenes DIstribuidos '!C2431)))</f>
        <v>Aceite o grasas</v>
      </c>
      <c r="C3946" s="10" t="s">
        <v>29</v>
      </c>
      <c r="D3946" s="12">
        <f>'Volúmenes DIstribuidos '!D2431</f>
        <v>17.97</v>
      </c>
      <c r="E3946" s="12">
        <f>SUMIF('Parametros Inventario'!$A:$A,B3946,'Parametros Inventario'!$B:$B)+SUMIFS(D$2:D3946,B$2:B3946,B3946,C$2:C3946,"ENTRADA")-SUMIFS(D$2:D3946,B$2:B3946,B3946,C$2:C3946,"SALIDA")</f>
        <v>18247.327000000019</v>
      </c>
    </row>
    <row r="3947" spans="1:5" x14ac:dyDescent="0.3">
      <c r="A3947" s="9">
        <f>'Volúmenes DIstribuidos '!B2427</f>
        <v>45461</v>
      </c>
      <c r="B3947" s="10" t="str">
        <f>IF(OR('Volúmenes DIstribuidos '!C2432="Azúcar",'Volúmenes DIstribuidos '!C2432="azúcar"),"Azúcar o dulce",IF('Volúmenes DIstribuidos '!C2432="Aceite","Aceite o grasas",IF('Volúmenes DIstribuidos '!C2432="Avena","Otros almidones",'Volúmenes DIstribuidos '!C2432)))</f>
        <v>Panadería</v>
      </c>
      <c r="C3947" s="10" t="s">
        <v>29</v>
      </c>
      <c r="D3947" s="12">
        <f>'Volúmenes DIstribuidos '!D2432</f>
        <v>7.84</v>
      </c>
      <c r="E3947" s="12">
        <f>SUMIF('Parametros Inventario'!$A:$A,B3947,'Parametros Inventario'!$B:$B)+SUMIFS(D$2:D3947,B$2:B3947,B3947,C$2:C3947,"ENTRADA")-SUMIFS(D$2:D3947,B$2:B3947,B3947,C$2:C3947,"SALIDA")</f>
        <v>16294.440999999993</v>
      </c>
    </row>
    <row r="3948" spans="1:5" x14ac:dyDescent="0.3">
      <c r="A3948" s="9">
        <v>45464</v>
      </c>
      <c r="B3948" s="10" t="s">
        <v>10</v>
      </c>
      <c r="C3948" s="10" t="s">
        <v>28</v>
      </c>
      <c r="D3948" s="12">
        <v>57.9</v>
      </c>
      <c r="E3948" s="12">
        <f>SUMIF('Parametros Inventario'!$A:$A,B3948,'Parametros Inventario'!$B:$B)+SUMIFS(D$2:D3948,B$2:B3948,B3948,C$2:C3948,"ENTRADA")-SUMIFS(D$2:D3948,B$2:B3948,B3948,C$2:C3948,"SALIDA")</f>
        <v>19135.913</v>
      </c>
    </row>
    <row r="3949" spans="1:5" x14ac:dyDescent="0.3">
      <c r="A3949" s="9">
        <v>45464</v>
      </c>
      <c r="B3949" s="10" t="s">
        <v>8</v>
      </c>
      <c r="C3949" s="10" t="s">
        <v>28</v>
      </c>
      <c r="D3949" s="12">
        <v>216.55</v>
      </c>
      <c r="E3949" s="12">
        <f>SUMIF('Parametros Inventario'!$A:$A,B3949,'Parametros Inventario'!$B:$B)+SUMIFS(D$2:D3949,B$2:B3949,B3949,C$2:C3949,"ENTRADA")-SUMIFS(D$2:D3949,B$2:B3949,B3949,C$2:C3949,"SALIDA")</f>
        <v>18463.877000000015</v>
      </c>
    </row>
    <row r="3950" spans="1:5" x14ac:dyDescent="0.3">
      <c r="A3950" s="9">
        <v>45464</v>
      </c>
      <c r="B3950" s="10" t="s">
        <v>13</v>
      </c>
      <c r="C3950" s="10" t="s">
        <v>28</v>
      </c>
      <c r="D3950" s="12">
        <v>287.08999999999997</v>
      </c>
      <c r="E3950" s="12">
        <f>SUMIF('Parametros Inventario'!$A:$A,B3950,'Parametros Inventario'!$B:$B)+SUMIFS(D$2:D3950,B$2:B3950,B3950,C$2:C3950,"ENTRADA")-SUMIFS(D$2:D3950,B$2:B3950,B3950,C$2:C3950,"SALIDA")</f>
        <v>17462.942000000006</v>
      </c>
    </row>
    <row r="3951" spans="1:5" x14ac:dyDescent="0.3">
      <c r="A3951" s="9">
        <v>45464</v>
      </c>
      <c r="B3951" s="10" t="s">
        <v>15</v>
      </c>
      <c r="C3951" s="10" t="s">
        <v>28</v>
      </c>
      <c r="D3951" s="12">
        <v>289.92</v>
      </c>
      <c r="E3951" s="12">
        <f>SUMIF('Parametros Inventario'!$A:$A,B3951,'Parametros Inventario'!$B:$B)+SUMIFS(D$2:D3951,B$2:B3951,B3951,C$2:C3951,"ENTRADA")-SUMIFS(D$2:D3951,B$2:B3951,B3951,C$2:C3951,"SALIDA")</f>
        <v>20114.223999999995</v>
      </c>
    </row>
    <row r="3952" spans="1:5" x14ac:dyDescent="0.3">
      <c r="A3952" s="9">
        <v>45464</v>
      </c>
      <c r="B3952" s="10" t="s">
        <v>11</v>
      </c>
      <c r="C3952" s="10" t="s">
        <v>28</v>
      </c>
      <c r="D3952" s="12">
        <v>295.73</v>
      </c>
      <c r="E3952" s="12">
        <f>SUMIF('Parametros Inventario'!$A:$A,B3952,'Parametros Inventario'!$B:$B)+SUMIFS(D$2:D3952,B$2:B3952,B3952,C$2:C3952,"ENTRADA")-SUMIFS(D$2:D3952,B$2:B3952,B3952,C$2:C3952,"SALIDA")</f>
        <v>21155.034000000014</v>
      </c>
    </row>
    <row r="3953" spans="1:5" x14ac:dyDescent="0.3">
      <c r="A3953" s="9">
        <v>45464</v>
      </c>
      <c r="B3953" s="10" t="s">
        <v>9</v>
      </c>
      <c r="C3953" s="10" t="s">
        <v>28</v>
      </c>
      <c r="D3953" s="12">
        <v>79.7</v>
      </c>
      <c r="E3953" s="12">
        <f>SUMIF('Parametros Inventario'!$A:$A,B3953,'Parametros Inventario'!$B:$B)+SUMIFS(D$2:D3953,B$2:B3953,B3953,C$2:C3953,"ENTRADA")-SUMIFS(D$2:D3953,B$2:B3953,B3953,C$2:C3953,"SALIDA")</f>
        <v>16374.140999999994</v>
      </c>
    </row>
    <row r="3954" spans="1:5" x14ac:dyDescent="0.3">
      <c r="A3954" s="9">
        <v>45464</v>
      </c>
      <c r="B3954" s="10" t="s">
        <v>14</v>
      </c>
      <c r="C3954" s="10" t="s">
        <v>28</v>
      </c>
      <c r="D3954" s="12">
        <v>172.27</v>
      </c>
      <c r="E3954" s="12">
        <f>SUMIF('Parametros Inventario'!$A:$A,B3954,'Parametros Inventario'!$B:$B)+SUMIFS(D$2:D3954,B$2:B3954,B3954,C$2:C3954,"ENTRADA")-SUMIFS(D$2:D3954,B$2:B3954,B3954,C$2:C3954,"SALIDA")</f>
        <v>18586.006999999998</v>
      </c>
    </row>
    <row r="3955" spans="1:5" x14ac:dyDescent="0.3">
      <c r="A3955" s="9">
        <v>45464</v>
      </c>
      <c r="B3955" s="10" t="s">
        <v>12</v>
      </c>
      <c r="C3955" s="10" t="s">
        <v>28</v>
      </c>
      <c r="D3955" s="12">
        <v>173.89</v>
      </c>
      <c r="E3955" s="12">
        <f>SUMIF('Parametros Inventario'!$A:$A,B3955,'Parametros Inventario'!$B:$B)+SUMIFS(D$2:D3955,B$2:B3955,B3955,C$2:C3955,"ENTRADA")-SUMIFS(D$2:D3955,B$2:B3955,B3955,C$2:C3955,"SALIDA")</f>
        <v>17886.154999999999</v>
      </c>
    </row>
    <row r="3956" spans="1:5" x14ac:dyDescent="0.3">
      <c r="A3956" s="9">
        <v>45464</v>
      </c>
      <c r="B3956" s="10" t="s">
        <v>16</v>
      </c>
      <c r="C3956" s="10" t="s">
        <v>28</v>
      </c>
      <c r="D3956" s="12">
        <v>220.43</v>
      </c>
      <c r="E3956" s="12">
        <f>SUMIF('Parametros Inventario'!$A:$A,B3956,'Parametros Inventario'!$B:$B)+SUMIFS(D$2:D3956,B$2:B3956,B3956,C$2:C3956,"ENTRADA")-SUMIFS(D$2:D3956,B$2:B3956,B3956,C$2:C3956,"SALIDA")</f>
        <v>18987.924999999996</v>
      </c>
    </row>
    <row r="3957" spans="1:5" x14ac:dyDescent="0.3">
      <c r="A3957" s="9">
        <f>'Volúmenes DIstribuidos '!B2433</f>
        <v>45464</v>
      </c>
      <c r="B3957" s="10" t="str">
        <f>IF(OR('Volúmenes DIstribuidos '!C2433="Azúcar",'Volúmenes DIstribuidos '!C2433="azúcar"),"Azúcar o dulce",IF('Volúmenes DIstribuidos '!C2433="Aceite","Aceite o grasas",IF('Volúmenes DIstribuidos '!C2433="Avena","Otros almidones",'Volúmenes DIstribuidos '!C2433)))</f>
        <v>Salsas</v>
      </c>
      <c r="C3957" s="10" t="s">
        <v>29</v>
      </c>
      <c r="D3957" s="12">
        <f>'Volúmenes DIstribuidos '!D2433</f>
        <v>14.1</v>
      </c>
      <c r="E3957" s="12">
        <f>SUMIF('Parametros Inventario'!$A:$A,B3957,'Parametros Inventario'!$B:$B)+SUMIFS(D$2:D3957,B$2:B3957,B3957,C$2:C3957,"ENTRADA")-SUMIFS(D$2:D3957,B$2:B3957,B3957,C$2:C3957,"SALIDA")</f>
        <v>18184.282999999989</v>
      </c>
    </row>
    <row r="3958" spans="1:5" x14ac:dyDescent="0.3">
      <c r="A3958" s="9">
        <f>'Volúmenes DIstribuidos '!B2433</f>
        <v>45464</v>
      </c>
      <c r="B3958" s="10" t="str">
        <f>IF(OR('Volúmenes DIstribuidos '!C2434="Azúcar",'Volúmenes DIstribuidos '!C2434="azúcar"),"Azúcar o dulce",IF('Volúmenes DIstribuidos '!C2434="Aceite","Aceite o grasas",IF('Volúmenes DIstribuidos '!C2434="Avena","Otros almidones",'Volúmenes DIstribuidos '!C2434)))</f>
        <v>Azúcar o dulce</v>
      </c>
      <c r="C3958" s="10" t="s">
        <v>29</v>
      </c>
      <c r="D3958" s="12">
        <f>'Volúmenes DIstribuidos '!D2434</f>
        <v>39.33</v>
      </c>
      <c r="E3958" s="12">
        <f>SUMIF('Parametros Inventario'!$A:$A,B3958,'Parametros Inventario'!$B:$B)+SUMIFS(D$2:D3958,B$2:B3958,B3958,C$2:C3958,"ENTRADA")-SUMIFS(D$2:D3958,B$2:B3958,B3958,C$2:C3958,"SALIDA")</f>
        <v>17423.612000000005</v>
      </c>
    </row>
    <row r="3959" spans="1:5" x14ac:dyDescent="0.3">
      <c r="A3959" s="9">
        <f>'Volúmenes DIstribuidos '!B2433</f>
        <v>45464</v>
      </c>
      <c r="B3959" s="10" t="str">
        <f>IF(OR('Volúmenes DIstribuidos '!C2435="Azúcar",'Volúmenes DIstribuidos '!C2435="azúcar"),"Azúcar o dulce",IF('Volúmenes DIstribuidos '!C2435="Aceite","Aceite o grasas",IF('Volúmenes DIstribuidos '!C2435="Avena","Otros almidones",'Volúmenes DIstribuidos '!C2435)))</f>
        <v>Fideo</v>
      </c>
      <c r="C3959" s="10" t="s">
        <v>29</v>
      </c>
      <c r="D3959" s="12">
        <f>'Volúmenes DIstribuidos '!D2435</f>
        <v>46.96</v>
      </c>
      <c r="E3959" s="12">
        <f>SUMIF('Parametros Inventario'!$A:$A,B3959,'Parametros Inventario'!$B:$B)+SUMIFS(D$2:D3959,B$2:B3959,B3959,C$2:C3959,"ENTRADA")-SUMIFS(D$2:D3959,B$2:B3959,B3959,C$2:C3959,"SALIDA")</f>
        <v>21108.074000000011</v>
      </c>
    </row>
    <row r="3960" spans="1:5" x14ac:dyDescent="0.3">
      <c r="A3960" s="9">
        <f>'Volúmenes DIstribuidos '!B2433</f>
        <v>45464</v>
      </c>
      <c r="B3960" s="10" t="str">
        <f>IF(OR('Volúmenes DIstribuidos '!C2436="Azúcar",'Volúmenes DIstribuidos '!C2436="azúcar"),"Azúcar o dulce",IF('Volúmenes DIstribuidos '!C2436="Aceite","Aceite o grasas",IF('Volúmenes DIstribuidos '!C2436="Avena","Otros almidones",'Volúmenes DIstribuidos '!C2436)))</f>
        <v>Otros almidones</v>
      </c>
      <c r="C3960" s="10" t="s">
        <v>29</v>
      </c>
      <c r="D3960" s="12">
        <f>'Volúmenes DIstribuidos '!D2436</f>
        <v>58.86</v>
      </c>
      <c r="E3960" s="12">
        <f>SUMIF('Parametros Inventario'!$A:$A,B3960,'Parametros Inventario'!$B:$B)+SUMIFS(D$2:D3960,B$2:B3960,B3960,C$2:C3960,"ENTRADA")-SUMIFS(D$2:D3960,B$2:B3960,B3960,C$2:C3960,"SALIDA")</f>
        <v>20055.363999999994</v>
      </c>
    </row>
    <row r="3961" spans="1:5" x14ac:dyDescent="0.3">
      <c r="A3961" s="9">
        <f>'Volúmenes DIstribuidos '!B2433</f>
        <v>45464</v>
      </c>
      <c r="B3961" s="10" t="str">
        <f>IF(OR('Volúmenes DIstribuidos '!C2437="Azúcar",'Volúmenes DIstribuidos '!C2437="azúcar"),"Azúcar o dulce",IF('Volúmenes DIstribuidos '!C2437="Aceite","Aceite o grasas",IF('Volúmenes DIstribuidos '!C2437="Avena","Otros almidones",'Volúmenes DIstribuidos '!C2437)))</f>
        <v>Carnes blancas</v>
      </c>
      <c r="C3961" s="10" t="s">
        <v>29</v>
      </c>
      <c r="D3961" s="12">
        <f>'Volúmenes DIstribuidos '!D2437</f>
        <v>78.7</v>
      </c>
      <c r="E3961" s="12">
        <f>SUMIF('Parametros Inventario'!$A:$A,B3961,'Parametros Inventario'!$B:$B)+SUMIFS(D$2:D3961,B$2:B3961,B3961,C$2:C3961,"ENTRADA")-SUMIFS(D$2:D3961,B$2:B3961,B3961,C$2:C3961,"SALIDA")</f>
        <v>18909.224999999995</v>
      </c>
    </row>
    <row r="3962" spans="1:5" x14ac:dyDescent="0.3">
      <c r="A3962" s="9">
        <f>'Volúmenes DIstribuidos '!B2433</f>
        <v>45464</v>
      </c>
      <c r="B3962" s="10" t="str">
        <f>IF(OR('Volúmenes DIstribuidos '!C2438="Azúcar",'Volúmenes DIstribuidos '!C2438="azúcar"),"Azúcar o dulce",IF('Volúmenes DIstribuidos '!C2438="Aceite","Aceite o grasas",IF('Volúmenes DIstribuidos '!C2438="Avena","Otros almidones",'Volúmenes DIstribuidos '!C2438)))</f>
        <v>Fideo</v>
      </c>
      <c r="C3962" s="10" t="s">
        <v>29</v>
      </c>
      <c r="D3962" s="12">
        <f>'Volúmenes DIstribuidos '!D2438</f>
        <v>48.26</v>
      </c>
      <c r="E3962" s="12">
        <f>SUMIF('Parametros Inventario'!$A:$A,B3962,'Parametros Inventario'!$B:$B)+SUMIFS(D$2:D3962,B$2:B3962,B3962,C$2:C3962,"ENTRADA")-SUMIFS(D$2:D3962,B$2:B3962,B3962,C$2:C3962,"SALIDA")</f>
        <v>21059.814000000013</v>
      </c>
    </row>
    <row r="3963" spans="1:5" x14ac:dyDescent="0.3">
      <c r="A3963" s="9">
        <f>'Volúmenes DIstribuidos '!B2439</f>
        <v>45468</v>
      </c>
      <c r="B3963" s="10" t="str">
        <f>IF(OR('Volúmenes DIstribuidos '!C2439="Azúcar",'Volúmenes DIstribuidos '!C2439="azúcar"),"Azúcar o dulce",IF('Volúmenes DIstribuidos '!C2439="Aceite","Aceite o grasas",IF('Volúmenes DIstribuidos '!C2439="Avena","Otros almidones",'Volúmenes DIstribuidos '!C2439)))</f>
        <v>Lácteos</v>
      </c>
      <c r="C3963" s="10" t="s">
        <v>29</v>
      </c>
      <c r="D3963" s="12">
        <f>'Volúmenes DIstribuidos '!D2439</f>
        <v>14.11</v>
      </c>
      <c r="E3963" s="12">
        <f>SUMIF('Parametros Inventario'!$A:$A,B3963,'Parametros Inventario'!$B:$B)+SUMIFS(D$2:D3963,B$2:B3963,B3963,C$2:C3963,"ENTRADA")-SUMIFS(D$2:D3963,B$2:B3963,B3963,C$2:C3963,"SALIDA")</f>
        <v>17694.065999999995</v>
      </c>
    </row>
    <row r="3964" spans="1:5" x14ac:dyDescent="0.3">
      <c r="A3964" s="9">
        <f>'Volúmenes DIstribuidos '!B2439</f>
        <v>45468</v>
      </c>
      <c r="B3964" s="10" t="str">
        <f>IF(OR('Volúmenes DIstribuidos '!C2440="Azúcar",'Volúmenes DIstribuidos '!C2440="azúcar"),"Azúcar o dulce",IF('Volúmenes DIstribuidos '!C2440="Aceite","Aceite o grasas",IF('Volúmenes DIstribuidos '!C2440="Avena","Otros almidones",'Volúmenes DIstribuidos '!C2440)))</f>
        <v>Aceite o grasas</v>
      </c>
      <c r="C3964" s="10" t="s">
        <v>29</v>
      </c>
      <c r="D3964" s="12">
        <f>'Volúmenes DIstribuidos '!D2440</f>
        <v>30.27</v>
      </c>
      <c r="E3964" s="12">
        <f>SUMIF('Parametros Inventario'!$A:$A,B3964,'Parametros Inventario'!$B:$B)+SUMIFS(D$2:D3964,B$2:B3964,B3964,C$2:C3964,"ENTRADA")-SUMIFS(D$2:D3964,B$2:B3964,B3964,C$2:C3964,"SALIDA")</f>
        <v>18433.607000000018</v>
      </c>
    </row>
    <row r="3965" spans="1:5" x14ac:dyDescent="0.3">
      <c r="A3965" s="9">
        <f>'Volúmenes DIstribuidos '!B2439</f>
        <v>45468</v>
      </c>
      <c r="B3965" s="10" t="str">
        <f>IF(OR('Volúmenes DIstribuidos '!C2441="Azúcar",'Volúmenes DIstribuidos '!C2441="azúcar"),"Azúcar o dulce",IF('Volúmenes DIstribuidos '!C2441="Aceite","Aceite o grasas",IF('Volúmenes DIstribuidos '!C2441="Avena","Otros almidones",'Volúmenes DIstribuidos '!C2441)))</f>
        <v>Carnes rojas</v>
      </c>
      <c r="C3965" s="10" t="s">
        <v>29</v>
      </c>
      <c r="D3965" s="12">
        <f>'Volúmenes DIstribuidos '!D2441</f>
        <v>11.634</v>
      </c>
      <c r="E3965" s="12">
        <f>SUMIF('Parametros Inventario'!$A:$A,B3965,'Parametros Inventario'!$B:$B)+SUMIFS(D$2:D3965,B$2:B3965,B3965,C$2:C3965,"ENTRADA")-SUMIFS(D$2:D3965,B$2:B3965,B3965,C$2:C3965,"SALIDA")</f>
        <v>17874.520999999997</v>
      </c>
    </row>
    <row r="3966" spans="1:5" x14ac:dyDescent="0.3">
      <c r="A3966" s="9">
        <f>'Volúmenes DIstribuidos '!B2439</f>
        <v>45468</v>
      </c>
      <c r="B3966" s="10" t="str">
        <f>IF(OR('Volúmenes DIstribuidos '!C2442="Azúcar",'Volúmenes DIstribuidos '!C2442="azúcar"),"Azúcar o dulce",IF('Volúmenes DIstribuidos '!C2442="Aceite","Aceite o grasas",IF('Volúmenes DIstribuidos '!C2442="Avena","Otros almidones",'Volúmenes DIstribuidos '!C2442)))</f>
        <v>Carnes rojas</v>
      </c>
      <c r="C3966" s="10" t="s">
        <v>29</v>
      </c>
      <c r="D3966" s="12">
        <f>'Volúmenes DIstribuidos '!D2442</f>
        <v>40.770000000000003</v>
      </c>
      <c r="E3966" s="12">
        <f>SUMIF('Parametros Inventario'!$A:$A,B3966,'Parametros Inventario'!$B:$B)+SUMIFS(D$2:D3966,B$2:B3966,B3966,C$2:C3966,"ENTRADA")-SUMIFS(D$2:D3966,B$2:B3966,B3966,C$2:C3966,"SALIDA")</f>
        <v>17833.750999999997</v>
      </c>
    </row>
    <row r="3967" spans="1:5" x14ac:dyDescent="0.3">
      <c r="A3967" s="9">
        <f>'Volúmenes DIstribuidos '!B2439</f>
        <v>45468</v>
      </c>
      <c r="B3967" s="10" t="str">
        <f>IF(OR('Volúmenes DIstribuidos '!C2443="Azúcar",'Volúmenes DIstribuidos '!C2443="azúcar"),"Azúcar o dulce",IF('Volúmenes DIstribuidos '!C2443="Aceite","Aceite o grasas",IF('Volúmenes DIstribuidos '!C2443="Avena","Otros almidones",'Volúmenes DIstribuidos '!C2443)))</f>
        <v>Fideo</v>
      </c>
      <c r="C3967" s="10" t="s">
        <v>29</v>
      </c>
      <c r="D3967" s="12">
        <f>'Volúmenes DIstribuidos '!D2443</f>
        <v>3.01</v>
      </c>
      <c r="E3967" s="12">
        <f>SUMIF('Parametros Inventario'!$A:$A,B3967,'Parametros Inventario'!$B:$B)+SUMIFS(D$2:D3967,B$2:B3967,B3967,C$2:C3967,"ENTRADA")-SUMIFS(D$2:D3967,B$2:B3967,B3967,C$2:C3967,"SALIDA")</f>
        <v>21056.804000000011</v>
      </c>
    </row>
    <row r="3968" spans="1:5" x14ac:dyDescent="0.3">
      <c r="A3968" s="9">
        <f>'Volúmenes DIstribuidos '!B2439</f>
        <v>45468</v>
      </c>
      <c r="B3968" s="10" t="str">
        <f>IF(OR('Volúmenes DIstribuidos '!C2444="Azúcar",'Volúmenes DIstribuidos '!C2444="azúcar"),"Azúcar o dulce",IF('Volúmenes DIstribuidos '!C2444="Aceite","Aceite o grasas",IF('Volúmenes DIstribuidos '!C2444="Avena","Otros almidones",'Volúmenes DIstribuidos '!C2444)))</f>
        <v>Aceite o grasas</v>
      </c>
      <c r="C3968" s="10" t="s">
        <v>29</v>
      </c>
      <c r="D3968" s="12">
        <f>'Volúmenes DIstribuidos '!D2444</f>
        <v>5.58</v>
      </c>
      <c r="E3968" s="12">
        <f>SUMIF('Parametros Inventario'!$A:$A,B3968,'Parametros Inventario'!$B:$B)+SUMIFS(D$2:D3968,B$2:B3968,B3968,C$2:C3968,"ENTRADA")-SUMIFS(D$2:D3968,B$2:B3968,B3968,C$2:C3968,"SALIDA")</f>
        <v>18428.027000000016</v>
      </c>
    </row>
    <row r="3969" spans="1:5" x14ac:dyDescent="0.3">
      <c r="A3969" s="9">
        <v>45471</v>
      </c>
      <c r="B3969" s="10" t="s">
        <v>17</v>
      </c>
      <c r="C3969" s="10" t="s">
        <v>28</v>
      </c>
      <c r="D3969" s="12">
        <v>81.86</v>
      </c>
      <c r="E3969" s="12">
        <f>SUMIF('Parametros Inventario'!$A:$A,B3969,'Parametros Inventario'!$B:$B)+SUMIFS(D$2:D3969,B$2:B3969,B3969,C$2:C3969,"ENTRADA")-SUMIFS(D$2:D3969,B$2:B3969,B3969,C$2:C3969,"SALIDA")</f>
        <v>17775.925999999996</v>
      </c>
    </row>
    <row r="3970" spans="1:5" x14ac:dyDescent="0.3">
      <c r="A3970" s="9">
        <v>45471</v>
      </c>
      <c r="B3970" s="10" t="s">
        <v>18</v>
      </c>
      <c r="C3970" s="10" t="s">
        <v>28</v>
      </c>
      <c r="D3970" s="12">
        <v>237.77</v>
      </c>
      <c r="E3970" s="12">
        <f>SUMIF('Parametros Inventario'!$A:$A,B3970,'Parametros Inventario'!$B:$B)+SUMIFS(D$2:D3970,B$2:B3970,B3970,C$2:C3970,"ENTRADA")-SUMIFS(D$2:D3970,B$2:B3970,B3970,C$2:C3970,"SALIDA")</f>
        <v>18422.052999999989</v>
      </c>
    </row>
    <row r="3971" spans="1:5" x14ac:dyDescent="0.3">
      <c r="A3971" s="9">
        <v>45471</v>
      </c>
      <c r="B3971" s="10" t="s">
        <v>10</v>
      </c>
      <c r="C3971" s="10" t="s">
        <v>28</v>
      </c>
      <c r="D3971" s="12">
        <v>245.08</v>
      </c>
      <c r="E3971" s="12">
        <f>SUMIF('Parametros Inventario'!$A:$A,B3971,'Parametros Inventario'!$B:$B)+SUMIFS(D$2:D3971,B$2:B3971,B3971,C$2:C3971,"ENTRADA")-SUMIFS(D$2:D3971,B$2:B3971,B3971,C$2:C3971,"SALIDA")</f>
        <v>19380.993000000002</v>
      </c>
    </row>
    <row r="3972" spans="1:5" x14ac:dyDescent="0.3">
      <c r="A3972" s="9">
        <v>45471</v>
      </c>
      <c r="B3972" s="10" t="s">
        <v>8</v>
      </c>
      <c r="C3972" s="10" t="s">
        <v>28</v>
      </c>
      <c r="D3972" s="12">
        <v>149.97</v>
      </c>
      <c r="E3972" s="12">
        <f>SUMIF('Parametros Inventario'!$A:$A,B3972,'Parametros Inventario'!$B:$B)+SUMIFS(D$2:D3972,B$2:B3972,B3972,C$2:C3972,"ENTRADA")-SUMIFS(D$2:D3972,B$2:B3972,B3972,C$2:C3972,"SALIDA")</f>
        <v>18577.997000000018</v>
      </c>
    </row>
    <row r="3973" spans="1:5" x14ac:dyDescent="0.3">
      <c r="A3973" s="9">
        <v>45471</v>
      </c>
      <c r="B3973" s="10" t="s">
        <v>13</v>
      </c>
      <c r="C3973" s="10" t="s">
        <v>28</v>
      </c>
      <c r="D3973" s="12">
        <v>231.5</v>
      </c>
      <c r="E3973" s="12">
        <f>SUMIF('Parametros Inventario'!$A:$A,B3973,'Parametros Inventario'!$B:$B)+SUMIFS(D$2:D3973,B$2:B3973,B3973,C$2:C3973,"ENTRADA")-SUMIFS(D$2:D3973,B$2:B3973,B3973,C$2:C3973,"SALIDA")</f>
        <v>17655.112000000005</v>
      </c>
    </row>
    <row r="3974" spans="1:5" x14ac:dyDescent="0.3">
      <c r="A3974" s="9">
        <v>45471</v>
      </c>
      <c r="B3974" s="10" t="s">
        <v>15</v>
      </c>
      <c r="C3974" s="10" t="s">
        <v>28</v>
      </c>
      <c r="D3974" s="12">
        <v>235.47</v>
      </c>
      <c r="E3974" s="12">
        <f>SUMIF('Parametros Inventario'!$A:$A,B3974,'Parametros Inventario'!$B:$B)+SUMIFS(D$2:D3974,B$2:B3974,B3974,C$2:C3974,"ENTRADA")-SUMIFS(D$2:D3974,B$2:B3974,B3974,C$2:C3974,"SALIDA")</f>
        <v>20290.833999999995</v>
      </c>
    </row>
    <row r="3975" spans="1:5" x14ac:dyDescent="0.3">
      <c r="A3975" s="9">
        <v>45471</v>
      </c>
      <c r="B3975" s="10" t="s">
        <v>11</v>
      </c>
      <c r="C3975" s="10" t="s">
        <v>28</v>
      </c>
      <c r="D3975" s="12">
        <v>256.41000000000003</v>
      </c>
      <c r="E3975" s="12">
        <f>SUMIF('Parametros Inventario'!$A:$A,B3975,'Parametros Inventario'!$B:$B)+SUMIFS(D$2:D3975,B$2:B3975,B3975,C$2:C3975,"ENTRADA")-SUMIFS(D$2:D3975,B$2:B3975,B3975,C$2:C3975,"SALIDA")</f>
        <v>21313.214000000011</v>
      </c>
    </row>
    <row r="3976" spans="1:5" x14ac:dyDescent="0.3">
      <c r="A3976" s="9">
        <f>'Volúmenes DIstribuidos '!B2445</f>
        <v>45471</v>
      </c>
      <c r="B3976" s="10" t="str">
        <f>IF(OR('Volúmenes DIstribuidos '!C2445="Azúcar",'Volúmenes DIstribuidos '!C2445="azúcar"),"Azúcar o dulce",IF('Volúmenes DIstribuidos '!C2445="Aceite","Aceite o grasas",IF('Volúmenes DIstribuidos '!C2445="Avena","Otros almidones",'Volúmenes DIstribuidos '!C2445)))</f>
        <v>Vegetales y hojas</v>
      </c>
      <c r="C3976" s="10" t="s">
        <v>29</v>
      </c>
      <c r="D3976" s="12">
        <f>'Volúmenes DIstribuidos '!D2445</f>
        <v>10.047000000000001</v>
      </c>
      <c r="E3976" s="12">
        <f>SUMIF('Parametros Inventario'!$A:$A,B3976,'Parametros Inventario'!$B:$B)+SUMIFS(D$2:D3976,B$2:B3976,B3976,C$2:C3976,"ENTRADA")-SUMIFS(D$2:D3976,B$2:B3976,B3976,C$2:C3976,"SALIDA")</f>
        <v>19370.946000000004</v>
      </c>
    </row>
    <row r="3977" spans="1:5" x14ac:dyDescent="0.3">
      <c r="A3977" s="9">
        <f>'Volúmenes DIstribuidos '!B2445</f>
        <v>45471</v>
      </c>
      <c r="B3977" s="10" t="str">
        <f>IF(OR('Volúmenes DIstribuidos '!C2446="Azúcar",'Volúmenes DIstribuidos '!C2446="azúcar"),"Azúcar o dulce",IF('Volúmenes DIstribuidos '!C2446="Aceite","Aceite o grasas",IF('Volúmenes DIstribuidos '!C2446="Avena","Otros almidones",'Volúmenes DIstribuidos '!C2446)))</f>
        <v>Lácteos</v>
      </c>
      <c r="C3977" s="10" t="s">
        <v>29</v>
      </c>
      <c r="D3977" s="12">
        <f>'Volúmenes DIstribuidos '!D2446</f>
        <v>10.6</v>
      </c>
      <c r="E3977" s="12">
        <f>SUMIF('Parametros Inventario'!$A:$A,B3977,'Parametros Inventario'!$B:$B)+SUMIFS(D$2:D3977,B$2:B3977,B3977,C$2:C3977,"ENTRADA")-SUMIFS(D$2:D3977,B$2:B3977,B3977,C$2:C3977,"SALIDA")</f>
        <v>17765.325999999997</v>
      </c>
    </row>
    <row r="3978" spans="1:5" x14ac:dyDescent="0.3">
      <c r="A3978" s="9">
        <f>'Volúmenes DIstribuidos '!B2445</f>
        <v>45471</v>
      </c>
      <c r="B3978" s="10" t="str">
        <f>IF(OR('Volúmenes DIstribuidos '!C2447="Azúcar",'Volúmenes DIstribuidos '!C2447="azúcar"),"Azúcar o dulce",IF('Volúmenes DIstribuidos '!C2447="Aceite","Aceite o grasas",IF('Volúmenes DIstribuidos '!C2447="Avena","Otros almidones",'Volúmenes DIstribuidos '!C2447)))</f>
        <v>Otros almidones</v>
      </c>
      <c r="C3978" s="10" t="s">
        <v>29</v>
      </c>
      <c r="D3978" s="12">
        <f>'Volúmenes DIstribuidos '!D2447</f>
        <v>56.86</v>
      </c>
      <c r="E3978" s="12">
        <f>SUMIF('Parametros Inventario'!$A:$A,B3978,'Parametros Inventario'!$B:$B)+SUMIFS(D$2:D3978,B$2:B3978,B3978,C$2:C3978,"ENTRADA")-SUMIFS(D$2:D3978,B$2:B3978,B3978,C$2:C3978,"SALIDA")</f>
        <v>20233.973999999995</v>
      </c>
    </row>
    <row r="3979" spans="1:5" x14ac:dyDescent="0.3">
      <c r="A3979" s="9">
        <f>'Volúmenes DIstribuidos '!B2445</f>
        <v>45471</v>
      </c>
      <c r="B3979" s="10" t="str">
        <f>IF(OR('Volúmenes DIstribuidos '!C2448="Azúcar",'Volúmenes DIstribuidos '!C2448="azúcar"),"Azúcar o dulce",IF('Volúmenes DIstribuidos '!C2448="Aceite","Aceite o grasas",IF('Volúmenes DIstribuidos '!C2448="Avena","Otros almidones",'Volúmenes DIstribuidos '!C2448)))</f>
        <v>Fideo</v>
      </c>
      <c r="C3979" s="10" t="s">
        <v>29</v>
      </c>
      <c r="D3979" s="12">
        <f>'Volúmenes DIstribuidos '!D2448</f>
        <v>7.34</v>
      </c>
      <c r="E3979" s="12">
        <f>SUMIF('Parametros Inventario'!$A:$A,B3979,'Parametros Inventario'!$B:$B)+SUMIFS(D$2:D3979,B$2:B3979,B3979,C$2:C3979,"ENTRADA")-SUMIFS(D$2:D3979,B$2:B3979,B3979,C$2:C3979,"SALIDA")</f>
        <v>21305.874000000011</v>
      </c>
    </row>
    <row r="3980" spans="1:5" x14ac:dyDescent="0.3">
      <c r="A3980" s="9">
        <f>'Volúmenes DIstribuidos '!B2445</f>
        <v>45471</v>
      </c>
      <c r="B3980" s="10" t="str">
        <f>IF(OR('Volúmenes DIstribuidos '!C2449="Azúcar",'Volúmenes DIstribuidos '!C2449="azúcar"),"Azúcar o dulce",IF('Volúmenes DIstribuidos '!C2449="Aceite","Aceite o grasas",IF('Volúmenes DIstribuidos '!C2449="Avena","Otros almidones",'Volúmenes DIstribuidos '!C2449)))</f>
        <v>Panadería</v>
      </c>
      <c r="C3980" s="10" t="s">
        <v>29</v>
      </c>
      <c r="D3980" s="12">
        <f>'Volúmenes DIstribuidos '!D2449</f>
        <v>13.41</v>
      </c>
      <c r="E3980" s="12">
        <f>SUMIF('Parametros Inventario'!$A:$A,B3980,'Parametros Inventario'!$B:$B)+SUMIFS(D$2:D3980,B$2:B3980,B3980,C$2:C3980,"ENTRADA")-SUMIFS(D$2:D3980,B$2:B3980,B3980,C$2:C3980,"SALIDA")</f>
        <v>16360.730999999994</v>
      </c>
    </row>
    <row r="3981" spans="1:5" x14ac:dyDescent="0.3">
      <c r="A3981" s="9">
        <f>'Volúmenes DIstribuidos '!B2445</f>
        <v>45471</v>
      </c>
      <c r="B3981" s="10" t="str">
        <f>IF(OR('Volúmenes DIstribuidos '!C2450="Azúcar",'Volúmenes DIstribuidos '!C2450="azúcar"),"Azúcar o dulce",IF('Volúmenes DIstribuidos '!C2450="Aceite","Aceite o grasas",IF('Volúmenes DIstribuidos '!C2450="Avena","Otros almidones",'Volúmenes DIstribuidos '!C2450)))</f>
        <v>Lácteos</v>
      </c>
      <c r="C3981" s="10" t="s">
        <v>29</v>
      </c>
      <c r="D3981" s="12">
        <f>'Volúmenes DIstribuidos '!D2450</f>
        <v>4.88</v>
      </c>
      <c r="E3981" s="12">
        <f>SUMIF('Parametros Inventario'!$A:$A,B3981,'Parametros Inventario'!$B:$B)+SUMIFS(D$2:D3981,B$2:B3981,B3981,C$2:C3981,"ENTRADA")-SUMIFS(D$2:D3981,B$2:B3981,B3981,C$2:C3981,"SALIDA")</f>
        <v>17760.445999999996</v>
      </c>
    </row>
    <row r="3982" spans="1:5" x14ac:dyDescent="0.3">
      <c r="A3982" s="9">
        <f>'Volúmenes DIstribuidos '!B2451</f>
        <v>45475</v>
      </c>
      <c r="B3982" s="10" t="str">
        <f>IF(OR('Volúmenes DIstribuidos '!C2451="Azúcar",'Volúmenes DIstribuidos '!C2451="azúcar"),"Azúcar o dulce",IF('Volúmenes DIstribuidos '!C2451="Aceite","Aceite o grasas",IF('Volúmenes DIstribuidos '!C2451="Avena","Otros almidones",'Volúmenes DIstribuidos '!C2451)))</f>
        <v>Aceite o grasas</v>
      </c>
      <c r="C3982" s="10" t="s">
        <v>29</v>
      </c>
      <c r="D3982" s="12">
        <f>'Volúmenes DIstribuidos '!D2451</f>
        <v>6.92</v>
      </c>
      <c r="E3982" s="12">
        <f>SUMIF('Parametros Inventario'!$A:$A,B3982,'Parametros Inventario'!$B:$B)+SUMIFS(D$2:D3982,B$2:B3982,B3982,C$2:C3982,"ENTRADA")-SUMIFS(D$2:D3982,B$2:B3982,B3982,C$2:C3982,"SALIDA")</f>
        <v>18571.077000000019</v>
      </c>
    </row>
    <row r="3983" spans="1:5" x14ac:dyDescent="0.3">
      <c r="A3983" s="9">
        <f>'Volúmenes DIstribuidos '!B2451</f>
        <v>45475</v>
      </c>
      <c r="B3983" s="10" t="str">
        <f>IF(OR('Volúmenes DIstribuidos '!C2452="Azúcar",'Volúmenes DIstribuidos '!C2452="azúcar"),"Azúcar o dulce",IF('Volúmenes DIstribuidos '!C2452="Aceite","Aceite o grasas",IF('Volúmenes DIstribuidos '!C2452="Avena","Otros almidones",'Volúmenes DIstribuidos '!C2452)))</f>
        <v>Salsas</v>
      </c>
      <c r="C3983" s="10" t="s">
        <v>29</v>
      </c>
      <c r="D3983" s="12">
        <f>'Volúmenes DIstribuidos '!D2452</f>
        <v>8.9909999999999997</v>
      </c>
      <c r="E3983" s="12">
        <f>SUMIF('Parametros Inventario'!$A:$A,B3983,'Parametros Inventario'!$B:$B)+SUMIFS(D$2:D3983,B$2:B3983,B3983,C$2:C3983,"ENTRADA")-SUMIFS(D$2:D3983,B$2:B3983,B3983,C$2:C3983,"SALIDA")</f>
        <v>18413.061999999991</v>
      </c>
    </row>
    <row r="3984" spans="1:5" x14ac:dyDescent="0.3">
      <c r="A3984" s="9">
        <f>'Volúmenes DIstribuidos '!B2451</f>
        <v>45475</v>
      </c>
      <c r="B3984" s="10" t="str">
        <f>IF(OR('Volúmenes DIstribuidos '!C2453="Azúcar",'Volúmenes DIstribuidos '!C2453="azúcar"),"Azúcar o dulce",IF('Volúmenes DIstribuidos '!C2453="Aceite","Aceite o grasas",IF('Volúmenes DIstribuidos '!C2453="Avena","Otros almidones",'Volúmenes DIstribuidos '!C2453)))</f>
        <v>Lácteos</v>
      </c>
      <c r="C3984" s="10" t="s">
        <v>29</v>
      </c>
      <c r="D3984" s="12">
        <f>'Volúmenes DIstribuidos '!D2453</f>
        <v>19.899999999999999</v>
      </c>
      <c r="E3984" s="12">
        <f>SUMIF('Parametros Inventario'!$A:$A,B3984,'Parametros Inventario'!$B:$B)+SUMIFS(D$2:D3984,B$2:B3984,B3984,C$2:C3984,"ENTRADA")-SUMIFS(D$2:D3984,B$2:B3984,B3984,C$2:C3984,"SALIDA")</f>
        <v>17740.545999999995</v>
      </c>
    </row>
    <row r="3985" spans="1:5" x14ac:dyDescent="0.3">
      <c r="A3985" s="9">
        <f>'Volúmenes DIstribuidos '!B2451</f>
        <v>45475</v>
      </c>
      <c r="B3985" s="10" t="str">
        <f>IF(OR('Volúmenes DIstribuidos '!C2454="Azúcar",'Volúmenes DIstribuidos '!C2454="azúcar"),"Azúcar o dulce",IF('Volúmenes DIstribuidos '!C2454="Aceite","Aceite o grasas",IF('Volúmenes DIstribuidos '!C2454="Avena","Otros almidones",'Volúmenes DIstribuidos '!C2454)))</f>
        <v>Otros almidones</v>
      </c>
      <c r="C3985" s="10" t="s">
        <v>29</v>
      </c>
      <c r="D3985" s="12">
        <f>'Volúmenes DIstribuidos '!D2454</f>
        <v>23.94</v>
      </c>
      <c r="E3985" s="12">
        <f>SUMIF('Parametros Inventario'!$A:$A,B3985,'Parametros Inventario'!$B:$B)+SUMIFS(D$2:D3985,B$2:B3985,B3985,C$2:C3985,"ENTRADA")-SUMIFS(D$2:D3985,B$2:B3985,B3985,C$2:C3985,"SALIDA")</f>
        <v>20210.033999999996</v>
      </c>
    </row>
    <row r="3986" spans="1:5" x14ac:dyDescent="0.3">
      <c r="A3986" s="9">
        <f>'Volúmenes DIstribuidos '!B2451</f>
        <v>45475</v>
      </c>
      <c r="B3986" s="10" t="str">
        <f>IF(OR('Volúmenes DIstribuidos '!C2455="Azúcar",'Volúmenes DIstribuidos '!C2455="azúcar"),"Azúcar o dulce",IF('Volúmenes DIstribuidos '!C2455="Aceite","Aceite o grasas",IF('Volúmenes DIstribuidos '!C2455="Avena","Otros almidones",'Volúmenes DIstribuidos '!C2455)))</f>
        <v>Azúcar o dulce</v>
      </c>
      <c r="C3986" s="10" t="s">
        <v>29</v>
      </c>
      <c r="D3986" s="12">
        <f>'Volúmenes DIstribuidos '!D2455</f>
        <v>21.51</v>
      </c>
      <c r="E3986" s="12">
        <f>SUMIF('Parametros Inventario'!$A:$A,B3986,'Parametros Inventario'!$B:$B)+SUMIFS(D$2:D3986,B$2:B3986,B3986,C$2:C3986,"ENTRADA")-SUMIFS(D$2:D3986,B$2:B3986,B3986,C$2:C3986,"SALIDA")</f>
        <v>17633.602000000006</v>
      </c>
    </row>
    <row r="3987" spans="1:5" x14ac:dyDescent="0.3">
      <c r="A3987" s="9">
        <f>'Volúmenes DIstribuidos '!B2451</f>
        <v>45475</v>
      </c>
      <c r="B3987" s="10" t="str">
        <f>IF(OR('Volúmenes DIstribuidos '!C2456="Azúcar",'Volúmenes DIstribuidos '!C2456="azúcar"),"Azúcar o dulce",IF('Volúmenes DIstribuidos '!C2456="Aceite","Aceite o grasas",IF('Volúmenes DIstribuidos '!C2456="Avena","Otros almidones",'Volúmenes DIstribuidos '!C2456)))</f>
        <v>Panadería</v>
      </c>
      <c r="C3987" s="10" t="s">
        <v>29</v>
      </c>
      <c r="D3987" s="12">
        <f>'Volúmenes DIstribuidos '!D2456</f>
        <v>5.73</v>
      </c>
      <c r="E3987" s="12">
        <f>SUMIF('Parametros Inventario'!$A:$A,B3987,'Parametros Inventario'!$B:$B)+SUMIFS(D$2:D3987,B$2:B3987,B3987,C$2:C3987,"ENTRADA")-SUMIFS(D$2:D3987,B$2:B3987,B3987,C$2:C3987,"SALIDA")</f>
        <v>16355.000999999995</v>
      </c>
    </row>
    <row r="3988" spans="1:5" x14ac:dyDescent="0.3">
      <c r="A3988" s="9">
        <v>45478</v>
      </c>
      <c r="B3988" s="10" t="s">
        <v>9</v>
      </c>
      <c r="C3988" s="10" t="s">
        <v>28</v>
      </c>
      <c r="D3988" s="12">
        <v>82.85</v>
      </c>
      <c r="E3988" s="12">
        <f>SUMIF('Parametros Inventario'!$A:$A,B3988,'Parametros Inventario'!$B:$B)+SUMIFS(D$2:D3988,B$2:B3988,B3988,C$2:C3988,"ENTRADA")-SUMIFS(D$2:D3988,B$2:B3988,B3988,C$2:C3988,"SALIDA")</f>
        <v>16437.850999999995</v>
      </c>
    </row>
    <row r="3989" spans="1:5" x14ac:dyDescent="0.3">
      <c r="A3989" s="9">
        <v>45478</v>
      </c>
      <c r="B3989" s="10" t="s">
        <v>14</v>
      </c>
      <c r="C3989" s="10" t="s">
        <v>28</v>
      </c>
      <c r="D3989" s="12">
        <v>289.42</v>
      </c>
      <c r="E3989" s="12">
        <f>SUMIF('Parametros Inventario'!$A:$A,B3989,'Parametros Inventario'!$B:$B)+SUMIFS(D$2:D3989,B$2:B3989,B3989,C$2:C3989,"ENTRADA")-SUMIFS(D$2:D3989,B$2:B3989,B3989,C$2:C3989,"SALIDA")</f>
        <v>18875.426999999996</v>
      </c>
    </row>
    <row r="3990" spans="1:5" x14ac:dyDescent="0.3">
      <c r="A3990" s="9">
        <v>45478</v>
      </c>
      <c r="B3990" s="10" t="s">
        <v>12</v>
      </c>
      <c r="C3990" s="10" t="s">
        <v>28</v>
      </c>
      <c r="D3990" s="12">
        <v>248.18</v>
      </c>
      <c r="E3990" s="12">
        <f>SUMIF('Parametros Inventario'!$A:$A,B3990,'Parametros Inventario'!$B:$B)+SUMIFS(D$2:D3990,B$2:B3990,B3990,C$2:C3990,"ENTRADA")-SUMIFS(D$2:D3990,B$2:B3990,B3990,C$2:C3990,"SALIDA")</f>
        <v>18081.930999999997</v>
      </c>
    </row>
    <row r="3991" spans="1:5" x14ac:dyDescent="0.3">
      <c r="A3991" s="9">
        <v>45478</v>
      </c>
      <c r="B3991" s="10" t="s">
        <v>16</v>
      </c>
      <c r="C3991" s="10" t="s">
        <v>28</v>
      </c>
      <c r="D3991" s="12">
        <v>81.53</v>
      </c>
      <c r="E3991" s="12">
        <f>SUMIF('Parametros Inventario'!$A:$A,B3991,'Parametros Inventario'!$B:$B)+SUMIFS(D$2:D3991,B$2:B3991,B3991,C$2:C3991,"ENTRADA")-SUMIFS(D$2:D3991,B$2:B3991,B3991,C$2:C3991,"SALIDA")</f>
        <v>18990.754999999994</v>
      </c>
    </row>
    <row r="3992" spans="1:5" x14ac:dyDescent="0.3">
      <c r="A3992" s="9">
        <v>45478</v>
      </c>
      <c r="B3992" s="10" t="s">
        <v>17</v>
      </c>
      <c r="C3992" s="10" t="s">
        <v>28</v>
      </c>
      <c r="D3992" s="12">
        <v>136.03</v>
      </c>
      <c r="E3992" s="12">
        <f>SUMIF('Parametros Inventario'!$A:$A,B3992,'Parametros Inventario'!$B:$B)+SUMIFS(D$2:D3992,B$2:B3992,B3992,C$2:C3992,"ENTRADA")-SUMIFS(D$2:D3992,B$2:B3992,B3992,C$2:C3992,"SALIDA")</f>
        <v>17876.575999999994</v>
      </c>
    </row>
    <row r="3993" spans="1:5" x14ac:dyDescent="0.3">
      <c r="A3993" s="9">
        <v>45478</v>
      </c>
      <c r="B3993" s="10" t="s">
        <v>18</v>
      </c>
      <c r="C3993" s="10" t="s">
        <v>28</v>
      </c>
      <c r="D3993" s="12">
        <v>53.41</v>
      </c>
      <c r="E3993" s="12">
        <f>SUMIF('Parametros Inventario'!$A:$A,B3993,'Parametros Inventario'!$B:$B)+SUMIFS(D$2:D3993,B$2:B3993,B3993,C$2:C3993,"ENTRADA")-SUMIFS(D$2:D3993,B$2:B3993,B3993,C$2:C3993,"SALIDA")</f>
        <v>18466.471999999991</v>
      </c>
    </row>
    <row r="3994" spans="1:5" x14ac:dyDescent="0.3">
      <c r="A3994" s="9">
        <v>45478</v>
      </c>
      <c r="B3994" s="10" t="s">
        <v>10</v>
      </c>
      <c r="C3994" s="10" t="s">
        <v>28</v>
      </c>
      <c r="D3994" s="12">
        <v>221.11</v>
      </c>
      <c r="E3994" s="12">
        <f>SUMIF('Parametros Inventario'!$A:$A,B3994,'Parametros Inventario'!$B:$B)+SUMIFS(D$2:D3994,B$2:B3994,B3994,C$2:C3994,"ENTRADA")-SUMIFS(D$2:D3994,B$2:B3994,B3994,C$2:C3994,"SALIDA")</f>
        <v>19592.056000000004</v>
      </c>
    </row>
    <row r="3995" spans="1:5" x14ac:dyDescent="0.3">
      <c r="A3995" s="9">
        <v>45478</v>
      </c>
      <c r="B3995" s="10" t="s">
        <v>8</v>
      </c>
      <c r="C3995" s="10" t="s">
        <v>28</v>
      </c>
      <c r="D3995" s="12">
        <v>63.01</v>
      </c>
      <c r="E3995" s="12">
        <f>SUMIF('Parametros Inventario'!$A:$A,B3995,'Parametros Inventario'!$B:$B)+SUMIFS(D$2:D3995,B$2:B3995,B3995,C$2:C3995,"ENTRADA")-SUMIFS(D$2:D3995,B$2:B3995,B3995,C$2:C3995,"SALIDA")</f>
        <v>18634.087000000014</v>
      </c>
    </row>
    <row r="3996" spans="1:5" x14ac:dyDescent="0.3">
      <c r="A3996" s="9">
        <v>45478</v>
      </c>
      <c r="B3996" s="10" t="s">
        <v>13</v>
      </c>
      <c r="C3996" s="10" t="s">
        <v>28</v>
      </c>
      <c r="D3996" s="12">
        <v>257.45999999999998</v>
      </c>
      <c r="E3996" s="12">
        <f>SUMIF('Parametros Inventario'!$A:$A,B3996,'Parametros Inventario'!$B:$B)+SUMIFS(D$2:D3996,B$2:B3996,B3996,C$2:C3996,"ENTRADA")-SUMIFS(D$2:D3996,B$2:B3996,B3996,C$2:C3996,"SALIDA")</f>
        <v>17891.062000000005</v>
      </c>
    </row>
    <row r="3997" spans="1:5" x14ac:dyDescent="0.3">
      <c r="A3997" s="9">
        <v>45478</v>
      </c>
      <c r="B3997" s="10" t="s">
        <v>15</v>
      </c>
      <c r="C3997" s="10" t="s">
        <v>28</v>
      </c>
      <c r="D3997" s="12">
        <v>157.41999999999999</v>
      </c>
      <c r="E3997" s="12">
        <f>SUMIF('Parametros Inventario'!$A:$A,B3997,'Parametros Inventario'!$B:$B)+SUMIFS(D$2:D3997,B$2:B3997,B3997,C$2:C3997,"ENTRADA")-SUMIFS(D$2:D3997,B$2:B3997,B3997,C$2:C3997,"SALIDA")</f>
        <v>20367.453999999994</v>
      </c>
    </row>
    <row r="3998" spans="1:5" x14ac:dyDescent="0.3">
      <c r="A3998" s="9">
        <f>'Volúmenes DIstribuidos '!B2457</f>
        <v>45478</v>
      </c>
      <c r="B3998" s="10" t="str">
        <f>IF(OR('Volúmenes DIstribuidos '!C2457="Azúcar",'Volúmenes DIstribuidos '!C2457="azúcar"),"Azúcar o dulce",IF('Volúmenes DIstribuidos '!C2457="Aceite","Aceite o grasas",IF('Volúmenes DIstribuidos '!C2457="Avena","Otros almidones",'Volúmenes DIstribuidos '!C2457)))</f>
        <v>Menestras</v>
      </c>
      <c r="C3998" s="10" t="s">
        <v>29</v>
      </c>
      <c r="D3998" s="12">
        <f>'Volúmenes DIstribuidos '!D2457</f>
        <v>15.93</v>
      </c>
      <c r="E3998" s="12">
        <f>SUMIF('Parametros Inventario'!$A:$A,B3998,'Parametros Inventario'!$B:$B)+SUMIFS(D$2:D3998,B$2:B3998,B3998,C$2:C3998,"ENTRADA")-SUMIFS(D$2:D3998,B$2:B3998,B3998,C$2:C3998,"SALIDA")</f>
        <v>18859.496999999996</v>
      </c>
    </row>
    <row r="3999" spans="1:5" x14ac:dyDescent="0.3">
      <c r="A3999" s="9">
        <f>'Volúmenes DIstribuidos '!B2457</f>
        <v>45478</v>
      </c>
      <c r="B3999" s="10" t="str">
        <f>IF(OR('Volúmenes DIstribuidos '!C2458="Azúcar",'Volúmenes DIstribuidos '!C2458="azúcar"),"Azúcar o dulce",IF('Volúmenes DIstribuidos '!C2458="Aceite","Aceite o grasas",IF('Volúmenes DIstribuidos '!C2458="Avena","Otros almidones",'Volúmenes DIstribuidos '!C2458)))</f>
        <v>Fideo</v>
      </c>
      <c r="C3999" s="10" t="s">
        <v>29</v>
      </c>
      <c r="D3999" s="12">
        <f>'Volúmenes DIstribuidos '!D2458</f>
        <v>13.178000000000001</v>
      </c>
      <c r="E3999" s="12">
        <f>SUMIF('Parametros Inventario'!$A:$A,B3999,'Parametros Inventario'!$B:$B)+SUMIFS(D$2:D3999,B$2:B3999,B3999,C$2:C3999,"ENTRADA")-SUMIFS(D$2:D3999,B$2:B3999,B3999,C$2:C3999,"SALIDA")</f>
        <v>21292.696000000011</v>
      </c>
    </row>
    <row r="4000" spans="1:5" x14ac:dyDescent="0.3">
      <c r="A4000" s="9">
        <f>'Volúmenes DIstribuidos '!B2457</f>
        <v>45478</v>
      </c>
      <c r="B4000" s="10" t="str">
        <f>IF(OR('Volúmenes DIstribuidos '!C2459="Azúcar",'Volúmenes DIstribuidos '!C2459="azúcar"),"Azúcar o dulce",IF('Volúmenes DIstribuidos '!C2459="Aceite","Aceite o grasas",IF('Volúmenes DIstribuidos '!C2459="Avena","Otros almidones",'Volúmenes DIstribuidos '!C2459)))</f>
        <v>Aceite o grasas</v>
      </c>
      <c r="C4000" s="10" t="s">
        <v>29</v>
      </c>
      <c r="D4000" s="12">
        <f>'Volúmenes DIstribuidos '!D2459</f>
        <v>72.62</v>
      </c>
      <c r="E4000" s="12">
        <f>SUMIF('Parametros Inventario'!$A:$A,B4000,'Parametros Inventario'!$B:$B)+SUMIFS(D$2:D4000,B$2:B4000,B4000,C$2:C4000,"ENTRADA")-SUMIFS(D$2:D4000,B$2:B4000,B4000,C$2:C4000,"SALIDA")</f>
        <v>18561.467000000015</v>
      </c>
    </row>
    <row r="4001" spans="1:5" x14ac:dyDescent="0.3">
      <c r="A4001" s="9">
        <f>'Volúmenes DIstribuidos '!B2457</f>
        <v>45478</v>
      </c>
      <c r="B4001" s="10" t="str">
        <f>IF(OR('Volúmenes DIstribuidos '!C2460="Azúcar",'Volúmenes DIstribuidos '!C2460="azúcar"),"Azúcar o dulce",IF('Volúmenes DIstribuidos '!C2460="Aceite","Aceite o grasas",IF('Volúmenes DIstribuidos '!C2460="Avena","Otros almidones",'Volúmenes DIstribuidos '!C2460)))</f>
        <v>Azúcar o dulce</v>
      </c>
      <c r="C4001" s="10" t="s">
        <v>29</v>
      </c>
      <c r="D4001" s="12">
        <f>'Volúmenes DIstribuidos '!D2460</f>
        <v>12.62</v>
      </c>
      <c r="E4001" s="12">
        <f>SUMIF('Parametros Inventario'!$A:$A,B4001,'Parametros Inventario'!$B:$B)+SUMIFS(D$2:D4001,B$2:B4001,B4001,C$2:C4001,"ENTRADA")-SUMIFS(D$2:D4001,B$2:B4001,B4001,C$2:C4001,"SALIDA")</f>
        <v>17878.442000000003</v>
      </c>
    </row>
    <row r="4002" spans="1:5" x14ac:dyDescent="0.3">
      <c r="A4002" s="9">
        <f>'Volúmenes DIstribuidos '!B2457</f>
        <v>45478</v>
      </c>
      <c r="B4002" s="10" t="str">
        <f>IF(OR('Volúmenes DIstribuidos '!C2461="Azúcar",'Volúmenes DIstribuidos '!C2461="azúcar"),"Azúcar o dulce",IF('Volúmenes DIstribuidos '!C2461="Aceite","Aceite o grasas",IF('Volúmenes DIstribuidos '!C2461="Avena","Otros almidones",'Volúmenes DIstribuidos '!C2461)))</f>
        <v>Menestras</v>
      </c>
      <c r="C4002" s="10" t="s">
        <v>29</v>
      </c>
      <c r="D4002" s="12">
        <f>'Volúmenes DIstribuidos '!D2461</f>
        <v>21.18</v>
      </c>
      <c r="E4002" s="12">
        <f>SUMIF('Parametros Inventario'!$A:$A,B4002,'Parametros Inventario'!$B:$B)+SUMIFS(D$2:D4002,B$2:B4002,B4002,C$2:C4002,"ENTRADA")-SUMIFS(D$2:D4002,B$2:B4002,B4002,C$2:C4002,"SALIDA")</f>
        <v>18838.316999999995</v>
      </c>
    </row>
    <row r="4003" spans="1:5" x14ac:dyDescent="0.3">
      <c r="A4003" s="9">
        <f>'Volúmenes DIstribuidos '!B2457</f>
        <v>45478</v>
      </c>
      <c r="B4003" s="10" t="str">
        <f>IF(OR('Volúmenes DIstribuidos '!C2462="Azúcar",'Volúmenes DIstribuidos '!C2462="azúcar"),"Azúcar o dulce",IF('Volúmenes DIstribuidos '!C2462="Aceite","Aceite o grasas",IF('Volúmenes DIstribuidos '!C2462="Avena","Otros almidones",'Volúmenes DIstribuidos '!C2462)))</f>
        <v>Carnes rojas</v>
      </c>
      <c r="C4003" s="10" t="s">
        <v>29</v>
      </c>
      <c r="D4003" s="12">
        <f>'Volúmenes DIstribuidos '!D2462</f>
        <v>16.452999999999999</v>
      </c>
      <c r="E4003" s="12">
        <f>SUMIF('Parametros Inventario'!$A:$A,B4003,'Parametros Inventario'!$B:$B)+SUMIFS(D$2:D4003,B$2:B4003,B4003,C$2:C4003,"ENTRADA")-SUMIFS(D$2:D4003,B$2:B4003,B4003,C$2:C4003,"SALIDA")</f>
        <v>18065.477999999996</v>
      </c>
    </row>
    <row r="4004" spans="1:5" x14ac:dyDescent="0.3">
      <c r="A4004" s="9">
        <f>'Volúmenes DIstribuidos '!B2463</f>
        <v>45482</v>
      </c>
      <c r="B4004" s="10" t="str">
        <f>IF(OR('Volúmenes DIstribuidos '!C2463="Azúcar",'Volúmenes DIstribuidos '!C2463="azúcar"),"Azúcar o dulce",IF('Volúmenes DIstribuidos '!C2463="Aceite","Aceite o grasas",IF('Volúmenes DIstribuidos '!C2463="Avena","Otros almidones",'Volúmenes DIstribuidos '!C2463)))</f>
        <v>Fideo</v>
      </c>
      <c r="C4004" s="10" t="s">
        <v>29</v>
      </c>
      <c r="D4004" s="12">
        <f>'Volúmenes DIstribuidos '!D2463</f>
        <v>9.99</v>
      </c>
      <c r="E4004" s="12">
        <f>SUMIF('Parametros Inventario'!$A:$A,B4004,'Parametros Inventario'!$B:$B)+SUMIFS(D$2:D4004,B$2:B4004,B4004,C$2:C4004,"ENTRADA")-SUMIFS(D$2:D4004,B$2:B4004,B4004,C$2:C4004,"SALIDA")</f>
        <v>21282.706000000013</v>
      </c>
    </row>
    <row r="4005" spans="1:5" x14ac:dyDescent="0.3">
      <c r="A4005" s="9">
        <f>'Volúmenes DIstribuidos '!B2463</f>
        <v>45482</v>
      </c>
      <c r="B4005" s="10" t="str">
        <f>IF(OR('Volúmenes DIstribuidos '!C2464="Azúcar",'Volúmenes DIstribuidos '!C2464="azúcar"),"Azúcar o dulce",IF('Volúmenes DIstribuidos '!C2464="Aceite","Aceite o grasas",IF('Volúmenes DIstribuidos '!C2464="Avena","Otros almidones",'Volúmenes DIstribuidos '!C2464)))</f>
        <v>Aceite o grasas</v>
      </c>
      <c r="C4005" s="10" t="s">
        <v>29</v>
      </c>
      <c r="D4005" s="12">
        <f>'Volúmenes DIstribuidos '!D2464</f>
        <v>6.1</v>
      </c>
      <c r="E4005" s="12">
        <f>SUMIF('Parametros Inventario'!$A:$A,B4005,'Parametros Inventario'!$B:$B)+SUMIFS(D$2:D4005,B$2:B4005,B4005,C$2:C4005,"ENTRADA")-SUMIFS(D$2:D4005,B$2:B4005,B4005,C$2:C4005,"SALIDA")</f>
        <v>18555.367000000013</v>
      </c>
    </row>
    <row r="4006" spans="1:5" x14ac:dyDescent="0.3">
      <c r="A4006" s="9">
        <f>'Volúmenes DIstribuidos '!B2463</f>
        <v>45482</v>
      </c>
      <c r="B4006" s="10" t="str">
        <f>IF(OR('Volúmenes DIstribuidos '!C2465="Azúcar",'Volúmenes DIstribuidos '!C2465="azúcar"),"Azúcar o dulce",IF('Volúmenes DIstribuidos '!C2465="Aceite","Aceite o grasas",IF('Volúmenes DIstribuidos '!C2465="Avena","Otros almidones",'Volúmenes DIstribuidos '!C2465)))</f>
        <v>Vegetales y hojas</v>
      </c>
      <c r="C4006" s="10" t="s">
        <v>29</v>
      </c>
      <c r="D4006" s="12">
        <f>'Volúmenes DIstribuidos '!D2465</f>
        <v>5.72</v>
      </c>
      <c r="E4006" s="12">
        <f>SUMIF('Parametros Inventario'!$A:$A,B4006,'Parametros Inventario'!$B:$B)+SUMIFS(D$2:D4006,B$2:B4006,B4006,C$2:C4006,"ENTRADA")-SUMIFS(D$2:D4006,B$2:B4006,B4006,C$2:C4006,"SALIDA")</f>
        <v>19586.336000000003</v>
      </c>
    </row>
    <row r="4007" spans="1:5" x14ac:dyDescent="0.3">
      <c r="A4007" s="9">
        <f>'Volúmenes DIstribuidos '!B2463</f>
        <v>45482</v>
      </c>
      <c r="B4007" s="10" t="str">
        <f>IF(OR('Volúmenes DIstribuidos '!C2466="Azúcar",'Volúmenes DIstribuidos '!C2466="azúcar"),"Azúcar o dulce",IF('Volúmenes DIstribuidos '!C2466="Aceite","Aceite o grasas",IF('Volúmenes DIstribuidos '!C2466="Avena","Otros almidones",'Volúmenes DIstribuidos '!C2466)))</f>
        <v>Panadería</v>
      </c>
      <c r="C4007" s="10" t="s">
        <v>29</v>
      </c>
      <c r="D4007" s="12">
        <f>'Volúmenes DIstribuidos '!D2466</f>
        <v>16.53</v>
      </c>
      <c r="E4007" s="12">
        <f>SUMIF('Parametros Inventario'!$A:$A,B4007,'Parametros Inventario'!$B:$B)+SUMIFS(D$2:D4007,B$2:B4007,B4007,C$2:C4007,"ENTRADA")-SUMIFS(D$2:D4007,B$2:B4007,B4007,C$2:C4007,"SALIDA")</f>
        <v>16421.320999999993</v>
      </c>
    </row>
    <row r="4008" spans="1:5" x14ac:dyDescent="0.3">
      <c r="A4008" s="9">
        <f>'Volúmenes DIstribuidos '!B2463</f>
        <v>45482</v>
      </c>
      <c r="B4008" s="10" t="str">
        <f>IF(OR('Volúmenes DIstribuidos '!C2467="Azúcar",'Volúmenes DIstribuidos '!C2467="azúcar"),"Azúcar o dulce",IF('Volúmenes DIstribuidos '!C2467="Aceite","Aceite o grasas",IF('Volúmenes DIstribuidos '!C2467="Avena","Otros almidones",'Volúmenes DIstribuidos '!C2467)))</f>
        <v>Menestras</v>
      </c>
      <c r="C4008" s="10" t="s">
        <v>29</v>
      </c>
      <c r="D4008" s="12">
        <f>'Volúmenes DIstribuidos '!D2467</f>
        <v>35.902999999999999</v>
      </c>
      <c r="E4008" s="12">
        <f>SUMIF('Parametros Inventario'!$A:$A,B4008,'Parametros Inventario'!$B:$B)+SUMIFS(D$2:D4008,B$2:B4008,B4008,C$2:C4008,"ENTRADA")-SUMIFS(D$2:D4008,B$2:B4008,B4008,C$2:C4008,"SALIDA")</f>
        <v>18802.413999999993</v>
      </c>
    </row>
    <row r="4009" spans="1:5" x14ac:dyDescent="0.3">
      <c r="A4009" s="9">
        <f>'Volúmenes DIstribuidos '!B2463</f>
        <v>45482</v>
      </c>
      <c r="B4009" s="10" t="str">
        <f>IF(OR('Volúmenes DIstribuidos '!C2468="Azúcar",'Volúmenes DIstribuidos '!C2468="azúcar"),"Azúcar o dulce",IF('Volúmenes DIstribuidos '!C2468="Aceite","Aceite o grasas",IF('Volúmenes DIstribuidos '!C2468="Avena","Otros almidones",'Volúmenes DIstribuidos '!C2468)))</f>
        <v>Carnes rojas</v>
      </c>
      <c r="C4009" s="10" t="s">
        <v>29</v>
      </c>
      <c r="D4009" s="12">
        <f>'Volúmenes DIstribuidos '!D2468</f>
        <v>40.76</v>
      </c>
      <c r="E4009" s="12">
        <f>SUMIF('Parametros Inventario'!$A:$A,B4009,'Parametros Inventario'!$B:$B)+SUMIFS(D$2:D4009,B$2:B4009,B4009,C$2:C4009,"ENTRADA")-SUMIFS(D$2:D4009,B$2:B4009,B4009,C$2:C4009,"SALIDA")</f>
        <v>18024.717999999997</v>
      </c>
    </row>
    <row r="4010" spans="1:5" x14ac:dyDescent="0.3">
      <c r="A4010" s="9">
        <v>45485</v>
      </c>
      <c r="B4010" s="10" t="s">
        <v>11</v>
      </c>
      <c r="C4010" s="10" t="s">
        <v>28</v>
      </c>
      <c r="D4010" s="12">
        <v>199.27</v>
      </c>
      <c r="E4010" s="12">
        <f>SUMIF('Parametros Inventario'!$A:$A,B4010,'Parametros Inventario'!$B:$B)+SUMIFS(D$2:D4010,B$2:B4010,B4010,C$2:C4010,"ENTRADA")-SUMIFS(D$2:D4010,B$2:B4010,B4010,C$2:C4010,"SALIDA")</f>
        <v>21481.976000000013</v>
      </c>
    </row>
    <row r="4011" spans="1:5" x14ac:dyDescent="0.3">
      <c r="A4011" s="9">
        <v>45485</v>
      </c>
      <c r="B4011" s="10" t="s">
        <v>9</v>
      </c>
      <c r="C4011" s="10" t="s">
        <v>28</v>
      </c>
      <c r="D4011" s="12">
        <v>52.01</v>
      </c>
      <c r="E4011" s="12">
        <f>SUMIF('Parametros Inventario'!$A:$A,B4011,'Parametros Inventario'!$B:$B)+SUMIFS(D$2:D4011,B$2:B4011,B4011,C$2:C4011,"ENTRADA")-SUMIFS(D$2:D4011,B$2:B4011,B4011,C$2:C4011,"SALIDA")</f>
        <v>16473.330999999991</v>
      </c>
    </row>
    <row r="4012" spans="1:5" x14ac:dyDescent="0.3">
      <c r="A4012" s="9">
        <v>45485</v>
      </c>
      <c r="B4012" s="10" t="s">
        <v>14</v>
      </c>
      <c r="C4012" s="10" t="s">
        <v>28</v>
      </c>
      <c r="D4012" s="12">
        <v>170.05</v>
      </c>
      <c r="E4012" s="12">
        <f>SUMIF('Parametros Inventario'!$A:$A,B4012,'Parametros Inventario'!$B:$B)+SUMIFS(D$2:D4012,B$2:B4012,B4012,C$2:C4012,"ENTRADA")-SUMIFS(D$2:D4012,B$2:B4012,B4012,C$2:C4012,"SALIDA")</f>
        <v>18972.463999999993</v>
      </c>
    </row>
    <row r="4013" spans="1:5" x14ac:dyDescent="0.3">
      <c r="A4013" s="9">
        <v>45485</v>
      </c>
      <c r="B4013" s="10" t="s">
        <v>12</v>
      </c>
      <c r="C4013" s="10" t="s">
        <v>28</v>
      </c>
      <c r="D4013" s="12">
        <v>120.56</v>
      </c>
      <c r="E4013" s="12">
        <f>SUMIF('Parametros Inventario'!$A:$A,B4013,'Parametros Inventario'!$B:$B)+SUMIFS(D$2:D4013,B$2:B4013,B4013,C$2:C4013,"ENTRADA")-SUMIFS(D$2:D4013,B$2:B4013,B4013,C$2:C4013,"SALIDA")</f>
        <v>18145.277999999998</v>
      </c>
    </row>
    <row r="4014" spans="1:5" x14ac:dyDescent="0.3">
      <c r="A4014" s="9">
        <v>45485</v>
      </c>
      <c r="B4014" s="10" t="s">
        <v>16</v>
      </c>
      <c r="C4014" s="10" t="s">
        <v>28</v>
      </c>
      <c r="D4014" s="12">
        <v>70.650000000000006</v>
      </c>
      <c r="E4014" s="12">
        <f>SUMIF('Parametros Inventario'!$A:$A,B4014,'Parametros Inventario'!$B:$B)+SUMIFS(D$2:D4014,B$2:B4014,B4014,C$2:C4014,"ENTRADA")-SUMIFS(D$2:D4014,B$2:B4014,B4014,C$2:C4014,"SALIDA")</f>
        <v>19061.404999999995</v>
      </c>
    </row>
    <row r="4015" spans="1:5" x14ac:dyDescent="0.3">
      <c r="A4015" s="9">
        <v>45485</v>
      </c>
      <c r="B4015" s="10" t="s">
        <v>17</v>
      </c>
      <c r="C4015" s="10" t="s">
        <v>28</v>
      </c>
      <c r="D4015" s="12">
        <v>157.24</v>
      </c>
      <c r="E4015" s="12">
        <f>SUMIF('Parametros Inventario'!$A:$A,B4015,'Parametros Inventario'!$B:$B)+SUMIFS(D$2:D4015,B$2:B4015,B4015,C$2:C4015,"ENTRADA")-SUMIFS(D$2:D4015,B$2:B4015,B4015,C$2:C4015,"SALIDA")</f>
        <v>18033.815999999999</v>
      </c>
    </row>
    <row r="4016" spans="1:5" x14ac:dyDescent="0.3">
      <c r="A4016" s="9">
        <v>45485</v>
      </c>
      <c r="B4016" s="10" t="s">
        <v>18</v>
      </c>
      <c r="C4016" s="10" t="s">
        <v>28</v>
      </c>
      <c r="D4016" s="12">
        <v>204.4</v>
      </c>
      <c r="E4016" s="12">
        <f>SUMIF('Parametros Inventario'!$A:$A,B4016,'Parametros Inventario'!$B:$B)+SUMIFS(D$2:D4016,B$2:B4016,B4016,C$2:C4016,"ENTRADA")-SUMIFS(D$2:D4016,B$2:B4016,B4016,C$2:C4016,"SALIDA")</f>
        <v>18670.871999999992</v>
      </c>
    </row>
    <row r="4017" spans="1:5" x14ac:dyDescent="0.3">
      <c r="A4017" s="9">
        <v>45485</v>
      </c>
      <c r="B4017" s="10" t="s">
        <v>10</v>
      </c>
      <c r="C4017" s="10" t="s">
        <v>28</v>
      </c>
      <c r="D4017" s="12">
        <v>232.31</v>
      </c>
      <c r="E4017" s="12">
        <f>SUMIF('Parametros Inventario'!$A:$A,B4017,'Parametros Inventario'!$B:$B)+SUMIFS(D$2:D4017,B$2:B4017,B4017,C$2:C4017,"ENTRADA")-SUMIFS(D$2:D4017,B$2:B4017,B4017,C$2:C4017,"SALIDA")</f>
        <v>19818.646000000004</v>
      </c>
    </row>
    <row r="4018" spans="1:5" x14ac:dyDescent="0.3">
      <c r="A4018" s="9">
        <v>45485</v>
      </c>
      <c r="B4018" s="10" t="s">
        <v>8</v>
      </c>
      <c r="C4018" s="10" t="s">
        <v>28</v>
      </c>
      <c r="D4018" s="12">
        <v>96.72</v>
      </c>
      <c r="E4018" s="12">
        <f>SUMIF('Parametros Inventario'!$A:$A,B4018,'Parametros Inventario'!$B:$B)+SUMIFS(D$2:D4018,B$2:B4018,B4018,C$2:C4018,"ENTRADA")-SUMIFS(D$2:D4018,B$2:B4018,B4018,C$2:C4018,"SALIDA")</f>
        <v>18652.087000000014</v>
      </c>
    </row>
    <row r="4019" spans="1:5" x14ac:dyDescent="0.3">
      <c r="A4019" s="9">
        <v>45485</v>
      </c>
      <c r="B4019" s="10" t="s">
        <v>13</v>
      </c>
      <c r="C4019" s="10" t="s">
        <v>28</v>
      </c>
      <c r="D4019" s="12">
        <v>120.28</v>
      </c>
      <c r="E4019" s="12">
        <f>SUMIF('Parametros Inventario'!$A:$A,B4019,'Parametros Inventario'!$B:$B)+SUMIFS(D$2:D4019,B$2:B4019,B4019,C$2:C4019,"ENTRADA")-SUMIFS(D$2:D4019,B$2:B4019,B4019,C$2:C4019,"SALIDA")</f>
        <v>17998.722000000002</v>
      </c>
    </row>
    <row r="4020" spans="1:5" x14ac:dyDescent="0.3">
      <c r="A4020" s="9">
        <f>'Volúmenes DIstribuidos '!B2469</f>
        <v>45485</v>
      </c>
      <c r="B4020" s="10" t="str">
        <f>IF(OR('Volúmenes DIstribuidos '!C2469="Azúcar",'Volúmenes DIstribuidos '!C2469="azúcar"),"Azúcar o dulce",IF('Volúmenes DIstribuidos '!C2469="Aceite","Aceite o grasas",IF('Volúmenes DIstribuidos '!C2469="Avena","Otros almidones",'Volúmenes DIstribuidos '!C2469)))</f>
        <v>Otros almidones</v>
      </c>
      <c r="C4020" s="10" t="s">
        <v>29</v>
      </c>
      <c r="D4020" s="12">
        <f>'Volúmenes DIstribuidos '!D2469</f>
        <v>46.56</v>
      </c>
      <c r="E4020" s="12">
        <f>SUMIF('Parametros Inventario'!$A:$A,B4020,'Parametros Inventario'!$B:$B)+SUMIFS(D$2:D4020,B$2:B4020,B4020,C$2:C4020,"ENTRADA")-SUMIFS(D$2:D4020,B$2:B4020,B4020,C$2:C4020,"SALIDA")</f>
        <v>20320.893999999993</v>
      </c>
    </row>
    <row r="4021" spans="1:5" x14ac:dyDescent="0.3">
      <c r="A4021" s="9">
        <f>'Volúmenes DIstribuidos '!B2469</f>
        <v>45485</v>
      </c>
      <c r="B4021" s="10" t="str">
        <f>IF(OR('Volúmenes DIstribuidos '!C2470="Azúcar",'Volúmenes DIstribuidos '!C2470="azúcar"),"Azúcar o dulce",IF('Volúmenes DIstribuidos '!C2470="Aceite","Aceite o grasas",IF('Volúmenes DIstribuidos '!C2470="Avena","Otros almidones",'Volúmenes DIstribuidos '!C2470)))</f>
        <v>Lácteos</v>
      </c>
      <c r="C4021" s="10" t="s">
        <v>29</v>
      </c>
      <c r="D4021" s="12">
        <f>'Volúmenes DIstribuidos '!D2470</f>
        <v>20.98</v>
      </c>
      <c r="E4021" s="12">
        <f>SUMIF('Parametros Inventario'!$A:$A,B4021,'Parametros Inventario'!$B:$B)+SUMIFS(D$2:D4021,B$2:B4021,B4021,C$2:C4021,"ENTRADA")-SUMIFS(D$2:D4021,B$2:B4021,B4021,C$2:C4021,"SALIDA")</f>
        <v>18012.835999999996</v>
      </c>
    </row>
    <row r="4022" spans="1:5" x14ac:dyDescent="0.3">
      <c r="A4022" s="9">
        <f>'Volúmenes DIstribuidos '!B2469</f>
        <v>45485</v>
      </c>
      <c r="B4022" s="10" t="str">
        <f>IF(OR('Volúmenes DIstribuidos '!C2471="Azúcar",'Volúmenes DIstribuidos '!C2471="azúcar"),"Azúcar o dulce",IF('Volúmenes DIstribuidos '!C2471="Aceite","Aceite o grasas",IF('Volúmenes DIstribuidos '!C2471="Avena","Otros almidones",'Volúmenes DIstribuidos '!C2471)))</f>
        <v>Aceite o grasas</v>
      </c>
      <c r="C4022" s="10" t="s">
        <v>29</v>
      </c>
      <c r="D4022" s="12">
        <f>'Volúmenes DIstribuidos '!D2471</f>
        <v>124.33</v>
      </c>
      <c r="E4022" s="12">
        <f>SUMIF('Parametros Inventario'!$A:$A,B4022,'Parametros Inventario'!$B:$B)+SUMIFS(D$2:D4022,B$2:B4022,B4022,C$2:C4022,"ENTRADA")-SUMIFS(D$2:D4022,B$2:B4022,B4022,C$2:C4022,"SALIDA")</f>
        <v>18527.757000000016</v>
      </c>
    </row>
    <row r="4023" spans="1:5" x14ac:dyDescent="0.3">
      <c r="A4023" s="9">
        <f>'Volúmenes DIstribuidos '!B2469</f>
        <v>45485</v>
      </c>
      <c r="B4023" s="10" t="str">
        <f>IF(OR('Volúmenes DIstribuidos '!C2472="Azúcar",'Volúmenes DIstribuidos '!C2472="azúcar"),"Azúcar o dulce",IF('Volúmenes DIstribuidos '!C2472="Aceite","Aceite o grasas",IF('Volúmenes DIstribuidos '!C2472="Avena","Otros almidones",'Volúmenes DIstribuidos '!C2472)))</f>
        <v>Fideo</v>
      </c>
      <c r="C4023" s="10" t="s">
        <v>29</v>
      </c>
      <c r="D4023" s="12">
        <f>'Volúmenes DIstribuidos '!D2472</f>
        <v>61.97</v>
      </c>
      <c r="E4023" s="12">
        <f>SUMIF('Parametros Inventario'!$A:$A,B4023,'Parametros Inventario'!$B:$B)+SUMIFS(D$2:D4023,B$2:B4023,B4023,C$2:C4023,"ENTRADA")-SUMIFS(D$2:D4023,B$2:B4023,B4023,C$2:C4023,"SALIDA")</f>
        <v>21420.006000000012</v>
      </c>
    </row>
    <row r="4024" spans="1:5" x14ac:dyDescent="0.3">
      <c r="A4024" s="9">
        <f>'Volúmenes DIstribuidos '!B2469</f>
        <v>45485</v>
      </c>
      <c r="B4024" s="10" t="str">
        <f>IF(OR('Volúmenes DIstribuidos '!C2473="Azúcar",'Volúmenes DIstribuidos '!C2473="azúcar"),"Azúcar o dulce",IF('Volúmenes DIstribuidos '!C2473="Aceite","Aceite o grasas",IF('Volúmenes DIstribuidos '!C2473="Avena","Otros almidones",'Volúmenes DIstribuidos '!C2473)))</f>
        <v>Panadería</v>
      </c>
      <c r="C4024" s="10" t="s">
        <v>29</v>
      </c>
      <c r="D4024" s="12">
        <f>'Volúmenes DIstribuidos '!D2473</f>
        <v>82.757000000000005</v>
      </c>
      <c r="E4024" s="12">
        <f>SUMIF('Parametros Inventario'!$A:$A,B4024,'Parametros Inventario'!$B:$B)+SUMIFS(D$2:D4024,B$2:B4024,B4024,C$2:C4024,"ENTRADA")-SUMIFS(D$2:D4024,B$2:B4024,B4024,C$2:C4024,"SALIDA")</f>
        <v>16390.573999999993</v>
      </c>
    </row>
    <row r="4025" spans="1:5" x14ac:dyDescent="0.3">
      <c r="A4025" s="9">
        <f>'Volúmenes DIstribuidos '!B2469</f>
        <v>45485</v>
      </c>
      <c r="B4025" s="10" t="str">
        <f>IF(OR('Volúmenes DIstribuidos '!C2474="Azúcar",'Volúmenes DIstribuidos '!C2474="azúcar"),"Azúcar o dulce",IF('Volúmenes DIstribuidos '!C2474="Aceite","Aceite o grasas",IF('Volúmenes DIstribuidos '!C2474="Avena","Otros almidones",'Volúmenes DIstribuidos '!C2474)))</f>
        <v>Panadería</v>
      </c>
      <c r="C4025" s="10" t="s">
        <v>29</v>
      </c>
      <c r="D4025" s="12">
        <f>'Volúmenes DIstribuidos '!D2474</f>
        <v>50</v>
      </c>
      <c r="E4025" s="12">
        <f>SUMIF('Parametros Inventario'!$A:$A,B4025,'Parametros Inventario'!$B:$B)+SUMIFS(D$2:D4025,B$2:B4025,B4025,C$2:C4025,"ENTRADA")-SUMIFS(D$2:D4025,B$2:B4025,B4025,C$2:C4025,"SALIDA")</f>
        <v>16340.573999999993</v>
      </c>
    </row>
    <row r="4026" spans="1:5" x14ac:dyDescent="0.3">
      <c r="A4026" s="9">
        <f>'Volúmenes DIstribuidos '!B2475</f>
        <v>45489</v>
      </c>
      <c r="B4026" s="10" t="str">
        <f>IF(OR('Volúmenes DIstribuidos '!C2475="Azúcar",'Volúmenes DIstribuidos '!C2475="azúcar"),"Azúcar o dulce",IF('Volúmenes DIstribuidos '!C2475="Aceite","Aceite o grasas",IF('Volúmenes DIstribuidos '!C2475="Avena","Otros almidones",'Volúmenes DIstribuidos '!C2475)))</f>
        <v>Aceite o grasas</v>
      </c>
      <c r="C4026" s="10" t="s">
        <v>29</v>
      </c>
      <c r="D4026" s="12">
        <f>'Volúmenes DIstribuidos '!D2475</f>
        <v>35.22</v>
      </c>
      <c r="E4026" s="12">
        <f>SUMIF('Parametros Inventario'!$A:$A,B4026,'Parametros Inventario'!$B:$B)+SUMIFS(D$2:D4026,B$2:B4026,B4026,C$2:C4026,"ENTRADA")-SUMIFS(D$2:D4026,B$2:B4026,B4026,C$2:C4026,"SALIDA")</f>
        <v>18492.537000000018</v>
      </c>
    </row>
    <row r="4027" spans="1:5" x14ac:dyDescent="0.3">
      <c r="A4027" s="9">
        <f>'Volúmenes DIstribuidos '!B2475</f>
        <v>45489</v>
      </c>
      <c r="B4027" s="10" t="str">
        <f>IF(OR('Volúmenes DIstribuidos '!C2476="Azúcar",'Volúmenes DIstribuidos '!C2476="azúcar"),"Azúcar o dulce",IF('Volúmenes DIstribuidos '!C2476="Aceite","Aceite o grasas",IF('Volúmenes DIstribuidos '!C2476="Avena","Otros almidones",'Volúmenes DIstribuidos '!C2476)))</f>
        <v>Vegetales y hojas</v>
      </c>
      <c r="C4027" s="10" t="s">
        <v>29</v>
      </c>
      <c r="D4027" s="12">
        <f>'Volúmenes DIstribuidos '!D2476</f>
        <v>11.839</v>
      </c>
      <c r="E4027" s="12">
        <f>SUMIF('Parametros Inventario'!$A:$A,B4027,'Parametros Inventario'!$B:$B)+SUMIFS(D$2:D4027,B$2:B4027,B4027,C$2:C4027,"ENTRADA")-SUMIFS(D$2:D4027,B$2:B4027,B4027,C$2:C4027,"SALIDA")</f>
        <v>19806.807000000004</v>
      </c>
    </row>
    <row r="4028" spans="1:5" x14ac:dyDescent="0.3">
      <c r="A4028" s="9">
        <f>'Volúmenes DIstribuidos '!B2475</f>
        <v>45489</v>
      </c>
      <c r="B4028" s="10" t="str">
        <f>IF(OR('Volúmenes DIstribuidos '!C2477="Azúcar",'Volúmenes DIstribuidos '!C2477="azúcar"),"Azúcar o dulce",IF('Volúmenes DIstribuidos '!C2477="Aceite","Aceite o grasas",IF('Volúmenes DIstribuidos '!C2477="Avena","Otros almidones",'Volúmenes DIstribuidos '!C2477)))</f>
        <v>Vegetales y hojas</v>
      </c>
      <c r="C4028" s="10" t="s">
        <v>29</v>
      </c>
      <c r="D4028" s="12">
        <f>'Volúmenes DIstribuidos '!D2477</f>
        <v>11.76</v>
      </c>
      <c r="E4028" s="12">
        <f>SUMIF('Parametros Inventario'!$A:$A,B4028,'Parametros Inventario'!$B:$B)+SUMIFS(D$2:D4028,B$2:B4028,B4028,C$2:C4028,"ENTRADA")-SUMIFS(D$2:D4028,B$2:B4028,B4028,C$2:C4028,"SALIDA")</f>
        <v>19795.047000000006</v>
      </c>
    </row>
    <row r="4029" spans="1:5" x14ac:dyDescent="0.3">
      <c r="A4029" s="9">
        <f>'Volúmenes DIstribuidos '!B2475</f>
        <v>45489</v>
      </c>
      <c r="B4029" s="10" t="str">
        <f>IF(OR('Volúmenes DIstribuidos '!C2478="Azúcar",'Volúmenes DIstribuidos '!C2478="azúcar"),"Azúcar o dulce",IF('Volúmenes DIstribuidos '!C2478="Aceite","Aceite o grasas",IF('Volúmenes DIstribuidos '!C2478="Avena","Otros almidones",'Volúmenes DIstribuidos '!C2478)))</f>
        <v>Carnes blancas</v>
      </c>
      <c r="C4029" s="10" t="s">
        <v>29</v>
      </c>
      <c r="D4029" s="12">
        <f>'Volúmenes DIstribuidos '!D2478</f>
        <v>12.41</v>
      </c>
      <c r="E4029" s="12">
        <f>SUMIF('Parametros Inventario'!$A:$A,B4029,'Parametros Inventario'!$B:$B)+SUMIFS(D$2:D4029,B$2:B4029,B4029,C$2:C4029,"ENTRADA")-SUMIFS(D$2:D4029,B$2:B4029,B4029,C$2:C4029,"SALIDA")</f>
        <v>19048.994999999995</v>
      </c>
    </row>
    <row r="4030" spans="1:5" x14ac:dyDescent="0.3">
      <c r="A4030" s="9">
        <f>'Volúmenes DIstribuidos '!B2475</f>
        <v>45489</v>
      </c>
      <c r="B4030" s="10" t="str">
        <f>IF(OR('Volúmenes DIstribuidos '!C2479="Azúcar",'Volúmenes DIstribuidos '!C2479="azúcar"),"Azúcar o dulce",IF('Volúmenes DIstribuidos '!C2479="Aceite","Aceite o grasas",IF('Volúmenes DIstribuidos '!C2479="Avena","Otros almidones",'Volúmenes DIstribuidos '!C2479)))</f>
        <v>Carnes rojas</v>
      </c>
      <c r="C4030" s="10" t="s">
        <v>29</v>
      </c>
      <c r="D4030" s="12">
        <f>'Volúmenes DIstribuidos '!D2479</f>
        <v>18.91</v>
      </c>
      <c r="E4030" s="12">
        <f>SUMIF('Parametros Inventario'!$A:$A,B4030,'Parametros Inventario'!$B:$B)+SUMIFS(D$2:D4030,B$2:B4030,B4030,C$2:C4030,"ENTRADA")-SUMIFS(D$2:D4030,B$2:B4030,B4030,C$2:C4030,"SALIDA")</f>
        <v>18126.367999999999</v>
      </c>
    </row>
    <row r="4031" spans="1:5" x14ac:dyDescent="0.3">
      <c r="A4031" s="9">
        <f>'Volúmenes DIstribuidos '!B2475</f>
        <v>45489</v>
      </c>
      <c r="B4031" s="10" t="str">
        <f>IF(OR('Volúmenes DIstribuidos '!C2480="Azúcar",'Volúmenes DIstribuidos '!C2480="azúcar"),"Azúcar o dulce",IF('Volúmenes DIstribuidos '!C2480="Aceite","Aceite o grasas",IF('Volúmenes DIstribuidos '!C2480="Avena","Otros almidones",'Volúmenes DIstribuidos '!C2480)))</f>
        <v>Menestras</v>
      </c>
      <c r="C4031" s="10" t="s">
        <v>29</v>
      </c>
      <c r="D4031" s="12">
        <f>'Volúmenes DIstribuidos '!D2480</f>
        <v>10.76</v>
      </c>
      <c r="E4031" s="12">
        <f>SUMIF('Parametros Inventario'!$A:$A,B4031,'Parametros Inventario'!$B:$B)+SUMIFS(D$2:D4031,B$2:B4031,B4031,C$2:C4031,"ENTRADA")-SUMIFS(D$2:D4031,B$2:B4031,B4031,C$2:C4031,"SALIDA")</f>
        <v>18961.703999999991</v>
      </c>
    </row>
    <row r="4032" spans="1:5" x14ac:dyDescent="0.3">
      <c r="A4032" s="9">
        <v>45492</v>
      </c>
      <c r="B4032" s="10" t="s">
        <v>15</v>
      </c>
      <c r="C4032" s="10" t="s">
        <v>28</v>
      </c>
      <c r="D4032" s="12">
        <v>78.75</v>
      </c>
      <c r="E4032" s="12">
        <f>SUMIF('Parametros Inventario'!$A:$A,B4032,'Parametros Inventario'!$B:$B)+SUMIFS(D$2:D4032,B$2:B4032,B4032,C$2:C4032,"ENTRADA")-SUMIFS(D$2:D4032,B$2:B4032,B4032,C$2:C4032,"SALIDA")</f>
        <v>20399.643999999993</v>
      </c>
    </row>
    <row r="4033" spans="1:5" x14ac:dyDescent="0.3">
      <c r="A4033" s="9">
        <v>45492</v>
      </c>
      <c r="B4033" s="10" t="s">
        <v>11</v>
      </c>
      <c r="C4033" s="10" t="s">
        <v>28</v>
      </c>
      <c r="D4033" s="12">
        <v>115.88</v>
      </c>
      <c r="E4033" s="12">
        <f>SUMIF('Parametros Inventario'!$A:$A,B4033,'Parametros Inventario'!$B:$B)+SUMIFS(D$2:D4033,B$2:B4033,B4033,C$2:C4033,"ENTRADA")-SUMIFS(D$2:D4033,B$2:B4033,B4033,C$2:C4033,"SALIDA")</f>
        <v>21535.886000000013</v>
      </c>
    </row>
    <row r="4034" spans="1:5" x14ac:dyDescent="0.3">
      <c r="A4034" s="9">
        <v>45492</v>
      </c>
      <c r="B4034" s="10" t="s">
        <v>9</v>
      </c>
      <c r="C4034" s="10" t="s">
        <v>28</v>
      </c>
      <c r="D4034" s="12">
        <v>225.24</v>
      </c>
      <c r="E4034" s="12">
        <f>SUMIF('Parametros Inventario'!$A:$A,B4034,'Parametros Inventario'!$B:$B)+SUMIFS(D$2:D4034,B$2:B4034,B4034,C$2:C4034,"ENTRADA")-SUMIFS(D$2:D4034,B$2:B4034,B4034,C$2:C4034,"SALIDA")</f>
        <v>16565.813999999995</v>
      </c>
    </row>
    <row r="4035" spans="1:5" x14ac:dyDescent="0.3">
      <c r="A4035" s="9">
        <v>45492</v>
      </c>
      <c r="B4035" s="10" t="s">
        <v>14</v>
      </c>
      <c r="C4035" s="10" t="s">
        <v>28</v>
      </c>
      <c r="D4035" s="12">
        <v>216.58</v>
      </c>
      <c r="E4035" s="12">
        <f>SUMIF('Parametros Inventario'!$A:$A,B4035,'Parametros Inventario'!$B:$B)+SUMIFS(D$2:D4035,B$2:B4035,B4035,C$2:C4035,"ENTRADA")-SUMIFS(D$2:D4035,B$2:B4035,B4035,C$2:C4035,"SALIDA")</f>
        <v>19178.283999999992</v>
      </c>
    </row>
    <row r="4036" spans="1:5" x14ac:dyDescent="0.3">
      <c r="A4036" s="9">
        <v>45492</v>
      </c>
      <c r="B4036" s="10" t="s">
        <v>12</v>
      </c>
      <c r="C4036" s="10" t="s">
        <v>28</v>
      </c>
      <c r="D4036" s="12">
        <v>157.29</v>
      </c>
      <c r="E4036" s="12">
        <f>SUMIF('Parametros Inventario'!$A:$A,B4036,'Parametros Inventario'!$B:$B)+SUMIFS(D$2:D4036,B$2:B4036,B4036,C$2:C4036,"ENTRADA")-SUMIFS(D$2:D4036,B$2:B4036,B4036,C$2:C4036,"SALIDA")</f>
        <v>18283.657999999999</v>
      </c>
    </row>
    <row r="4037" spans="1:5" x14ac:dyDescent="0.3">
      <c r="A4037" s="9">
        <v>45492</v>
      </c>
      <c r="B4037" s="10" t="s">
        <v>16</v>
      </c>
      <c r="C4037" s="10" t="s">
        <v>28</v>
      </c>
      <c r="D4037" s="12">
        <v>168.47</v>
      </c>
      <c r="E4037" s="12">
        <f>SUMIF('Parametros Inventario'!$A:$A,B4037,'Parametros Inventario'!$B:$B)+SUMIFS(D$2:D4037,B$2:B4037,B4037,C$2:C4037,"ENTRADA")-SUMIFS(D$2:D4037,B$2:B4037,B4037,C$2:C4037,"SALIDA")</f>
        <v>19217.464999999997</v>
      </c>
    </row>
    <row r="4038" spans="1:5" x14ac:dyDescent="0.3">
      <c r="A4038" s="9">
        <v>45492</v>
      </c>
      <c r="B4038" s="10" t="s">
        <v>17</v>
      </c>
      <c r="C4038" s="10" t="s">
        <v>28</v>
      </c>
      <c r="D4038" s="12">
        <v>245.68</v>
      </c>
      <c r="E4038" s="12">
        <f>SUMIF('Parametros Inventario'!$A:$A,B4038,'Parametros Inventario'!$B:$B)+SUMIFS(D$2:D4038,B$2:B4038,B4038,C$2:C4038,"ENTRADA")-SUMIFS(D$2:D4038,B$2:B4038,B4038,C$2:C4038,"SALIDA")</f>
        <v>18258.515999999996</v>
      </c>
    </row>
    <row r="4039" spans="1:5" x14ac:dyDescent="0.3">
      <c r="A4039" s="9">
        <v>45492</v>
      </c>
      <c r="B4039" s="10" t="s">
        <v>18</v>
      </c>
      <c r="C4039" s="10" t="s">
        <v>28</v>
      </c>
      <c r="D4039" s="12">
        <v>75.77</v>
      </c>
      <c r="E4039" s="12">
        <f>SUMIF('Parametros Inventario'!$A:$A,B4039,'Parametros Inventario'!$B:$B)+SUMIFS(D$2:D4039,B$2:B4039,B4039,C$2:C4039,"ENTRADA")-SUMIFS(D$2:D4039,B$2:B4039,B4039,C$2:C4039,"SALIDA")</f>
        <v>18746.641999999993</v>
      </c>
    </row>
    <row r="4040" spans="1:5" x14ac:dyDescent="0.3">
      <c r="A4040" s="9">
        <v>45492</v>
      </c>
      <c r="B4040" s="10" t="s">
        <v>10</v>
      </c>
      <c r="C4040" s="10" t="s">
        <v>28</v>
      </c>
      <c r="D4040" s="12">
        <v>232.61</v>
      </c>
      <c r="E4040" s="12">
        <f>SUMIF('Parametros Inventario'!$A:$A,B4040,'Parametros Inventario'!$B:$B)+SUMIFS(D$2:D4040,B$2:B4040,B4040,C$2:C4040,"ENTRADA")-SUMIFS(D$2:D4040,B$2:B4040,B4040,C$2:C4040,"SALIDA")</f>
        <v>20027.657000000007</v>
      </c>
    </row>
    <row r="4041" spans="1:5" x14ac:dyDescent="0.3">
      <c r="A4041" s="9">
        <v>45492</v>
      </c>
      <c r="B4041" s="10" t="s">
        <v>8</v>
      </c>
      <c r="C4041" s="10" t="s">
        <v>28</v>
      </c>
      <c r="D4041" s="12">
        <v>202.78</v>
      </c>
      <c r="E4041" s="12">
        <f>SUMIF('Parametros Inventario'!$A:$A,B4041,'Parametros Inventario'!$B:$B)+SUMIFS(D$2:D4041,B$2:B4041,B4041,C$2:C4041,"ENTRADA")-SUMIFS(D$2:D4041,B$2:B4041,B4041,C$2:C4041,"SALIDA")</f>
        <v>18695.317000000017</v>
      </c>
    </row>
    <row r="4042" spans="1:5" x14ac:dyDescent="0.3">
      <c r="A4042" s="9">
        <v>45492</v>
      </c>
      <c r="B4042" s="10" t="s">
        <v>13</v>
      </c>
      <c r="C4042" s="10" t="s">
        <v>28</v>
      </c>
      <c r="D4042" s="12">
        <v>97.17</v>
      </c>
      <c r="E4042" s="12">
        <f>SUMIF('Parametros Inventario'!$A:$A,B4042,'Parametros Inventario'!$B:$B)+SUMIFS(D$2:D4042,B$2:B4042,B4042,C$2:C4042,"ENTRADA")-SUMIFS(D$2:D4042,B$2:B4042,B4042,C$2:C4042,"SALIDA")</f>
        <v>18095.892</v>
      </c>
    </row>
    <row r="4043" spans="1:5" x14ac:dyDescent="0.3">
      <c r="A4043" s="9">
        <v>45492</v>
      </c>
      <c r="B4043" s="10" t="s">
        <v>15</v>
      </c>
      <c r="C4043" s="10" t="s">
        <v>28</v>
      </c>
      <c r="D4043" s="12">
        <v>263.72000000000003</v>
      </c>
      <c r="E4043" s="12">
        <f>SUMIF('Parametros Inventario'!$A:$A,B4043,'Parametros Inventario'!$B:$B)+SUMIFS(D$2:D4043,B$2:B4043,B4043,C$2:C4043,"ENTRADA")-SUMIFS(D$2:D4043,B$2:B4043,B4043,C$2:C4043,"SALIDA")</f>
        <v>20663.363999999994</v>
      </c>
    </row>
    <row r="4044" spans="1:5" x14ac:dyDescent="0.3">
      <c r="A4044" s="9">
        <v>45492</v>
      </c>
      <c r="B4044" s="10" t="s">
        <v>11</v>
      </c>
      <c r="C4044" s="10" t="s">
        <v>28</v>
      </c>
      <c r="D4044" s="12">
        <v>207.23</v>
      </c>
      <c r="E4044" s="12">
        <f>SUMIF('Parametros Inventario'!$A:$A,B4044,'Parametros Inventario'!$B:$B)+SUMIFS(D$2:D4044,B$2:B4044,B4044,C$2:C4044,"ENTRADA")-SUMIFS(D$2:D4044,B$2:B4044,B4044,C$2:C4044,"SALIDA")</f>
        <v>21743.116000000013</v>
      </c>
    </row>
    <row r="4045" spans="1:5" x14ac:dyDescent="0.3">
      <c r="A4045" s="9">
        <v>45492</v>
      </c>
      <c r="B4045" s="10" t="s">
        <v>9</v>
      </c>
      <c r="C4045" s="10" t="s">
        <v>28</v>
      </c>
      <c r="D4045" s="12">
        <v>87.18</v>
      </c>
      <c r="E4045" s="12">
        <f>SUMIF('Parametros Inventario'!$A:$A,B4045,'Parametros Inventario'!$B:$B)+SUMIFS(D$2:D4045,B$2:B4045,B4045,C$2:C4045,"ENTRADA")-SUMIFS(D$2:D4045,B$2:B4045,B4045,C$2:C4045,"SALIDA")</f>
        <v>16652.993999999995</v>
      </c>
    </row>
    <row r="4046" spans="1:5" x14ac:dyDescent="0.3">
      <c r="A4046" s="9">
        <v>45492</v>
      </c>
      <c r="B4046" s="10" t="s">
        <v>14</v>
      </c>
      <c r="C4046" s="10" t="s">
        <v>28</v>
      </c>
      <c r="D4046" s="12">
        <v>80.12</v>
      </c>
      <c r="E4046" s="12">
        <f>SUMIF('Parametros Inventario'!$A:$A,B4046,'Parametros Inventario'!$B:$B)+SUMIFS(D$2:D4046,B$2:B4046,B4046,C$2:C4046,"ENTRADA")-SUMIFS(D$2:D4046,B$2:B4046,B4046,C$2:C4046,"SALIDA")</f>
        <v>19258.403999999995</v>
      </c>
    </row>
    <row r="4047" spans="1:5" x14ac:dyDescent="0.3">
      <c r="A4047" s="9">
        <v>45492</v>
      </c>
      <c r="B4047" s="10" t="s">
        <v>12</v>
      </c>
      <c r="C4047" s="10" t="s">
        <v>28</v>
      </c>
      <c r="D4047" s="12">
        <v>150.32</v>
      </c>
      <c r="E4047" s="12">
        <f>SUMIF('Parametros Inventario'!$A:$A,B4047,'Parametros Inventario'!$B:$B)+SUMIFS(D$2:D4047,B$2:B4047,B4047,C$2:C4047,"ENTRADA")-SUMIFS(D$2:D4047,B$2:B4047,B4047,C$2:C4047,"SALIDA")</f>
        <v>18433.977999999999</v>
      </c>
    </row>
    <row r="4048" spans="1:5" x14ac:dyDescent="0.3">
      <c r="A4048" s="9">
        <v>45492</v>
      </c>
      <c r="B4048" s="10" t="s">
        <v>16</v>
      </c>
      <c r="C4048" s="10" t="s">
        <v>28</v>
      </c>
      <c r="D4048" s="12">
        <v>118.47</v>
      </c>
      <c r="E4048" s="12">
        <f>SUMIF('Parametros Inventario'!$A:$A,B4048,'Parametros Inventario'!$B:$B)+SUMIFS(D$2:D4048,B$2:B4048,B4048,C$2:C4048,"ENTRADA")-SUMIFS(D$2:D4048,B$2:B4048,B4048,C$2:C4048,"SALIDA")</f>
        <v>19335.934999999998</v>
      </c>
    </row>
    <row r="4049" spans="1:5" x14ac:dyDescent="0.3">
      <c r="A4049" s="9">
        <v>45492</v>
      </c>
      <c r="B4049" s="10" t="s">
        <v>17</v>
      </c>
      <c r="C4049" s="10" t="s">
        <v>28</v>
      </c>
      <c r="D4049" s="12">
        <v>98.04</v>
      </c>
      <c r="E4049" s="12">
        <f>SUMIF('Parametros Inventario'!$A:$A,B4049,'Parametros Inventario'!$B:$B)+SUMIFS(D$2:D4049,B$2:B4049,B4049,C$2:C4049,"ENTRADA")-SUMIFS(D$2:D4049,B$2:B4049,B4049,C$2:C4049,"SALIDA")</f>
        <v>18356.555999999997</v>
      </c>
    </row>
    <row r="4050" spans="1:5" x14ac:dyDescent="0.3">
      <c r="A4050" s="9">
        <v>45492</v>
      </c>
      <c r="B4050" s="10" t="s">
        <v>18</v>
      </c>
      <c r="C4050" s="10" t="s">
        <v>28</v>
      </c>
      <c r="D4050" s="12">
        <v>86.55</v>
      </c>
      <c r="E4050" s="12">
        <f>SUMIF('Parametros Inventario'!$A:$A,B4050,'Parametros Inventario'!$B:$B)+SUMIFS(D$2:D4050,B$2:B4050,B4050,C$2:C4050,"ENTRADA")-SUMIFS(D$2:D4050,B$2:B4050,B4050,C$2:C4050,"SALIDA")</f>
        <v>18833.191999999992</v>
      </c>
    </row>
    <row r="4051" spans="1:5" x14ac:dyDescent="0.3">
      <c r="A4051" s="9">
        <f>'Volúmenes DIstribuidos '!B2481</f>
        <v>45492</v>
      </c>
      <c r="B4051" s="10" t="str">
        <f>IF(OR('Volúmenes DIstribuidos '!C2481="Azúcar",'Volúmenes DIstribuidos '!C2481="azúcar"),"Azúcar o dulce",IF('Volúmenes DIstribuidos '!C2481="Aceite","Aceite o grasas",IF('Volúmenes DIstribuidos '!C2481="Avena","Otros almidones",'Volúmenes DIstribuidos '!C2481)))</f>
        <v>Lácteos</v>
      </c>
      <c r="C4051" s="10" t="s">
        <v>29</v>
      </c>
      <c r="D4051" s="12">
        <f>'Volúmenes DIstribuidos '!D2481</f>
        <v>9.7170000000000005</v>
      </c>
      <c r="E4051" s="12">
        <f>SUMIF('Parametros Inventario'!$A:$A,B4051,'Parametros Inventario'!$B:$B)+SUMIFS(D$2:D4051,B$2:B4051,B4051,C$2:C4051,"ENTRADA")-SUMIFS(D$2:D4051,B$2:B4051,B4051,C$2:C4051,"SALIDA")</f>
        <v>18346.839</v>
      </c>
    </row>
    <row r="4052" spans="1:5" x14ac:dyDescent="0.3">
      <c r="A4052" s="9">
        <f>'Volúmenes DIstribuidos '!B2481</f>
        <v>45492</v>
      </c>
      <c r="B4052" s="10" t="str">
        <f>IF(OR('Volúmenes DIstribuidos '!C2482="Azúcar",'Volúmenes DIstribuidos '!C2482="azúcar"),"Azúcar o dulce",IF('Volúmenes DIstribuidos '!C2482="Aceite","Aceite o grasas",IF('Volúmenes DIstribuidos '!C2482="Avena","Otros almidones",'Volúmenes DIstribuidos '!C2482)))</f>
        <v>Lácteos</v>
      </c>
      <c r="C4052" s="10" t="s">
        <v>29</v>
      </c>
      <c r="D4052" s="12">
        <f>'Volúmenes DIstribuidos '!D2482</f>
        <v>9.84</v>
      </c>
      <c r="E4052" s="12">
        <f>SUMIF('Parametros Inventario'!$A:$A,B4052,'Parametros Inventario'!$B:$B)+SUMIFS(D$2:D4052,B$2:B4052,B4052,C$2:C4052,"ENTRADA")-SUMIFS(D$2:D4052,B$2:B4052,B4052,C$2:C4052,"SALIDA")</f>
        <v>18336.999</v>
      </c>
    </row>
    <row r="4053" spans="1:5" x14ac:dyDescent="0.3">
      <c r="A4053" s="9">
        <f>'Volúmenes DIstribuidos '!B2481</f>
        <v>45492</v>
      </c>
      <c r="B4053" s="10" t="str">
        <f>IF(OR('Volúmenes DIstribuidos '!C2483="Azúcar",'Volúmenes DIstribuidos '!C2483="azúcar"),"Azúcar o dulce",IF('Volúmenes DIstribuidos '!C2483="Aceite","Aceite o grasas",IF('Volúmenes DIstribuidos '!C2483="Avena","Otros almidones",'Volúmenes DIstribuidos '!C2483)))</f>
        <v>Salsas</v>
      </c>
      <c r="C4053" s="10" t="s">
        <v>29</v>
      </c>
      <c r="D4053" s="12">
        <f>'Volúmenes DIstribuidos '!D2483</f>
        <v>10.06</v>
      </c>
      <c r="E4053" s="12">
        <f>SUMIF('Parametros Inventario'!$A:$A,B4053,'Parametros Inventario'!$B:$B)+SUMIFS(D$2:D4053,B$2:B4053,B4053,C$2:C4053,"ENTRADA")-SUMIFS(D$2:D4053,B$2:B4053,B4053,C$2:C4053,"SALIDA")</f>
        <v>18823.131999999991</v>
      </c>
    </row>
    <row r="4054" spans="1:5" x14ac:dyDescent="0.3">
      <c r="A4054" s="9">
        <f>'Volúmenes DIstribuidos '!B2481</f>
        <v>45492</v>
      </c>
      <c r="B4054" s="10" t="str">
        <f>IF(OR('Volúmenes DIstribuidos '!C2484="Azúcar",'Volúmenes DIstribuidos '!C2484="azúcar"),"Azúcar o dulce",IF('Volúmenes DIstribuidos '!C2484="Aceite","Aceite o grasas",IF('Volúmenes DIstribuidos '!C2484="Avena","Otros almidones",'Volúmenes DIstribuidos '!C2484)))</f>
        <v>Fideo</v>
      </c>
      <c r="C4054" s="10" t="s">
        <v>29</v>
      </c>
      <c r="D4054" s="12">
        <f>'Volúmenes DIstribuidos '!D2484</f>
        <v>5.48</v>
      </c>
      <c r="E4054" s="12">
        <f>SUMIF('Parametros Inventario'!$A:$A,B4054,'Parametros Inventario'!$B:$B)+SUMIFS(D$2:D4054,B$2:B4054,B4054,C$2:C4054,"ENTRADA")-SUMIFS(D$2:D4054,B$2:B4054,B4054,C$2:C4054,"SALIDA")</f>
        <v>21737.636000000013</v>
      </c>
    </row>
    <row r="4055" spans="1:5" x14ac:dyDescent="0.3">
      <c r="A4055" s="9">
        <f>'Volúmenes DIstribuidos '!B2481</f>
        <v>45492</v>
      </c>
      <c r="B4055" s="10" t="str">
        <f>IF(OR('Volúmenes DIstribuidos '!C2485="Azúcar",'Volúmenes DIstribuidos '!C2485="azúcar"),"Azúcar o dulce",IF('Volúmenes DIstribuidos '!C2485="Aceite","Aceite o grasas",IF('Volúmenes DIstribuidos '!C2485="Avena","Otros almidones",'Volúmenes DIstribuidos '!C2485)))</f>
        <v>Panadería</v>
      </c>
      <c r="C4055" s="10" t="s">
        <v>29</v>
      </c>
      <c r="D4055" s="12">
        <f>'Volúmenes DIstribuidos '!D2485</f>
        <v>12.44</v>
      </c>
      <c r="E4055" s="12">
        <f>SUMIF('Parametros Inventario'!$A:$A,B4055,'Parametros Inventario'!$B:$B)+SUMIFS(D$2:D4055,B$2:B4055,B4055,C$2:C4055,"ENTRADA")-SUMIFS(D$2:D4055,B$2:B4055,B4055,C$2:C4055,"SALIDA")</f>
        <v>16640.553999999996</v>
      </c>
    </row>
    <row r="4056" spans="1:5" x14ac:dyDescent="0.3">
      <c r="A4056" s="9">
        <f>'Volúmenes DIstribuidos '!B2481</f>
        <v>45492</v>
      </c>
      <c r="B4056" s="10" t="str">
        <f>IF(OR('Volúmenes DIstribuidos '!C2486="Azúcar",'Volúmenes DIstribuidos '!C2486="azúcar"),"Azúcar o dulce",IF('Volúmenes DIstribuidos '!C2486="Aceite","Aceite o grasas",IF('Volúmenes DIstribuidos '!C2486="Avena","Otros almidones",'Volúmenes DIstribuidos '!C2486)))</f>
        <v>Carnes rojas</v>
      </c>
      <c r="C4056" s="10" t="s">
        <v>29</v>
      </c>
      <c r="D4056" s="12">
        <f>'Volúmenes DIstribuidos '!D2486</f>
        <v>3.68</v>
      </c>
      <c r="E4056" s="12">
        <f>SUMIF('Parametros Inventario'!$A:$A,B4056,'Parametros Inventario'!$B:$B)+SUMIFS(D$2:D4056,B$2:B4056,B4056,C$2:C4056,"ENTRADA")-SUMIFS(D$2:D4056,B$2:B4056,B4056,C$2:C4056,"SALIDA")</f>
        <v>18430.297999999999</v>
      </c>
    </row>
    <row r="4057" spans="1:5" x14ac:dyDescent="0.3">
      <c r="A4057" s="9">
        <f>'Volúmenes DIstribuidos '!B2487</f>
        <v>45496</v>
      </c>
      <c r="B4057" s="10" t="str">
        <f>IF(OR('Volúmenes DIstribuidos '!C2487="Azúcar",'Volúmenes DIstribuidos '!C2487="azúcar"),"Azúcar o dulce",IF('Volúmenes DIstribuidos '!C2487="Aceite","Aceite o grasas",IF('Volúmenes DIstribuidos '!C2487="Avena","Otros almidones",'Volúmenes DIstribuidos '!C2487)))</f>
        <v>Vegetales y hojas</v>
      </c>
      <c r="C4057" s="10" t="s">
        <v>29</v>
      </c>
      <c r="D4057" s="12">
        <f>'Volúmenes DIstribuidos '!D2487</f>
        <v>41.982999999999997</v>
      </c>
      <c r="E4057" s="12">
        <f>SUMIF('Parametros Inventario'!$A:$A,B4057,'Parametros Inventario'!$B:$B)+SUMIFS(D$2:D4057,B$2:B4057,B4057,C$2:C4057,"ENTRADA")-SUMIFS(D$2:D4057,B$2:B4057,B4057,C$2:C4057,"SALIDA")</f>
        <v>19985.674000000006</v>
      </c>
    </row>
    <row r="4058" spans="1:5" x14ac:dyDescent="0.3">
      <c r="A4058" s="9">
        <f>'Volúmenes DIstribuidos '!B2487</f>
        <v>45496</v>
      </c>
      <c r="B4058" s="10" t="str">
        <f>IF(OR('Volúmenes DIstribuidos '!C2488="Azúcar",'Volúmenes DIstribuidos '!C2488="azúcar"),"Azúcar o dulce",IF('Volúmenes DIstribuidos '!C2488="Aceite","Aceite o grasas",IF('Volúmenes DIstribuidos '!C2488="Avena","Otros almidones",'Volúmenes DIstribuidos '!C2488)))</f>
        <v>Panadería</v>
      </c>
      <c r="C4058" s="10" t="s">
        <v>29</v>
      </c>
      <c r="D4058" s="12">
        <f>'Volúmenes DIstribuidos '!D2488</f>
        <v>25.73</v>
      </c>
      <c r="E4058" s="12">
        <f>SUMIF('Parametros Inventario'!$A:$A,B4058,'Parametros Inventario'!$B:$B)+SUMIFS(D$2:D4058,B$2:B4058,B4058,C$2:C4058,"ENTRADA")-SUMIFS(D$2:D4058,B$2:B4058,B4058,C$2:C4058,"SALIDA")</f>
        <v>16614.823999999993</v>
      </c>
    </row>
    <row r="4059" spans="1:5" x14ac:dyDescent="0.3">
      <c r="A4059" s="9">
        <f>'Volúmenes DIstribuidos '!B2487</f>
        <v>45496</v>
      </c>
      <c r="B4059" s="10" t="str">
        <f>IF(OR('Volúmenes DIstribuidos '!C2489="Azúcar",'Volúmenes DIstribuidos '!C2489="azúcar"),"Azúcar o dulce",IF('Volúmenes DIstribuidos '!C2489="Aceite","Aceite o grasas",IF('Volúmenes DIstribuidos '!C2489="Avena","Otros almidones",'Volúmenes DIstribuidos '!C2489)))</f>
        <v>Lácteos</v>
      </c>
      <c r="C4059" s="10" t="s">
        <v>29</v>
      </c>
      <c r="D4059" s="12">
        <f>'Volúmenes DIstribuidos '!D2489</f>
        <v>30.62</v>
      </c>
      <c r="E4059" s="12">
        <f>SUMIF('Parametros Inventario'!$A:$A,B4059,'Parametros Inventario'!$B:$B)+SUMIFS(D$2:D4059,B$2:B4059,B4059,C$2:C4059,"ENTRADA")-SUMIFS(D$2:D4059,B$2:B4059,B4059,C$2:C4059,"SALIDA")</f>
        <v>18306.379000000001</v>
      </c>
    </row>
    <row r="4060" spans="1:5" x14ac:dyDescent="0.3">
      <c r="A4060" s="9">
        <f>'Volúmenes DIstribuidos '!B2487</f>
        <v>45496</v>
      </c>
      <c r="B4060" s="10" t="str">
        <f>IF(OR('Volúmenes DIstribuidos '!C2490="Azúcar",'Volúmenes DIstribuidos '!C2490="azúcar"),"Azúcar o dulce",IF('Volúmenes DIstribuidos '!C2490="Aceite","Aceite o grasas",IF('Volúmenes DIstribuidos '!C2490="Avena","Otros almidones",'Volúmenes DIstribuidos '!C2490)))</f>
        <v>Azúcar o dulce</v>
      </c>
      <c r="C4060" s="10" t="s">
        <v>29</v>
      </c>
      <c r="D4060" s="12">
        <f>'Volúmenes DIstribuidos '!D2490</f>
        <v>25.3</v>
      </c>
      <c r="E4060" s="12">
        <f>SUMIF('Parametros Inventario'!$A:$A,B4060,'Parametros Inventario'!$B:$B)+SUMIFS(D$2:D4060,B$2:B4060,B4060,C$2:C4060,"ENTRADA")-SUMIFS(D$2:D4060,B$2:B4060,B4060,C$2:C4060,"SALIDA")</f>
        <v>18070.592000000001</v>
      </c>
    </row>
    <row r="4061" spans="1:5" x14ac:dyDescent="0.3">
      <c r="A4061" s="9">
        <f>'Volúmenes DIstribuidos '!B2487</f>
        <v>45496</v>
      </c>
      <c r="B4061" s="10" t="str">
        <f>IF(OR('Volúmenes DIstribuidos '!C2491="Azúcar",'Volúmenes DIstribuidos '!C2491="azúcar"),"Azúcar o dulce",IF('Volúmenes DIstribuidos '!C2491="Aceite","Aceite o grasas",IF('Volúmenes DIstribuidos '!C2491="Avena","Otros almidones",'Volúmenes DIstribuidos '!C2491)))</f>
        <v>Carnes blancas</v>
      </c>
      <c r="C4061" s="10" t="s">
        <v>29</v>
      </c>
      <c r="D4061" s="12">
        <f>'Volúmenes DIstribuidos '!D2491</f>
        <v>75.2</v>
      </c>
      <c r="E4061" s="12">
        <f>SUMIF('Parametros Inventario'!$A:$A,B4061,'Parametros Inventario'!$B:$B)+SUMIFS(D$2:D4061,B$2:B4061,B4061,C$2:C4061,"ENTRADA")-SUMIFS(D$2:D4061,B$2:B4061,B4061,C$2:C4061,"SALIDA")</f>
        <v>19260.734999999997</v>
      </c>
    </row>
    <row r="4062" spans="1:5" x14ac:dyDescent="0.3">
      <c r="A4062" s="9">
        <f>'Volúmenes DIstribuidos '!B2487</f>
        <v>45496</v>
      </c>
      <c r="B4062" s="10" t="str">
        <f>IF(OR('Volúmenes DIstribuidos '!C2492="Azúcar",'Volúmenes DIstribuidos '!C2492="azúcar"),"Azúcar o dulce",IF('Volúmenes DIstribuidos '!C2492="Aceite","Aceite o grasas",IF('Volúmenes DIstribuidos '!C2492="Avena","Otros almidones",'Volúmenes DIstribuidos '!C2492)))</f>
        <v>Fideo</v>
      </c>
      <c r="C4062" s="10" t="s">
        <v>29</v>
      </c>
      <c r="D4062" s="12">
        <f>'Volúmenes DIstribuidos '!D2492</f>
        <v>14.87</v>
      </c>
      <c r="E4062" s="12">
        <f>SUMIF('Parametros Inventario'!$A:$A,B4062,'Parametros Inventario'!$B:$B)+SUMIFS(D$2:D4062,B$2:B4062,B4062,C$2:C4062,"ENTRADA")-SUMIFS(D$2:D4062,B$2:B4062,B4062,C$2:C4062,"SALIDA")</f>
        <v>21722.766000000014</v>
      </c>
    </row>
    <row r="4063" spans="1:5" x14ac:dyDescent="0.3">
      <c r="A4063" s="9">
        <v>45499</v>
      </c>
      <c r="B4063" s="10" t="s">
        <v>10</v>
      </c>
      <c r="C4063" s="10" t="s">
        <v>28</v>
      </c>
      <c r="D4063" s="12">
        <v>54.42</v>
      </c>
      <c r="E4063" s="12">
        <f>SUMIF('Parametros Inventario'!$A:$A,B4063,'Parametros Inventario'!$B:$B)+SUMIFS(D$2:D4063,B$2:B4063,B4063,C$2:C4063,"ENTRADA")-SUMIFS(D$2:D4063,B$2:B4063,B4063,C$2:C4063,"SALIDA")</f>
        <v>20040.094000000005</v>
      </c>
    </row>
    <row r="4064" spans="1:5" x14ac:dyDescent="0.3">
      <c r="A4064" s="9">
        <v>45499</v>
      </c>
      <c r="B4064" s="10" t="s">
        <v>8</v>
      </c>
      <c r="C4064" s="10" t="s">
        <v>28</v>
      </c>
      <c r="D4064" s="12">
        <v>99.91</v>
      </c>
      <c r="E4064" s="12">
        <f>SUMIF('Parametros Inventario'!$A:$A,B4064,'Parametros Inventario'!$B:$B)+SUMIFS(D$2:D4064,B$2:B4064,B4064,C$2:C4064,"ENTRADA")-SUMIFS(D$2:D4064,B$2:B4064,B4064,C$2:C4064,"SALIDA")</f>
        <v>18795.227000000014</v>
      </c>
    </row>
    <row r="4065" spans="1:5" x14ac:dyDescent="0.3">
      <c r="A4065" s="9">
        <v>45499</v>
      </c>
      <c r="B4065" s="10" t="s">
        <v>13</v>
      </c>
      <c r="C4065" s="10" t="s">
        <v>28</v>
      </c>
      <c r="D4065" s="12">
        <v>266.08999999999997</v>
      </c>
      <c r="E4065" s="12">
        <f>SUMIF('Parametros Inventario'!$A:$A,B4065,'Parametros Inventario'!$B:$B)+SUMIFS(D$2:D4065,B$2:B4065,B4065,C$2:C4065,"ENTRADA")-SUMIFS(D$2:D4065,B$2:B4065,B4065,C$2:C4065,"SALIDA")</f>
        <v>18336.682000000001</v>
      </c>
    </row>
    <row r="4066" spans="1:5" x14ac:dyDescent="0.3">
      <c r="A4066" s="9">
        <v>45499</v>
      </c>
      <c r="B4066" s="10" t="s">
        <v>15</v>
      </c>
      <c r="C4066" s="10" t="s">
        <v>28</v>
      </c>
      <c r="D4066" s="12">
        <v>145.09</v>
      </c>
      <c r="E4066" s="12">
        <f>SUMIF('Parametros Inventario'!$A:$A,B4066,'Parametros Inventario'!$B:$B)+SUMIFS(D$2:D4066,B$2:B4066,B4066,C$2:C4066,"ENTRADA")-SUMIFS(D$2:D4066,B$2:B4066,B4066,C$2:C4066,"SALIDA")</f>
        <v>20808.453999999998</v>
      </c>
    </row>
    <row r="4067" spans="1:5" x14ac:dyDescent="0.3">
      <c r="A4067" s="9">
        <v>45499</v>
      </c>
      <c r="B4067" s="10" t="s">
        <v>11</v>
      </c>
      <c r="C4067" s="10" t="s">
        <v>28</v>
      </c>
      <c r="D4067" s="12">
        <v>181.24</v>
      </c>
      <c r="E4067" s="12">
        <f>SUMIF('Parametros Inventario'!$A:$A,B4067,'Parametros Inventario'!$B:$B)+SUMIFS(D$2:D4067,B$2:B4067,B4067,C$2:C4067,"ENTRADA")-SUMIFS(D$2:D4067,B$2:B4067,B4067,C$2:C4067,"SALIDA")</f>
        <v>21904.006000000016</v>
      </c>
    </row>
    <row r="4068" spans="1:5" x14ac:dyDescent="0.3">
      <c r="A4068" s="9">
        <v>45499</v>
      </c>
      <c r="B4068" s="10" t="s">
        <v>9</v>
      </c>
      <c r="C4068" s="10" t="s">
        <v>28</v>
      </c>
      <c r="D4068" s="12">
        <v>225.04</v>
      </c>
      <c r="E4068" s="12">
        <f>SUMIF('Parametros Inventario'!$A:$A,B4068,'Parametros Inventario'!$B:$B)+SUMIFS(D$2:D4068,B$2:B4068,B4068,C$2:C4068,"ENTRADA")-SUMIFS(D$2:D4068,B$2:B4068,B4068,C$2:C4068,"SALIDA")</f>
        <v>16839.863999999994</v>
      </c>
    </row>
    <row r="4069" spans="1:5" x14ac:dyDescent="0.3">
      <c r="A4069" s="9">
        <v>45499</v>
      </c>
      <c r="B4069" s="10" t="s">
        <v>14</v>
      </c>
      <c r="C4069" s="10" t="s">
        <v>28</v>
      </c>
      <c r="D4069" s="12">
        <v>295.02999999999997</v>
      </c>
      <c r="E4069" s="12">
        <f>SUMIF('Parametros Inventario'!$A:$A,B4069,'Parametros Inventario'!$B:$B)+SUMIFS(D$2:D4069,B$2:B4069,B4069,C$2:C4069,"ENTRADA")-SUMIFS(D$2:D4069,B$2:B4069,B4069,C$2:C4069,"SALIDA")</f>
        <v>19553.433999999994</v>
      </c>
    </row>
    <row r="4070" spans="1:5" x14ac:dyDescent="0.3">
      <c r="A4070" s="9">
        <f>'Volúmenes DIstribuidos '!B2493</f>
        <v>45499</v>
      </c>
      <c r="B4070" s="10" t="str">
        <f>IF(OR('Volúmenes DIstribuidos '!C2493="Azúcar",'Volúmenes DIstribuidos '!C2493="azúcar"),"Azúcar o dulce",IF('Volúmenes DIstribuidos '!C2493="Aceite","Aceite o grasas",IF('Volúmenes DIstribuidos '!C2493="Avena","Otros almidones",'Volúmenes DIstribuidos '!C2493)))</f>
        <v>Carnes rojas</v>
      </c>
      <c r="C4070" s="10" t="s">
        <v>29</v>
      </c>
      <c r="D4070" s="12">
        <f>'Volúmenes DIstribuidos '!D2493</f>
        <v>54.622</v>
      </c>
      <c r="E4070" s="12">
        <f>SUMIF('Parametros Inventario'!$A:$A,B4070,'Parametros Inventario'!$B:$B)+SUMIFS(D$2:D4070,B$2:B4070,B4070,C$2:C4070,"ENTRADA")-SUMIFS(D$2:D4070,B$2:B4070,B4070,C$2:C4070,"SALIDA")</f>
        <v>18375.675999999999</v>
      </c>
    </row>
    <row r="4071" spans="1:5" x14ac:dyDescent="0.3">
      <c r="A4071" s="9">
        <f>'Volúmenes DIstribuidos '!B2493</f>
        <v>45499</v>
      </c>
      <c r="B4071" s="10" t="str">
        <f>IF(OR('Volúmenes DIstribuidos '!C2494="Azúcar",'Volúmenes DIstribuidos '!C2494="azúcar"),"Azúcar o dulce",IF('Volúmenes DIstribuidos '!C2494="Aceite","Aceite o grasas",IF('Volúmenes DIstribuidos '!C2494="Avena","Otros almidones",'Volúmenes DIstribuidos '!C2494)))</f>
        <v>Otros almidones</v>
      </c>
      <c r="C4071" s="10" t="s">
        <v>29</v>
      </c>
      <c r="D4071" s="12">
        <f>'Volúmenes DIstribuidos '!D2494</f>
        <v>79.599999999999994</v>
      </c>
      <c r="E4071" s="12">
        <f>SUMIF('Parametros Inventario'!$A:$A,B4071,'Parametros Inventario'!$B:$B)+SUMIFS(D$2:D4071,B$2:B4071,B4071,C$2:C4071,"ENTRADA")-SUMIFS(D$2:D4071,B$2:B4071,B4071,C$2:C4071,"SALIDA")</f>
        <v>20728.853999999996</v>
      </c>
    </row>
    <row r="4072" spans="1:5" x14ac:dyDescent="0.3">
      <c r="A4072" s="9">
        <f>'Volúmenes DIstribuidos '!B2493</f>
        <v>45499</v>
      </c>
      <c r="B4072" s="10" t="str">
        <f>IF(OR('Volúmenes DIstribuidos '!C2495="Azúcar",'Volúmenes DIstribuidos '!C2495="azúcar"),"Azúcar o dulce",IF('Volúmenes DIstribuidos '!C2495="Aceite","Aceite o grasas",IF('Volúmenes DIstribuidos '!C2495="Avena","Otros almidones",'Volúmenes DIstribuidos '!C2495)))</f>
        <v>Azúcar o dulce</v>
      </c>
      <c r="C4072" s="10" t="s">
        <v>29</v>
      </c>
      <c r="D4072" s="12">
        <f>'Volúmenes DIstribuidos '!D2495</f>
        <v>131.03</v>
      </c>
      <c r="E4072" s="12">
        <f>SUMIF('Parametros Inventario'!$A:$A,B4072,'Parametros Inventario'!$B:$B)+SUMIFS(D$2:D4072,B$2:B4072,B4072,C$2:C4072,"ENTRADA")-SUMIFS(D$2:D4072,B$2:B4072,B4072,C$2:C4072,"SALIDA")</f>
        <v>18205.652000000002</v>
      </c>
    </row>
    <row r="4073" spans="1:5" x14ac:dyDescent="0.3">
      <c r="A4073" s="9">
        <f>'Volúmenes DIstribuidos '!B2493</f>
        <v>45499</v>
      </c>
      <c r="B4073" s="10" t="str">
        <f>IF(OR('Volúmenes DIstribuidos '!C2496="Azúcar",'Volúmenes DIstribuidos '!C2496="azúcar"),"Azúcar o dulce",IF('Volúmenes DIstribuidos '!C2496="Aceite","Aceite o grasas",IF('Volúmenes DIstribuidos '!C2496="Avena","Otros almidones",'Volúmenes DIstribuidos '!C2496)))</f>
        <v>Fideo</v>
      </c>
      <c r="C4073" s="10" t="s">
        <v>29</v>
      </c>
      <c r="D4073" s="12">
        <f>'Volúmenes DIstribuidos '!D2496</f>
        <v>67.849999999999994</v>
      </c>
      <c r="E4073" s="12">
        <f>SUMIF('Parametros Inventario'!$A:$A,B4073,'Parametros Inventario'!$B:$B)+SUMIFS(D$2:D4073,B$2:B4073,B4073,C$2:C4073,"ENTRADA")-SUMIFS(D$2:D4073,B$2:B4073,B4073,C$2:C4073,"SALIDA")</f>
        <v>21836.156000000014</v>
      </c>
    </row>
    <row r="4074" spans="1:5" x14ac:dyDescent="0.3">
      <c r="A4074" s="9">
        <f>'Volúmenes DIstribuidos '!B2493</f>
        <v>45499</v>
      </c>
      <c r="B4074" s="10" t="str">
        <f>IF(OR('Volúmenes DIstribuidos '!C2497="Azúcar",'Volúmenes DIstribuidos '!C2497="azúcar"),"Azúcar o dulce",IF('Volúmenes DIstribuidos '!C2497="Aceite","Aceite o grasas",IF('Volúmenes DIstribuidos '!C2497="Avena","Otros almidones",'Volúmenes DIstribuidos '!C2497)))</f>
        <v>Carnes blancas</v>
      </c>
      <c r="C4074" s="10" t="s">
        <v>29</v>
      </c>
      <c r="D4074" s="12">
        <f>'Volúmenes DIstribuidos '!D2497</f>
        <v>86.56</v>
      </c>
      <c r="E4074" s="12">
        <f>SUMIF('Parametros Inventario'!$A:$A,B4074,'Parametros Inventario'!$B:$B)+SUMIFS(D$2:D4074,B$2:B4074,B4074,C$2:C4074,"ENTRADA")-SUMIFS(D$2:D4074,B$2:B4074,B4074,C$2:C4074,"SALIDA")</f>
        <v>19174.174999999996</v>
      </c>
    </row>
    <row r="4075" spans="1:5" x14ac:dyDescent="0.3">
      <c r="A4075" s="9">
        <f>'Volúmenes DIstribuidos '!B2493</f>
        <v>45499</v>
      </c>
      <c r="B4075" s="10" t="str">
        <f>IF(OR('Volúmenes DIstribuidos '!C2498="Azúcar",'Volúmenes DIstribuidos '!C2498="azúcar"),"Azúcar o dulce",IF('Volúmenes DIstribuidos '!C2498="Aceite","Aceite o grasas",IF('Volúmenes DIstribuidos '!C2498="Avena","Otros almidones",'Volúmenes DIstribuidos '!C2498)))</f>
        <v>Panadería</v>
      </c>
      <c r="C4075" s="10" t="s">
        <v>29</v>
      </c>
      <c r="D4075" s="12">
        <f>'Volúmenes DIstribuidos '!D2498</f>
        <v>13.932</v>
      </c>
      <c r="E4075" s="12">
        <f>SUMIF('Parametros Inventario'!$A:$A,B4075,'Parametros Inventario'!$B:$B)+SUMIFS(D$2:D4075,B$2:B4075,B4075,C$2:C4075,"ENTRADA")-SUMIFS(D$2:D4075,B$2:B4075,B4075,C$2:C4075,"SALIDA")</f>
        <v>16825.931999999997</v>
      </c>
    </row>
    <row r="4076" spans="1:5" x14ac:dyDescent="0.3">
      <c r="A4076" s="9">
        <f>'Volúmenes DIstribuidos '!B2499</f>
        <v>45503</v>
      </c>
      <c r="B4076" s="10" t="str">
        <f>IF(OR('Volúmenes DIstribuidos '!C2499="Azúcar",'Volúmenes DIstribuidos '!C2499="azúcar"),"Azúcar o dulce",IF('Volúmenes DIstribuidos '!C2499="Aceite","Aceite o grasas",IF('Volúmenes DIstribuidos '!C2499="Avena","Otros almidones",'Volúmenes DIstribuidos '!C2499)))</f>
        <v>Panadería</v>
      </c>
      <c r="C4076" s="10" t="s">
        <v>29</v>
      </c>
      <c r="D4076" s="12">
        <f>'Volúmenes DIstribuidos '!D2499</f>
        <v>4.22</v>
      </c>
      <c r="E4076" s="12">
        <f>SUMIF('Parametros Inventario'!$A:$A,B4076,'Parametros Inventario'!$B:$B)+SUMIFS(D$2:D4076,B$2:B4076,B4076,C$2:C4076,"ENTRADA")-SUMIFS(D$2:D4076,B$2:B4076,B4076,C$2:C4076,"SALIDA")</f>
        <v>16821.711999999996</v>
      </c>
    </row>
    <row r="4077" spans="1:5" x14ac:dyDescent="0.3">
      <c r="A4077" s="9">
        <f>'Volúmenes DIstribuidos '!B2499</f>
        <v>45503</v>
      </c>
      <c r="B4077" s="10" t="str">
        <f>IF(OR('Volúmenes DIstribuidos '!C2500="Azúcar",'Volúmenes DIstribuidos '!C2500="azúcar"),"Azúcar o dulce",IF('Volúmenes DIstribuidos '!C2500="Aceite","Aceite o grasas",IF('Volúmenes DIstribuidos '!C2500="Avena","Otros almidones",'Volúmenes DIstribuidos '!C2500)))</f>
        <v>Salsas</v>
      </c>
      <c r="C4077" s="10" t="s">
        <v>29</v>
      </c>
      <c r="D4077" s="12">
        <f>'Volúmenes DIstribuidos '!D2500</f>
        <v>4.8600000000000003</v>
      </c>
      <c r="E4077" s="12">
        <f>SUMIF('Parametros Inventario'!$A:$A,B4077,'Parametros Inventario'!$B:$B)+SUMIFS(D$2:D4077,B$2:B4077,B4077,C$2:C4077,"ENTRADA")-SUMIFS(D$2:D4077,B$2:B4077,B4077,C$2:C4077,"SALIDA")</f>
        <v>18818.27199999999</v>
      </c>
    </row>
    <row r="4078" spans="1:5" x14ac:dyDescent="0.3">
      <c r="A4078" s="9">
        <f>'Volúmenes DIstribuidos '!B2499</f>
        <v>45503</v>
      </c>
      <c r="B4078" s="10" t="str">
        <f>IF(OR('Volúmenes DIstribuidos '!C2501="Azúcar",'Volúmenes DIstribuidos '!C2501="azúcar"),"Azúcar o dulce",IF('Volúmenes DIstribuidos '!C2501="Aceite","Aceite o grasas",IF('Volúmenes DIstribuidos '!C2501="Avena","Otros almidones",'Volúmenes DIstribuidos '!C2501)))</f>
        <v>Aceite o grasas</v>
      </c>
      <c r="C4078" s="10" t="s">
        <v>29</v>
      </c>
      <c r="D4078" s="12">
        <f>'Volúmenes DIstribuidos '!D2501</f>
        <v>25.82</v>
      </c>
      <c r="E4078" s="12">
        <f>SUMIF('Parametros Inventario'!$A:$A,B4078,'Parametros Inventario'!$B:$B)+SUMIFS(D$2:D4078,B$2:B4078,B4078,C$2:C4078,"ENTRADA")-SUMIFS(D$2:D4078,B$2:B4078,B4078,C$2:C4078,"SALIDA")</f>
        <v>18769.407000000014</v>
      </c>
    </row>
    <row r="4079" spans="1:5" x14ac:dyDescent="0.3">
      <c r="A4079" s="9">
        <f>'Volúmenes DIstribuidos '!B2499</f>
        <v>45503</v>
      </c>
      <c r="B4079" s="10" t="str">
        <f>IF(OR('Volúmenes DIstribuidos '!C2502="Azúcar",'Volúmenes DIstribuidos '!C2502="azúcar"),"Azúcar o dulce",IF('Volúmenes DIstribuidos '!C2502="Aceite","Aceite o grasas",IF('Volúmenes DIstribuidos '!C2502="Avena","Otros almidones",'Volúmenes DIstribuidos '!C2502)))</f>
        <v>Azúcar o dulce</v>
      </c>
      <c r="C4079" s="10" t="s">
        <v>29</v>
      </c>
      <c r="D4079" s="12">
        <f>'Volúmenes DIstribuidos '!D2502</f>
        <v>18.82</v>
      </c>
      <c r="E4079" s="12">
        <f>SUMIF('Parametros Inventario'!$A:$A,B4079,'Parametros Inventario'!$B:$B)+SUMIFS(D$2:D4079,B$2:B4079,B4079,C$2:C4079,"ENTRADA")-SUMIFS(D$2:D4079,B$2:B4079,B4079,C$2:C4079,"SALIDA")</f>
        <v>18186.832000000002</v>
      </c>
    </row>
    <row r="4080" spans="1:5" x14ac:dyDescent="0.3">
      <c r="A4080" s="9">
        <f>'Volúmenes DIstribuidos '!B2499</f>
        <v>45503</v>
      </c>
      <c r="B4080" s="10" t="str">
        <f>IF(OR('Volúmenes DIstribuidos '!C2503="Azúcar",'Volúmenes DIstribuidos '!C2503="azúcar"),"Azúcar o dulce",IF('Volúmenes DIstribuidos '!C2503="Aceite","Aceite o grasas",IF('Volúmenes DIstribuidos '!C2503="Avena","Otros almidones",'Volúmenes DIstribuidos '!C2503)))</f>
        <v>Carnes blancas</v>
      </c>
      <c r="C4080" s="10" t="s">
        <v>29</v>
      </c>
      <c r="D4080" s="12">
        <f>'Volúmenes DIstribuidos '!D2503</f>
        <v>20.486999999999998</v>
      </c>
      <c r="E4080" s="12">
        <f>SUMIF('Parametros Inventario'!$A:$A,B4080,'Parametros Inventario'!$B:$B)+SUMIFS(D$2:D4080,B$2:B4080,B4080,C$2:C4080,"ENTRADA")-SUMIFS(D$2:D4080,B$2:B4080,B4080,C$2:C4080,"SALIDA")</f>
        <v>19153.687999999998</v>
      </c>
    </row>
    <row r="4081" spans="1:5" x14ac:dyDescent="0.3">
      <c r="A4081" s="9">
        <f>'Volúmenes DIstribuidos '!B2499</f>
        <v>45503</v>
      </c>
      <c r="B4081" s="10" t="str">
        <f>IF(OR('Volúmenes DIstribuidos '!C2504="Azúcar",'Volúmenes DIstribuidos '!C2504="azúcar"),"Azúcar o dulce",IF('Volúmenes DIstribuidos '!C2504="Aceite","Aceite o grasas",IF('Volúmenes DIstribuidos '!C2504="Avena","Otros almidones",'Volúmenes DIstribuidos '!C2504)))</f>
        <v>Carnes rojas</v>
      </c>
      <c r="C4081" s="10" t="s">
        <v>29</v>
      </c>
      <c r="D4081" s="12">
        <f>'Volúmenes DIstribuidos '!D2504</f>
        <v>53.91</v>
      </c>
      <c r="E4081" s="12">
        <f>SUMIF('Parametros Inventario'!$A:$A,B4081,'Parametros Inventario'!$B:$B)+SUMIFS(D$2:D4081,B$2:B4081,B4081,C$2:C4081,"ENTRADA")-SUMIFS(D$2:D4081,B$2:B4081,B4081,C$2:C4081,"SALIDA")</f>
        <v>18321.766</v>
      </c>
    </row>
    <row r="4082" spans="1:5" x14ac:dyDescent="0.3">
      <c r="A4082" s="9">
        <v>45506</v>
      </c>
      <c r="B4082" s="10" t="s">
        <v>12</v>
      </c>
      <c r="C4082" s="10" t="s">
        <v>28</v>
      </c>
      <c r="D4082" s="12">
        <v>105.44</v>
      </c>
      <c r="E4082" s="12">
        <f>SUMIF('Parametros Inventario'!$A:$A,B4082,'Parametros Inventario'!$B:$B)+SUMIFS(D$2:D4082,B$2:B4082,B4082,C$2:C4082,"ENTRADA")-SUMIFS(D$2:D4082,B$2:B4082,B4082,C$2:C4082,"SALIDA")</f>
        <v>18427.205999999998</v>
      </c>
    </row>
    <row r="4083" spans="1:5" x14ac:dyDescent="0.3">
      <c r="A4083" s="9">
        <v>45506</v>
      </c>
      <c r="B4083" s="10" t="s">
        <v>16</v>
      </c>
      <c r="C4083" s="10" t="s">
        <v>28</v>
      </c>
      <c r="D4083" s="12">
        <v>156.52000000000001</v>
      </c>
      <c r="E4083" s="12">
        <f>SUMIF('Parametros Inventario'!$A:$A,B4083,'Parametros Inventario'!$B:$B)+SUMIFS(D$2:D4083,B$2:B4083,B4083,C$2:C4083,"ENTRADA")-SUMIFS(D$2:D4083,B$2:B4083,B4083,C$2:C4083,"SALIDA")</f>
        <v>19310.207999999999</v>
      </c>
    </row>
    <row r="4084" spans="1:5" x14ac:dyDescent="0.3">
      <c r="A4084" s="9">
        <v>45506</v>
      </c>
      <c r="B4084" s="10" t="s">
        <v>17</v>
      </c>
      <c r="C4084" s="10" t="s">
        <v>28</v>
      </c>
      <c r="D4084" s="12">
        <v>65.34</v>
      </c>
      <c r="E4084" s="12">
        <f>SUMIF('Parametros Inventario'!$A:$A,B4084,'Parametros Inventario'!$B:$B)+SUMIFS(D$2:D4084,B$2:B4084,B4084,C$2:C4084,"ENTRADA")-SUMIFS(D$2:D4084,B$2:B4084,B4084,C$2:C4084,"SALIDA")</f>
        <v>18371.718999999997</v>
      </c>
    </row>
    <row r="4085" spans="1:5" x14ac:dyDescent="0.3">
      <c r="A4085" s="9">
        <v>45506</v>
      </c>
      <c r="B4085" s="10" t="s">
        <v>18</v>
      </c>
      <c r="C4085" s="10" t="s">
        <v>28</v>
      </c>
      <c r="D4085" s="12">
        <v>156.77000000000001</v>
      </c>
      <c r="E4085" s="12">
        <f>SUMIF('Parametros Inventario'!$A:$A,B4085,'Parametros Inventario'!$B:$B)+SUMIFS(D$2:D4085,B$2:B4085,B4085,C$2:C4085,"ENTRADA")-SUMIFS(D$2:D4085,B$2:B4085,B4085,C$2:C4085,"SALIDA")</f>
        <v>18975.04199999999</v>
      </c>
    </row>
    <row r="4086" spans="1:5" x14ac:dyDescent="0.3">
      <c r="A4086" s="9">
        <v>45506</v>
      </c>
      <c r="B4086" s="10" t="s">
        <v>10</v>
      </c>
      <c r="C4086" s="10" t="s">
        <v>28</v>
      </c>
      <c r="D4086" s="12">
        <v>62.91</v>
      </c>
      <c r="E4086" s="12">
        <f>SUMIF('Parametros Inventario'!$A:$A,B4086,'Parametros Inventario'!$B:$B)+SUMIFS(D$2:D4086,B$2:B4086,B4086,C$2:C4086,"ENTRADA")-SUMIFS(D$2:D4086,B$2:B4086,B4086,C$2:C4086,"SALIDA")</f>
        <v>20103.004000000004</v>
      </c>
    </row>
    <row r="4087" spans="1:5" x14ac:dyDescent="0.3">
      <c r="A4087" s="9">
        <v>45506</v>
      </c>
      <c r="B4087" s="10" t="s">
        <v>8</v>
      </c>
      <c r="C4087" s="10" t="s">
        <v>28</v>
      </c>
      <c r="D4087" s="12">
        <v>77.510000000000005</v>
      </c>
      <c r="E4087" s="12">
        <f>SUMIF('Parametros Inventario'!$A:$A,B4087,'Parametros Inventario'!$B:$B)+SUMIFS(D$2:D4087,B$2:B4087,B4087,C$2:C4087,"ENTRADA")-SUMIFS(D$2:D4087,B$2:B4087,B4087,C$2:C4087,"SALIDA")</f>
        <v>18846.917000000016</v>
      </c>
    </row>
    <row r="4088" spans="1:5" x14ac:dyDescent="0.3">
      <c r="A4088" s="9">
        <f>'Volúmenes DIstribuidos '!B2505</f>
        <v>45506</v>
      </c>
      <c r="B4088" s="10" t="str">
        <f>IF(OR('Volúmenes DIstribuidos '!C2505="Azúcar",'Volúmenes DIstribuidos '!C2505="azúcar"),"Azúcar o dulce",IF('Volúmenes DIstribuidos '!C2505="Aceite","Aceite o grasas",IF('Volúmenes DIstribuidos '!C2505="Avena","Otros almidones",'Volúmenes DIstribuidos '!C2505)))</f>
        <v>Azúcar o dulce</v>
      </c>
      <c r="C4088" s="10" t="s">
        <v>29</v>
      </c>
      <c r="D4088" s="12">
        <f>'Volúmenes DIstribuidos '!D2505</f>
        <v>16.100000000000001</v>
      </c>
      <c r="E4088" s="12">
        <f>SUMIF('Parametros Inventario'!$A:$A,B4088,'Parametros Inventario'!$B:$B)+SUMIFS(D$2:D4088,B$2:B4088,B4088,C$2:C4088,"ENTRADA")-SUMIFS(D$2:D4088,B$2:B4088,B4088,C$2:C4088,"SALIDA")</f>
        <v>18170.732000000004</v>
      </c>
    </row>
    <row r="4089" spans="1:5" x14ac:dyDescent="0.3">
      <c r="A4089" s="9">
        <f>'Volúmenes DIstribuidos '!B2505</f>
        <v>45506</v>
      </c>
      <c r="B4089" s="10" t="str">
        <f>IF(OR('Volúmenes DIstribuidos '!C2506="Azúcar",'Volúmenes DIstribuidos '!C2506="azúcar"),"Azúcar o dulce",IF('Volúmenes DIstribuidos '!C2506="Aceite","Aceite o grasas",IF('Volúmenes DIstribuidos '!C2506="Avena","Otros almidones",'Volúmenes DIstribuidos '!C2506)))</f>
        <v>Vegetales y hojas</v>
      </c>
      <c r="C4089" s="10" t="s">
        <v>29</v>
      </c>
      <c r="D4089" s="12">
        <f>'Volúmenes DIstribuidos '!D2506</f>
        <v>10.56</v>
      </c>
      <c r="E4089" s="12">
        <f>SUMIF('Parametros Inventario'!$A:$A,B4089,'Parametros Inventario'!$B:$B)+SUMIFS(D$2:D4089,B$2:B4089,B4089,C$2:C4089,"ENTRADA")-SUMIFS(D$2:D4089,B$2:B4089,B4089,C$2:C4089,"SALIDA")</f>
        <v>20092.444000000003</v>
      </c>
    </row>
    <row r="4090" spans="1:5" x14ac:dyDescent="0.3">
      <c r="A4090" s="9">
        <f>'Volúmenes DIstribuidos '!B2505</f>
        <v>45506</v>
      </c>
      <c r="B4090" s="10" t="str">
        <f>IF(OR('Volúmenes DIstribuidos '!C2507="Azúcar",'Volúmenes DIstribuidos '!C2507="azúcar"),"Azúcar o dulce",IF('Volúmenes DIstribuidos '!C2507="Aceite","Aceite o grasas",IF('Volúmenes DIstribuidos '!C2507="Avena","Otros almidones",'Volúmenes DIstribuidos '!C2507)))</f>
        <v>Menestras</v>
      </c>
      <c r="C4090" s="10" t="s">
        <v>29</v>
      </c>
      <c r="D4090" s="12">
        <f>'Volúmenes DIstribuidos '!D2507</f>
        <v>13.66</v>
      </c>
      <c r="E4090" s="12">
        <f>SUMIF('Parametros Inventario'!$A:$A,B4090,'Parametros Inventario'!$B:$B)+SUMIFS(D$2:D4090,B$2:B4090,B4090,C$2:C4090,"ENTRADA")-SUMIFS(D$2:D4090,B$2:B4090,B4090,C$2:C4090,"SALIDA")</f>
        <v>19539.77399999999</v>
      </c>
    </row>
    <row r="4091" spans="1:5" x14ac:dyDescent="0.3">
      <c r="A4091" s="9">
        <f>'Volúmenes DIstribuidos '!B2505</f>
        <v>45506</v>
      </c>
      <c r="B4091" s="10" t="str">
        <f>IF(OR('Volúmenes DIstribuidos '!C2508="Azúcar",'Volúmenes DIstribuidos '!C2508="azúcar"),"Azúcar o dulce",IF('Volúmenes DIstribuidos '!C2508="Aceite","Aceite o grasas",IF('Volúmenes DIstribuidos '!C2508="Avena","Otros almidones",'Volúmenes DIstribuidos '!C2508)))</f>
        <v>Salsas</v>
      </c>
      <c r="C4091" s="10" t="s">
        <v>29</v>
      </c>
      <c r="D4091" s="12">
        <f>'Volúmenes DIstribuidos '!D2508</f>
        <v>16.96</v>
      </c>
      <c r="E4091" s="12">
        <f>SUMIF('Parametros Inventario'!$A:$A,B4091,'Parametros Inventario'!$B:$B)+SUMIFS(D$2:D4091,B$2:B4091,B4091,C$2:C4091,"ENTRADA")-SUMIFS(D$2:D4091,B$2:B4091,B4091,C$2:C4091,"SALIDA")</f>
        <v>18958.081999999991</v>
      </c>
    </row>
    <row r="4092" spans="1:5" x14ac:dyDescent="0.3">
      <c r="A4092" s="9">
        <f>'Volúmenes DIstribuidos '!B2505</f>
        <v>45506</v>
      </c>
      <c r="B4092" s="10" t="str">
        <f>IF(OR('Volúmenes DIstribuidos '!C2509="Azúcar",'Volúmenes DIstribuidos '!C2509="azúcar"),"Azúcar o dulce",IF('Volúmenes DIstribuidos '!C2509="Aceite","Aceite o grasas",IF('Volúmenes DIstribuidos '!C2509="Avena","Otros almidones",'Volúmenes DIstribuidos '!C2509)))</f>
        <v>Carnes blancas</v>
      </c>
      <c r="C4092" s="10" t="s">
        <v>29</v>
      </c>
      <c r="D4092" s="12">
        <f>'Volúmenes DIstribuidos '!D2509</f>
        <v>4.8940000000000001</v>
      </c>
      <c r="E4092" s="12">
        <f>SUMIF('Parametros Inventario'!$A:$A,B4092,'Parametros Inventario'!$B:$B)+SUMIFS(D$2:D4092,B$2:B4092,B4092,C$2:C4092,"ENTRADA")-SUMIFS(D$2:D4092,B$2:B4092,B4092,C$2:C4092,"SALIDA")</f>
        <v>19305.313999999998</v>
      </c>
    </row>
    <row r="4093" spans="1:5" x14ac:dyDescent="0.3">
      <c r="A4093" s="9">
        <f>'Volúmenes DIstribuidos '!B2505</f>
        <v>45506</v>
      </c>
      <c r="B4093" s="10" t="str">
        <f>IF(OR('Volúmenes DIstribuidos '!C2510="Azúcar",'Volúmenes DIstribuidos '!C2510="azúcar"),"Azúcar o dulce",IF('Volúmenes DIstribuidos '!C2510="Aceite","Aceite o grasas",IF('Volúmenes DIstribuidos '!C2510="Avena","Otros almidones",'Volúmenes DIstribuidos '!C2510)))</f>
        <v>Carnes rojas</v>
      </c>
      <c r="C4093" s="10" t="s">
        <v>29</v>
      </c>
      <c r="D4093" s="12">
        <f>'Volúmenes DIstribuidos '!D2510</f>
        <v>19.75</v>
      </c>
      <c r="E4093" s="12">
        <f>SUMIF('Parametros Inventario'!$A:$A,B4093,'Parametros Inventario'!$B:$B)+SUMIFS(D$2:D4093,B$2:B4093,B4093,C$2:C4093,"ENTRADA")-SUMIFS(D$2:D4093,B$2:B4093,B4093,C$2:C4093,"SALIDA")</f>
        <v>18407.455999999998</v>
      </c>
    </row>
    <row r="4094" spans="1:5" x14ac:dyDescent="0.3">
      <c r="A4094" s="9">
        <f>'Volúmenes DIstribuidos '!B2511</f>
        <v>45510</v>
      </c>
      <c r="B4094" s="10" t="str">
        <f>IF(OR('Volúmenes DIstribuidos '!C2511="Azúcar",'Volúmenes DIstribuidos '!C2511="azúcar"),"Azúcar o dulce",IF('Volúmenes DIstribuidos '!C2511="Aceite","Aceite o grasas",IF('Volúmenes DIstribuidos '!C2511="Avena","Otros almidones",'Volúmenes DIstribuidos '!C2511)))</f>
        <v>Menestras</v>
      </c>
      <c r="C4094" s="10" t="s">
        <v>29</v>
      </c>
      <c r="D4094" s="12">
        <f>'Volúmenes DIstribuidos '!D2511</f>
        <v>25.66</v>
      </c>
      <c r="E4094" s="12">
        <f>SUMIF('Parametros Inventario'!$A:$A,B4094,'Parametros Inventario'!$B:$B)+SUMIFS(D$2:D4094,B$2:B4094,B4094,C$2:C4094,"ENTRADA")-SUMIFS(D$2:D4094,B$2:B4094,B4094,C$2:C4094,"SALIDA")</f>
        <v>19514.113999999994</v>
      </c>
    </row>
    <row r="4095" spans="1:5" x14ac:dyDescent="0.3">
      <c r="A4095" s="9">
        <f>'Volúmenes DIstribuidos '!B2511</f>
        <v>45510</v>
      </c>
      <c r="B4095" s="10" t="str">
        <f>IF(OR('Volúmenes DIstribuidos '!C2512="Azúcar",'Volúmenes DIstribuidos '!C2512="azúcar"),"Azúcar o dulce",IF('Volúmenes DIstribuidos '!C2512="Aceite","Aceite o grasas",IF('Volúmenes DIstribuidos '!C2512="Avena","Otros almidones",'Volúmenes DIstribuidos '!C2512)))</f>
        <v>Azúcar o dulce</v>
      </c>
      <c r="C4095" s="10" t="s">
        <v>29</v>
      </c>
      <c r="D4095" s="12">
        <f>'Volúmenes DIstribuidos '!D2512</f>
        <v>15.37</v>
      </c>
      <c r="E4095" s="12">
        <f>SUMIF('Parametros Inventario'!$A:$A,B4095,'Parametros Inventario'!$B:$B)+SUMIFS(D$2:D4095,B$2:B4095,B4095,C$2:C4095,"ENTRADA")-SUMIFS(D$2:D4095,B$2:B4095,B4095,C$2:C4095,"SALIDA")</f>
        <v>18155.362000000001</v>
      </c>
    </row>
    <row r="4096" spans="1:5" x14ac:dyDescent="0.3">
      <c r="A4096" s="9">
        <f>'Volúmenes DIstribuidos '!B2511</f>
        <v>45510</v>
      </c>
      <c r="B4096" s="10" t="str">
        <f>IF(OR('Volúmenes DIstribuidos '!C2513="Azúcar",'Volúmenes DIstribuidos '!C2513="azúcar"),"Azúcar o dulce",IF('Volúmenes DIstribuidos '!C2513="Aceite","Aceite o grasas",IF('Volúmenes DIstribuidos '!C2513="Avena","Otros almidones",'Volúmenes DIstribuidos '!C2513)))</f>
        <v>Carnes blancas</v>
      </c>
      <c r="C4096" s="10" t="s">
        <v>29</v>
      </c>
      <c r="D4096" s="12">
        <f>'Volúmenes DIstribuidos '!D2513</f>
        <v>8.5570000000000004</v>
      </c>
      <c r="E4096" s="12">
        <f>SUMIF('Parametros Inventario'!$A:$A,B4096,'Parametros Inventario'!$B:$B)+SUMIFS(D$2:D4096,B$2:B4096,B4096,C$2:C4096,"ENTRADA")-SUMIFS(D$2:D4096,B$2:B4096,B4096,C$2:C4096,"SALIDA")</f>
        <v>19296.756999999998</v>
      </c>
    </row>
    <row r="4097" spans="1:5" x14ac:dyDescent="0.3">
      <c r="A4097" s="9">
        <f>'Volúmenes DIstribuidos '!B2511</f>
        <v>45510</v>
      </c>
      <c r="B4097" s="10" t="str">
        <f>IF(OR('Volúmenes DIstribuidos '!C2514="Azúcar",'Volúmenes DIstribuidos '!C2514="azúcar"),"Azúcar o dulce",IF('Volúmenes DIstribuidos '!C2514="Aceite","Aceite o grasas",IF('Volúmenes DIstribuidos '!C2514="Avena","Otros almidones",'Volúmenes DIstribuidos '!C2514)))</f>
        <v>Vegetales y hojas</v>
      </c>
      <c r="C4097" s="10" t="s">
        <v>29</v>
      </c>
      <c r="D4097" s="12">
        <f>'Volúmenes DIstribuidos '!D2514</f>
        <v>9.5500000000000007</v>
      </c>
      <c r="E4097" s="12">
        <f>SUMIF('Parametros Inventario'!$A:$A,B4097,'Parametros Inventario'!$B:$B)+SUMIFS(D$2:D4097,B$2:B4097,B4097,C$2:C4097,"ENTRADA")-SUMIFS(D$2:D4097,B$2:B4097,B4097,C$2:C4097,"SALIDA")</f>
        <v>20082.894000000004</v>
      </c>
    </row>
    <row r="4098" spans="1:5" x14ac:dyDescent="0.3">
      <c r="A4098" s="9">
        <f>'Volúmenes DIstribuidos '!B2511</f>
        <v>45510</v>
      </c>
      <c r="B4098" s="10" t="str">
        <f>IF(OR('Volúmenes DIstribuidos '!C2515="Azúcar",'Volúmenes DIstribuidos '!C2515="azúcar"),"Azúcar o dulce",IF('Volúmenes DIstribuidos '!C2515="Aceite","Aceite o grasas",IF('Volúmenes DIstribuidos '!C2515="Avena","Otros almidones",'Volúmenes DIstribuidos '!C2515)))</f>
        <v>Aceite o grasas</v>
      </c>
      <c r="C4098" s="10" t="s">
        <v>29</v>
      </c>
      <c r="D4098" s="12">
        <f>'Volúmenes DIstribuidos '!D2515</f>
        <v>13.79</v>
      </c>
      <c r="E4098" s="12">
        <f>SUMIF('Parametros Inventario'!$A:$A,B4098,'Parametros Inventario'!$B:$B)+SUMIFS(D$2:D4098,B$2:B4098,B4098,C$2:C4098,"ENTRADA")-SUMIFS(D$2:D4098,B$2:B4098,B4098,C$2:C4098,"SALIDA")</f>
        <v>18833.127000000015</v>
      </c>
    </row>
    <row r="4099" spans="1:5" x14ac:dyDescent="0.3">
      <c r="A4099" s="9">
        <f>'Volúmenes DIstribuidos '!B2511</f>
        <v>45510</v>
      </c>
      <c r="B4099" s="10" t="str">
        <f>IF(OR('Volúmenes DIstribuidos '!C2516="Azúcar",'Volúmenes DIstribuidos '!C2516="azúcar"),"Azúcar o dulce",IF('Volúmenes DIstribuidos '!C2516="Aceite","Aceite o grasas",IF('Volúmenes DIstribuidos '!C2516="Avena","Otros almidones",'Volúmenes DIstribuidos '!C2516)))</f>
        <v>Otros almidones</v>
      </c>
      <c r="C4099" s="10" t="s">
        <v>29</v>
      </c>
      <c r="D4099" s="12">
        <f>'Volúmenes DIstribuidos '!D2516</f>
        <v>5.47</v>
      </c>
      <c r="E4099" s="12">
        <f>SUMIF('Parametros Inventario'!$A:$A,B4099,'Parametros Inventario'!$B:$B)+SUMIFS(D$2:D4099,B$2:B4099,B4099,C$2:C4099,"ENTRADA")-SUMIFS(D$2:D4099,B$2:B4099,B4099,C$2:C4099,"SALIDA")</f>
        <v>20723.383999999995</v>
      </c>
    </row>
    <row r="4100" spans="1:5" x14ac:dyDescent="0.3">
      <c r="A4100" s="9">
        <v>45513</v>
      </c>
      <c r="B4100" s="10" t="s">
        <v>13</v>
      </c>
      <c r="C4100" s="10" t="s">
        <v>28</v>
      </c>
      <c r="D4100" s="12">
        <v>140.88999999999999</v>
      </c>
      <c r="E4100" s="12">
        <f>SUMIF('Parametros Inventario'!$A:$A,B4100,'Parametros Inventario'!$B:$B)+SUMIFS(D$2:D4100,B$2:B4100,B4100,C$2:C4100,"ENTRADA")-SUMIFS(D$2:D4100,B$2:B4100,B4100,C$2:C4100,"SALIDA")</f>
        <v>18296.252</v>
      </c>
    </row>
    <row r="4101" spans="1:5" x14ac:dyDescent="0.3">
      <c r="A4101" s="9">
        <v>45513</v>
      </c>
      <c r="B4101" s="10" t="s">
        <v>15</v>
      </c>
      <c r="C4101" s="10" t="s">
        <v>28</v>
      </c>
      <c r="D4101" s="12">
        <v>285.75</v>
      </c>
      <c r="E4101" s="12">
        <f>SUMIF('Parametros Inventario'!$A:$A,B4101,'Parametros Inventario'!$B:$B)+SUMIFS(D$2:D4101,B$2:B4101,B4101,C$2:C4101,"ENTRADA")-SUMIFS(D$2:D4101,B$2:B4101,B4101,C$2:C4101,"SALIDA")</f>
        <v>21009.133999999995</v>
      </c>
    </row>
    <row r="4102" spans="1:5" x14ac:dyDescent="0.3">
      <c r="A4102" s="9">
        <v>45513</v>
      </c>
      <c r="B4102" s="10" t="s">
        <v>11</v>
      </c>
      <c r="C4102" s="10" t="s">
        <v>28</v>
      </c>
      <c r="D4102" s="12">
        <v>227.9</v>
      </c>
      <c r="E4102" s="12">
        <f>SUMIF('Parametros Inventario'!$A:$A,B4102,'Parametros Inventario'!$B:$B)+SUMIFS(D$2:D4102,B$2:B4102,B4102,C$2:C4102,"ENTRADA")-SUMIFS(D$2:D4102,B$2:B4102,B4102,C$2:C4102,"SALIDA")</f>
        <v>22064.056000000015</v>
      </c>
    </row>
    <row r="4103" spans="1:5" x14ac:dyDescent="0.3">
      <c r="A4103" s="9">
        <v>45513</v>
      </c>
      <c r="B4103" s="10" t="s">
        <v>9</v>
      </c>
      <c r="C4103" s="10" t="s">
        <v>28</v>
      </c>
      <c r="D4103" s="12">
        <v>111.74</v>
      </c>
      <c r="E4103" s="12">
        <f>SUMIF('Parametros Inventario'!$A:$A,B4103,'Parametros Inventario'!$B:$B)+SUMIFS(D$2:D4103,B$2:B4103,B4103,C$2:C4103,"ENTRADA")-SUMIFS(D$2:D4103,B$2:B4103,B4103,C$2:C4103,"SALIDA")</f>
        <v>16933.451999999997</v>
      </c>
    </row>
    <row r="4104" spans="1:5" x14ac:dyDescent="0.3">
      <c r="A4104" s="9">
        <v>45513</v>
      </c>
      <c r="B4104" s="10" t="s">
        <v>14</v>
      </c>
      <c r="C4104" s="10" t="s">
        <v>28</v>
      </c>
      <c r="D4104" s="12">
        <v>273.77999999999997</v>
      </c>
      <c r="E4104" s="12">
        <f>SUMIF('Parametros Inventario'!$A:$A,B4104,'Parametros Inventario'!$B:$B)+SUMIFS(D$2:D4104,B$2:B4104,B4104,C$2:C4104,"ENTRADA")-SUMIFS(D$2:D4104,B$2:B4104,B4104,C$2:C4104,"SALIDA")</f>
        <v>19787.893999999993</v>
      </c>
    </row>
    <row r="4105" spans="1:5" x14ac:dyDescent="0.3">
      <c r="A4105" s="9">
        <v>45513</v>
      </c>
      <c r="B4105" s="10" t="s">
        <v>12</v>
      </c>
      <c r="C4105" s="10" t="s">
        <v>28</v>
      </c>
      <c r="D4105" s="12">
        <v>95.44</v>
      </c>
      <c r="E4105" s="12">
        <f>SUMIF('Parametros Inventario'!$A:$A,B4105,'Parametros Inventario'!$B:$B)+SUMIFS(D$2:D4105,B$2:B4105,B4105,C$2:C4105,"ENTRADA")-SUMIFS(D$2:D4105,B$2:B4105,B4105,C$2:C4105,"SALIDA")</f>
        <v>18502.895999999997</v>
      </c>
    </row>
    <row r="4106" spans="1:5" x14ac:dyDescent="0.3">
      <c r="A4106" s="9">
        <v>45513</v>
      </c>
      <c r="B4106" s="10" t="s">
        <v>16</v>
      </c>
      <c r="C4106" s="10" t="s">
        <v>28</v>
      </c>
      <c r="D4106" s="12">
        <v>50.13</v>
      </c>
      <c r="E4106" s="12">
        <f>SUMIF('Parametros Inventario'!$A:$A,B4106,'Parametros Inventario'!$B:$B)+SUMIFS(D$2:D4106,B$2:B4106,B4106,C$2:C4106,"ENTRADA")-SUMIFS(D$2:D4106,B$2:B4106,B4106,C$2:C4106,"SALIDA")</f>
        <v>19346.886999999999</v>
      </c>
    </row>
    <row r="4107" spans="1:5" x14ac:dyDescent="0.3">
      <c r="A4107" s="9">
        <v>45513</v>
      </c>
      <c r="B4107" s="10" t="s">
        <v>17</v>
      </c>
      <c r="C4107" s="10" t="s">
        <v>28</v>
      </c>
      <c r="D4107" s="12">
        <v>215.11</v>
      </c>
      <c r="E4107" s="12">
        <f>SUMIF('Parametros Inventario'!$A:$A,B4107,'Parametros Inventario'!$B:$B)+SUMIFS(D$2:D4107,B$2:B4107,B4107,C$2:C4107,"ENTRADA")-SUMIFS(D$2:D4107,B$2:B4107,B4107,C$2:C4107,"SALIDA")</f>
        <v>18586.828999999998</v>
      </c>
    </row>
    <row r="4108" spans="1:5" x14ac:dyDescent="0.3">
      <c r="A4108" s="9">
        <v>45513</v>
      </c>
      <c r="B4108" s="10" t="s">
        <v>18</v>
      </c>
      <c r="C4108" s="10" t="s">
        <v>28</v>
      </c>
      <c r="D4108" s="12">
        <v>130.41</v>
      </c>
      <c r="E4108" s="12">
        <f>SUMIF('Parametros Inventario'!$A:$A,B4108,'Parametros Inventario'!$B:$B)+SUMIFS(D$2:D4108,B$2:B4108,B4108,C$2:C4108,"ENTRADA")-SUMIFS(D$2:D4108,B$2:B4108,B4108,C$2:C4108,"SALIDA")</f>
        <v>19088.491999999991</v>
      </c>
    </row>
    <row r="4109" spans="1:5" x14ac:dyDescent="0.3">
      <c r="A4109" s="9">
        <v>45513</v>
      </c>
      <c r="B4109" s="10" t="s">
        <v>10</v>
      </c>
      <c r="C4109" s="10" t="s">
        <v>28</v>
      </c>
      <c r="D4109" s="12">
        <v>121.33</v>
      </c>
      <c r="E4109" s="12">
        <f>SUMIF('Parametros Inventario'!$A:$A,B4109,'Parametros Inventario'!$B:$B)+SUMIFS(D$2:D4109,B$2:B4109,B4109,C$2:C4109,"ENTRADA")-SUMIFS(D$2:D4109,B$2:B4109,B4109,C$2:C4109,"SALIDA")</f>
        <v>20204.224000000006</v>
      </c>
    </row>
    <row r="4110" spans="1:5" x14ac:dyDescent="0.3">
      <c r="A4110" s="9">
        <v>45513</v>
      </c>
      <c r="B4110" s="10" t="s">
        <v>8</v>
      </c>
      <c r="C4110" s="10" t="s">
        <v>28</v>
      </c>
      <c r="D4110" s="12">
        <v>120.04</v>
      </c>
      <c r="E4110" s="12">
        <f>SUMIF('Parametros Inventario'!$A:$A,B4110,'Parametros Inventario'!$B:$B)+SUMIFS(D$2:D4110,B$2:B4110,B4110,C$2:C4110,"ENTRADA")-SUMIFS(D$2:D4110,B$2:B4110,B4110,C$2:C4110,"SALIDA")</f>
        <v>18953.167000000016</v>
      </c>
    </row>
    <row r="4111" spans="1:5" x14ac:dyDescent="0.3">
      <c r="A4111" s="9">
        <v>45513</v>
      </c>
      <c r="B4111" s="10" t="s">
        <v>13</v>
      </c>
      <c r="C4111" s="10" t="s">
        <v>28</v>
      </c>
      <c r="D4111" s="12">
        <v>201.63</v>
      </c>
      <c r="E4111" s="12">
        <f>SUMIF('Parametros Inventario'!$A:$A,B4111,'Parametros Inventario'!$B:$B)+SUMIFS(D$2:D4111,B$2:B4111,B4111,C$2:C4111,"ENTRADA")-SUMIFS(D$2:D4111,B$2:B4111,B4111,C$2:C4111,"SALIDA")</f>
        <v>18497.882000000001</v>
      </c>
    </row>
    <row r="4112" spans="1:5" x14ac:dyDescent="0.3">
      <c r="A4112" s="9">
        <v>45513</v>
      </c>
      <c r="B4112" s="10" t="s">
        <v>15</v>
      </c>
      <c r="C4112" s="10" t="s">
        <v>28</v>
      </c>
      <c r="D4112" s="12">
        <v>157.72999999999999</v>
      </c>
      <c r="E4112" s="12">
        <f>SUMIF('Parametros Inventario'!$A:$A,B4112,'Parametros Inventario'!$B:$B)+SUMIFS(D$2:D4112,B$2:B4112,B4112,C$2:C4112,"ENTRADA")-SUMIFS(D$2:D4112,B$2:B4112,B4112,C$2:C4112,"SALIDA")</f>
        <v>21166.863999999994</v>
      </c>
    </row>
    <row r="4113" spans="1:5" x14ac:dyDescent="0.3">
      <c r="A4113" s="9">
        <v>45513</v>
      </c>
      <c r="B4113" s="10" t="s">
        <v>11</v>
      </c>
      <c r="C4113" s="10" t="s">
        <v>28</v>
      </c>
      <c r="D4113" s="12">
        <v>113.07</v>
      </c>
      <c r="E4113" s="12">
        <f>SUMIF('Parametros Inventario'!$A:$A,B4113,'Parametros Inventario'!$B:$B)+SUMIFS(D$2:D4113,B$2:B4113,B4113,C$2:C4113,"ENTRADA")-SUMIFS(D$2:D4113,B$2:B4113,B4113,C$2:C4113,"SALIDA")</f>
        <v>22177.126000000015</v>
      </c>
    </row>
    <row r="4114" spans="1:5" x14ac:dyDescent="0.3">
      <c r="A4114" s="9">
        <v>45513</v>
      </c>
      <c r="B4114" s="10" t="s">
        <v>9</v>
      </c>
      <c r="C4114" s="10" t="s">
        <v>28</v>
      </c>
      <c r="D4114" s="12">
        <v>172.82</v>
      </c>
      <c r="E4114" s="12">
        <f>SUMIF('Parametros Inventario'!$A:$A,B4114,'Parametros Inventario'!$B:$B)+SUMIFS(D$2:D4114,B$2:B4114,B4114,C$2:C4114,"ENTRADA")-SUMIFS(D$2:D4114,B$2:B4114,B4114,C$2:C4114,"SALIDA")</f>
        <v>17106.271999999997</v>
      </c>
    </row>
    <row r="4115" spans="1:5" x14ac:dyDescent="0.3">
      <c r="A4115" s="9">
        <v>45513</v>
      </c>
      <c r="B4115" s="10" t="s">
        <v>14</v>
      </c>
      <c r="C4115" s="10" t="s">
        <v>28</v>
      </c>
      <c r="D4115" s="12">
        <v>133.57</v>
      </c>
      <c r="E4115" s="12">
        <f>SUMIF('Parametros Inventario'!$A:$A,B4115,'Parametros Inventario'!$B:$B)+SUMIFS(D$2:D4115,B$2:B4115,B4115,C$2:C4115,"ENTRADA")-SUMIFS(D$2:D4115,B$2:B4115,B4115,C$2:C4115,"SALIDA")</f>
        <v>19921.463999999993</v>
      </c>
    </row>
    <row r="4116" spans="1:5" x14ac:dyDescent="0.3">
      <c r="A4116" s="9">
        <v>45513</v>
      </c>
      <c r="B4116" s="10" t="s">
        <v>12</v>
      </c>
      <c r="C4116" s="10" t="s">
        <v>28</v>
      </c>
      <c r="D4116" s="12">
        <v>77.88</v>
      </c>
      <c r="E4116" s="12">
        <f>SUMIF('Parametros Inventario'!$A:$A,B4116,'Parametros Inventario'!$B:$B)+SUMIFS(D$2:D4116,B$2:B4116,B4116,C$2:C4116,"ENTRADA")-SUMIFS(D$2:D4116,B$2:B4116,B4116,C$2:C4116,"SALIDA")</f>
        <v>18580.775999999998</v>
      </c>
    </row>
    <row r="4117" spans="1:5" x14ac:dyDescent="0.3">
      <c r="A4117" s="9">
        <v>45513</v>
      </c>
      <c r="B4117" s="10" t="s">
        <v>16</v>
      </c>
      <c r="C4117" s="10" t="s">
        <v>28</v>
      </c>
      <c r="D4117" s="12">
        <v>217.24</v>
      </c>
      <c r="E4117" s="12">
        <f>SUMIF('Parametros Inventario'!$A:$A,B4117,'Parametros Inventario'!$B:$B)+SUMIFS(D$2:D4117,B$2:B4117,B4117,C$2:C4117,"ENTRADA")-SUMIFS(D$2:D4117,B$2:B4117,B4117,C$2:C4117,"SALIDA")</f>
        <v>19564.127</v>
      </c>
    </row>
    <row r="4118" spans="1:5" x14ac:dyDescent="0.3">
      <c r="A4118" s="9">
        <v>45513</v>
      </c>
      <c r="B4118" s="10" t="s">
        <v>17</v>
      </c>
      <c r="C4118" s="10" t="s">
        <v>28</v>
      </c>
      <c r="D4118" s="12">
        <v>220.74</v>
      </c>
      <c r="E4118" s="12">
        <f>SUMIF('Parametros Inventario'!$A:$A,B4118,'Parametros Inventario'!$B:$B)+SUMIFS(D$2:D4118,B$2:B4118,B4118,C$2:C4118,"ENTRADA")-SUMIFS(D$2:D4118,B$2:B4118,B4118,C$2:C4118,"SALIDA")</f>
        <v>18807.569000000003</v>
      </c>
    </row>
    <row r="4119" spans="1:5" x14ac:dyDescent="0.3">
      <c r="A4119" s="9">
        <f>'Volúmenes DIstribuidos '!B2517</f>
        <v>45513</v>
      </c>
      <c r="B4119" s="10" t="str">
        <f>IF(OR('Volúmenes DIstribuidos '!C2517="Azúcar",'Volúmenes DIstribuidos '!C2517="azúcar"),"Azúcar o dulce",IF('Volúmenes DIstribuidos '!C2517="Aceite","Aceite o grasas",IF('Volúmenes DIstribuidos '!C2517="Avena","Otros almidones",'Volúmenes DIstribuidos '!C2517)))</f>
        <v>Menestras</v>
      </c>
      <c r="C4119" s="10" t="s">
        <v>29</v>
      </c>
      <c r="D4119" s="12">
        <f>'Volúmenes DIstribuidos '!D2517</f>
        <v>23.79</v>
      </c>
      <c r="E4119" s="12">
        <f>SUMIF('Parametros Inventario'!$A:$A,B4119,'Parametros Inventario'!$B:$B)+SUMIFS(D$2:D4119,B$2:B4119,B4119,C$2:C4119,"ENTRADA")-SUMIFS(D$2:D4119,B$2:B4119,B4119,C$2:C4119,"SALIDA")</f>
        <v>19897.673999999992</v>
      </c>
    </row>
    <row r="4120" spans="1:5" x14ac:dyDescent="0.3">
      <c r="A4120" s="9">
        <f>'Volúmenes DIstribuidos '!B2517</f>
        <v>45513</v>
      </c>
      <c r="B4120" s="10" t="str">
        <f>IF(OR('Volúmenes DIstribuidos '!C2518="Azúcar",'Volúmenes DIstribuidos '!C2518="azúcar"),"Azúcar o dulce",IF('Volúmenes DIstribuidos '!C2518="Aceite","Aceite o grasas",IF('Volúmenes DIstribuidos '!C2518="Avena","Otros almidones",'Volúmenes DIstribuidos '!C2518)))</f>
        <v>Carnes blancas</v>
      </c>
      <c r="C4120" s="10" t="s">
        <v>29</v>
      </c>
      <c r="D4120" s="12">
        <f>'Volúmenes DIstribuidos '!D2518</f>
        <v>31.82</v>
      </c>
      <c r="E4120" s="12">
        <f>SUMIF('Parametros Inventario'!$A:$A,B4120,'Parametros Inventario'!$B:$B)+SUMIFS(D$2:D4120,B$2:B4120,B4120,C$2:C4120,"ENTRADA")-SUMIFS(D$2:D4120,B$2:B4120,B4120,C$2:C4120,"SALIDA")</f>
        <v>19532.307000000001</v>
      </c>
    </row>
    <row r="4121" spans="1:5" x14ac:dyDescent="0.3">
      <c r="A4121" s="9">
        <f>'Volúmenes DIstribuidos '!B2517</f>
        <v>45513</v>
      </c>
      <c r="B4121" s="10" t="str">
        <f>IF(OR('Volúmenes DIstribuidos '!C2519="Azúcar",'Volúmenes DIstribuidos '!C2519="azúcar"),"Azúcar o dulce",IF('Volúmenes DIstribuidos '!C2519="Aceite","Aceite o grasas",IF('Volúmenes DIstribuidos '!C2519="Avena","Otros almidones",'Volúmenes DIstribuidos '!C2519)))</f>
        <v>Carnes rojas</v>
      </c>
      <c r="C4121" s="10" t="s">
        <v>29</v>
      </c>
      <c r="D4121" s="12">
        <f>'Volúmenes DIstribuidos '!D2519</f>
        <v>21.93</v>
      </c>
      <c r="E4121" s="12">
        <f>SUMIF('Parametros Inventario'!$A:$A,B4121,'Parametros Inventario'!$B:$B)+SUMIFS(D$2:D4121,B$2:B4121,B4121,C$2:C4121,"ENTRADA")-SUMIFS(D$2:D4121,B$2:B4121,B4121,C$2:C4121,"SALIDA")</f>
        <v>18558.845999999998</v>
      </c>
    </row>
    <row r="4122" spans="1:5" x14ac:dyDescent="0.3">
      <c r="A4122" s="9">
        <f>'Volúmenes DIstribuidos '!B2517</f>
        <v>45513</v>
      </c>
      <c r="B4122" s="10" t="str">
        <f>IF(OR('Volúmenes DIstribuidos '!C2520="Azúcar",'Volúmenes DIstribuidos '!C2520="azúcar"),"Azúcar o dulce",IF('Volúmenes DIstribuidos '!C2520="Aceite","Aceite o grasas",IF('Volúmenes DIstribuidos '!C2520="Avena","Otros almidones",'Volúmenes DIstribuidos '!C2520)))</f>
        <v>Salsas</v>
      </c>
      <c r="C4122" s="10" t="s">
        <v>29</v>
      </c>
      <c r="D4122" s="12">
        <f>'Volúmenes DIstribuidos '!D2520</f>
        <v>30.74</v>
      </c>
      <c r="E4122" s="12">
        <f>SUMIF('Parametros Inventario'!$A:$A,B4122,'Parametros Inventario'!$B:$B)+SUMIFS(D$2:D4122,B$2:B4122,B4122,C$2:C4122,"ENTRADA")-SUMIFS(D$2:D4122,B$2:B4122,B4122,C$2:C4122,"SALIDA")</f>
        <v>19057.751999999993</v>
      </c>
    </row>
    <row r="4123" spans="1:5" x14ac:dyDescent="0.3">
      <c r="A4123" s="9">
        <f>'Volúmenes DIstribuidos '!B2517</f>
        <v>45513</v>
      </c>
      <c r="B4123" s="10" t="str">
        <f>IF(OR('Volúmenes DIstribuidos '!C2521="Azúcar",'Volúmenes DIstribuidos '!C2521="azúcar"),"Azúcar o dulce",IF('Volúmenes DIstribuidos '!C2521="Aceite","Aceite o grasas",IF('Volúmenes DIstribuidos '!C2521="Avena","Otros almidones",'Volúmenes DIstribuidos '!C2521)))</f>
        <v>Menestras</v>
      </c>
      <c r="C4123" s="10" t="s">
        <v>29</v>
      </c>
      <c r="D4123" s="12">
        <f>'Volúmenes DIstribuidos '!D2521</f>
        <v>29.445</v>
      </c>
      <c r="E4123" s="12">
        <f>SUMIF('Parametros Inventario'!$A:$A,B4123,'Parametros Inventario'!$B:$B)+SUMIFS(D$2:D4123,B$2:B4123,B4123,C$2:C4123,"ENTRADA")-SUMIFS(D$2:D4123,B$2:B4123,B4123,C$2:C4123,"SALIDA")</f>
        <v>19868.228999999992</v>
      </c>
    </row>
    <row r="4124" spans="1:5" x14ac:dyDescent="0.3">
      <c r="A4124" s="9">
        <f>'Volúmenes DIstribuidos '!B2517</f>
        <v>45513</v>
      </c>
      <c r="B4124" s="10" t="str">
        <f>IF(OR('Volúmenes DIstribuidos '!C2522="Azúcar",'Volúmenes DIstribuidos '!C2522="azúcar"),"Azúcar o dulce",IF('Volúmenes DIstribuidos '!C2522="Aceite","Aceite o grasas",IF('Volúmenes DIstribuidos '!C2522="Avena","Otros almidones",'Volúmenes DIstribuidos '!C2522)))</f>
        <v>Azúcar o dulce</v>
      </c>
      <c r="C4124" s="10" t="s">
        <v>29</v>
      </c>
      <c r="D4124" s="12">
        <f>'Volúmenes DIstribuidos '!D2522</f>
        <v>2.69</v>
      </c>
      <c r="E4124" s="12">
        <f>SUMIF('Parametros Inventario'!$A:$A,B4124,'Parametros Inventario'!$B:$B)+SUMIFS(D$2:D4124,B$2:B4124,B4124,C$2:C4124,"ENTRADA")-SUMIFS(D$2:D4124,B$2:B4124,B4124,C$2:C4124,"SALIDA")</f>
        <v>18495.192000000003</v>
      </c>
    </row>
    <row r="4125" spans="1:5" x14ac:dyDescent="0.3">
      <c r="A4125" s="9">
        <f>'Volúmenes DIstribuidos '!B2523</f>
        <v>45517</v>
      </c>
      <c r="B4125" s="10" t="str">
        <f>IF(OR('Volúmenes DIstribuidos '!C2523="Azúcar",'Volúmenes DIstribuidos '!C2523="azúcar"),"Azúcar o dulce",IF('Volúmenes DIstribuidos '!C2523="Aceite","Aceite o grasas",IF('Volúmenes DIstribuidos '!C2523="Avena","Otros almidones",'Volúmenes DIstribuidos '!C2523)))</f>
        <v>Salsas</v>
      </c>
      <c r="C4125" s="10" t="s">
        <v>29</v>
      </c>
      <c r="D4125" s="12">
        <f>'Volúmenes DIstribuidos '!D2523</f>
        <v>7.33</v>
      </c>
      <c r="E4125" s="12">
        <f>SUMIF('Parametros Inventario'!$A:$A,B4125,'Parametros Inventario'!$B:$B)+SUMIFS(D$2:D4125,B$2:B4125,B4125,C$2:C4125,"ENTRADA")-SUMIFS(D$2:D4125,B$2:B4125,B4125,C$2:C4125,"SALIDA")</f>
        <v>19050.421999999991</v>
      </c>
    </row>
    <row r="4126" spans="1:5" x14ac:dyDescent="0.3">
      <c r="A4126" s="9">
        <f>'Volúmenes DIstribuidos '!B2523</f>
        <v>45517</v>
      </c>
      <c r="B4126" s="10" t="str">
        <f>IF(OR('Volúmenes DIstribuidos '!C2524="Azúcar",'Volúmenes DIstribuidos '!C2524="azúcar"),"Azúcar o dulce",IF('Volúmenes DIstribuidos '!C2524="Aceite","Aceite o grasas",IF('Volúmenes DIstribuidos '!C2524="Avena","Otros almidones",'Volúmenes DIstribuidos '!C2524)))</f>
        <v>Vegetales y hojas</v>
      </c>
      <c r="C4126" s="10" t="s">
        <v>29</v>
      </c>
      <c r="D4126" s="12">
        <f>'Volúmenes DIstribuidos '!D2524</f>
        <v>22.664999999999999</v>
      </c>
      <c r="E4126" s="12">
        <f>SUMIF('Parametros Inventario'!$A:$A,B4126,'Parametros Inventario'!$B:$B)+SUMIFS(D$2:D4126,B$2:B4126,B4126,C$2:C4126,"ENTRADA")-SUMIFS(D$2:D4126,B$2:B4126,B4126,C$2:C4126,"SALIDA")</f>
        <v>20181.559000000005</v>
      </c>
    </row>
    <row r="4127" spans="1:5" x14ac:dyDescent="0.3">
      <c r="A4127" s="9">
        <f>'Volúmenes DIstribuidos '!B2523</f>
        <v>45517</v>
      </c>
      <c r="B4127" s="10" t="str">
        <f>IF(OR('Volúmenes DIstribuidos '!C2525="Azúcar",'Volúmenes DIstribuidos '!C2525="azúcar"),"Azúcar o dulce",IF('Volúmenes DIstribuidos '!C2525="Aceite","Aceite o grasas",IF('Volúmenes DIstribuidos '!C2525="Avena","Otros almidones",'Volúmenes DIstribuidos '!C2525)))</f>
        <v>Salsas</v>
      </c>
      <c r="C4127" s="10" t="s">
        <v>29</v>
      </c>
      <c r="D4127" s="12">
        <f>'Volúmenes DIstribuidos '!D2525</f>
        <v>47.12</v>
      </c>
      <c r="E4127" s="12">
        <f>SUMIF('Parametros Inventario'!$A:$A,B4127,'Parametros Inventario'!$B:$B)+SUMIFS(D$2:D4127,B$2:B4127,B4127,C$2:C4127,"ENTRADA")-SUMIFS(D$2:D4127,B$2:B4127,B4127,C$2:C4127,"SALIDA")</f>
        <v>19003.301999999992</v>
      </c>
    </row>
    <row r="4128" spans="1:5" x14ac:dyDescent="0.3">
      <c r="A4128" s="9">
        <f>'Volúmenes DIstribuidos '!B2523</f>
        <v>45517</v>
      </c>
      <c r="B4128" s="10" t="str">
        <f>IF(OR('Volúmenes DIstribuidos '!C2526="Azúcar",'Volúmenes DIstribuidos '!C2526="azúcar"),"Azúcar o dulce",IF('Volúmenes DIstribuidos '!C2526="Aceite","Aceite o grasas",IF('Volúmenes DIstribuidos '!C2526="Avena","Otros almidones",'Volúmenes DIstribuidos '!C2526)))</f>
        <v>Lácteos</v>
      </c>
      <c r="C4128" s="10" t="s">
        <v>29</v>
      </c>
      <c r="D4128" s="12">
        <f>'Volúmenes DIstribuidos '!D2526</f>
        <v>50</v>
      </c>
      <c r="E4128" s="12">
        <f>SUMIF('Parametros Inventario'!$A:$A,B4128,'Parametros Inventario'!$B:$B)+SUMIFS(D$2:D4128,B$2:B4128,B4128,C$2:C4128,"ENTRADA")-SUMIFS(D$2:D4128,B$2:B4128,B4128,C$2:C4128,"SALIDA")</f>
        <v>18757.569000000003</v>
      </c>
    </row>
    <row r="4129" spans="1:5" x14ac:dyDescent="0.3">
      <c r="A4129" s="9">
        <f>'Volúmenes DIstribuidos '!B2523</f>
        <v>45517</v>
      </c>
      <c r="B4129" s="10" t="str">
        <f>IF(OR('Volúmenes DIstribuidos '!C2527="Azúcar",'Volúmenes DIstribuidos '!C2527="azúcar"),"Azúcar o dulce",IF('Volúmenes DIstribuidos '!C2527="Aceite","Aceite o grasas",IF('Volúmenes DIstribuidos '!C2527="Avena","Otros almidones",'Volúmenes DIstribuidos '!C2527)))</f>
        <v>Vegetales y hojas</v>
      </c>
      <c r="C4129" s="10" t="s">
        <v>29</v>
      </c>
      <c r="D4129" s="12">
        <f>'Volúmenes DIstribuidos '!D2527</f>
        <v>40.14</v>
      </c>
      <c r="E4129" s="12">
        <f>SUMIF('Parametros Inventario'!$A:$A,B4129,'Parametros Inventario'!$B:$B)+SUMIFS(D$2:D4129,B$2:B4129,B4129,C$2:C4129,"ENTRADA")-SUMIFS(D$2:D4129,B$2:B4129,B4129,C$2:C4129,"SALIDA")</f>
        <v>20141.419000000005</v>
      </c>
    </row>
    <row r="4130" spans="1:5" x14ac:dyDescent="0.3">
      <c r="A4130" s="9">
        <f>'Volúmenes DIstribuidos '!B2523</f>
        <v>45517</v>
      </c>
      <c r="B4130" s="10" t="str">
        <f>IF(OR('Volúmenes DIstribuidos '!C2528="Azúcar",'Volúmenes DIstribuidos '!C2528="azúcar"),"Azúcar o dulce",IF('Volúmenes DIstribuidos '!C2528="Aceite","Aceite o grasas",IF('Volúmenes DIstribuidos '!C2528="Avena","Otros almidones",'Volúmenes DIstribuidos '!C2528)))</f>
        <v>Menestras</v>
      </c>
      <c r="C4130" s="10" t="s">
        <v>29</v>
      </c>
      <c r="D4130" s="12">
        <f>'Volúmenes DIstribuidos '!D2528</f>
        <v>70</v>
      </c>
      <c r="E4130" s="12">
        <f>SUMIF('Parametros Inventario'!$A:$A,B4130,'Parametros Inventario'!$B:$B)+SUMIFS(D$2:D4130,B$2:B4130,B4130,C$2:C4130,"ENTRADA")-SUMIFS(D$2:D4130,B$2:B4130,B4130,C$2:C4130,"SALIDA")</f>
        <v>19798.228999999992</v>
      </c>
    </row>
    <row r="4131" spans="1:5" x14ac:dyDescent="0.3">
      <c r="A4131" s="9">
        <v>45520</v>
      </c>
      <c r="B4131" s="10" t="s">
        <v>18</v>
      </c>
      <c r="C4131" s="10" t="s">
        <v>28</v>
      </c>
      <c r="D4131" s="12">
        <v>242.62</v>
      </c>
      <c r="E4131" s="12">
        <f>SUMIF('Parametros Inventario'!$A:$A,B4131,'Parametros Inventario'!$B:$B)+SUMIFS(D$2:D4131,B$2:B4131,B4131,C$2:C4131,"ENTRADA")-SUMIFS(D$2:D4131,B$2:B4131,B4131,C$2:C4131,"SALIDA")</f>
        <v>19245.921999999991</v>
      </c>
    </row>
    <row r="4132" spans="1:5" x14ac:dyDescent="0.3">
      <c r="A4132" s="9">
        <v>45520</v>
      </c>
      <c r="B4132" s="10" t="s">
        <v>10</v>
      </c>
      <c r="C4132" s="10" t="s">
        <v>28</v>
      </c>
      <c r="D4132" s="12">
        <v>82.58</v>
      </c>
      <c r="E4132" s="12">
        <f>SUMIF('Parametros Inventario'!$A:$A,B4132,'Parametros Inventario'!$B:$B)+SUMIFS(D$2:D4132,B$2:B4132,B4132,C$2:C4132,"ENTRADA")-SUMIFS(D$2:D4132,B$2:B4132,B4132,C$2:C4132,"SALIDA")</f>
        <v>20223.999000000007</v>
      </c>
    </row>
    <row r="4133" spans="1:5" x14ac:dyDescent="0.3">
      <c r="A4133" s="9">
        <v>45520</v>
      </c>
      <c r="B4133" s="10" t="s">
        <v>8</v>
      </c>
      <c r="C4133" s="10" t="s">
        <v>28</v>
      </c>
      <c r="D4133" s="12">
        <v>140.13999999999999</v>
      </c>
      <c r="E4133" s="12">
        <f>SUMIF('Parametros Inventario'!$A:$A,B4133,'Parametros Inventario'!$B:$B)+SUMIFS(D$2:D4133,B$2:B4133,B4133,C$2:C4133,"ENTRADA")-SUMIFS(D$2:D4133,B$2:B4133,B4133,C$2:C4133,"SALIDA")</f>
        <v>19093.307000000015</v>
      </c>
    </row>
    <row r="4134" spans="1:5" x14ac:dyDescent="0.3">
      <c r="A4134" s="9">
        <v>45520</v>
      </c>
      <c r="B4134" s="10" t="s">
        <v>13</v>
      </c>
      <c r="C4134" s="10" t="s">
        <v>28</v>
      </c>
      <c r="D4134" s="12">
        <v>252.51</v>
      </c>
      <c r="E4134" s="12">
        <f>SUMIF('Parametros Inventario'!$A:$A,B4134,'Parametros Inventario'!$B:$B)+SUMIFS(D$2:D4134,B$2:B4134,B4134,C$2:C4134,"ENTRADA")-SUMIFS(D$2:D4134,B$2:B4134,B4134,C$2:C4134,"SALIDA")</f>
        <v>18747.702000000001</v>
      </c>
    </row>
    <row r="4135" spans="1:5" x14ac:dyDescent="0.3">
      <c r="A4135" s="9">
        <v>45520</v>
      </c>
      <c r="B4135" s="10" t="s">
        <v>15</v>
      </c>
      <c r="C4135" s="10" t="s">
        <v>28</v>
      </c>
      <c r="D4135" s="12">
        <v>235.73</v>
      </c>
      <c r="E4135" s="12">
        <f>SUMIF('Parametros Inventario'!$A:$A,B4135,'Parametros Inventario'!$B:$B)+SUMIFS(D$2:D4135,B$2:B4135,B4135,C$2:C4135,"ENTRADA")-SUMIFS(D$2:D4135,B$2:B4135,B4135,C$2:C4135,"SALIDA")</f>
        <v>21402.593999999994</v>
      </c>
    </row>
    <row r="4136" spans="1:5" x14ac:dyDescent="0.3">
      <c r="A4136" s="9">
        <f>'Volúmenes DIstribuidos '!B2529</f>
        <v>45520</v>
      </c>
      <c r="B4136" s="10" t="str">
        <f>IF(OR('Volúmenes DIstribuidos '!C2529="Azúcar",'Volúmenes DIstribuidos '!C2529="azúcar"),"Azúcar o dulce",IF('Volúmenes DIstribuidos '!C2529="Aceite","Aceite o grasas",IF('Volúmenes DIstribuidos '!C2529="Avena","Otros almidones",'Volúmenes DIstribuidos '!C2529)))</f>
        <v>Carnes blancas</v>
      </c>
      <c r="C4136" s="10" t="s">
        <v>29</v>
      </c>
      <c r="D4136" s="12">
        <f>'Volúmenes DIstribuidos '!D2529</f>
        <v>24.241</v>
      </c>
      <c r="E4136" s="12">
        <f>SUMIF('Parametros Inventario'!$A:$A,B4136,'Parametros Inventario'!$B:$B)+SUMIFS(D$2:D4136,B$2:B4136,B4136,C$2:C4136,"ENTRADA")-SUMIFS(D$2:D4136,B$2:B4136,B4136,C$2:C4136,"SALIDA")</f>
        <v>19508.065999999999</v>
      </c>
    </row>
    <row r="4137" spans="1:5" x14ac:dyDescent="0.3">
      <c r="A4137" s="9">
        <f>'Volúmenes DIstribuidos '!B2529</f>
        <v>45520</v>
      </c>
      <c r="B4137" s="10" t="str">
        <f>IF(OR('Volúmenes DIstribuidos '!C2530="Azúcar",'Volúmenes DIstribuidos '!C2530="azúcar"),"Azúcar o dulce",IF('Volúmenes DIstribuidos '!C2530="Aceite","Aceite o grasas",IF('Volúmenes DIstribuidos '!C2530="Avena","Otros almidones",'Volúmenes DIstribuidos '!C2530)))</f>
        <v>Salsas</v>
      </c>
      <c r="C4137" s="10" t="s">
        <v>29</v>
      </c>
      <c r="D4137" s="12">
        <f>'Volúmenes DIstribuidos '!D2530</f>
        <v>40.81</v>
      </c>
      <c r="E4137" s="12">
        <f>SUMIF('Parametros Inventario'!$A:$A,B4137,'Parametros Inventario'!$B:$B)+SUMIFS(D$2:D4137,B$2:B4137,B4137,C$2:C4137,"ENTRADA")-SUMIFS(D$2:D4137,B$2:B4137,B4137,C$2:C4137,"SALIDA")</f>
        <v>19205.11199999999</v>
      </c>
    </row>
    <row r="4138" spans="1:5" x14ac:dyDescent="0.3">
      <c r="A4138" s="9">
        <f>'Volúmenes DIstribuidos '!B2529</f>
        <v>45520</v>
      </c>
      <c r="B4138" s="10" t="str">
        <f>IF(OR('Volúmenes DIstribuidos '!C2531="Azúcar",'Volúmenes DIstribuidos '!C2531="azúcar"),"Azúcar o dulce",IF('Volúmenes DIstribuidos '!C2531="Aceite","Aceite o grasas",IF('Volúmenes DIstribuidos '!C2531="Avena","Otros almidones",'Volúmenes DIstribuidos '!C2531)))</f>
        <v>Panadería</v>
      </c>
      <c r="C4138" s="10" t="s">
        <v>29</v>
      </c>
      <c r="D4138" s="12">
        <f>'Volúmenes DIstribuidos '!D2531</f>
        <v>101.18</v>
      </c>
      <c r="E4138" s="12">
        <f>SUMIF('Parametros Inventario'!$A:$A,B4138,'Parametros Inventario'!$B:$B)+SUMIFS(D$2:D4138,B$2:B4138,B4138,C$2:C4138,"ENTRADA")-SUMIFS(D$2:D4138,B$2:B4138,B4138,C$2:C4138,"SALIDA")</f>
        <v>17005.091999999997</v>
      </c>
    </row>
    <row r="4139" spans="1:5" x14ac:dyDescent="0.3">
      <c r="A4139" s="9">
        <f>'Volúmenes DIstribuidos '!B2529</f>
        <v>45520</v>
      </c>
      <c r="B4139" s="10" t="str">
        <f>IF(OR('Volúmenes DIstribuidos '!C2532="Azúcar",'Volúmenes DIstribuidos '!C2532="azúcar"),"Azúcar o dulce",IF('Volúmenes DIstribuidos '!C2532="Aceite","Aceite o grasas",IF('Volúmenes DIstribuidos '!C2532="Avena","Otros almidones",'Volúmenes DIstribuidos '!C2532)))</f>
        <v>Azúcar o dulce</v>
      </c>
      <c r="C4139" s="10" t="s">
        <v>29</v>
      </c>
      <c r="D4139" s="12">
        <f>'Volúmenes DIstribuidos '!D2532</f>
        <v>16.88</v>
      </c>
      <c r="E4139" s="12">
        <f>SUMIF('Parametros Inventario'!$A:$A,B4139,'Parametros Inventario'!$B:$B)+SUMIFS(D$2:D4139,B$2:B4139,B4139,C$2:C4139,"ENTRADA")-SUMIFS(D$2:D4139,B$2:B4139,B4139,C$2:C4139,"SALIDA")</f>
        <v>18730.822</v>
      </c>
    </row>
    <row r="4140" spans="1:5" x14ac:dyDescent="0.3">
      <c r="A4140" s="9">
        <f>'Volúmenes DIstribuidos '!B2529</f>
        <v>45520</v>
      </c>
      <c r="B4140" s="10" t="str">
        <f>IF(OR('Volúmenes DIstribuidos '!C2533="Azúcar",'Volúmenes DIstribuidos '!C2533="azúcar"),"Azúcar o dulce",IF('Volúmenes DIstribuidos '!C2533="Aceite","Aceite o grasas",IF('Volúmenes DIstribuidos '!C2533="Avena","Otros almidones",'Volúmenes DIstribuidos '!C2533)))</f>
        <v>Lácteos</v>
      </c>
      <c r="C4140" s="10" t="s">
        <v>29</v>
      </c>
      <c r="D4140" s="12">
        <f>'Volúmenes DIstribuidos '!D2533</f>
        <v>60.752000000000002</v>
      </c>
      <c r="E4140" s="12">
        <f>SUMIF('Parametros Inventario'!$A:$A,B4140,'Parametros Inventario'!$B:$B)+SUMIFS(D$2:D4140,B$2:B4140,B4140,C$2:C4140,"ENTRADA")-SUMIFS(D$2:D4140,B$2:B4140,B4140,C$2:C4140,"SALIDA")</f>
        <v>18696.817000000003</v>
      </c>
    </row>
    <row r="4141" spans="1:5" x14ac:dyDescent="0.3">
      <c r="A4141" s="9">
        <f>'Volúmenes DIstribuidos '!B2529</f>
        <v>45520</v>
      </c>
      <c r="B4141" s="10" t="str">
        <f>IF(OR('Volúmenes DIstribuidos '!C2534="Azúcar",'Volúmenes DIstribuidos '!C2534="azúcar"),"Azúcar o dulce",IF('Volúmenes DIstribuidos '!C2534="Aceite","Aceite o grasas",IF('Volúmenes DIstribuidos '!C2534="Avena","Otros almidones",'Volúmenes DIstribuidos '!C2534)))</f>
        <v>Menestras</v>
      </c>
      <c r="C4141" s="10" t="s">
        <v>29</v>
      </c>
      <c r="D4141" s="12">
        <f>'Volúmenes DIstribuidos '!D2534</f>
        <v>51.21</v>
      </c>
      <c r="E4141" s="12">
        <f>SUMIF('Parametros Inventario'!$A:$A,B4141,'Parametros Inventario'!$B:$B)+SUMIFS(D$2:D4141,B$2:B4141,B4141,C$2:C4141,"ENTRADA")-SUMIFS(D$2:D4141,B$2:B4141,B4141,C$2:C4141,"SALIDA")</f>
        <v>19747.018999999993</v>
      </c>
    </row>
    <row r="4142" spans="1:5" x14ac:dyDescent="0.3">
      <c r="A4142" s="9">
        <f>'Volúmenes DIstribuidos '!B2535</f>
        <v>45524</v>
      </c>
      <c r="B4142" s="10" t="str">
        <f>IF(OR('Volúmenes DIstribuidos '!C2535="Azúcar",'Volúmenes DIstribuidos '!C2535="azúcar"),"Azúcar o dulce",IF('Volúmenes DIstribuidos '!C2535="Aceite","Aceite o grasas",IF('Volúmenes DIstribuidos '!C2535="Avena","Otros almidones",'Volúmenes DIstribuidos '!C2535)))</f>
        <v>Carnes blancas</v>
      </c>
      <c r="C4142" s="10" t="s">
        <v>29</v>
      </c>
      <c r="D4142" s="12">
        <f>'Volúmenes DIstribuidos '!D2535</f>
        <v>10.47</v>
      </c>
      <c r="E4142" s="12">
        <f>SUMIF('Parametros Inventario'!$A:$A,B4142,'Parametros Inventario'!$B:$B)+SUMIFS(D$2:D4142,B$2:B4142,B4142,C$2:C4142,"ENTRADA")-SUMIFS(D$2:D4142,B$2:B4142,B4142,C$2:C4142,"SALIDA")</f>
        <v>19497.596000000001</v>
      </c>
    </row>
    <row r="4143" spans="1:5" x14ac:dyDescent="0.3">
      <c r="A4143" s="9">
        <f>'Volúmenes DIstribuidos '!B2535</f>
        <v>45524</v>
      </c>
      <c r="B4143" s="10" t="str">
        <f>IF(OR('Volúmenes DIstribuidos '!C2536="Azúcar",'Volúmenes DIstribuidos '!C2536="azúcar"),"Azúcar o dulce",IF('Volúmenes DIstribuidos '!C2536="Aceite","Aceite o grasas",IF('Volúmenes DIstribuidos '!C2536="Avena","Otros almidones",'Volúmenes DIstribuidos '!C2536)))</f>
        <v>Salsas</v>
      </c>
      <c r="C4143" s="10" t="s">
        <v>29</v>
      </c>
      <c r="D4143" s="12">
        <f>'Volúmenes DIstribuidos '!D2536</f>
        <v>29.867000000000001</v>
      </c>
      <c r="E4143" s="12">
        <f>SUMIF('Parametros Inventario'!$A:$A,B4143,'Parametros Inventario'!$B:$B)+SUMIFS(D$2:D4143,B$2:B4143,B4143,C$2:C4143,"ENTRADA")-SUMIFS(D$2:D4143,B$2:B4143,B4143,C$2:C4143,"SALIDA")</f>
        <v>19175.244999999988</v>
      </c>
    </row>
    <row r="4144" spans="1:5" x14ac:dyDescent="0.3">
      <c r="A4144" s="9">
        <f>'Volúmenes DIstribuidos '!B2535</f>
        <v>45524</v>
      </c>
      <c r="B4144" s="10" t="str">
        <f>IF(OR('Volúmenes DIstribuidos '!C2537="Azúcar",'Volúmenes DIstribuidos '!C2537="azúcar"),"Azúcar o dulce",IF('Volúmenes DIstribuidos '!C2537="Aceite","Aceite o grasas",IF('Volúmenes DIstribuidos '!C2537="Avena","Otros almidones",'Volúmenes DIstribuidos '!C2537)))</f>
        <v>Aceite o grasas</v>
      </c>
      <c r="C4144" s="10" t="s">
        <v>29</v>
      </c>
      <c r="D4144" s="12">
        <f>'Volúmenes DIstribuidos '!D2537</f>
        <v>26.67</v>
      </c>
      <c r="E4144" s="12">
        <f>SUMIF('Parametros Inventario'!$A:$A,B4144,'Parametros Inventario'!$B:$B)+SUMIFS(D$2:D4144,B$2:B4144,B4144,C$2:C4144,"ENTRADA")-SUMIFS(D$2:D4144,B$2:B4144,B4144,C$2:C4144,"SALIDA")</f>
        <v>19066.637000000013</v>
      </c>
    </row>
    <row r="4145" spans="1:5" x14ac:dyDescent="0.3">
      <c r="A4145" s="9">
        <f>'Volúmenes DIstribuidos '!B2535</f>
        <v>45524</v>
      </c>
      <c r="B4145" s="10" t="str">
        <f>IF(OR('Volúmenes DIstribuidos '!C2538="Azúcar",'Volúmenes DIstribuidos '!C2538="azúcar"),"Azúcar o dulce",IF('Volúmenes DIstribuidos '!C2538="Aceite","Aceite o grasas",IF('Volúmenes DIstribuidos '!C2538="Avena","Otros almidones",'Volúmenes DIstribuidos '!C2538)))</f>
        <v>Vegetales y hojas</v>
      </c>
      <c r="C4145" s="10" t="s">
        <v>29</v>
      </c>
      <c r="D4145" s="12">
        <f>'Volúmenes DIstribuidos '!D2538</f>
        <v>24.44</v>
      </c>
      <c r="E4145" s="12">
        <f>SUMIF('Parametros Inventario'!$A:$A,B4145,'Parametros Inventario'!$B:$B)+SUMIFS(D$2:D4145,B$2:B4145,B4145,C$2:C4145,"ENTRADA")-SUMIFS(D$2:D4145,B$2:B4145,B4145,C$2:C4145,"SALIDA")</f>
        <v>20199.559000000008</v>
      </c>
    </row>
    <row r="4146" spans="1:5" x14ac:dyDescent="0.3">
      <c r="A4146" s="9">
        <f>'Volúmenes DIstribuidos '!B2535</f>
        <v>45524</v>
      </c>
      <c r="B4146" s="10" t="str">
        <f>IF(OR('Volúmenes DIstribuidos '!C2539="Azúcar",'Volúmenes DIstribuidos '!C2539="azúcar"),"Azúcar o dulce",IF('Volúmenes DIstribuidos '!C2539="Aceite","Aceite o grasas",IF('Volúmenes DIstribuidos '!C2539="Avena","Otros almidones",'Volúmenes DIstribuidos '!C2539)))</f>
        <v>Menestras</v>
      </c>
      <c r="C4146" s="10" t="s">
        <v>29</v>
      </c>
      <c r="D4146" s="12">
        <f>'Volúmenes DIstribuidos '!D2539</f>
        <v>14.161</v>
      </c>
      <c r="E4146" s="12">
        <f>SUMIF('Parametros Inventario'!$A:$A,B4146,'Parametros Inventario'!$B:$B)+SUMIFS(D$2:D4146,B$2:B4146,B4146,C$2:C4146,"ENTRADA")-SUMIFS(D$2:D4146,B$2:B4146,B4146,C$2:C4146,"SALIDA")</f>
        <v>19732.857999999993</v>
      </c>
    </row>
    <row r="4147" spans="1:5" x14ac:dyDescent="0.3">
      <c r="A4147" s="9">
        <f>'Volúmenes DIstribuidos '!B2535</f>
        <v>45524</v>
      </c>
      <c r="B4147" s="10" t="str">
        <f>IF(OR('Volúmenes DIstribuidos '!C2540="Azúcar",'Volúmenes DIstribuidos '!C2540="azúcar"),"Azúcar o dulce",IF('Volúmenes DIstribuidos '!C2540="Aceite","Aceite o grasas",IF('Volúmenes DIstribuidos '!C2540="Avena","Otros almidones",'Volúmenes DIstribuidos '!C2540)))</f>
        <v>Panadería</v>
      </c>
      <c r="C4147" s="10" t="s">
        <v>29</v>
      </c>
      <c r="D4147" s="12">
        <f>'Volúmenes DIstribuidos '!D2540</f>
        <v>5.88</v>
      </c>
      <c r="E4147" s="12">
        <f>SUMIF('Parametros Inventario'!$A:$A,B4147,'Parametros Inventario'!$B:$B)+SUMIFS(D$2:D4147,B$2:B4147,B4147,C$2:C4147,"ENTRADA")-SUMIFS(D$2:D4147,B$2:B4147,B4147,C$2:C4147,"SALIDA")</f>
        <v>16999.211999999996</v>
      </c>
    </row>
    <row r="4148" spans="1:5" x14ac:dyDescent="0.3">
      <c r="A4148" s="9">
        <v>45527</v>
      </c>
      <c r="B4148" s="10" t="s">
        <v>11</v>
      </c>
      <c r="C4148" s="10" t="s">
        <v>28</v>
      </c>
      <c r="D4148" s="12">
        <v>197.23</v>
      </c>
      <c r="E4148" s="12">
        <f>SUMIF('Parametros Inventario'!$A:$A,B4148,'Parametros Inventario'!$B:$B)+SUMIFS(D$2:D4148,B$2:B4148,B4148,C$2:C4148,"ENTRADA")-SUMIFS(D$2:D4148,B$2:B4148,B4148,C$2:C4148,"SALIDA")</f>
        <v>22374.356000000014</v>
      </c>
    </row>
    <row r="4149" spans="1:5" x14ac:dyDescent="0.3">
      <c r="A4149" s="9">
        <v>45527</v>
      </c>
      <c r="B4149" s="10" t="s">
        <v>9</v>
      </c>
      <c r="C4149" s="10" t="s">
        <v>28</v>
      </c>
      <c r="D4149" s="12">
        <v>201.18</v>
      </c>
      <c r="E4149" s="12">
        <f>SUMIF('Parametros Inventario'!$A:$A,B4149,'Parametros Inventario'!$B:$B)+SUMIFS(D$2:D4149,B$2:B4149,B4149,C$2:C4149,"ENTRADA")-SUMIFS(D$2:D4149,B$2:B4149,B4149,C$2:C4149,"SALIDA")</f>
        <v>17200.391999999996</v>
      </c>
    </row>
    <row r="4150" spans="1:5" x14ac:dyDescent="0.3">
      <c r="A4150" s="9">
        <v>45527</v>
      </c>
      <c r="B4150" s="10" t="s">
        <v>14</v>
      </c>
      <c r="C4150" s="10" t="s">
        <v>28</v>
      </c>
      <c r="D4150" s="12">
        <v>109.56</v>
      </c>
      <c r="E4150" s="12">
        <f>SUMIF('Parametros Inventario'!$A:$A,B4150,'Parametros Inventario'!$B:$B)+SUMIFS(D$2:D4150,B$2:B4150,B4150,C$2:C4150,"ENTRADA")-SUMIFS(D$2:D4150,B$2:B4150,B4150,C$2:C4150,"SALIDA")</f>
        <v>19842.417999999991</v>
      </c>
    </row>
    <row r="4151" spans="1:5" x14ac:dyDescent="0.3">
      <c r="A4151" s="9">
        <v>45527</v>
      </c>
      <c r="B4151" s="10" t="s">
        <v>12</v>
      </c>
      <c r="C4151" s="10" t="s">
        <v>28</v>
      </c>
      <c r="D4151" s="12">
        <v>118.99</v>
      </c>
      <c r="E4151" s="12">
        <f>SUMIF('Parametros Inventario'!$A:$A,B4151,'Parametros Inventario'!$B:$B)+SUMIFS(D$2:D4151,B$2:B4151,B4151,C$2:C4151,"ENTRADA")-SUMIFS(D$2:D4151,B$2:B4151,B4151,C$2:C4151,"SALIDA")</f>
        <v>18677.835999999999</v>
      </c>
    </row>
    <row r="4152" spans="1:5" x14ac:dyDescent="0.3">
      <c r="A4152" s="9">
        <v>45527</v>
      </c>
      <c r="B4152" s="10" t="s">
        <v>16</v>
      </c>
      <c r="C4152" s="10" t="s">
        <v>28</v>
      </c>
      <c r="D4152" s="12">
        <v>196.08</v>
      </c>
      <c r="E4152" s="12">
        <f>SUMIF('Parametros Inventario'!$A:$A,B4152,'Parametros Inventario'!$B:$B)+SUMIFS(D$2:D4152,B$2:B4152,B4152,C$2:C4152,"ENTRADA")-SUMIFS(D$2:D4152,B$2:B4152,B4152,C$2:C4152,"SALIDA")</f>
        <v>19693.676000000003</v>
      </c>
    </row>
    <row r="4153" spans="1:5" x14ac:dyDescent="0.3">
      <c r="A4153" s="9">
        <v>45527</v>
      </c>
      <c r="B4153" s="10" t="s">
        <v>17</v>
      </c>
      <c r="C4153" s="10" t="s">
        <v>28</v>
      </c>
      <c r="D4153" s="12">
        <v>71.81</v>
      </c>
      <c r="E4153" s="12">
        <f>SUMIF('Parametros Inventario'!$A:$A,B4153,'Parametros Inventario'!$B:$B)+SUMIFS(D$2:D4153,B$2:B4153,B4153,C$2:C4153,"ENTRADA")-SUMIFS(D$2:D4153,B$2:B4153,B4153,C$2:C4153,"SALIDA")</f>
        <v>18768.627</v>
      </c>
    </row>
    <row r="4154" spans="1:5" x14ac:dyDescent="0.3">
      <c r="A4154" s="9">
        <v>45527</v>
      </c>
      <c r="B4154" s="10" t="s">
        <v>18</v>
      </c>
      <c r="C4154" s="10" t="s">
        <v>28</v>
      </c>
      <c r="D4154" s="12">
        <v>76.59</v>
      </c>
      <c r="E4154" s="12">
        <f>SUMIF('Parametros Inventario'!$A:$A,B4154,'Parametros Inventario'!$B:$B)+SUMIFS(D$2:D4154,B$2:B4154,B4154,C$2:C4154,"ENTRADA")-SUMIFS(D$2:D4154,B$2:B4154,B4154,C$2:C4154,"SALIDA")</f>
        <v>19251.834999999992</v>
      </c>
    </row>
    <row r="4155" spans="1:5" x14ac:dyDescent="0.3">
      <c r="A4155" s="9">
        <v>45527</v>
      </c>
      <c r="B4155" s="10" t="s">
        <v>10</v>
      </c>
      <c r="C4155" s="10" t="s">
        <v>28</v>
      </c>
      <c r="D4155" s="12">
        <v>207.39</v>
      </c>
      <c r="E4155" s="12">
        <f>SUMIF('Parametros Inventario'!$A:$A,B4155,'Parametros Inventario'!$B:$B)+SUMIFS(D$2:D4155,B$2:B4155,B4155,C$2:C4155,"ENTRADA")-SUMIFS(D$2:D4155,B$2:B4155,B4155,C$2:C4155,"SALIDA")</f>
        <v>20406.949000000008</v>
      </c>
    </row>
    <row r="4156" spans="1:5" x14ac:dyDescent="0.3">
      <c r="A4156" s="9">
        <v>45527</v>
      </c>
      <c r="B4156" s="10" t="s">
        <v>8</v>
      </c>
      <c r="C4156" s="10" t="s">
        <v>28</v>
      </c>
      <c r="D4156" s="12">
        <v>200.46</v>
      </c>
      <c r="E4156" s="12">
        <f>SUMIF('Parametros Inventario'!$A:$A,B4156,'Parametros Inventario'!$B:$B)+SUMIFS(D$2:D4156,B$2:B4156,B4156,C$2:C4156,"ENTRADA")-SUMIFS(D$2:D4156,B$2:B4156,B4156,C$2:C4156,"SALIDA")</f>
        <v>19267.097000000012</v>
      </c>
    </row>
    <row r="4157" spans="1:5" x14ac:dyDescent="0.3">
      <c r="A4157" s="9">
        <v>45527</v>
      </c>
      <c r="B4157" s="10" t="s">
        <v>13</v>
      </c>
      <c r="C4157" s="10" t="s">
        <v>28</v>
      </c>
      <c r="D4157" s="12">
        <v>60.26</v>
      </c>
      <c r="E4157" s="12">
        <f>SUMIF('Parametros Inventario'!$A:$A,B4157,'Parametros Inventario'!$B:$B)+SUMIFS(D$2:D4157,B$2:B4157,B4157,C$2:C4157,"ENTRADA")-SUMIFS(D$2:D4157,B$2:B4157,B4157,C$2:C4157,"SALIDA")</f>
        <v>18791.081999999999</v>
      </c>
    </row>
    <row r="4158" spans="1:5" x14ac:dyDescent="0.3">
      <c r="A4158" s="9">
        <v>45527</v>
      </c>
      <c r="B4158" s="10" t="s">
        <v>15</v>
      </c>
      <c r="C4158" s="10" t="s">
        <v>28</v>
      </c>
      <c r="D4158" s="12">
        <v>292.08</v>
      </c>
      <c r="E4158" s="12">
        <f>SUMIF('Parametros Inventario'!$A:$A,B4158,'Parametros Inventario'!$B:$B)+SUMIFS(D$2:D4158,B$2:B4158,B4158,C$2:C4158,"ENTRADA")-SUMIFS(D$2:D4158,B$2:B4158,B4158,C$2:C4158,"SALIDA")</f>
        <v>21694.673999999995</v>
      </c>
    </row>
    <row r="4159" spans="1:5" x14ac:dyDescent="0.3">
      <c r="A4159" s="9">
        <v>45527</v>
      </c>
      <c r="B4159" s="10" t="s">
        <v>11</v>
      </c>
      <c r="C4159" s="10" t="s">
        <v>28</v>
      </c>
      <c r="D4159" s="12">
        <v>271.01</v>
      </c>
      <c r="E4159" s="12">
        <f>SUMIF('Parametros Inventario'!$A:$A,B4159,'Parametros Inventario'!$B:$B)+SUMIFS(D$2:D4159,B$2:B4159,B4159,C$2:C4159,"ENTRADA")-SUMIFS(D$2:D4159,B$2:B4159,B4159,C$2:C4159,"SALIDA")</f>
        <v>22645.366000000013</v>
      </c>
    </row>
    <row r="4160" spans="1:5" x14ac:dyDescent="0.3">
      <c r="A4160" s="9">
        <v>45527</v>
      </c>
      <c r="B4160" s="10" t="s">
        <v>9</v>
      </c>
      <c r="C4160" s="10" t="s">
        <v>28</v>
      </c>
      <c r="D4160" s="12">
        <v>254.35</v>
      </c>
      <c r="E4160" s="12">
        <f>SUMIF('Parametros Inventario'!$A:$A,B4160,'Parametros Inventario'!$B:$B)+SUMIFS(D$2:D4160,B$2:B4160,B4160,C$2:C4160,"ENTRADA")-SUMIFS(D$2:D4160,B$2:B4160,B4160,C$2:C4160,"SALIDA")</f>
        <v>17454.741999999995</v>
      </c>
    </row>
    <row r="4161" spans="1:5" x14ac:dyDescent="0.3">
      <c r="A4161" s="9">
        <v>45527</v>
      </c>
      <c r="B4161" s="10" t="s">
        <v>14</v>
      </c>
      <c r="C4161" s="10" t="s">
        <v>28</v>
      </c>
      <c r="D4161" s="12">
        <v>98.23</v>
      </c>
      <c r="E4161" s="12">
        <f>SUMIF('Parametros Inventario'!$A:$A,B4161,'Parametros Inventario'!$B:$B)+SUMIFS(D$2:D4161,B$2:B4161,B4161,C$2:C4161,"ENTRADA")-SUMIFS(D$2:D4161,B$2:B4161,B4161,C$2:C4161,"SALIDA")</f>
        <v>19940.647999999994</v>
      </c>
    </row>
    <row r="4162" spans="1:5" x14ac:dyDescent="0.3">
      <c r="A4162" s="9">
        <v>45527</v>
      </c>
      <c r="B4162" s="10" t="s">
        <v>12</v>
      </c>
      <c r="C4162" s="10" t="s">
        <v>28</v>
      </c>
      <c r="D4162" s="12">
        <v>161.44</v>
      </c>
      <c r="E4162" s="12">
        <f>SUMIF('Parametros Inventario'!$A:$A,B4162,'Parametros Inventario'!$B:$B)+SUMIFS(D$2:D4162,B$2:B4162,B4162,C$2:C4162,"ENTRADA")-SUMIFS(D$2:D4162,B$2:B4162,B4162,C$2:C4162,"SALIDA")</f>
        <v>18839.275999999998</v>
      </c>
    </row>
    <row r="4163" spans="1:5" x14ac:dyDescent="0.3">
      <c r="A4163" s="9">
        <v>45527</v>
      </c>
      <c r="B4163" s="10" t="s">
        <v>16</v>
      </c>
      <c r="C4163" s="10" t="s">
        <v>28</v>
      </c>
      <c r="D4163" s="12">
        <v>74.66</v>
      </c>
      <c r="E4163" s="12">
        <f>SUMIF('Parametros Inventario'!$A:$A,B4163,'Parametros Inventario'!$B:$B)+SUMIFS(D$2:D4163,B$2:B4163,B4163,C$2:C4163,"ENTRADA")-SUMIFS(D$2:D4163,B$2:B4163,B4163,C$2:C4163,"SALIDA")</f>
        <v>19768.336000000003</v>
      </c>
    </row>
    <row r="4164" spans="1:5" x14ac:dyDescent="0.3">
      <c r="A4164" s="9">
        <v>45527</v>
      </c>
      <c r="B4164" s="10" t="s">
        <v>17</v>
      </c>
      <c r="C4164" s="10" t="s">
        <v>28</v>
      </c>
      <c r="D4164" s="12">
        <v>285.45</v>
      </c>
      <c r="E4164" s="12">
        <f>SUMIF('Parametros Inventario'!$A:$A,B4164,'Parametros Inventario'!$B:$B)+SUMIFS(D$2:D4164,B$2:B4164,B4164,C$2:C4164,"ENTRADA")-SUMIFS(D$2:D4164,B$2:B4164,B4164,C$2:C4164,"SALIDA")</f>
        <v>19054.077000000005</v>
      </c>
    </row>
    <row r="4165" spans="1:5" x14ac:dyDescent="0.3">
      <c r="A4165" s="9">
        <f>'Volúmenes DIstribuidos '!B2541</f>
        <v>45527</v>
      </c>
      <c r="B4165" s="10" t="str">
        <f>IF(OR('Volúmenes DIstribuidos '!C2541="Azúcar",'Volúmenes DIstribuidos '!C2541="azúcar"),"Azúcar o dulce",IF('Volúmenes DIstribuidos '!C2541="Aceite","Aceite o grasas",IF('Volúmenes DIstribuidos '!C2541="Avena","Otros almidones",'Volúmenes DIstribuidos '!C2541)))</f>
        <v>Vegetales y hojas</v>
      </c>
      <c r="C4165" s="10" t="s">
        <v>29</v>
      </c>
      <c r="D4165" s="12">
        <f>'Volúmenes DIstribuidos '!D2541</f>
        <v>9.6300000000000008</v>
      </c>
      <c r="E4165" s="12">
        <f>SUMIF('Parametros Inventario'!$A:$A,B4165,'Parametros Inventario'!$B:$B)+SUMIFS(D$2:D4165,B$2:B4165,B4165,C$2:C4165,"ENTRADA")-SUMIFS(D$2:D4165,B$2:B4165,B4165,C$2:C4165,"SALIDA")</f>
        <v>20397.319000000007</v>
      </c>
    </row>
    <row r="4166" spans="1:5" x14ac:dyDescent="0.3">
      <c r="A4166" s="9">
        <f>'Volúmenes DIstribuidos '!B2541</f>
        <v>45527</v>
      </c>
      <c r="B4166" s="10" t="str">
        <f>IF(OR('Volúmenes DIstribuidos '!C2542="Azúcar",'Volúmenes DIstribuidos '!C2542="azúcar"),"Azúcar o dulce",IF('Volúmenes DIstribuidos '!C2542="Aceite","Aceite o grasas",IF('Volúmenes DIstribuidos '!C2542="Avena","Otros almidones",'Volúmenes DIstribuidos '!C2542)))</f>
        <v>Carnes blancas</v>
      </c>
      <c r="C4166" s="10" t="s">
        <v>29</v>
      </c>
      <c r="D4166" s="12">
        <f>'Volúmenes DIstribuidos '!D2542</f>
        <v>7.28</v>
      </c>
      <c r="E4166" s="12">
        <f>SUMIF('Parametros Inventario'!$A:$A,B4166,'Parametros Inventario'!$B:$B)+SUMIFS(D$2:D4166,B$2:B4166,B4166,C$2:C4166,"ENTRADA")-SUMIFS(D$2:D4166,B$2:B4166,B4166,C$2:C4166,"SALIDA")</f>
        <v>19761.056000000004</v>
      </c>
    </row>
    <row r="4167" spans="1:5" x14ac:dyDescent="0.3">
      <c r="A4167" s="9">
        <f>'Volúmenes DIstribuidos '!B2541</f>
        <v>45527</v>
      </c>
      <c r="B4167" s="10" t="str">
        <f>IF(OR('Volúmenes DIstribuidos '!C2543="Azúcar",'Volúmenes DIstribuidos '!C2543="azúcar"),"Azúcar o dulce",IF('Volúmenes DIstribuidos '!C2543="Aceite","Aceite o grasas",IF('Volúmenes DIstribuidos '!C2543="Avena","Otros almidones",'Volúmenes DIstribuidos '!C2543)))</f>
        <v>Salsas</v>
      </c>
      <c r="C4167" s="10" t="s">
        <v>29</v>
      </c>
      <c r="D4167" s="12">
        <f>'Volúmenes DIstribuidos '!D2543</f>
        <v>4.24</v>
      </c>
      <c r="E4167" s="12">
        <f>SUMIF('Parametros Inventario'!$A:$A,B4167,'Parametros Inventario'!$B:$B)+SUMIFS(D$2:D4167,B$2:B4167,B4167,C$2:C4167,"ENTRADA")-SUMIFS(D$2:D4167,B$2:B4167,B4167,C$2:C4167,"SALIDA")</f>
        <v>19247.59499999999</v>
      </c>
    </row>
    <row r="4168" spans="1:5" x14ac:dyDescent="0.3">
      <c r="A4168" s="9">
        <f>'Volúmenes DIstribuidos '!B2541</f>
        <v>45527</v>
      </c>
      <c r="B4168" s="10" t="str">
        <f>IF(OR('Volúmenes DIstribuidos '!C2544="Azúcar",'Volúmenes DIstribuidos '!C2544="azúcar"),"Azúcar o dulce",IF('Volúmenes DIstribuidos '!C2544="Aceite","Aceite o grasas",IF('Volúmenes DIstribuidos '!C2544="Avena","Otros almidones",'Volúmenes DIstribuidos '!C2544)))</f>
        <v>Aceite o grasas</v>
      </c>
      <c r="C4168" s="10" t="s">
        <v>29</v>
      </c>
      <c r="D4168" s="12">
        <f>'Volúmenes DIstribuidos '!D2544</f>
        <v>21.05</v>
      </c>
      <c r="E4168" s="12">
        <f>SUMIF('Parametros Inventario'!$A:$A,B4168,'Parametros Inventario'!$B:$B)+SUMIFS(D$2:D4168,B$2:B4168,B4168,C$2:C4168,"ENTRADA")-SUMIFS(D$2:D4168,B$2:B4168,B4168,C$2:C4168,"SALIDA")</f>
        <v>19246.047000000013</v>
      </c>
    </row>
    <row r="4169" spans="1:5" x14ac:dyDescent="0.3">
      <c r="A4169" s="9">
        <f>'Volúmenes DIstribuidos '!B2541</f>
        <v>45527</v>
      </c>
      <c r="B4169" s="10" t="str">
        <f>IF(OR('Volúmenes DIstribuidos '!C2545="Azúcar",'Volúmenes DIstribuidos '!C2545="azúcar"),"Azúcar o dulce",IF('Volúmenes DIstribuidos '!C2545="Aceite","Aceite o grasas",IF('Volúmenes DIstribuidos '!C2545="Avena","Otros almidones",'Volúmenes DIstribuidos '!C2545)))</f>
        <v>Vegetales y hojas</v>
      </c>
      <c r="C4169" s="10" t="s">
        <v>29</v>
      </c>
      <c r="D4169" s="12">
        <f>'Volúmenes DIstribuidos '!D2545</f>
        <v>31.22</v>
      </c>
      <c r="E4169" s="12">
        <f>SUMIF('Parametros Inventario'!$A:$A,B4169,'Parametros Inventario'!$B:$B)+SUMIFS(D$2:D4169,B$2:B4169,B4169,C$2:C4169,"ENTRADA")-SUMIFS(D$2:D4169,B$2:B4169,B4169,C$2:C4169,"SALIDA")</f>
        <v>20366.099000000006</v>
      </c>
    </row>
    <row r="4170" spans="1:5" x14ac:dyDescent="0.3">
      <c r="A4170" s="9">
        <f>'Volúmenes DIstribuidos '!B2541</f>
        <v>45527</v>
      </c>
      <c r="B4170" s="10" t="str">
        <f>IF(OR('Volúmenes DIstribuidos '!C2546="Azúcar",'Volúmenes DIstribuidos '!C2546="azúcar"),"Azúcar o dulce",IF('Volúmenes DIstribuidos '!C2546="Aceite","Aceite o grasas",IF('Volúmenes DIstribuidos '!C2546="Avena","Otros almidones",'Volúmenes DIstribuidos '!C2546)))</f>
        <v>Panadería</v>
      </c>
      <c r="C4170" s="10" t="s">
        <v>29</v>
      </c>
      <c r="D4170" s="12">
        <f>'Volúmenes DIstribuidos '!D2546</f>
        <v>12.71</v>
      </c>
      <c r="E4170" s="12">
        <f>SUMIF('Parametros Inventario'!$A:$A,B4170,'Parametros Inventario'!$B:$B)+SUMIFS(D$2:D4170,B$2:B4170,B4170,C$2:C4170,"ENTRADA")-SUMIFS(D$2:D4170,B$2:B4170,B4170,C$2:C4170,"SALIDA")</f>
        <v>17442.031999999996</v>
      </c>
    </row>
    <row r="4171" spans="1:5" x14ac:dyDescent="0.3">
      <c r="A4171" s="9">
        <f>'Volúmenes DIstribuidos '!B2547</f>
        <v>45531</v>
      </c>
      <c r="B4171" s="10" t="str">
        <f>IF(OR('Volúmenes DIstribuidos '!C2547="Azúcar",'Volúmenes DIstribuidos '!C2547="azúcar"),"Azúcar o dulce",IF('Volúmenes DIstribuidos '!C2547="Aceite","Aceite o grasas",IF('Volúmenes DIstribuidos '!C2547="Avena","Otros almidones",'Volúmenes DIstribuidos '!C2547)))</f>
        <v>Salsas</v>
      </c>
      <c r="C4171" s="10" t="s">
        <v>29</v>
      </c>
      <c r="D4171" s="12">
        <f>'Volúmenes DIstribuidos '!D2547</f>
        <v>76.37</v>
      </c>
      <c r="E4171" s="12">
        <f>SUMIF('Parametros Inventario'!$A:$A,B4171,'Parametros Inventario'!$B:$B)+SUMIFS(D$2:D4171,B$2:B4171,B4171,C$2:C4171,"ENTRADA")-SUMIFS(D$2:D4171,B$2:B4171,B4171,C$2:C4171,"SALIDA")</f>
        <v>19171.224999999991</v>
      </c>
    </row>
    <row r="4172" spans="1:5" x14ac:dyDescent="0.3">
      <c r="A4172" s="9">
        <f>'Volúmenes DIstribuidos '!B2547</f>
        <v>45531</v>
      </c>
      <c r="B4172" s="10" t="str">
        <f>IF(OR('Volúmenes DIstribuidos '!C2548="Azúcar",'Volúmenes DIstribuidos '!C2548="azúcar"),"Azúcar o dulce",IF('Volúmenes DIstribuidos '!C2548="Aceite","Aceite o grasas",IF('Volúmenes DIstribuidos '!C2548="Avena","Otros almidones",'Volúmenes DIstribuidos '!C2548)))</f>
        <v>Fideo</v>
      </c>
      <c r="C4172" s="10" t="s">
        <v>29</v>
      </c>
      <c r="D4172" s="12">
        <f>'Volúmenes DIstribuidos '!D2548</f>
        <v>8.98</v>
      </c>
      <c r="E4172" s="12">
        <f>SUMIF('Parametros Inventario'!$A:$A,B4172,'Parametros Inventario'!$B:$B)+SUMIFS(D$2:D4172,B$2:B4172,B4172,C$2:C4172,"ENTRADA")-SUMIFS(D$2:D4172,B$2:B4172,B4172,C$2:C4172,"SALIDA")</f>
        <v>22636.386000000013</v>
      </c>
    </row>
    <row r="4173" spans="1:5" x14ac:dyDescent="0.3">
      <c r="A4173" s="9">
        <f>'Volúmenes DIstribuidos '!B2547</f>
        <v>45531</v>
      </c>
      <c r="B4173" s="10" t="str">
        <f>IF(OR('Volúmenes DIstribuidos '!C2549="Azúcar",'Volúmenes DIstribuidos '!C2549="azúcar"),"Azúcar o dulce",IF('Volúmenes DIstribuidos '!C2549="Aceite","Aceite o grasas",IF('Volúmenes DIstribuidos '!C2549="Avena","Otros almidones",'Volúmenes DIstribuidos '!C2549)))</f>
        <v>Aceite o grasas</v>
      </c>
      <c r="C4173" s="10" t="s">
        <v>29</v>
      </c>
      <c r="D4173" s="12">
        <f>'Volúmenes DIstribuidos '!D2549</f>
        <v>29.41</v>
      </c>
      <c r="E4173" s="12">
        <f>SUMIF('Parametros Inventario'!$A:$A,B4173,'Parametros Inventario'!$B:$B)+SUMIFS(D$2:D4173,B$2:B4173,B4173,C$2:C4173,"ENTRADA")-SUMIFS(D$2:D4173,B$2:B4173,B4173,C$2:C4173,"SALIDA")</f>
        <v>19216.637000000013</v>
      </c>
    </row>
    <row r="4174" spans="1:5" x14ac:dyDescent="0.3">
      <c r="A4174" s="9">
        <f>'Volúmenes DIstribuidos '!B2547</f>
        <v>45531</v>
      </c>
      <c r="B4174" s="10" t="str">
        <f>IF(OR('Volúmenes DIstribuidos '!C2550="Azúcar",'Volúmenes DIstribuidos '!C2550="azúcar"),"Azúcar o dulce",IF('Volúmenes DIstribuidos '!C2550="Aceite","Aceite o grasas",IF('Volúmenes DIstribuidos '!C2550="Avena","Otros almidones",'Volúmenes DIstribuidos '!C2550)))</f>
        <v>Menestras</v>
      </c>
      <c r="C4174" s="10" t="s">
        <v>29</v>
      </c>
      <c r="D4174" s="12">
        <f>'Volúmenes DIstribuidos '!D2550</f>
        <v>25.3</v>
      </c>
      <c r="E4174" s="12">
        <f>SUMIF('Parametros Inventario'!$A:$A,B4174,'Parametros Inventario'!$B:$B)+SUMIFS(D$2:D4174,B$2:B4174,B4174,C$2:C4174,"ENTRADA")-SUMIFS(D$2:D4174,B$2:B4174,B4174,C$2:C4174,"SALIDA")</f>
        <v>19915.347999999991</v>
      </c>
    </row>
    <row r="4175" spans="1:5" x14ac:dyDescent="0.3">
      <c r="A4175" s="9">
        <f>'Volúmenes DIstribuidos '!B2547</f>
        <v>45531</v>
      </c>
      <c r="B4175" s="10" t="str">
        <f>IF(OR('Volúmenes DIstribuidos '!C2551="Azúcar",'Volúmenes DIstribuidos '!C2551="azúcar"),"Azúcar o dulce",IF('Volúmenes DIstribuidos '!C2551="Aceite","Aceite o grasas",IF('Volúmenes DIstribuidos '!C2551="Avena","Otros almidones",'Volúmenes DIstribuidos '!C2551)))</f>
        <v>Panadería</v>
      </c>
      <c r="C4175" s="10" t="s">
        <v>29</v>
      </c>
      <c r="D4175" s="12">
        <f>'Volúmenes DIstribuidos '!D2551</f>
        <v>18.03</v>
      </c>
      <c r="E4175" s="12">
        <f>SUMIF('Parametros Inventario'!$A:$A,B4175,'Parametros Inventario'!$B:$B)+SUMIFS(D$2:D4175,B$2:B4175,B4175,C$2:C4175,"ENTRADA")-SUMIFS(D$2:D4175,B$2:B4175,B4175,C$2:C4175,"SALIDA")</f>
        <v>17424.001999999997</v>
      </c>
    </row>
    <row r="4176" spans="1:5" x14ac:dyDescent="0.3">
      <c r="A4176" s="9">
        <f>'Volúmenes DIstribuidos '!B2547</f>
        <v>45531</v>
      </c>
      <c r="B4176" s="10" t="str">
        <f>IF(OR('Volúmenes DIstribuidos '!C2552="Azúcar",'Volúmenes DIstribuidos '!C2552="azúcar"),"Azúcar o dulce",IF('Volúmenes DIstribuidos '!C2552="Aceite","Aceite o grasas",IF('Volúmenes DIstribuidos '!C2552="Avena","Otros almidones",'Volúmenes DIstribuidos '!C2552)))</f>
        <v>Azúcar o dulce</v>
      </c>
      <c r="C4176" s="10" t="s">
        <v>29</v>
      </c>
      <c r="D4176" s="12">
        <f>'Volúmenes DIstribuidos '!D2552</f>
        <v>65.305000000000007</v>
      </c>
      <c r="E4176" s="12">
        <f>SUMIF('Parametros Inventario'!$A:$A,B4176,'Parametros Inventario'!$B:$B)+SUMIFS(D$2:D4176,B$2:B4176,B4176,C$2:C4176,"ENTRADA")-SUMIFS(D$2:D4176,B$2:B4176,B4176,C$2:C4176,"SALIDA")</f>
        <v>18725.776999999998</v>
      </c>
    </row>
    <row r="4177" spans="1:5" x14ac:dyDescent="0.3">
      <c r="A4177" s="9">
        <v>45534</v>
      </c>
      <c r="B4177" s="10" t="s">
        <v>18</v>
      </c>
      <c r="C4177" s="10" t="s">
        <v>28</v>
      </c>
      <c r="D4177" s="12">
        <v>204.75</v>
      </c>
      <c r="E4177" s="12">
        <f>SUMIF('Parametros Inventario'!$A:$A,B4177,'Parametros Inventario'!$B:$B)+SUMIFS(D$2:D4177,B$2:B4177,B4177,C$2:C4177,"ENTRADA")-SUMIFS(D$2:D4177,B$2:B4177,B4177,C$2:C4177,"SALIDA")</f>
        <v>19375.974999999991</v>
      </c>
    </row>
    <row r="4178" spans="1:5" x14ac:dyDescent="0.3">
      <c r="A4178" s="9">
        <v>45534</v>
      </c>
      <c r="B4178" s="10" t="s">
        <v>10</v>
      </c>
      <c r="C4178" s="10" t="s">
        <v>28</v>
      </c>
      <c r="D4178" s="12">
        <v>125.37</v>
      </c>
      <c r="E4178" s="12">
        <f>SUMIF('Parametros Inventario'!$A:$A,B4178,'Parametros Inventario'!$B:$B)+SUMIFS(D$2:D4178,B$2:B4178,B4178,C$2:C4178,"ENTRADA")-SUMIFS(D$2:D4178,B$2:B4178,B4178,C$2:C4178,"SALIDA")</f>
        <v>20491.469000000005</v>
      </c>
    </row>
    <row r="4179" spans="1:5" x14ac:dyDescent="0.3">
      <c r="A4179" s="9">
        <v>45534</v>
      </c>
      <c r="B4179" s="10" t="s">
        <v>8</v>
      </c>
      <c r="C4179" s="10" t="s">
        <v>28</v>
      </c>
      <c r="D4179" s="12">
        <v>168.55</v>
      </c>
      <c r="E4179" s="12">
        <f>SUMIF('Parametros Inventario'!$A:$A,B4179,'Parametros Inventario'!$B:$B)+SUMIFS(D$2:D4179,B$2:B4179,B4179,C$2:C4179,"ENTRADA")-SUMIFS(D$2:D4179,B$2:B4179,B4179,C$2:C4179,"SALIDA")</f>
        <v>19385.187000000013</v>
      </c>
    </row>
    <row r="4180" spans="1:5" x14ac:dyDescent="0.3">
      <c r="A4180" s="9">
        <v>45534</v>
      </c>
      <c r="B4180" s="10" t="s">
        <v>13</v>
      </c>
      <c r="C4180" s="10" t="s">
        <v>28</v>
      </c>
      <c r="D4180" s="12">
        <v>240.25</v>
      </c>
      <c r="E4180" s="12">
        <f>SUMIF('Parametros Inventario'!$A:$A,B4180,'Parametros Inventario'!$B:$B)+SUMIFS(D$2:D4180,B$2:B4180,B4180,C$2:C4180,"ENTRADA")-SUMIFS(D$2:D4180,B$2:B4180,B4180,C$2:C4180,"SALIDA")</f>
        <v>18966.026999999998</v>
      </c>
    </row>
    <row r="4181" spans="1:5" x14ac:dyDescent="0.3">
      <c r="A4181" s="9">
        <v>45534</v>
      </c>
      <c r="B4181" s="10" t="s">
        <v>15</v>
      </c>
      <c r="C4181" s="10" t="s">
        <v>28</v>
      </c>
      <c r="D4181" s="12">
        <v>183.39</v>
      </c>
      <c r="E4181" s="12">
        <f>SUMIF('Parametros Inventario'!$A:$A,B4181,'Parametros Inventario'!$B:$B)+SUMIFS(D$2:D4181,B$2:B4181,B4181,C$2:C4181,"ENTRADA")-SUMIFS(D$2:D4181,B$2:B4181,B4181,C$2:C4181,"SALIDA")</f>
        <v>21878.063999999995</v>
      </c>
    </row>
    <row r="4182" spans="1:5" x14ac:dyDescent="0.3">
      <c r="A4182" s="9">
        <v>45534</v>
      </c>
      <c r="B4182" s="10" t="s">
        <v>11</v>
      </c>
      <c r="C4182" s="10" t="s">
        <v>28</v>
      </c>
      <c r="D4182" s="12">
        <v>88.42</v>
      </c>
      <c r="E4182" s="12">
        <f>SUMIF('Parametros Inventario'!$A:$A,B4182,'Parametros Inventario'!$B:$B)+SUMIFS(D$2:D4182,B$2:B4182,B4182,C$2:C4182,"ENTRADA")-SUMIFS(D$2:D4182,B$2:B4182,B4182,C$2:C4182,"SALIDA")</f>
        <v>22724.806000000011</v>
      </c>
    </row>
    <row r="4183" spans="1:5" x14ac:dyDescent="0.3">
      <c r="A4183" s="9">
        <v>45534</v>
      </c>
      <c r="B4183" s="10" t="s">
        <v>9</v>
      </c>
      <c r="C4183" s="10" t="s">
        <v>28</v>
      </c>
      <c r="D4183" s="12">
        <v>81.96</v>
      </c>
      <c r="E4183" s="12">
        <f>SUMIF('Parametros Inventario'!$A:$A,B4183,'Parametros Inventario'!$B:$B)+SUMIFS(D$2:D4183,B$2:B4183,B4183,C$2:C4183,"ENTRADA")-SUMIFS(D$2:D4183,B$2:B4183,B4183,C$2:C4183,"SALIDA")</f>
        <v>17505.961999999996</v>
      </c>
    </row>
    <row r="4184" spans="1:5" x14ac:dyDescent="0.3">
      <c r="A4184" s="9">
        <v>45534</v>
      </c>
      <c r="B4184" s="10" t="s">
        <v>14</v>
      </c>
      <c r="C4184" s="10" t="s">
        <v>28</v>
      </c>
      <c r="D4184" s="12">
        <v>154.55000000000001</v>
      </c>
      <c r="E4184" s="12">
        <f>SUMIF('Parametros Inventario'!$A:$A,B4184,'Parametros Inventario'!$B:$B)+SUMIFS(D$2:D4184,B$2:B4184,B4184,C$2:C4184,"ENTRADA")-SUMIFS(D$2:D4184,B$2:B4184,B4184,C$2:C4184,"SALIDA")</f>
        <v>20069.89799999999</v>
      </c>
    </row>
    <row r="4185" spans="1:5" x14ac:dyDescent="0.3">
      <c r="A4185" s="9">
        <f>'Volúmenes DIstribuidos '!B2553</f>
        <v>45534</v>
      </c>
      <c r="B4185" s="10" t="str">
        <f>IF(OR('Volúmenes DIstribuidos '!C2553="Azúcar",'Volúmenes DIstribuidos '!C2553="azúcar"),"Azúcar o dulce",IF('Volúmenes DIstribuidos '!C2553="Aceite","Aceite o grasas",IF('Volúmenes DIstribuidos '!C2553="Avena","Otros almidones",'Volúmenes DIstribuidos '!C2553)))</f>
        <v>Azúcar o dulce</v>
      </c>
      <c r="C4185" s="10" t="s">
        <v>29</v>
      </c>
      <c r="D4185" s="12">
        <f>'Volúmenes DIstribuidos '!D2553</f>
        <v>36.46</v>
      </c>
      <c r="E4185" s="12">
        <f>SUMIF('Parametros Inventario'!$A:$A,B4185,'Parametros Inventario'!$B:$B)+SUMIFS(D$2:D4185,B$2:B4185,B4185,C$2:C4185,"ENTRADA")-SUMIFS(D$2:D4185,B$2:B4185,B4185,C$2:C4185,"SALIDA")</f>
        <v>18929.566999999999</v>
      </c>
    </row>
    <row r="4186" spans="1:5" x14ac:dyDescent="0.3">
      <c r="A4186" s="9">
        <f>'Volúmenes DIstribuidos '!B2553</f>
        <v>45534</v>
      </c>
      <c r="B4186" s="10" t="str">
        <f>IF(OR('Volúmenes DIstribuidos '!C2554="Azúcar",'Volúmenes DIstribuidos '!C2554="azúcar"),"Azúcar o dulce",IF('Volúmenes DIstribuidos '!C2554="Aceite","Aceite o grasas",IF('Volúmenes DIstribuidos '!C2554="Avena","Otros almidones",'Volúmenes DIstribuidos '!C2554)))</f>
        <v>Fideo</v>
      </c>
      <c r="C4186" s="10" t="s">
        <v>29</v>
      </c>
      <c r="D4186" s="12">
        <f>'Volúmenes DIstribuidos '!D2554</f>
        <v>26.07</v>
      </c>
      <c r="E4186" s="12">
        <f>SUMIF('Parametros Inventario'!$A:$A,B4186,'Parametros Inventario'!$B:$B)+SUMIFS(D$2:D4186,B$2:B4186,B4186,C$2:C4186,"ENTRADA")-SUMIFS(D$2:D4186,B$2:B4186,B4186,C$2:C4186,"SALIDA")</f>
        <v>22698.736000000012</v>
      </c>
    </row>
    <row r="4187" spans="1:5" x14ac:dyDescent="0.3">
      <c r="A4187" s="9">
        <f>'Volúmenes DIstribuidos '!B2553</f>
        <v>45534</v>
      </c>
      <c r="B4187" s="10" t="str">
        <f>IF(OR('Volúmenes DIstribuidos '!C2555="Azúcar",'Volúmenes DIstribuidos '!C2555="azúcar"),"Azúcar o dulce",IF('Volúmenes DIstribuidos '!C2555="Aceite","Aceite o grasas",IF('Volúmenes DIstribuidos '!C2555="Avena","Otros almidones",'Volúmenes DIstribuidos '!C2555)))</f>
        <v>Lácteos</v>
      </c>
      <c r="C4187" s="10" t="s">
        <v>29</v>
      </c>
      <c r="D4187" s="12">
        <f>'Volúmenes DIstribuidos '!D2555</f>
        <v>76.373999999999995</v>
      </c>
      <c r="E4187" s="12">
        <f>SUMIF('Parametros Inventario'!$A:$A,B4187,'Parametros Inventario'!$B:$B)+SUMIFS(D$2:D4187,B$2:B4187,B4187,C$2:C4187,"ENTRADA")-SUMIFS(D$2:D4187,B$2:B4187,B4187,C$2:C4187,"SALIDA")</f>
        <v>18977.703000000001</v>
      </c>
    </row>
    <row r="4188" spans="1:5" x14ac:dyDescent="0.3">
      <c r="A4188" s="9">
        <f>'Volúmenes DIstribuidos '!B2553</f>
        <v>45534</v>
      </c>
      <c r="B4188" s="10" t="str">
        <f>IF(OR('Volúmenes DIstribuidos '!C2556="Azúcar",'Volúmenes DIstribuidos '!C2556="azúcar"),"Azúcar o dulce",IF('Volúmenes DIstribuidos '!C2556="Aceite","Aceite o grasas",IF('Volúmenes DIstribuidos '!C2556="Avena","Otros almidones",'Volúmenes DIstribuidos '!C2556)))</f>
        <v>Fideo</v>
      </c>
      <c r="C4188" s="10" t="s">
        <v>29</v>
      </c>
      <c r="D4188" s="12">
        <f>'Volúmenes DIstribuidos '!D2556</f>
        <v>19.260000000000002</v>
      </c>
      <c r="E4188" s="12">
        <f>SUMIF('Parametros Inventario'!$A:$A,B4188,'Parametros Inventario'!$B:$B)+SUMIFS(D$2:D4188,B$2:B4188,B4188,C$2:C4188,"ENTRADA")-SUMIFS(D$2:D4188,B$2:B4188,B4188,C$2:C4188,"SALIDA")</f>
        <v>22679.476000000013</v>
      </c>
    </row>
    <row r="4189" spans="1:5" x14ac:dyDescent="0.3">
      <c r="A4189" s="9">
        <f>'Volúmenes DIstribuidos '!B2553</f>
        <v>45534</v>
      </c>
      <c r="B4189" s="10" t="str">
        <f>IF(OR('Volúmenes DIstribuidos '!C2557="Azúcar",'Volúmenes DIstribuidos '!C2557="azúcar"),"Azúcar o dulce",IF('Volúmenes DIstribuidos '!C2557="Aceite","Aceite o grasas",IF('Volúmenes DIstribuidos '!C2557="Avena","Otros almidones",'Volúmenes DIstribuidos '!C2557)))</f>
        <v>Aceite o grasas</v>
      </c>
      <c r="C4189" s="10" t="s">
        <v>29</v>
      </c>
      <c r="D4189" s="12">
        <f>'Volúmenes DIstribuidos '!D2557</f>
        <v>26.11</v>
      </c>
      <c r="E4189" s="12">
        <f>SUMIF('Parametros Inventario'!$A:$A,B4189,'Parametros Inventario'!$B:$B)+SUMIFS(D$2:D4189,B$2:B4189,B4189,C$2:C4189,"ENTRADA")-SUMIFS(D$2:D4189,B$2:B4189,B4189,C$2:C4189,"SALIDA")</f>
        <v>19359.077000000012</v>
      </c>
    </row>
    <row r="4190" spans="1:5" x14ac:dyDescent="0.3">
      <c r="A4190" s="9">
        <f>'Volúmenes DIstribuidos '!B2553</f>
        <v>45534</v>
      </c>
      <c r="B4190" s="10" t="str">
        <f>IF(OR('Volúmenes DIstribuidos '!C2558="Azúcar",'Volúmenes DIstribuidos '!C2558="azúcar"),"Azúcar o dulce",IF('Volúmenes DIstribuidos '!C2558="Aceite","Aceite o grasas",IF('Volúmenes DIstribuidos '!C2558="Avena","Otros almidones",'Volúmenes DIstribuidos '!C2558)))</f>
        <v>Carnes blancas</v>
      </c>
      <c r="C4190" s="10" t="s">
        <v>29</v>
      </c>
      <c r="D4190" s="12">
        <f>'Volúmenes DIstribuidos '!D2558</f>
        <v>22.4</v>
      </c>
      <c r="E4190" s="12">
        <f>SUMIF('Parametros Inventario'!$A:$A,B4190,'Parametros Inventario'!$B:$B)+SUMIFS(D$2:D4190,B$2:B4190,B4190,C$2:C4190,"ENTRADA")-SUMIFS(D$2:D4190,B$2:B4190,B4190,C$2:C4190,"SALIDA")</f>
        <v>19738.656000000003</v>
      </c>
    </row>
    <row r="4191" spans="1:5" x14ac:dyDescent="0.3">
      <c r="A4191" s="9">
        <f>'Volúmenes DIstribuidos '!B2559</f>
        <v>45538</v>
      </c>
      <c r="B4191" s="10" t="str">
        <f>IF(OR('Volúmenes DIstribuidos '!C2559="Azúcar",'Volúmenes DIstribuidos '!C2559="azúcar"),"Azúcar o dulce",IF('Volúmenes DIstribuidos '!C2559="Aceite","Aceite o grasas",IF('Volúmenes DIstribuidos '!C2559="Avena","Otros almidones",'Volúmenes DIstribuidos '!C2559)))</f>
        <v>Carnes rojas</v>
      </c>
      <c r="C4191" s="10" t="s">
        <v>29</v>
      </c>
      <c r="D4191" s="12">
        <f>'Volúmenes DIstribuidos '!D2559</f>
        <v>48.95</v>
      </c>
      <c r="E4191" s="12">
        <f>SUMIF('Parametros Inventario'!$A:$A,B4191,'Parametros Inventario'!$B:$B)+SUMIFS(D$2:D4191,B$2:B4191,B4191,C$2:C4191,"ENTRADA")-SUMIFS(D$2:D4191,B$2:B4191,B4191,C$2:C4191,"SALIDA")</f>
        <v>18790.325999999997</v>
      </c>
    </row>
    <row r="4192" spans="1:5" x14ac:dyDescent="0.3">
      <c r="A4192" s="9">
        <f>'Volúmenes DIstribuidos '!B2559</f>
        <v>45538</v>
      </c>
      <c r="B4192" s="10" t="str">
        <f>IF(OR('Volúmenes DIstribuidos '!C2560="Azúcar",'Volúmenes DIstribuidos '!C2560="azúcar"),"Azúcar o dulce",IF('Volúmenes DIstribuidos '!C2560="Aceite","Aceite o grasas",IF('Volúmenes DIstribuidos '!C2560="Avena","Otros almidones",'Volúmenes DIstribuidos '!C2560)))</f>
        <v>Panadería</v>
      </c>
      <c r="C4192" s="10" t="s">
        <v>29</v>
      </c>
      <c r="D4192" s="12">
        <f>'Volúmenes DIstribuidos '!D2560</f>
        <v>45.23</v>
      </c>
      <c r="E4192" s="12">
        <f>SUMIF('Parametros Inventario'!$A:$A,B4192,'Parametros Inventario'!$B:$B)+SUMIFS(D$2:D4192,B$2:B4192,B4192,C$2:C4192,"ENTRADA")-SUMIFS(D$2:D4192,B$2:B4192,B4192,C$2:C4192,"SALIDA")</f>
        <v>17460.731999999996</v>
      </c>
    </row>
    <row r="4193" spans="1:5" x14ac:dyDescent="0.3">
      <c r="A4193" s="9">
        <f>'Volúmenes DIstribuidos '!B2559</f>
        <v>45538</v>
      </c>
      <c r="B4193" s="10" t="str">
        <f>IF(OR('Volúmenes DIstribuidos '!C2561="Azúcar",'Volúmenes DIstribuidos '!C2561="azúcar"),"Azúcar o dulce",IF('Volúmenes DIstribuidos '!C2561="Aceite","Aceite o grasas",IF('Volúmenes DIstribuidos '!C2561="Avena","Otros almidones",'Volúmenes DIstribuidos '!C2561)))</f>
        <v>Otros almidones</v>
      </c>
      <c r="C4193" s="10" t="s">
        <v>29</v>
      </c>
      <c r="D4193" s="12">
        <f>'Volúmenes DIstribuidos '!D2561</f>
        <v>10.246</v>
      </c>
      <c r="E4193" s="12">
        <f>SUMIF('Parametros Inventario'!$A:$A,B4193,'Parametros Inventario'!$B:$B)+SUMIFS(D$2:D4193,B$2:B4193,B4193,C$2:C4193,"ENTRADA")-SUMIFS(D$2:D4193,B$2:B4193,B4193,C$2:C4193,"SALIDA")</f>
        <v>21867.817999999996</v>
      </c>
    </row>
    <row r="4194" spans="1:5" x14ac:dyDescent="0.3">
      <c r="A4194" s="9">
        <f>'Volúmenes DIstribuidos '!B2559</f>
        <v>45538</v>
      </c>
      <c r="B4194" s="10" t="str">
        <f>IF(OR('Volúmenes DIstribuidos '!C2562="Azúcar",'Volúmenes DIstribuidos '!C2562="azúcar"),"Azúcar o dulce",IF('Volúmenes DIstribuidos '!C2562="Aceite","Aceite o grasas",IF('Volúmenes DIstribuidos '!C2562="Avena","Otros almidones",'Volúmenes DIstribuidos '!C2562)))</f>
        <v>Lácteos</v>
      </c>
      <c r="C4194" s="10" t="s">
        <v>29</v>
      </c>
      <c r="D4194" s="12">
        <f>'Volúmenes DIstribuidos '!D2562</f>
        <v>5.92</v>
      </c>
      <c r="E4194" s="12">
        <f>SUMIF('Parametros Inventario'!$A:$A,B4194,'Parametros Inventario'!$B:$B)+SUMIFS(D$2:D4194,B$2:B4194,B4194,C$2:C4194,"ENTRADA")-SUMIFS(D$2:D4194,B$2:B4194,B4194,C$2:C4194,"SALIDA")</f>
        <v>18971.783000000003</v>
      </c>
    </row>
    <row r="4195" spans="1:5" x14ac:dyDescent="0.3">
      <c r="A4195" s="9">
        <f>'Volúmenes DIstribuidos '!B2559</f>
        <v>45538</v>
      </c>
      <c r="B4195" s="10" t="str">
        <f>IF(OR('Volúmenes DIstribuidos '!C2563="Azúcar",'Volúmenes DIstribuidos '!C2563="azúcar"),"Azúcar o dulce",IF('Volúmenes DIstribuidos '!C2563="Aceite","Aceite o grasas",IF('Volúmenes DIstribuidos '!C2563="Avena","Otros almidones",'Volúmenes DIstribuidos '!C2563)))</f>
        <v>Salsas</v>
      </c>
      <c r="C4195" s="10" t="s">
        <v>29</v>
      </c>
      <c r="D4195" s="12">
        <f>'Volúmenes DIstribuidos '!D2563</f>
        <v>21.19</v>
      </c>
      <c r="E4195" s="12">
        <f>SUMIF('Parametros Inventario'!$A:$A,B4195,'Parametros Inventario'!$B:$B)+SUMIFS(D$2:D4195,B$2:B4195,B4195,C$2:C4195,"ENTRADA")-SUMIFS(D$2:D4195,B$2:B4195,B4195,C$2:C4195,"SALIDA")</f>
        <v>19354.784999999989</v>
      </c>
    </row>
    <row r="4196" spans="1:5" x14ac:dyDescent="0.3">
      <c r="A4196" s="9">
        <f>'Volúmenes DIstribuidos '!B2559</f>
        <v>45538</v>
      </c>
      <c r="B4196" s="10" t="str">
        <f>IF(OR('Volúmenes DIstribuidos '!C2564="Azúcar",'Volúmenes DIstribuidos '!C2564="azúcar"),"Azúcar o dulce",IF('Volúmenes DIstribuidos '!C2564="Aceite","Aceite o grasas",IF('Volúmenes DIstribuidos '!C2564="Avena","Otros almidones",'Volúmenes DIstribuidos '!C2564)))</f>
        <v>Otros almidones</v>
      </c>
      <c r="C4196" s="10" t="s">
        <v>29</v>
      </c>
      <c r="D4196" s="12">
        <f>'Volúmenes DIstribuidos '!D2564</f>
        <v>9.1760000000000002</v>
      </c>
      <c r="E4196" s="12">
        <f>SUMIF('Parametros Inventario'!$A:$A,B4196,'Parametros Inventario'!$B:$B)+SUMIFS(D$2:D4196,B$2:B4196,B4196,C$2:C4196,"ENTRADA")-SUMIFS(D$2:D4196,B$2:B4196,B4196,C$2:C4196,"SALIDA")</f>
        <v>21858.641999999996</v>
      </c>
    </row>
    <row r="4197" spans="1:5" x14ac:dyDescent="0.3">
      <c r="A4197" s="9">
        <v>45541</v>
      </c>
      <c r="B4197" s="10" t="s">
        <v>12</v>
      </c>
      <c r="C4197" s="10" t="s">
        <v>28</v>
      </c>
      <c r="D4197" s="12">
        <v>227.9</v>
      </c>
      <c r="E4197" s="12">
        <f>SUMIF('Parametros Inventario'!$A:$A,B4197,'Parametros Inventario'!$B:$B)+SUMIFS(D$2:D4197,B$2:B4197,B4197,C$2:C4197,"ENTRADA")-SUMIFS(D$2:D4197,B$2:B4197,B4197,C$2:C4197,"SALIDA")</f>
        <v>19018.225999999999</v>
      </c>
    </row>
    <row r="4198" spans="1:5" x14ac:dyDescent="0.3">
      <c r="A4198" s="9">
        <v>45541</v>
      </c>
      <c r="B4198" s="10" t="s">
        <v>16</v>
      </c>
      <c r="C4198" s="10" t="s">
        <v>28</v>
      </c>
      <c r="D4198" s="12">
        <v>272.89999999999998</v>
      </c>
      <c r="E4198" s="12">
        <f>SUMIF('Parametros Inventario'!$A:$A,B4198,'Parametros Inventario'!$B:$B)+SUMIFS(D$2:D4198,B$2:B4198,B4198,C$2:C4198,"ENTRADA")-SUMIFS(D$2:D4198,B$2:B4198,B4198,C$2:C4198,"SALIDA")</f>
        <v>20011.556000000004</v>
      </c>
    </row>
    <row r="4199" spans="1:5" x14ac:dyDescent="0.3">
      <c r="A4199" s="9">
        <v>45541</v>
      </c>
      <c r="B4199" s="10" t="s">
        <v>17</v>
      </c>
      <c r="C4199" s="10" t="s">
        <v>28</v>
      </c>
      <c r="D4199" s="12">
        <v>239.84</v>
      </c>
      <c r="E4199" s="12">
        <f>SUMIF('Parametros Inventario'!$A:$A,B4199,'Parametros Inventario'!$B:$B)+SUMIFS(D$2:D4199,B$2:B4199,B4199,C$2:C4199,"ENTRADA")-SUMIFS(D$2:D4199,B$2:B4199,B4199,C$2:C4199,"SALIDA")</f>
        <v>19211.623000000003</v>
      </c>
    </row>
    <row r="4200" spans="1:5" x14ac:dyDescent="0.3">
      <c r="A4200" s="9">
        <v>45541</v>
      </c>
      <c r="B4200" s="10" t="s">
        <v>18</v>
      </c>
      <c r="C4200" s="10" t="s">
        <v>28</v>
      </c>
      <c r="D4200" s="12">
        <v>261.52</v>
      </c>
      <c r="E4200" s="12">
        <f>SUMIF('Parametros Inventario'!$A:$A,B4200,'Parametros Inventario'!$B:$B)+SUMIFS(D$2:D4200,B$2:B4200,B4200,C$2:C4200,"ENTRADA")-SUMIFS(D$2:D4200,B$2:B4200,B4200,C$2:C4200,"SALIDA")</f>
        <v>19616.304999999993</v>
      </c>
    </row>
    <row r="4201" spans="1:5" x14ac:dyDescent="0.3">
      <c r="A4201" s="9">
        <v>45541</v>
      </c>
      <c r="B4201" s="10" t="s">
        <v>10</v>
      </c>
      <c r="C4201" s="10" t="s">
        <v>28</v>
      </c>
      <c r="D4201" s="12">
        <v>190.09</v>
      </c>
      <c r="E4201" s="12">
        <f>SUMIF('Parametros Inventario'!$A:$A,B4201,'Parametros Inventario'!$B:$B)+SUMIFS(D$2:D4201,B$2:B4201,B4201,C$2:C4201,"ENTRADA")-SUMIFS(D$2:D4201,B$2:B4201,B4201,C$2:C4201,"SALIDA")</f>
        <v>20681.559000000005</v>
      </c>
    </row>
    <row r="4202" spans="1:5" x14ac:dyDescent="0.3">
      <c r="A4202" s="9">
        <v>45541</v>
      </c>
      <c r="B4202" s="10" t="s">
        <v>8</v>
      </c>
      <c r="C4202" s="10" t="s">
        <v>28</v>
      </c>
      <c r="D4202" s="12">
        <v>136.83000000000001</v>
      </c>
      <c r="E4202" s="12">
        <f>SUMIF('Parametros Inventario'!$A:$A,B4202,'Parametros Inventario'!$B:$B)+SUMIFS(D$2:D4202,B$2:B4202,B4202,C$2:C4202,"ENTRADA")-SUMIFS(D$2:D4202,B$2:B4202,B4202,C$2:C4202,"SALIDA")</f>
        <v>19495.907000000014</v>
      </c>
    </row>
    <row r="4203" spans="1:5" x14ac:dyDescent="0.3">
      <c r="A4203" s="9">
        <v>45541</v>
      </c>
      <c r="B4203" s="10" t="s">
        <v>13</v>
      </c>
      <c r="C4203" s="10" t="s">
        <v>28</v>
      </c>
      <c r="D4203" s="12">
        <v>141.5</v>
      </c>
      <c r="E4203" s="12">
        <f>SUMIF('Parametros Inventario'!$A:$A,B4203,'Parametros Inventario'!$B:$B)+SUMIFS(D$2:D4203,B$2:B4203,B4203,C$2:C4203,"ENTRADA")-SUMIFS(D$2:D4203,B$2:B4203,B4203,C$2:C4203,"SALIDA")</f>
        <v>19071.066999999999</v>
      </c>
    </row>
    <row r="4204" spans="1:5" x14ac:dyDescent="0.3">
      <c r="A4204" s="9">
        <f>'Volúmenes DIstribuidos '!B2565</f>
        <v>45541</v>
      </c>
      <c r="B4204" s="10" t="str">
        <f>IF(OR('Volúmenes DIstribuidos '!C2565="Azúcar",'Volúmenes DIstribuidos '!C2565="azúcar"),"Azúcar o dulce",IF('Volúmenes DIstribuidos '!C2565="Aceite","Aceite o grasas",IF('Volúmenes DIstribuidos '!C2565="Avena","Otros almidones",'Volúmenes DIstribuidos '!C2565)))</f>
        <v>Lácteos</v>
      </c>
      <c r="C4204" s="10" t="s">
        <v>29</v>
      </c>
      <c r="D4204" s="12">
        <f>'Volúmenes DIstribuidos '!D2565</f>
        <v>25.68</v>
      </c>
      <c r="E4204" s="12">
        <f>SUMIF('Parametros Inventario'!$A:$A,B4204,'Parametros Inventario'!$B:$B)+SUMIFS(D$2:D4204,B$2:B4204,B4204,C$2:C4204,"ENTRADA")-SUMIFS(D$2:D4204,B$2:B4204,B4204,C$2:C4204,"SALIDA")</f>
        <v>19185.943000000003</v>
      </c>
    </row>
    <row r="4205" spans="1:5" x14ac:dyDescent="0.3">
      <c r="A4205" s="9">
        <f>'Volúmenes DIstribuidos '!B2565</f>
        <v>45541</v>
      </c>
      <c r="B4205" s="10" t="str">
        <f>IF(OR('Volúmenes DIstribuidos '!C2566="Azúcar",'Volúmenes DIstribuidos '!C2566="azúcar"),"Azúcar o dulce",IF('Volúmenes DIstribuidos '!C2566="Aceite","Aceite o grasas",IF('Volúmenes DIstribuidos '!C2566="Avena","Otros almidones",'Volúmenes DIstribuidos '!C2566)))</f>
        <v>Fideo</v>
      </c>
      <c r="C4205" s="10" t="s">
        <v>29</v>
      </c>
      <c r="D4205" s="12">
        <f>'Volúmenes DIstribuidos '!D2566</f>
        <v>15.49</v>
      </c>
      <c r="E4205" s="12">
        <f>SUMIF('Parametros Inventario'!$A:$A,B4205,'Parametros Inventario'!$B:$B)+SUMIFS(D$2:D4205,B$2:B4205,B4205,C$2:C4205,"ENTRADA")-SUMIFS(D$2:D4205,B$2:B4205,B4205,C$2:C4205,"SALIDA")</f>
        <v>22663.986000000012</v>
      </c>
    </row>
    <row r="4206" spans="1:5" x14ac:dyDescent="0.3">
      <c r="A4206" s="9">
        <f>'Volúmenes DIstribuidos '!B2565</f>
        <v>45541</v>
      </c>
      <c r="B4206" s="10" t="str">
        <f>IF(OR('Volúmenes DIstribuidos '!C2567="Azúcar",'Volúmenes DIstribuidos '!C2567="azúcar"),"Azúcar o dulce",IF('Volúmenes DIstribuidos '!C2567="Aceite","Aceite o grasas",IF('Volúmenes DIstribuidos '!C2567="Avena","Otros almidones",'Volúmenes DIstribuidos '!C2567)))</f>
        <v>Menestras</v>
      </c>
      <c r="C4206" s="10" t="s">
        <v>29</v>
      </c>
      <c r="D4206" s="12">
        <f>'Volúmenes DIstribuidos '!D2567</f>
        <v>12.98</v>
      </c>
      <c r="E4206" s="12">
        <f>SUMIF('Parametros Inventario'!$A:$A,B4206,'Parametros Inventario'!$B:$B)+SUMIFS(D$2:D4206,B$2:B4206,B4206,C$2:C4206,"ENTRADA")-SUMIFS(D$2:D4206,B$2:B4206,B4206,C$2:C4206,"SALIDA")</f>
        <v>20056.917999999991</v>
      </c>
    </row>
    <row r="4207" spans="1:5" x14ac:dyDescent="0.3">
      <c r="A4207" s="9">
        <f>'Volúmenes DIstribuidos '!B2565</f>
        <v>45541</v>
      </c>
      <c r="B4207" s="10" t="str">
        <f>IF(OR('Volúmenes DIstribuidos '!C2568="Azúcar",'Volúmenes DIstribuidos '!C2568="azúcar"),"Azúcar o dulce",IF('Volúmenes DIstribuidos '!C2568="Aceite","Aceite o grasas",IF('Volúmenes DIstribuidos '!C2568="Avena","Otros almidones",'Volúmenes DIstribuidos '!C2568)))</f>
        <v>Carnes rojas</v>
      </c>
      <c r="C4207" s="10" t="s">
        <v>29</v>
      </c>
      <c r="D4207" s="12">
        <f>'Volúmenes DIstribuidos '!D2568</f>
        <v>10.119</v>
      </c>
      <c r="E4207" s="12">
        <f>SUMIF('Parametros Inventario'!$A:$A,B4207,'Parametros Inventario'!$B:$B)+SUMIFS(D$2:D4207,B$2:B4207,B4207,C$2:C4207,"ENTRADA")-SUMIFS(D$2:D4207,B$2:B4207,B4207,C$2:C4207,"SALIDA")</f>
        <v>19008.107</v>
      </c>
    </row>
    <row r="4208" spans="1:5" x14ac:dyDescent="0.3">
      <c r="A4208" s="9">
        <f>'Volúmenes DIstribuidos '!B2565</f>
        <v>45541</v>
      </c>
      <c r="B4208" s="10" t="str">
        <f>IF(OR('Volúmenes DIstribuidos '!C2569="Azúcar",'Volúmenes DIstribuidos '!C2569="azúcar"),"Azúcar o dulce",IF('Volúmenes DIstribuidos '!C2569="Aceite","Aceite o grasas",IF('Volúmenes DIstribuidos '!C2569="Avena","Otros almidones",'Volúmenes DIstribuidos '!C2569)))</f>
        <v>Carnes rojas</v>
      </c>
      <c r="C4208" s="10" t="s">
        <v>29</v>
      </c>
      <c r="D4208" s="12">
        <f>'Volúmenes DIstribuidos '!D2569</f>
        <v>9.76</v>
      </c>
      <c r="E4208" s="12">
        <f>SUMIF('Parametros Inventario'!$A:$A,B4208,'Parametros Inventario'!$B:$B)+SUMIFS(D$2:D4208,B$2:B4208,B4208,C$2:C4208,"ENTRADA")-SUMIFS(D$2:D4208,B$2:B4208,B4208,C$2:C4208,"SALIDA")</f>
        <v>18998.346999999998</v>
      </c>
    </row>
    <row r="4209" spans="1:5" x14ac:dyDescent="0.3">
      <c r="A4209" s="9">
        <f>'Volúmenes DIstribuidos '!B2565</f>
        <v>45541</v>
      </c>
      <c r="B4209" s="10" t="str">
        <f>IF(OR('Volúmenes DIstribuidos '!C2570="Azúcar",'Volúmenes DIstribuidos '!C2570="azúcar"),"Azúcar o dulce",IF('Volúmenes DIstribuidos '!C2570="Aceite","Aceite o grasas",IF('Volúmenes DIstribuidos '!C2570="Avena","Otros almidones",'Volúmenes DIstribuidos '!C2570)))</f>
        <v>Otros almidones</v>
      </c>
      <c r="C4209" s="10" t="s">
        <v>29</v>
      </c>
      <c r="D4209" s="12">
        <f>'Volúmenes DIstribuidos '!D2570</f>
        <v>6.09</v>
      </c>
      <c r="E4209" s="12">
        <f>SUMIF('Parametros Inventario'!$A:$A,B4209,'Parametros Inventario'!$B:$B)+SUMIFS(D$2:D4209,B$2:B4209,B4209,C$2:C4209,"ENTRADA")-SUMIFS(D$2:D4209,B$2:B4209,B4209,C$2:C4209,"SALIDA")</f>
        <v>21852.551999999996</v>
      </c>
    </row>
    <row r="4210" spans="1:5" x14ac:dyDescent="0.3">
      <c r="A4210" s="9">
        <f>'Volúmenes DIstribuidos '!B2571</f>
        <v>45545</v>
      </c>
      <c r="B4210" s="10" t="str">
        <f>IF(OR('Volúmenes DIstribuidos '!C2571="Azúcar",'Volúmenes DIstribuidos '!C2571="azúcar"),"Azúcar o dulce",IF('Volúmenes DIstribuidos '!C2571="Aceite","Aceite o grasas",IF('Volúmenes DIstribuidos '!C2571="Avena","Otros almidones",'Volúmenes DIstribuidos '!C2571)))</f>
        <v>Salsas</v>
      </c>
      <c r="C4210" s="10" t="s">
        <v>29</v>
      </c>
      <c r="D4210" s="12">
        <f>'Volúmenes DIstribuidos '!D2571</f>
        <v>80.903000000000006</v>
      </c>
      <c r="E4210" s="12">
        <f>SUMIF('Parametros Inventario'!$A:$A,B4210,'Parametros Inventario'!$B:$B)+SUMIFS(D$2:D4210,B$2:B4210,B4210,C$2:C4210,"ENTRADA")-SUMIFS(D$2:D4210,B$2:B4210,B4210,C$2:C4210,"SALIDA")</f>
        <v>19535.401999999991</v>
      </c>
    </row>
    <row r="4211" spans="1:5" x14ac:dyDescent="0.3">
      <c r="A4211" s="9">
        <f>'Volúmenes DIstribuidos '!B2571</f>
        <v>45545</v>
      </c>
      <c r="B4211" s="10" t="str">
        <f>IF(OR('Volúmenes DIstribuidos '!C2572="Azúcar",'Volúmenes DIstribuidos '!C2572="azúcar"),"Azúcar o dulce",IF('Volúmenes DIstribuidos '!C2572="Aceite","Aceite o grasas",IF('Volúmenes DIstribuidos '!C2572="Avena","Otros almidones",'Volúmenes DIstribuidos '!C2572)))</f>
        <v>Fideo</v>
      </c>
      <c r="C4211" s="10" t="s">
        <v>29</v>
      </c>
      <c r="D4211" s="12">
        <f>'Volúmenes DIstribuidos '!D2572</f>
        <v>40.57</v>
      </c>
      <c r="E4211" s="12">
        <f>SUMIF('Parametros Inventario'!$A:$A,B4211,'Parametros Inventario'!$B:$B)+SUMIFS(D$2:D4211,B$2:B4211,B4211,C$2:C4211,"ENTRADA")-SUMIFS(D$2:D4211,B$2:B4211,B4211,C$2:C4211,"SALIDA")</f>
        <v>22623.416000000012</v>
      </c>
    </row>
    <row r="4212" spans="1:5" x14ac:dyDescent="0.3">
      <c r="A4212" s="9">
        <f>'Volúmenes DIstribuidos '!B2571</f>
        <v>45545</v>
      </c>
      <c r="B4212" s="10" t="str">
        <f>IF(OR('Volúmenes DIstribuidos '!C2573="Azúcar",'Volúmenes DIstribuidos '!C2573="azúcar"),"Azúcar o dulce",IF('Volúmenes DIstribuidos '!C2573="Aceite","Aceite o grasas",IF('Volúmenes DIstribuidos '!C2573="Avena","Otros almidones",'Volúmenes DIstribuidos '!C2573)))</f>
        <v>Aceite o grasas</v>
      </c>
      <c r="C4212" s="10" t="s">
        <v>29</v>
      </c>
      <c r="D4212" s="12">
        <f>'Volúmenes DIstribuidos '!D2573</f>
        <v>79.55</v>
      </c>
      <c r="E4212" s="12">
        <f>SUMIF('Parametros Inventario'!$A:$A,B4212,'Parametros Inventario'!$B:$B)+SUMIFS(D$2:D4212,B$2:B4212,B4212,C$2:C4212,"ENTRADA")-SUMIFS(D$2:D4212,B$2:B4212,B4212,C$2:C4212,"SALIDA")</f>
        <v>19416.357000000015</v>
      </c>
    </row>
    <row r="4213" spans="1:5" x14ac:dyDescent="0.3">
      <c r="A4213" s="9">
        <f>'Volúmenes DIstribuidos '!B2571</f>
        <v>45545</v>
      </c>
      <c r="B4213" s="10" t="str">
        <f>IF(OR('Volúmenes DIstribuidos '!C2574="Azúcar",'Volúmenes DIstribuidos '!C2574="azúcar"),"Azúcar o dulce",IF('Volúmenes DIstribuidos '!C2574="Aceite","Aceite o grasas",IF('Volúmenes DIstribuidos '!C2574="Avena","Otros almidones",'Volúmenes DIstribuidos '!C2574)))</f>
        <v>Panadería</v>
      </c>
      <c r="C4213" s="10" t="s">
        <v>29</v>
      </c>
      <c r="D4213" s="12">
        <f>'Volúmenes DIstribuidos '!D2574</f>
        <v>53.27</v>
      </c>
      <c r="E4213" s="12">
        <f>SUMIF('Parametros Inventario'!$A:$A,B4213,'Parametros Inventario'!$B:$B)+SUMIFS(D$2:D4213,B$2:B4213,B4213,C$2:C4213,"ENTRADA")-SUMIFS(D$2:D4213,B$2:B4213,B4213,C$2:C4213,"SALIDA")</f>
        <v>17407.461999999996</v>
      </c>
    </row>
    <row r="4214" spans="1:5" x14ac:dyDescent="0.3">
      <c r="A4214" s="9">
        <f>'Volúmenes DIstribuidos '!B2571</f>
        <v>45545</v>
      </c>
      <c r="B4214" s="10" t="str">
        <f>IF(OR('Volúmenes DIstribuidos '!C2575="Azúcar",'Volúmenes DIstribuidos '!C2575="azúcar"),"Azúcar o dulce",IF('Volúmenes DIstribuidos '!C2575="Aceite","Aceite o grasas",IF('Volúmenes DIstribuidos '!C2575="Avena","Otros almidones",'Volúmenes DIstribuidos '!C2575)))</f>
        <v>Otros almidones</v>
      </c>
      <c r="C4214" s="10" t="s">
        <v>29</v>
      </c>
      <c r="D4214" s="12">
        <f>'Volúmenes DIstribuidos '!D2575</f>
        <v>56.02</v>
      </c>
      <c r="E4214" s="12">
        <f>SUMIF('Parametros Inventario'!$A:$A,B4214,'Parametros Inventario'!$B:$B)+SUMIFS(D$2:D4214,B$2:B4214,B4214,C$2:C4214,"ENTRADA")-SUMIFS(D$2:D4214,B$2:B4214,B4214,C$2:C4214,"SALIDA")</f>
        <v>21796.531999999996</v>
      </c>
    </row>
    <row r="4215" spans="1:5" x14ac:dyDescent="0.3">
      <c r="A4215" s="9">
        <f>'Volúmenes DIstribuidos '!B2571</f>
        <v>45545</v>
      </c>
      <c r="B4215" s="10" t="str">
        <f>IF(OR('Volúmenes DIstribuidos '!C2576="Azúcar",'Volúmenes DIstribuidos '!C2576="azúcar"),"Azúcar o dulce",IF('Volúmenes DIstribuidos '!C2576="Aceite","Aceite o grasas",IF('Volúmenes DIstribuidos '!C2576="Avena","Otros almidones",'Volúmenes DIstribuidos '!C2576)))</f>
        <v>Menestras</v>
      </c>
      <c r="C4215" s="10" t="s">
        <v>29</v>
      </c>
      <c r="D4215" s="12">
        <f>'Volúmenes DIstribuidos '!D2576</f>
        <v>12.991</v>
      </c>
      <c r="E4215" s="12">
        <f>SUMIF('Parametros Inventario'!$A:$A,B4215,'Parametros Inventario'!$B:$B)+SUMIFS(D$2:D4215,B$2:B4215,B4215,C$2:C4215,"ENTRADA")-SUMIFS(D$2:D4215,B$2:B4215,B4215,C$2:C4215,"SALIDA")</f>
        <v>20043.926999999992</v>
      </c>
    </row>
    <row r="4216" spans="1:5" x14ac:dyDescent="0.3">
      <c r="A4216" s="9">
        <v>45548</v>
      </c>
      <c r="B4216" s="10" t="s">
        <v>15</v>
      </c>
      <c r="C4216" s="10" t="s">
        <v>28</v>
      </c>
      <c r="D4216" s="12">
        <v>207.47</v>
      </c>
      <c r="E4216" s="12">
        <f>SUMIF('Parametros Inventario'!$A:$A,B4216,'Parametros Inventario'!$B:$B)+SUMIFS(D$2:D4216,B$2:B4216,B4216,C$2:C4216,"ENTRADA")-SUMIFS(D$2:D4216,B$2:B4216,B4216,C$2:C4216,"SALIDA")</f>
        <v>22004.001999999997</v>
      </c>
    </row>
    <row r="4217" spans="1:5" x14ac:dyDescent="0.3">
      <c r="A4217" s="9">
        <v>45548</v>
      </c>
      <c r="B4217" s="10" t="s">
        <v>11</v>
      </c>
      <c r="C4217" s="10" t="s">
        <v>28</v>
      </c>
      <c r="D4217" s="12">
        <v>79.36</v>
      </c>
      <c r="E4217" s="12">
        <f>SUMIF('Parametros Inventario'!$A:$A,B4217,'Parametros Inventario'!$B:$B)+SUMIFS(D$2:D4217,B$2:B4217,B4217,C$2:C4217,"ENTRADA")-SUMIFS(D$2:D4217,B$2:B4217,B4217,C$2:C4217,"SALIDA")</f>
        <v>22702.776000000013</v>
      </c>
    </row>
    <row r="4218" spans="1:5" x14ac:dyDescent="0.3">
      <c r="A4218" s="9">
        <v>45548</v>
      </c>
      <c r="B4218" s="10" t="s">
        <v>9</v>
      </c>
      <c r="C4218" s="10" t="s">
        <v>28</v>
      </c>
      <c r="D4218" s="12">
        <v>159.03</v>
      </c>
      <c r="E4218" s="12">
        <f>SUMIF('Parametros Inventario'!$A:$A,B4218,'Parametros Inventario'!$B:$B)+SUMIFS(D$2:D4218,B$2:B4218,B4218,C$2:C4218,"ENTRADA")-SUMIFS(D$2:D4218,B$2:B4218,B4218,C$2:C4218,"SALIDA")</f>
        <v>17566.491999999995</v>
      </c>
    </row>
    <row r="4219" spans="1:5" x14ac:dyDescent="0.3">
      <c r="A4219" s="9">
        <v>45548</v>
      </c>
      <c r="B4219" s="10" t="s">
        <v>14</v>
      </c>
      <c r="C4219" s="10" t="s">
        <v>28</v>
      </c>
      <c r="D4219" s="12">
        <v>170.71</v>
      </c>
      <c r="E4219" s="12">
        <f>SUMIF('Parametros Inventario'!$A:$A,B4219,'Parametros Inventario'!$B:$B)+SUMIFS(D$2:D4219,B$2:B4219,B4219,C$2:C4219,"ENTRADA")-SUMIFS(D$2:D4219,B$2:B4219,B4219,C$2:C4219,"SALIDA")</f>
        <v>20214.636999999992</v>
      </c>
    </row>
    <row r="4220" spans="1:5" x14ac:dyDescent="0.3">
      <c r="A4220" s="9">
        <v>45548</v>
      </c>
      <c r="B4220" s="10" t="s">
        <v>12</v>
      </c>
      <c r="C4220" s="10" t="s">
        <v>28</v>
      </c>
      <c r="D4220" s="12">
        <v>180.94</v>
      </c>
      <c r="E4220" s="12">
        <f>SUMIF('Parametros Inventario'!$A:$A,B4220,'Parametros Inventario'!$B:$B)+SUMIFS(D$2:D4220,B$2:B4220,B4220,C$2:C4220,"ENTRADA")-SUMIFS(D$2:D4220,B$2:B4220,B4220,C$2:C4220,"SALIDA")</f>
        <v>19179.286999999997</v>
      </c>
    </row>
    <row r="4221" spans="1:5" x14ac:dyDescent="0.3">
      <c r="A4221" s="9">
        <v>45548</v>
      </c>
      <c r="B4221" s="10" t="s">
        <v>16</v>
      </c>
      <c r="C4221" s="10" t="s">
        <v>28</v>
      </c>
      <c r="D4221" s="12">
        <v>288.11</v>
      </c>
      <c r="E4221" s="12">
        <f>SUMIF('Parametros Inventario'!$A:$A,B4221,'Parametros Inventario'!$B:$B)+SUMIFS(D$2:D4221,B$2:B4221,B4221,C$2:C4221,"ENTRADA")-SUMIFS(D$2:D4221,B$2:B4221,B4221,C$2:C4221,"SALIDA")</f>
        <v>20299.666000000005</v>
      </c>
    </row>
    <row r="4222" spans="1:5" x14ac:dyDescent="0.3">
      <c r="A4222" s="9">
        <v>45548</v>
      </c>
      <c r="B4222" s="10" t="s">
        <v>17</v>
      </c>
      <c r="C4222" s="10" t="s">
        <v>28</v>
      </c>
      <c r="D4222" s="12">
        <v>247.72</v>
      </c>
      <c r="E4222" s="12">
        <f>SUMIF('Parametros Inventario'!$A:$A,B4222,'Parametros Inventario'!$B:$B)+SUMIFS(D$2:D4222,B$2:B4222,B4222,C$2:C4222,"ENTRADA")-SUMIFS(D$2:D4222,B$2:B4222,B4222,C$2:C4222,"SALIDA")</f>
        <v>19433.663000000004</v>
      </c>
    </row>
    <row r="4223" spans="1:5" x14ac:dyDescent="0.3">
      <c r="A4223" s="9">
        <v>45548</v>
      </c>
      <c r="B4223" s="10" t="s">
        <v>18</v>
      </c>
      <c r="C4223" s="10" t="s">
        <v>28</v>
      </c>
      <c r="D4223" s="12">
        <v>91.73</v>
      </c>
      <c r="E4223" s="12">
        <f>SUMIF('Parametros Inventario'!$A:$A,B4223,'Parametros Inventario'!$B:$B)+SUMIFS(D$2:D4223,B$2:B4223,B4223,C$2:C4223,"ENTRADA")-SUMIFS(D$2:D4223,B$2:B4223,B4223,C$2:C4223,"SALIDA")</f>
        <v>19627.131999999991</v>
      </c>
    </row>
    <row r="4224" spans="1:5" x14ac:dyDescent="0.3">
      <c r="A4224" s="9">
        <v>45548</v>
      </c>
      <c r="B4224" s="10" t="s">
        <v>10</v>
      </c>
      <c r="C4224" s="10" t="s">
        <v>28</v>
      </c>
      <c r="D4224" s="12">
        <v>118.54</v>
      </c>
      <c r="E4224" s="12">
        <f>SUMIF('Parametros Inventario'!$A:$A,B4224,'Parametros Inventario'!$B:$B)+SUMIFS(D$2:D4224,B$2:B4224,B4224,C$2:C4224,"ENTRADA")-SUMIFS(D$2:D4224,B$2:B4224,B4224,C$2:C4224,"SALIDA")</f>
        <v>20800.099000000006</v>
      </c>
    </row>
    <row r="4225" spans="1:5" x14ac:dyDescent="0.3">
      <c r="A4225" s="9">
        <v>45548</v>
      </c>
      <c r="B4225" s="10" t="s">
        <v>8</v>
      </c>
      <c r="C4225" s="10" t="s">
        <v>28</v>
      </c>
      <c r="D4225" s="12">
        <v>291.87</v>
      </c>
      <c r="E4225" s="12">
        <f>SUMIF('Parametros Inventario'!$A:$A,B4225,'Parametros Inventario'!$B:$B)+SUMIFS(D$2:D4225,B$2:B4225,B4225,C$2:C4225,"ENTRADA")-SUMIFS(D$2:D4225,B$2:B4225,B4225,C$2:C4225,"SALIDA")</f>
        <v>19708.227000000014</v>
      </c>
    </row>
    <row r="4226" spans="1:5" x14ac:dyDescent="0.3">
      <c r="A4226" s="9">
        <v>45548</v>
      </c>
      <c r="B4226" s="10" t="s">
        <v>13</v>
      </c>
      <c r="C4226" s="10" t="s">
        <v>28</v>
      </c>
      <c r="D4226" s="12">
        <v>122.41</v>
      </c>
      <c r="E4226" s="12">
        <f>SUMIF('Parametros Inventario'!$A:$A,B4226,'Parametros Inventario'!$B:$B)+SUMIFS(D$2:D4226,B$2:B4226,B4226,C$2:C4226,"ENTRADA")-SUMIFS(D$2:D4226,B$2:B4226,B4226,C$2:C4226,"SALIDA")</f>
        <v>19193.476999999999</v>
      </c>
    </row>
    <row r="4227" spans="1:5" x14ac:dyDescent="0.3">
      <c r="A4227" s="9">
        <v>45548</v>
      </c>
      <c r="B4227" s="10" t="s">
        <v>15</v>
      </c>
      <c r="C4227" s="10" t="s">
        <v>28</v>
      </c>
      <c r="D4227" s="12">
        <v>288.95</v>
      </c>
      <c r="E4227" s="12">
        <f>SUMIF('Parametros Inventario'!$A:$A,B4227,'Parametros Inventario'!$B:$B)+SUMIFS(D$2:D4227,B$2:B4227,B4227,C$2:C4227,"ENTRADA")-SUMIFS(D$2:D4227,B$2:B4227,B4227,C$2:C4227,"SALIDA")</f>
        <v>22292.951999999997</v>
      </c>
    </row>
    <row r="4228" spans="1:5" x14ac:dyDescent="0.3">
      <c r="A4228" s="9">
        <v>45548</v>
      </c>
      <c r="B4228" s="10" t="s">
        <v>11</v>
      </c>
      <c r="C4228" s="10" t="s">
        <v>28</v>
      </c>
      <c r="D4228" s="12">
        <v>65.2</v>
      </c>
      <c r="E4228" s="12">
        <f>SUMIF('Parametros Inventario'!$A:$A,B4228,'Parametros Inventario'!$B:$B)+SUMIFS(D$2:D4228,B$2:B4228,B4228,C$2:C4228,"ENTRADA")-SUMIFS(D$2:D4228,B$2:B4228,B4228,C$2:C4228,"SALIDA")</f>
        <v>22767.976000000013</v>
      </c>
    </row>
    <row r="4229" spans="1:5" x14ac:dyDescent="0.3">
      <c r="A4229" s="9">
        <v>45548</v>
      </c>
      <c r="B4229" s="10" t="s">
        <v>9</v>
      </c>
      <c r="C4229" s="10" t="s">
        <v>28</v>
      </c>
      <c r="D4229" s="12">
        <v>293.12</v>
      </c>
      <c r="E4229" s="12">
        <f>SUMIF('Parametros Inventario'!$A:$A,B4229,'Parametros Inventario'!$B:$B)+SUMIFS(D$2:D4229,B$2:B4229,B4229,C$2:C4229,"ENTRADA")-SUMIFS(D$2:D4229,B$2:B4229,B4229,C$2:C4229,"SALIDA")</f>
        <v>17859.611999999994</v>
      </c>
    </row>
    <row r="4230" spans="1:5" x14ac:dyDescent="0.3">
      <c r="A4230" s="9">
        <v>45548</v>
      </c>
      <c r="B4230" s="10" t="s">
        <v>14</v>
      </c>
      <c r="C4230" s="10" t="s">
        <v>28</v>
      </c>
      <c r="D4230" s="12">
        <v>97.55</v>
      </c>
      <c r="E4230" s="12">
        <f>SUMIF('Parametros Inventario'!$A:$A,B4230,'Parametros Inventario'!$B:$B)+SUMIFS(D$2:D4230,B$2:B4230,B4230,C$2:C4230,"ENTRADA")-SUMIFS(D$2:D4230,B$2:B4230,B4230,C$2:C4230,"SALIDA")</f>
        <v>20312.186999999991</v>
      </c>
    </row>
    <row r="4231" spans="1:5" x14ac:dyDescent="0.3">
      <c r="A4231" s="9">
        <v>45548</v>
      </c>
      <c r="B4231" s="10" t="s">
        <v>12</v>
      </c>
      <c r="C4231" s="10" t="s">
        <v>28</v>
      </c>
      <c r="D4231" s="12">
        <v>253.63</v>
      </c>
      <c r="E4231" s="12">
        <f>SUMIF('Parametros Inventario'!$A:$A,B4231,'Parametros Inventario'!$B:$B)+SUMIFS(D$2:D4231,B$2:B4231,B4231,C$2:C4231,"ENTRADA")-SUMIFS(D$2:D4231,B$2:B4231,B4231,C$2:C4231,"SALIDA")</f>
        <v>19432.916999999998</v>
      </c>
    </row>
    <row r="4232" spans="1:5" x14ac:dyDescent="0.3">
      <c r="A4232" s="9">
        <v>45548</v>
      </c>
      <c r="B4232" s="10" t="s">
        <v>16</v>
      </c>
      <c r="C4232" s="10" t="s">
        <v>28</v>
      </c>
      <c r="D4232" s="12">
        <v>173.76</v>
      </c>
      <c r="E4232" s="12">
        <f>SUMIF('Parametros Inventario'!$A:$A,B4232,'Parametros Inventario'!$B:$B)+SUMIFS(D$2:D4232,B$2:B4232,B4232,C$2:C4232,"ENTRADA")-SUMIFS(D$2:D4232,B$2:B4232,B4232,C$2:C4232,"SALIDA")</f>
        <v>20473.426000000003</v>
      </c>
    </row>
    <row r="4233" spans="1:5" x14ac:dyDescent="0.3">
      <c r="A4233" s="9">
        <v>45548</v>
      </c>
      <c r="B4233" s="10" t="s">
        <v>17</v>
      </c>
      <c r="C4233" s="10" t="s">
        <v>28</v>
      </c>
      <c r="D4233" s="12">
        <v>183.12</v>
      </c>
      <c r="E4233" s="12">
        <f>SUMIF('Parametros Inventario'!$A:$A,B4233,'Parametros Inventario'!$B:$B)+SUMIFS(D$2:D4233,B$2:B4233,B4233,C$2:C4233,"ENTRADA")-SUMIFS(D$2:D4233,B$2:B4233,B4233,C$2:C4233,"SALIDA")</f>
        <v>19616.783000000003</v>
      </c>
    </row>
    <row r="4234" spans="1:5" x14ac:dyDescent="0.3">
      <c r="A4234" s="9">
        <v>45548</v>
      </c>
      <c r="B4234" s="10" t="s">
        <v>18</v>
      </c>
      <c r="C4234" s="10" t="s">
        <v>28</v>
      </c>
      <c r="D4234" s="12">
        <v>178.37</v>
      </c>
      <c r="E4234" s="12">
        <f>SUMIF('Parametros Inventario'!$A:$A,B4234,'Parametros Inventario'!$B:$B)+SUMIFS(D$2:D4234,B$2:B4234,B4234,C$2:C4234,"ENTRADA")-SUMIFS(D$2:D4234,B$2:B4234,B4234,C$2:C4234,"SALIDA")</f>
        <v>19805.501999999989</v>
      </c>
    </row>
    <row r="4235" spans="1:5" x14ac:dyDescent="0.3">
      <c r="A4235" s="9">
        <f>'Volúmenes DIstribuidos '!B2577</f>
        <v>45548</v>
      </c>
      <c r="B4235" s="10" t="str">
        <f>IF(OR('Volúmenes DIstribuidos '!C2577="Azúcar",'Volúmenes DIstribuidos '!C2577="azúcar"),"Azúcar o dulce",IF('Volúmenes DIstribuidos '!C2577="Aceite","Aceite o grasas",IF('Volúmenes DIstribuidos '!C2577="Avena","Otros almidones",'Volúmenes DIstribuidos '!C2577)))</f>
        <v>Menestras</v>
      </c>
      <c r="C4235" s="10" t="s">
        <v>29</v>
      </c>
      <c r="D4235" s="12">
        <f>'Volúmenes DIstribuidos '!D2577</f>
        <v>7.98</v>
      </c>
      <c r="E4235" s="12">
        <f>SUMIF('Parametros Inventario'!$A:$A,B4235,'Parametros Inventario'!$B:$B)+SUMIFS(D$2:D4235,B$2:B4235,B4235,C$2:C4235,"ENTRADA")-SUMIFS(D$2:D4235,B$2:B4235,B4235,C$2:C4235,"SALIDA")</f>
        <v>20304.206999999991</v>
      </c>
    </row>
    <row r="4236" spans="1:5" x14ac:dyDescent="0.3">
      <c r="A4236" s="9">
        <f>'Volúmenes DIstribuidos '!B2577</f>
        <v>45548</v>
      </c>
      <c r="B4236" s="10" t="str">
        <f>IF(OR('Volúmenes DIstribuidos '!C2578="Azúcar",'Volúmenes DIstribuidos '!C2578="azúcar"),"Azúcar o dulce",IF('Volúmenes DIstribuidos '!C2578="Aceite","Aceite o grasas",IF('Volúmenes DIstribuidos '!C2578="Avena","Otros almidones",'Volúmenes DIstribuidos '!C2578)))</f>
        <v>Aceite o grasas</v>
      </c>
      <c r="C4236" s="10" t="s">
        <v>29</v>
      </c>
      <c r="D4236" s="12">
        <f>'Volúmenes DIstribuidos '!D2578</f>
        <v>14.71</v>
      </c>
      <c r="E4236" s="12">
        <f>SUMIF('Parametros Inventario'!$A:$A,B4236,'Parametros Inventario'!$B:$B)+SUMIFS(D$2:D4236,B$2:B4236,B4236,C$2:C4236,"ENTRADA")-SUMIFS(D$2:D4236,B$2:B4236,B4236,C$2:C4236,"SALIDA")</f>
        <v>19693.517000000014</v>
      </c>
    </row>
    <row r="4237" spans="1:5" x14ac:dyDescent="0.3">
      <c r="A4237" s="9">
        <f>'Volúmenes DIstribuidos '!B2577</f>
        <v>45548</v>
      </c>
      <c r="B4237" s="10" t="str">
        <f>IF(OR('Volúmenes DIstribuidos '!C2579="Azúcar",'Volúmenes DIstribuidos '!C2579="azúcar"),"Azúcar o dulce",IF('Volúmenes DIstribuidos '!C2579="Aceite","Aceite o grasas",IF('Volúmenes DIstribuidos '!C2579="Avena","Otros almidones",'Volúmenes DIstribuidos '!C2579)))</f>
        <v>Lácteos</v>
      </c>
      <c r="C4237" s="10" t="s">
        <v>29</v>
      </c>
      <c r="D4237" s="12">
        <f>'Volúmenes DIstribuidos '!D2579</f>
        <v>12.68</v>
      </c>
      <c r="E4237" s="12">
        <f>SUMIF('Parametros Inventario'!$A:$A,B4237,'Parametros Inventario'!$B:$B)+SUMIFS(D$2:D4237,B$2:B4237,B4237,C$2:C4237,"ENTRADA")-SUMIFS(D$2:D4237,B$2:B4237,B4237,C$2:C4237,"SALIDA")</f>
        <v>19604.103000000003</v>
      </c>
    </row>
    <row r="4238" spans="1:5" x14ac:dyDescent="0.3">
      <c r="A4238" s="9">
        <f>'Volúmenes DIstribuidos '!B2577</f>
        <v>45548</v>
      </c>
      <c r="B4238" s="10" t="str">
        <f>IF(OR('Volúmenes DIstribuidos '!C2580="Azúcar",'Volúmenes DIstribuidos '!C2580="azúcar"),"Azúcar o dulce",IF('Volúmenes DIstribuidos '!C2580="Aceite","Aceite o grasas",IF('Volúmenes DIstribuidos '!C2580="Avena","Otros almidones",'Volúmenes DIstribuidos '!C2580)))</f>
        <v>Panadería</v>
      </c>
      <c r="C4238" s="10" t="s">
        <v>29</v>
      </c>
      <c r="D4238" s="12">
        <f>'Volúmenes DIstribuidos '!D2580</f>
        <v>8.6</v>
      </c>
      <c r="E4238" s="12">
        <f>SUMIF('Parametros Inventario'!$A:$A,B4238,'Parametros Inventario'!$B:$B)+SUMIFS(D$2:D4238,B$2:B4238,B4238,C$2:C4238,"ENTRADA")-SUMIFS(D$2:D4238,B$2:B4238,B4238,C$2:C4238,"SALIDA")</f>
        <v>17851.011999999992</v>
      </c>
    </row>
    <row r="4239" spans="1:5" x14ac:dyDescent="0.3">
      <c r="A4239" s="9">
        <f>'Volúmenes DIstribuidos '!B2577</f>
        <v>45548</v>
      </c>
      <c r="B4239" s="10" t="str">
        <f>IF(OR('Volúmenes DIstribuidos '!C2581="Azúcar",'Volúmenes DIstribuidos '!C2581="azúcar"),"Azúcar o dulce",IF('Volúmenes DIstribuidos '!C2581="Aceite","Aceite o grasas",IF('Volúmenes DIstribuidos '!C2581="Avena","Otros almidones",'Volúmenes DIstribuidos '!C2581)))</f>
        <v>Carnes rojas</v>
      </c>
      <c r="C4239" s="10" t="s">
        <v>29</v>
      </c>
      <c r="D4239" s="12">
        <f>'Volúmenes DIstribuidos '!D2581</f>
        <v>23.78</v>
      </c>
      <c r="E4239" s="12">
        <f>SUMIF('Parametros Inventario'!$A:$A,B4239,'Parametros Inventario'!$B:$B)+SUMIFS(D$2:D4239,B$2:B4239,B4239,C$2:C4239,"ENTRADA")-SUMIFS(D$2:D4239,B$2:B4239,B4239,C$2:C4239,"SALIDA")</f>
        <v>19409.136999999999</v>
      </c>
    </row>
    <row r="4240" spans="1:5" x14ac:dyDescent="0.3">
      <c r="A4240" s="9">
        <f>'Volúmenes DIstribuidos '!B2577</f>
        <v>45548</v>
      </c>
      <c r="B4240" s="10" t="str">
        <f>IF(OR('Volúmenes DIstribuidos '!C2582="Azúcar",'Volúmenes DIstribuidos '!C2582="azúcar"),"Azúcar o dulce",IF('Volúmenes DIstribuidos '!C2582="Aceite","Aceite o grasas",IF('Volúmenes DIstribuidos '!C2582="Avena","Otros almidones",'Volúmenes DIstribuidos '!C2582)))</f>
        <v>Otros almidones</v>
      </c>
      <c r="C4240" s="10" t="s">
        <v>29</v>
      </c>
      <c r="D4240" s="12">
        <f>'Volúmenes DIstribuidos '!D2582</f>
        <v>6.8109999999999999</v>
      </c>
      <c r="E4240" s="12">
        <f>SUMIF('Parametros Inventario'!$A:$A,B4240,'Parametros Inventario'!$B:$B)+SUMIFS(D$2:D4240,B$2:B4240,B4240,C$2:C4240,"ENTRADA")-SUMIFS(D$2:D4240,B$2:B4240,B4240,C$2:C4240,"SALIDA")</f>
        <v>22286.140999999996</v>
      </c>
    </row>
    <row r="4241" spans="1:5" x14ac:dyDescent="0.3">
      <c r="A4241" s="9">
        <f>'Volúmenes DIstribuidos '!B2583</f>
        <v>45552</v>
      </c>
      <c r="B4241" s="10" t="str">
        <f>IF(OR('Volúmenes DIstribuidos '!C2583="Azúcar",'Volúmenes DIstribuidos '!C2583="azúcar"),"Azúcar o dulce",IF('Volúmenes DIstribuidos '!C2583="Aceite","Aceite o grasas",IF('Volúmenes DIstribuidos '!C2583="Avena","Otros almidones",'Volúmenes DIstribuidos '!C2583)))</f>
        <v>Vegetales y hojas</v>
      </c>
      <c r="C4241" s="10" t="s">
        <v>29</v>
      </c>
      <c r="D4241" s="12">
        <f>'Volúmenes DIstribuidos '!D2583</f>
        <v>9.1999999999999993</v>
      </c>
      <c r="E4241" s="12">
        <f>SUMIF('Parametros Inventario'!$A:$A,B4241,'Parametros Inventario'!$B:$B)+SUMIFS(D$2:D4241,B$2:B4241,B4241,C$2:C4241,"ENTRADA")-SUMIFS(D$2:D4241,B$2:B4241,B4241,C$2:C4241,"SALIDA")</f>
        <v>20790.899000000005</v>
      </c>
    </row>
    <row r="4242" spans="1:5" x14ac:dyDescent="0.3">
      <c r="A4242" s="9">
        <f>'Volúmenes DIstribuidos '!B2583</f>
        <v>45552</v>
      </c>
      <c r="B4242" s="10" t="str">
        <f>IF(OR('Volúmenes DIstribuidos '!C2584="Azúcar",'Volúmenes DIstribuidos '!C2584="azúcar"),"Azúcar o dulce",IF('Volúmenes DIstribuidos '!C2584="Aceite","Aceite o grasas",IF('Volúmenes DIstribuidos '!C2584="Avena","Otros almidones",'Volúmenes DIstribuidos '!C2584)))</f>
        <v>Aceite o grasas</v>
      </c>
      <c r="C4242" s="10" t="s">
        <v>29</v>
      </c>
      <c r="D4242" s="12">
        <f>'Volúmenes DIstribuidos '!D2584</f>
        <v>13.98</v>
      </c>
      <c r="E4242" s="12">
        <f>SUMIF('Parametros Inventario'!$A:$A,B4242,'Parametros Inventario'!$B:$B)+SUMIFS(D$2:D4242,B$2:B4242,B4242,C$2:C4242,"ENTRADA")-SUMIFS(D$2:D4242,B$2:B4242,B4242,C$2:C4242,"SALIDA")</f>
        <v>19679.537000000015</v>
      </c>
    </row>
    <row r="4243" spans="1:5" x14ac:dyDescent="0.3">
      <c r="A4243" s="9">
        <f>'Volúmenes DIstribuidos '!B2583</f>
        <v>45552</v>
      </c>
      <c r="B4243" s="10" t="str">
        <f>IF(OR('Volúmenes DIstribuidos '!C2585="Azúcar",'Volúmenes DIstribuidos '!C2585="azúcar"),"Azúcar o dulce",IF('Volúmenes DIstribuidos '!C2585="Aceite","Aceite o grasas",IF('Volúmenes DIstribuidos '!C2585="Avena","Otros almidones",'Volúmenes DIstribuidos '!C2585)))</f>
        <v>Carnes rojas</v>
      </c>
      <c r="C4243" s="10" t="s">
        <v>29</v>
      </c>
      <c r="D4243" s="12">
        <f>'Volúmenes DIstribuidos '!D2585</f>
        <v>19.239999999999998</v>
      </c>
      <c r="E4243" s="12">
        <f>SUMIF('Parametros Inventario'!$A:$A,B4243,'Parametros Inventario'!$B:$B)+SUMIFS(D$2:D4243,B$2:B4243,B4243,C$2:C4243,"ENTRADA")-SUMIFS(D$2:D4243,B$2:B4243,B4243,C$2:C4243,"SALIDA")</f>
        <v>19389.896999999997</v>
      </c>
    </row>
    <row r="4244" spans="1:5" x14ac:dyDescent="0.3">
      <c r="A4244" s="9">
        <f>'Volúmenes DIstribuidos '!B2583</f>
        <v>45552</v>
      </c>
      <c r="B4244" s="10" t="str">
        <f>IF(OR('Volúmenes DIstribuidos '!C2586="Azúcar",'Volúmenes DIstribuidos '!C2586="azúcar"),"Azúcar o dulce",IF('Volúmenes DIstribuidos '!C2586="Aceite","Aceite o grasas",IF('Volúmenes DIstribuidos '!C2586="Avena","Otros almidones",'Volúmenes DIstribuidos '!C2586)))</f>
        <v>Panadería</v>
      </c>
      <c r="C4244" s="10" t="s">
        <v>29</v>
      </c>
      <c r="D4244" s="12">
        <f>'Volúmenes DIstribuidos '!D2586</f>
        <v>24.23</v>
      </c>
      <c r="E4244" s="12">
        <f>SUMIF('Parametros Inventario'!$A:$A,B4244,'Parametros Inventario'!$B:$B)+SUMIFS(D$2:D4244,B$2:B4244,B4244,C$2:C4244,"ENTRADA")-SUMIFS(D$2:D4244,B$2:B4244,B4244,C$2:C4244,"SALIDA")</f>
        <v>17826.781999999992</v>
      </c>
    </row>
    <row r="4245" spans="1:5" x14ac:dyDescent="0.3">
      <c r="A4245" s="9">
        <f>'Volúmenes DIstribuidos '!B2583</f>
        <v>45552</v>
      </c>
      <c r="B4245" s="10" t="str">
        <f>IF(OR('Volúmenes DIstribuidos '!C2587="Azúcar",'Volúmenes DIstribuidos '!C2587="azúcar"),"Azúcar o dulce",IF('Volúmenes DIstribuidos '!C2587="Aceite","Aceite o grasas",IF('Volúmenes DIstribuidos '!C2587="Avena","Otros almidones",'Volúmenes DIstribuidos '!C2587)))</f>
        <v>Otros almidones</v>
      </c>
      <c r="C4245" s="10" t="s">
        <v>29</v>
      </c>
      <c r="D4245" s="12">
        <f>'Volúmenes DIstribuidos '!D2587</f>
        <v>3.36</v>
      </c>
      <c r="E4245" s="12">
        <f>SUMIF('Parametros Inventario'!$A:$A,B4245,'Parametros Inventario'!$B:$B)+SUMIFS(D$2:D4245,B$2:B4245,B4245,C$2:C4245,"ENTRADA")-SUMIFS(D$2:D4245,B$2:B4245,B4245,C$2:C4245,"SALIDA")</f>
        <v>22282.780999999995</v>
      </c>
    </row>
    <row r="4246" spans="1:5" x14ac:dyDescent="0.3">
      <c r="A4246" s="9">
        <f>'Volúmenes DIstribuidos '!B2583</f>
        <v>45552</v>
      </c>
      <c r="B4246" s="10" t="str">
        <f>IF(OR('Volúmenes DIstribuidos '!C2588="Azúcar",'Volúmenes DIstribuidos '!C2588="azúcar"),"Azúcar o dulce",IF('Volúmenes DIstribuidos '!C2588="Aceite","Aceite o grasas",IF('Volúmenes DIstribuidos '!C2588="Avena","Otros almidones",'Volúmenes DIstribuidos '!C2588)))</f>
        <v>Salsas</v>
      </c>
      <c r="C4246" s="10" t="s">
        <v>29</v>
      </c>
      <c r="D4246" s="12">
        <f>'Volúmenes DIstribuidos '!D2588</f>
        <v>18.536000000000001</v>
      </c>
      <c r="E4246" s="12">
        <f>SUMIF('Parametros Inventario'!$A:$A,B4246,'Parametros Inventario'!$B:$B)+SUMIFS(D$2:D4246,B$2:B4246,B4246,C$2:C4246,"ENTRADA")-SUMIFS(D$2:D4246,B$2:B4246,B4246,C$2:C4246,"SALIDA")</f>
        <v>19786.965999999989</v>
      </c>
    </row>
    <row r="4247" spans="1:5" x14ac:dyDescent="0.3">
      <c r="A4247" s="9">
        <f>'Volúmenes DIstribuidos '!B2589</f>
        <v>45555</v>
      </c>
      <c r="B4247" s="10" t="str">
        <f>IF(OR('Volúmenes DIstribuidos '!C2589="Azúcar",'Volúmenes DIstribuidos '!C2589="azúcar"),"Azúcar o dulce",IF('Volúmenes DIstribuidos '!C2589="Aceite","Aceite o grasas",IF('Volúmenes DIstribuidos '!C2589="Avena","Otros almidones",'Volúmenes DIstribuidos '!C2589)))</f>
        <v>Vegetales y hojas</v>
      </c>
      <c r="C4247" s="10" t="s">
        <v>29</v>
      </c>
      <c r="D4247" s="12">
        <f>'Volúmenes DIstribuidos '!D2589</f>
        <v>19.21</v>
      </c>
      <c r="E4247" s="12">
        <f>SUMIF('Parametros Inventario'!$A:$A,B4247,'Parametros Inventario'!$B:$B)+SUMIFS(D$2:D4247,B$2:B4247,B4247,C$2:C4247,"ENTRADA")-SUMIFS(D$2:D4247,B$2:B4247,B4247,C$2:C4247,"SALIDA")</f>
        <v>20771.689000000006</v>
      </c>
    </row>
    <row r="4248" spans="1:5" x14ac:dyDescent="0.3">
      <c r="A4248" s="9">
        <f>'Volúmenes DIstribuidos '!B2589</f>
        <v>45555</v>
      </c>
      <c r="B4248" s="10" t="str">
        <f>IF(OR('Volúmenes DIstribuidos '!C2590="Azúcar",'Volúmenes DIstribuidos '!C2590="azúcar"),"Azúcar o dulce",IF('Volúmenes DIstribuidos '!C2590="Aceite","Aceite o grasas",IF('Volúmenes DIstribuidos '!C2590="Avena","Otros almidones",'Volúmenes DIstribuidos '!C2590)))</f>
        <v>Lácteos</v>
      </c>
      <c r="C4248" s="10" t="s">
        <v>29</v>
      </c>
      <c r="D4248" s="12">
        <f>'Volúmenes DIstribuidos '!D2590</f>
        <v>68.2</v>
      </c>
      <c r="E4248" s="12">
        <f>SUMIF('Parametros Inventario'!$A:$A,B4248,'Parametros Inventario'!$B:$B)+SUMIFS(D$2:D4248,B$2:B4248,B4248,C$2:C4248,"ENTRADA")-SUMIFS(D$2:D4248,B$2:B4248,B4248,C$2:C4248,"SALIDA")</f>
        <v>19535.903000000002</v>
      </c>
    </row>
    <row r="4249" spans="1:5" x14ac:dyDescent="0.3">
      <c r="A4249" s="9">
        <f>'Volúmenes DIstribuidos '!B2589</f>
        <v>45555</v>
      </c>
      <c r="B4249" s="10" t="str">
        <f>IF(OR('Volúmenes DIstribuidos '!C2591="Azúcar",'Volúmenes DIstribuidos '!C2591="azúcar"),"Azúcar o dulce",IF('Volúmenes DIstribuidos '!C2591="Aceite","Aceite o grasas",IF('Volúmenes DIstribuidos '!C2591="Avena","Otros almidones",'Volúmenes DIstribuidos '!C2591)))</f>
        <v>Fideo</v>
      </c>
      <c r="C4249" s="10" t="s">
        <v>29</v>
      </c>
      <c r="D4249" s="12">
        <f>'Volúmenes DIstribuidos '!D2591</f>
        <v>16.501999999999999</v>
      </c>
      <c r="E4249" s="12">
        <f>SUMIF('Parametros Inventario'!$A:$A,B4249,'Parametros Inventario'!$B:$B)+SUMIFS(D$2:D4249,B$2:B4249,B4249,C$2:C4249,"ENTRADA")-SUMIFS(D$2:D4249,B$2:B4249,B4249,C$2:C4249,"SALIDA")</f>
        <v>22751.474000000013</v>
      </c>
    </row>
    <row r="4250" spans="1:5" x14ac:dyDescent="0.3">
      <c r="A4250" s="9">
        <f>'Volúmenes DIstribuidos '!B2589</f>
        <v>45555</v>
      </c>
      <c r="B4250" s="10" t="str">
        <f>IF(OR('Volúmenes DIstribuidos '!C2592="Azúcar",'Volúmenes DIstribuidos '!C2592="azúcar"),"Azúcar o dulce",IF('Volúmenes DIstribuidos '!C2592="Aceite","Aceite o grasas",IF('Volúmenes DIstribuidos '!C2592="Avena","Otros almidones",'Volúmenes DIstribuidos '!C2592)))</f>
        <v>Vegetales y hojas</v>
      </c>
      <c r="C4250" s="10" t="s">
        <v>29</v>
      </c>
      <c r="D4250" s="12">
        <f>'Volúmenes DIstribuidos '!D2592</f>
        <v>69.14</v>
      </c>
      <c r="E4250" s="12">
        <f>SUMIF('Parametros Inventario'!$A:$A,B4250,'Parametros Inventario'!$B:$B)+SUMIFS(D$2:D4250,B$2:B4250,B4250,C$2:C4250,"ENTRADA")-SUMIFS(D$2:D4250,B$2:B4250,B4250,C$2:C4250,"SALIDA")</f>
        <v>20702.549000000006</v>
      </c>
    </row>
    <row r="4251" spans="1:5" x14ac:dyDescent="0.3">
      <c r="A4251" s="9">
        <f>'Volúmenes DIstribuidos '!B2589</f>
        <v>45555</v>
      </c>
      <c r="B4251" s="10" t="str">
        <f>IF(OR('Volúmenes DIstribuidos '!C2593="Azúcar",'Volúmenes DIstribuidos '!C2593="azúcar"),"Azúcar o dulce",IF('Volúmenes DIstribuidos '!C2593="Aceite","Aceite o grasas",IF('Volúmenes DIstribuidos '!C2593="Avena","Otros almidones",'Volúmenes DIstribuidos '!C2593)))</f>
        <v>Carnes rojas</v>
      </c>
      <c r="C4251" s="10" t="s">
        <v>29</v>
      </c>
      <c r="D4251" s="12">
        <f>'Volúmenes DIstribuidos '!D2593</f>
        <v>60</v>
      </c>
      <c r="E4251" s="12">
        <f>SUMIF('Parametros Inventario'!$A:$A,B4251,'Parametros Inventario'!$B:$B)+SUMIFS(D$2:D4251,B$2:B4251,B4251,C$2:C4251,"ENTRADA")-SUMIFS(D$2:D4251,B$2:B4251,B4251,C$2:C4251,"SALIDA")</f>
        <v>19329.896999999997</v>
      </c>
    </row>
    <row r="4252" spans="1:5" x14ac:dyDescent="0.3">
      <c r="A4252" s="9">
        <f>'Volúmenes DIstribuidos '!B2589</f>
        <v>45555</v>
      </c>
      <c r="B4252" s="10" t="str">
        <f>IF(OR('Volúmenes DIstribuidos '!C2594="Azúcar",'Volúmenes DIstribuidos '!C2594="azúcar"),"Azúcar o dulce",IF('Volúmenes DIstribuidos '!C2594="Aceite","Aceite o grasas",IF('Volúmenes DIstribuidos '!C2594="Avena","Otros almidones",'Volúmenes DIstribuidos '!C2594)))</f>
        <v>Lácteos</v>
      </c>
      <c r="C4252" s="10" t="s">
        <v>29</v>
      </c>
      <c r="D4252" s="12">
        <f>'Volúmenes DIstribuidos '!D2594</f>
        <v>140</v>
      </c>
      <c r="E4252" s="12">
        <f>SUMIF('Parametros Inventario'!$A:$A,B4252,'Parametros Inventario'!$B:$B)+SUMIFS(D$2:D4252,B$2:B4252,B4252,C$2:C4252,"ENTRADA")-SUMIFS(D$2:D4252,B$2:B4252,B4252,C$2:C4252,"SALIDA")</f>
        <v>19395.903000000002</v>
      </c>
    </row>
    <row r="4253" spans="1:5" x14ac:dyDescent="0.3">
      <c r="A4253" s="9">
        <f>'Volúmenes DIstribuidos '!B2595</f>
        <v>45559</v>
      </c>
      <c r="B4253" s="10" t="str">
        <f>IF(OR('Volúmenes DIstribuidos '!C2595="Azúcar",'Volúmenes DIstribuidos '!C2595="azúcar"),"Azúcar o dulce",IF('Volúmenes DIstribuidos '!C2595="Aceite","Aceite o grasas",IF('Volúmenes DIstribuidos '!C2595="Avena","Otros almidones",'Volúmenes DIstribuidos '!C2595)))</f>
        <v>Azúcar o dulce</v>
      </c>
      <c r="C4253" s="10" t="s">
        <v>29</v>
      </c>
      <c r="D4253" s="12">
        <f>'Volúmenes DIstribuidos '!D2595</f>
        <v>33.450000000000003</v>
      </c>
      <c r="E4253" s="12">
        <f>SUMIF('Parametros Inventario'!$A:$A,B4253,'Parametros Inventario'!$B:$B)+SUMIFS(D$2:D4253,B$2:B4253,B4253,C$2:C4253,"ENTRADA")-SUMIFS(D$2:D4253,B$2:B4253,B4253,C$2:C4253,"SALIDA")</f>
        <v>19160.026999999998</v>
      </c>
    </row>
    <row r="4254" spans="1:5" x14ac:dyDescent="0.3">
      <c r="A4254" s="9">
        <f>'Volúmenes DIstribuidos '!B2595</f>
        <v>45559</v>
      </c>
      <c r="B4254" s="10" t="str">
        <f>IF(OR('Volúmenes DIstribuidos '!C2596="Azúcar",'Volúmenes DIstribuidos '!C2596="azúcar"),"Azúcar o dulce",IF('Volúmenes DIstribuidos '!C2596="Aceite","Aceite o grasas",IF('Volúmenes DIstribuidos '!C2596="Avena","Otros almidones",'Volúmenes DIstribuidos '!C2596)))</f>
        <v>Salsas</v>
      </c>
      <c r="C4254" s="10" t="s">
        <v>29</v>
      </c>
      <c r="D4254" s="12">
        <f>'Volúmenes DIstribuidos '!D2596</f>
        <v>34.520000000000003</v>
      </c>
      <c r="E4254" s="12">
        <f>SUMIF('Parametros Inventario'!$A:$A,B4254,'Parametros Inventario'!$B:$B)+SUMIFS(D$2:D4254,B$2:B4254,B4254,C$2:C4254,"ENTRADA")-SUMIFS(D$2:D4254,B$2:B4254,B4254,C$2:C4254,"SALIDA")</f>
        <v>19752.445999999989</v>
      </c>
    </row>
    <row r="4255" spans="1:5" x14ac:dyDescent="0.3">
      <c r="A4255" s="9">
        <f>'Volúmenes DIstribuidos '!B2595</f>
        <v>45559</v>
      </c>
      <c r="B4255" s="10" t="str">
        <f>IF(OR('Volúmenes DIstribuidos '!C2597="Azúcar",'Volúmenes DIstribuidos '!C2597="azúcar"),"Azúcar o dulce",IF('Volúmenes DIstribuidos '!C2597="Aceite","Aceite o grasas",IF('Volúmenes DIstribuidos '!C2597="Avena","Otros almidones",'Volúmenes DIstribuidos '!C2597)))</f>
        <v>Otros almidones</v>
      </c>
      <c r="C4255" s="10" t="s">
        <v>29</v>
      </c>
      <c r="D4255" s="12">
        <f>'Volúmenes DIstribuidos '!D2597</f>
        <v>123.88</v>
      </c>
      <c r="E4255" s="12">
        <f>SUMIF('Parametros Inventario'!$A:$A,B4255,'Parametros Inventario'!$B:$B)+SUMIFS(D$2:D4255,B$2:B4255,B4255,C$2:C4255,"ENTRADA")-SUMIFS(D$2:D4255,B$2:B4255,B4255,C$2:C4255,"SALIDA")</f>
        <v>22158.900999999998</v>
      </c>
    </row>
    <row r="4256" spans="1:5" x14ac:dyDescent="0.3">
      <c r="A4256" s="9">
        <f>'Volúmenes DIstribuidos '!B2595</f>
        <v>45559</v>
      </c>
      <c r="B4256" s="10" t="str">
        <f>IF(OR('Volúmenes DIstribuidos '!C2598="Azúcar",'Volúmenes DIstribuidos '!C2598="azúcar"),"Azúcar o dulce",IF('Volúmenes DIstribuidos '!C2598="Aceite","Aceite o grasas",IF('Volúmenes DIstribuidos '!C2598="Avena","Otros almidones",'Volúmenes DIstribuidos '!C2598)))</f>
        <v>Fideo</v>
      </c>
      <c r="C4256" s="10" t="s">
        <v>29</v>
      </c>
      <c r="D4256" s="12">
        <f>'Volúmenes DIstribuidos '!D2598</f>
        <v>23.7</v>
      </c>
      <c r="E4256" s="12">
        <f>SUMIF('Parametros Inventario'!$A:$A,B4256,'Parametros Inventario'!$B:$B)+SUMIFS(D$2:D4256,B$2:B4256,B4256,C$2:C4256,"ENTRADA")-SUMIFS(D$2:D4256,B$2:B4256,B4256,C$2:C4256,"SALIDA")</f>
        <v>22727.774000000012</v>
      </c>
    </row>
    <row r="4257" spans="1:5" x14ac:dyDescent="0.3">
      <c r="A4257" s="9">
        <f>'Volúmenes DIstribuidos '!B2595</f>
        <v>45559</v>
      </c>
      <c r="B4257" s="10" t="str">
        <f>IF(OR('Volúmenes DIstribuidos '!C2599="Azúcar",'Volúmenes DIstribuidos '!C2599="azúcar"),"Azúcar o dulce",IF('Volúmenes DIstribuidos '!C2599="Aceite","Aceite o grasas",IF('Volúmenes DIstribuidos '!C2599="Avena","Otros almidones",'Volúmenes DIstribuidos '!C2599)))</f>
        <v>Vegetales y hojas</v>
      </c>
      <c r="C4257" s="10" t="s">
        <v>29</v>
      </c>
      <c r="D4257" s="12">
        <f>'Volúmenes DIstribuidos '!D2599</f>
        <v>23.04</v>
      </c>
      <c r="E4257" s="12">
        <f>SUMIF('Parametros Inventario'!$A:$A,B4257,'Parametros Inventario'!$B:$B)+SUMIFS(D$2:D4257,B$2:B4257,B4257,C$2:C4257,"ENTRADA")-SUMIFS(D$2:D4257,B$2:B4257,B4257,C$2:C4257,"SALIDA")</f>
        <v>20679.509000000005</v>
      </c>
    </row>
    <row r="4258" spans="1:5" x14ac:dyDescent="0.3">
      <c r="A4258" s="9">
        <f>'Volúmenes DIstribuidos '!B2595</f>
        <v>45559</v>
      </c>
      <c r="B4258" s="10" t="str">
        <f>IF(OR('Volúmenes DIstribuidos '!C2600="Azúcar",'Volúmenes DIstribuidos '!C2600="azúcar"),"Azúcar o dulce",IF('Volúmenes DIstribuidos '!C2600="Aceite","Aceite o grasas",IF('Volúmenes DIstribuidos '!C2600="Avena","Otros almidones",'Volúmenes DIstribuidos '!C2600)))</f>
        <v>Carnes rojas</v>
      </c>
      <c r="C4258" s="10" t="s">
        <v>29</v>
      </c>
      <c r="D4258" s="12">
        <f>'Volúmenes DIstribuidos '!D2600</f>
        <v>46.42</v>
      </c>
      <c r="E4258" s="12">
        <f>SUMIF('Parametros Inventario'!$A:$A,B4258,'Parametros Inventario'!$B:$B)+SUMIFS(D$2:D4258,B$2:B4258,B4258,C$2:C4258,"ENTRADA")-SUMIFS(D$2:D4258,B$2:B4258,B4258,C$2:C4258,"SALIDA")</f>
        <v>19283.476999999999</v>
      </c>
    </row>
    <row r="4259" spans="1:5" x14ac:dyDescent="0.3">
      <c r="A4259" s="9">
        <v>45562</v>
      </c>
      <c r="B4259" s="10" t="s">
        <v>10</v>
      </c>
      <c r="C4259" s="10" t="s">
        <v>28</v>
      </c>
      <c r="D4259" s="12">
        <v>68.75</v>
      </c>
      <c r="E4259" s="12">
        <f>SUMIF('Parametros Inventario'!$A:$A,B4259,'Parametros Inventario'!$B:$B)+SUMIFS(D$2:D4259,B$2:B4259,B4259,C$2:C4259,"ENTRADA")-SUMIFS(D$2:D4259,B$2:B4259,B4259,C$2:C4259,"SALIDA")</f>
        <v>20748.259000000005</v>
      </c>
    </row>
    <row r="4260" spans="1:5" x14ac:dyDescent="0.3">
      <c r="A4260" s="9">
        <v>45562</v>
      </c>
      <c r="B4260" s="10" t="s">
        <v>8</v>
      </c>
      <c r="C4260" s="10" t="s">
        <v>28</v>
      </c>
      <c r="D4260" s="12">
        <v>159.44</v>
      </c>
      <c r="E4260" s="12">
        <f>SUMIF('Parametros Inventario'!$A:$A,B4260,'Parametros Inventario'!$B:$B)+SUMIFS(D$2:D4260,B$2:B4260,B4260,C$2:C4260,"ENTRADA")-SUMIFS(D$2:D4260,B$2:B4260,B4260,C$2:C4260,"SALIDA")</f>
        <v>19838.977000000014</v>
      </c>
    </row>
    <row r="4261" spans="1:5" x14ac:dyDescent="0.3">
      <c r="A4261" s="9">
        <v>45562</v>
      </c>
      <c r="B4261" s="10" t="s">
        <v>13</v>
      </c>
      <c r="C4261" s="10" t="s">
        <v>28</v>
      </c>
      <c r="D4261" s="12">
        <v>177.32</v>
      </c>
      <c r="E4261" s="12">
        <f>SUMIF('Parametros Inventario'!$A:$A,B4261,'Parametros Inventario'!$B:$B)+SUMIFS(D$2:D4261,B$2:B4261,B4261,C$2:C4261,"ENTRADA")-SUMIFS(D$2:D4261,B$2:B4261,B4261,C$2:C4261,"SALIDA")</f>
        <v>19337.346999999998</v>
      </c>
    </row>
    <row r="4262" spans="1:5" x14ac:dyDescent="0.3">
      <c r="A4262" s="9">
        <v>45562</v>
      </c>
      <c r="B4262" s="10" t="s">
        <v>15</v>
      </c>
      <c r="C4262" s="10" t="s">
        <v>28</v>
      </c>
      <c r="D4262" s="12">
        <v>190.62</v>
      </c>
      <c r="E4262" s="12">
        <f>SUMIF('Parametros Inventario'!$A:$A,B4262,'Parametros Inventario'!$B:$B)+SUMIFS(D$2:D4262,B$2:B4262,B4262,C$2:C4262,"ENTRADA")-SUMIFS(D$2:D4262,B$2:B4262,B4262,C$2:C4262,"SALIDA")</f>
        <v>22349.520999999997</v>
      </c>
    </row>
    <row r="4263" spans="1:5" x14ac:dyDescent="0.3">
      <c r="A4263" s="9">
        <v>45562</v>
      </c>
      <c r="B4263" s="10" t="s">
        <v>11</v>
      </c>
      <c r="C4263" s="10" t="s">
        <v>28</v>
      </c>
      <c r="D4263" s="12">
        <v>147.56</v>
      </c>
      <c r="E4263" s="12">
        <f>SUMIF('Parametros Inventario'!$A:$A,B4263,'Parametros Inventario'!$B:$B)+SUMIFS(D$2:D4263,B$2:B4263,B4263,C$2:C4263,"ENTRADA")-SUMIFS(D$2:D4263,B$2:B4263,B4263,C$2:C4263,"SALIDA")</f>
        <v>22875.334000000017</v>
      </c>
    </row>
    <row r="4264" spans="1:5" x14ac:dyDescent="0.3">
      <c r="A4264" s="9">
        <v>45562</v>
      </c>
      <c r="B4264" s="10" t="s">
        <v>9</v>
      </c>
      <c r="C4264" s="10" t="s">
        <v>28</v>
      </c>
      <c r="D4264" s="12">
        <v>201.8</v>
      </c>
      <c r="E4264" s="12">
        <f>SUMIF('Parametros Inventario'!$A:$A,B4264,'Parametros Inventario'!$B:$B)+SUMIFS(D$2:D4264,B$2:B4264,B4264,C$2:C4264,"ENTRADA")-SUMIFS(D$2:D4264,B$2:B4264,B4264,C$2:C4264,"SALIDA")</f>
        <v>18028.581999999991</v>
      </c>
    </row>
    <row r="4265" spans="1:5" x14ac:dyDescent="0.3">
      <c r="A4265" s="9">
        <v>45562</v>
      </c>
      <c r="B4265" s="10" t="s">
        <v>14</v>
      </c>
      <c r="C4265" s="10" t="s">
        <v>28</v>
      </c>
      <c r="D4265" s="12">
        <v>101.73</v>
      </c>
      <c r="E4265" s="12">
        <f>SUMIF('Parametros Inventario'!$A:$A,B4265,'Parametros Inventario'!$B:$B)+SUMIFS(D$2:D4265,B$2:B4265,B4265,C$2:C4265,"ENTRADA")-SUMIFS(D$2:D4265,B$2:B4265,B4265,C$2:C4265,"SALIDA")</f>
        <v>20405.936999999991</v>
      </c>
    </row>
    <row r="4266" spans="1:5" x14ac:dyDescent="0.3">
      <c r="A4266" s="9">
        <f>'Volúmenes DIstribuidos '!B2601</f>
        <v>45562</v>
      </c>
      <c r="B4266" s="10" t="str">
        <f>IF(OR('Volúmenes DIstribuidos '!C2601="Azúcar",'Volúmenes DIstribuidos '!C2601="azúcar"),"Azúcar o dulce",IF('Volúmenes DIstribuidos '!C2601="Aceite","Aceite o grasas",IF('Volúmenes DIstribuidos '!C2601="Avena","Otros almidones",'Volúmenes DIstribuidos '!C2601)))</f>
        <v>Lácteos</v>
      </c>
      <c r="C4266" s="10" t="s">
        <v>29</v>
      </c>
      <c r="D4266" s="12">
        <f>'Volúmenes DIstribuidos '!D2601</f>
        <v>18.690000000000001</v>
      </c>
      <c r="E4266" s="12">
        <f>SUMIF('Parametros Inventario'!$A:$A,B4266,'Parametros Inventario'!$B:$B)+SUMIFS(D$2:D4266,B$2:B4266,B4266,C$2:C4266,"ENTRADA")-SUMIFS(D$2:D4266,B$2:B4266,B4266,C$2:C4266,"SALIDA")</f>
        <v>19377.213000000003</v>
      </c>
    </row>
    <row r="4267" spans="1:5" x14ac:dyDescent="0.3">
      <c r="A4267" s="9">
        <f>'Volúmenes DIstribuidos '!B2601</f>
        <v>45562</v>
      </c>
      <c r="B4267" s="10" t="str">
        <f>IF(OR('Volúmenes DIstribuidos '!C2602="Azúcar",'Volúmenes DIstribuidos '!C2602="azúcar"),"Azúcar o dulce",IF('Volúmenes DIstribuidos '!C2602="Aceite","Aceite o grasas",IF('Volúmenes DIstribuidos '!C2602="Avena","Otros almidones",'Volúmenes DIstribuidos '!C2602)))</f>
        <v>Aceite o grasas</v>
      </c>
      <c r="C4267" s="10" t="s">
        <v>29</v>
      </c>
      <c r="D4267" s="12">
        <f>'Volúmenes DIstribuidos '!D2602</f>
        <v>28.76</v>
      </c>
      <c r="E4267" s="12">
        <f>SUMIF('Parametros Inventario'!$A:$A,B4267,'Parametros Inventario'!$B:$B)+SUMIFS(D$2:D4267,B$2:B4267,B4267,C$2:C4267,"ENTRADA")-SUMIFS(D$2:D4267,B$2:B4267,B4267,C$2:C4267,"SALIDA")</f>
        <v>19810.217000000011</v>
      </c>
    </row>
    <row r="4268" spans="1:5" x14ac:dyDescent="0.3">
      <c r="A4268" s="9">
        <f>'Volúmenes DIstribuidos '!B2601</f>
        <v>45562</v>
      </c>
      <c r="B4268" s="10" t="str">
        <f>IF(OR('Volúmenes DIstribuidos '!C2603="Azúcar",'Volúmenes DIstribuidos '!C2603="azúcar"),"Azúcar o dulce",IF('Volúmenes DIstribuidos '!C2603="Aceite","Aceite o grasas",IF('Volúmenes DIstribuidos '!C2603="Avena","Otros almidones",'Volúmenes DIstribuidos '!C2603)))</f>
        <v>Salsas</v>
      </c>
      <c r="C4268" s="10" t="s">
        <v>29</v>
      </c>
      <c r="D4268" s="12">
        <f>'Volúmenes DIstribuidos '!D2603</f>
        <v>5.5460000000000003</v>
      </c>
      <c r="E4268" s="12">
        <f>SUMIF('Parametros Inventario'!$A:$A,B4268,'Parametros Inventario'!$B:$B)+SUMIFS(D$2:D4268,B$2:B4268,B4268,C$2:C4268,"ENTRADA")-SUMIFS(D$2:D4268,B$2:B4268,B4268,C$2:C4268,"SALIDA")</f>
        <v>19746.899999999987</v>
      </c>
    </row>
    <row r="4269" spans="1:5" x14ac:dyDescent="0.3">
      <c r="A4269" s="9">
        <f>'Volúmenes DIstribuidos '!B2601</f>
        <v>45562</v>
      </c>
      <c r="B4269" s="10" t="str">
        <f>IF(OR('Volúmenes DIstribuidos '!C2604="Azúcar",'Volúmenes DIstribuidos '!C2604="azúcar"),"Azúcar o dulce",IF('Volúmenes DIstribuidos '!C2604="Aceite","Aceite o grasas",IF('Volúmenes DIstribuidos '!C2604="Avena","Otros almidones",'Volúmenes DIstribuidos '!C2604)))</f>
        <v>Aceite o grasas</v>
      </c>
      <c r="C4269" s="10" t="s">
        <v>29</v>
      </c>
      <c r="D4269" s="12">
        <f>'Volúmenes DIstribuidos '!D2604</f>
        <v>9.4600000000000009</v>
      </c>
      <c r="E4269" s="12">
        <f>SUMIF('Parametros Inventario'!$A:$A,B4269,'Parametros Inventario'!$B:$B)+SUMIFS(D$2:D4269,B$2:B4269,B4269,C$2:C4269,"ENTRADA")-SUMIFS(D$2:D4269,B$2:B4269,B4269,C$2:C4269,"SALIDA")</f>
        <v>19800.757000000012</v>
      </c>
    </row>
    <row r="4270" spans="1:5" x14ac:dyDescent="0.3">
      <c r="A4270" s="9">
        <f>'Volúmenes DIstribuidos '!B2601</f>
        <v>45562</v>
      </c>
      <c r="B4270" s="10" t="str">
        <f>IF(OR('Volúmenes DIstribuidos '!C2605="Azúcar",'Volúmenes DIstribuidos '!C2605="azúcar"),"Azúcar o dulce",IF('Volúmenes DIstribuidos '!C2605="Aceite","Aceite o grasas",IF('Volúmenes DIstribuidos '!C2605="Avena","Otros almidones",'Volúmenes DIstribuidos '!C2605)))</f>
        <v>Carnes rojas</v>
      </c>
      <c r="C4270" s="10" t="s">
        <v>29</v>
      </c>
      <c r="D4270" s="12">
        <f>'Volúmenes DIstribuidos '!D2605</f>
        <v>10.050000000000001</v>
      </c>
      <c r="E4270" s="12">
        <f>SUMIF('Parametros Inventario'!$A:$A,B4270,'Parametros Inventario'!$B:$B)+SUMIFS(D$2:D4270,B$2:B4270,B4270,C$2:C4270,"ENTRADA")-SUMIFS(D$2:D4270,B$2:B4270,B4270,C$2:C4270,"SALIDA")</f>
        <v>19273.427</v>
      </c>
    </row>
    <row r="4271" spans="1:5" x14ac:dyDescent="0.3">
      <c r="A4271" s="9">
        <f>'Volúmenes DIstribuidos '!B2601</f>
        <v>45562</v>
      </c>
      <c r="B4271" s="10" t="str">
        <f>IF(OR('Volúmenes DIstribuidos '!C2606="Azúcar",'Volúmenes DIstribuidos '!C2606="azúcar"),"Azúcar o dulce",IF('Volúmenes DIstribuidos '!C2606="Aceite","Aceite o grasas",IF('Volúmenes DIstribuidos '!C2606="Avena","Otros almidones",'Volúmenes DIstribuidos '!C2606)))</f>
        <v>Otros almidones</v>
      </c>
      <c r="C4271" s="10" t="s">
        <v>29</v>
      </c>
      <c r="D4271" s="12">
        <f>'Volúmenes DIstribuidos '!D2606</f>
        <v>17.350000000000001</v>
      </c>
      <c r="E4271" s="12">
        <f>SUMIF('Parametros Inventario'!$A:$A,B4271,'Parametros Inventario'!$B:$B)+SUMIFS(D$2:D4271,B$2:B4271,B4271,C$2:C4271,"ENTRADA")-SUMIFS(D$2:D4271,B$2:B4271,B4271,C$2:C4271,"SALIDA")</f>
        <v>22332.170999999995</v>
      </c>
    </row>
    <row r="4272" spans="1:5" x14ac:dyDescent="0.3">
      <c r="A4272" s="9">
        <f>'Volúmenes DIstribuidos '!B2607</f>
        <v>45566</v>
      </c>
      <c r="B4272" s="10" t="str">
        <f>IF(OR('Volúmenes DIstribuidos '!C2607="Azúcar",'Volúmenes DIstribuidos '!C2607="azúcar"),"Azúcar o dulce",IF('Volúmenes DIstribuidos '!C2607="Aceite","Aceite o grasas",IF('Volúmenes DIstribuidos '!C2607="Avena","Otros almidones",'Volúmenes DIstribuidos '!C2607)))</f>
        <v>Azúcar o dulce</v>
      </c>
      <c r="C4272" s="10" t="s">
        <v>29</v>
      </c>
      <c r="D4272" s="12">
        <f>'Volúmenes DIstribuidos '!D2607</f>
        <v>10.54</v>
      </c>
      <c r="E4272" s="12">
        <f>SUMIF('Parametros Inventario'!$A:$A,B4272,'Parametros Inventario'!$B:$B)+SUMIFS(D$2:D4272,B$2:B4272,B4272,C$2:C4272,"ENTRADA")-SUMIFS(D$2:D4272,B$2:B4272,B4272,C$2:C4272,"SALIDA")</f>
        <v>19326.807000000001</v>
      </c>
    </row>
    <row r="4273" spans="1:5" x14ac:dyDescent="0.3">
      <c r="A4273" s="9">
        <f>'Volúmenes DIstribuidos '!B2607</f>
        <v>45566</v>
      </c>
      <c r="B4273" s="10" t="str">
        <f>IF(OR('Volúmenes DIstribuidos '!C2608="Azúcar",'Volúmenes DIstribuidos '!C2608="azúcar"),"Azúcar o dulce",IF('Volúmenes DIstribuidos '!C2608="Aceite","Aceite o grasas",IF('Volúmenes DIstribuidos '!C2608="Avena","Otros almidones",'Volúmenes DIstribuidos '!C2608)))</f>
        <v>Menestras</v>
      </c>
      <c r="C4273" s="10" t="s">
        <v>29</v>
      </c>
      <c r="D4273" s="12">
        <f>'Volúmenes DIstribuidos '!D2608</f>
        <v>11.41</v>
      </c>
      <c r="E4273" s="12">
        <f>SUMIF('Parametros Inventario'!$A:$A,B4273,'Parametros Inventario'!$B:$B)+SUMIFS(D$2:D4273,B$2:B4273,B4273,C$2:C4273,"ENTRADA")-SUMIFS(D$2:D4273,B$2:B4273,B4273,C$2:C4273,"SALIDA")</f>
        <v>20394.526999999991</v>
      </c>
    </row>
    <row r="4274" spans="1:5" x14ac:dyDescent="0.3">
      <c r="A4274" s="9">
        <f>'Volúmenes DIstribuidos '!B2607</f>
        <v>45566</v>
      </c>
      <c r="B4274" s="10" t="str">
        <f>IF(OR('Volúmenes DIstribuidos '!C2609="Azúcar",'Volúmenes DIstribuidos '!C2609="azúcar"),"Azúcar o dulce",IF('Volúmenes DIstribuidos '!C2609="Aceite","Aceite o grasas",IF('Volúmenes DIstribuidos '!C2609="Avena","Otros almidones",'Volúmenes DIstribuidos '!C2609)))</f>
        <v>Carnes blancas</v>
      </c>
      <c r="C4274" s="10" t="s">
        <v>29</v>
      </c>
      <c r="D4274" s="12">
        <f>'Volúmenes DIstribuidos '!D2609</f>
        <v>10.021000000000001</v>
      </c>
      <c r="E4274" s="12">
        <f>SUMIF('Parametros Inventario'!$A:$A,B4274,'Parametros Inventario'!$B:$B)+SUMIFS(D$2:D4274,B$2:B4274,B4274,C$2:C4274,"ENTRADA")-SUMIFS(D$2:D4274,B$2:B4274,B4274,C$2:C4274,"SALIDA")</f>
        <v>20463.405000000002</v>
      </c>
    </row>
    <row r="4275" spans="1:5" x14ac:dyDescent="0.3">
      <c r="A4275" s="9">
        <f>'Volúmenes DIstribuidos '!B2607</f>
        <v>45566</v>
      </c>
      <c r="B4275" s="10" t="str">
        <f>IF(OR('Volúmenes DIstribuidos '!C2610="Azúcar",'Volúmenes DIstribuidos '!C2610="azúcar"),"Azúcar o dulce",IF('Volúmenes DIstribuidos '!C2610="Aceite","Aceite o grasas",IF('Volúmenes DIstribuidos '!C2610="Avena","Otros almidones",'Volúmenes DIstribuidos '!C2610)))</f>
        <v>Azúcar o dulce</v>
      </c>
      <c r="C4275" s="10" t="s">
        <v>29</v>
      </c>
      <c r="D4275" s="12">
        <f>'Volúmenes DIstribuidos '!D2610</f>
        <v>27.27</v>
      </c>
      <c r="E4275" s="12">
        <f>SUMIF('Parametros Inventario'!$A:$A,B4275,'Parametros Inventario'!$B:$B)+SUMIFS(D$2:D4275,B$2:B4275,B4275,C$2:C4275,"ENTRADA")-SUMIFS(D$2:D4275,B$2:B4275,B4275,C$2:C4275,"SALIDA")</f>
        <v>19299.536999999997</v>
      </c>
    </row>
    <row r="4276" spans="1:5" x14ac:dyDescent="0.3">
      <c r="A4276" s="9">
        <f>'Volúmenes DIstribuidos '!B2607</f>
        <v>45566</v>
      </c>
      <c r="B4276" s="10" t="str">
        <f>IF(OR('Volúmenes DIstribuidos '!C2611="Azúcar",'Volúmenes DIstribuidos '!C2611="azúcar"),"Azúcar o dulce",IF('Volúmenes DIstribuidos '!C2611="Aceite","Aceite o grasas",IF('Volúmenes DIstribuidos '!C2611="Avena","Otros almidones",'Volúmenes DIstribuidos '!C2611)))</f>
        <v>Fideo</v>
      </c>
      <c r="C4276" s="10" t="s">
        <v>29</v>
      </c>
      <c r="D4276" s="12">
        <f>'Volúmenes DIstribuidos '!D2611</f>
        <v>11.97</v>
      </c>
      <c r="E4276" s="12">
        <f>SUMIF('Parametros Inventario'!$A:$A,B4276,'Parametros Inventario'!$B:$B)+SUMIFS(D$2:D4276,B$2:B4276,B4276,C$2:C4276,"ENTRADA")-SUMIFS(D$2:D4276,B$2:B4276,B4276,C$2:C4276,"SALIDA")</f>
        <v>22863.364000000016</v>
      </c>
    </row>
    <row r="4277" spans="1:5" x14ac:dyDescent="0.3">
      <c r="A4277" s="9">
        <f>'Volúmenes DIstribuidos '!B2607</f>
        <v>45566</v>
      </c>
      <c r="B4277" s="10" t="str">
        <f>IF(OR('Volúmenes DIstribuidos '!C2612="Azúcar",'Volúmenes DIstribuidos '!C2612="azúcar"),"Azúcar o dulce",IF('Volúmenes DIstribuidos '!C2612="Aceite","Aceite o grasas",IF('Volúmenes DIstribuidos '!C2612="Avena","Otros almidones",'Volúmenes DIstribuidos '!C2612)))</f>
        <v>Carnes rojas</v>
      </c>
      <c r="C4277" s="10" t="s">
        <v>29</v>
      </c>
      <c r="D4277" s="12">
        <f>'Volúmenes DIstribuidos '!D2612</f>
        <v>20</v>
      </c>
      <c r="E4277" s="12">
        <f>SUMIF('Parametros Inventario'!$A:$A,B4277,'Parametros Inventario'!$B:$B)+SUMIFS(D$2:D4277,B$2:B4277,B4277,C$2:C4277,"ENTRADA")-SUMIFS(D$2:D4277,B$2:B4277,B4277,C$2:C4277,"SALIDA")</f>
        <v>19253.427</v>
      </c>
    </row>
    <row r="4278" spans="1:5" x14ac:dyDescent="0.3">
      <c r="A4278" s="9">
        <v>45569</v>
      </c>
      <c r="B4278" s="10" t="s">
        <v>12</v>
      </c>
      <c r="C4278" s="10" t="s">
        <v>28</v>
      </c>
      <c r="D4278" s="12">
        <v>50.9</v>
      </c>
      <c r="E4278" s="12">
        <f>SUMIF('Parametros Inventario'!$A:$A,B4278,'Parametros Inventario'!$B:$B)+SUMIFS(D$2:D4278,B$2:B4278,B4278,C$2:C4278,"ENTRADA")-SUMIFS(D$2:D4278,B$2:B4278,B4278,C$2:C4278,"SALIDA")</f>
        <v>19304.327000000001</v>
      </c>
    </row>
    <row r="4279" spans="1:5" x14ac:dyDescent="0.3">
      <c r="A4279" s="9">
        <v>45569</v>
      </c>
      <c r="B4279" s="10" t="s">
        <v>16</v>
      </c>
      <c r="C4279" s="10" t="s">
        <v>28</v>
      </c>
      <c r="D4279" s="12">
        <v>192.97</v>
      </c>
      <c r="E4279" s="12">
        <f>SUMIF('Parametros Inventario'!$A:$A,B4279,'Parametros Inventario'!$B:$B)+SUMIFS(D$2:D4279,B$2:B4279,B4279,C$2:C4279,"ENTRADA")-SUMIFS(D$2:D4279,B$2:B4279,B4279,C$2:C4279,"SALIDA")</f>
        <v>20656.375000000004</v>
      </c>
    </row>
    <row r="4280" spans="1:5" x14ac:dyDescent="0.3">
      <c r="A4280" s="9">
        <v>45569</v>
      </c>
      <c r="B4280" s="10" t="s">
        <v>17</v>
      </c>
      <c r="C4280" s="10" t="s">
        <v>28</v>
      </c>
      <c r="D4280" s="12">
        <v>198.03</v>
      </c>
      <c r="E4280" s="12">
        <f>SUMIF('Parametros Inventario'!$A:$A,B4280,'Parametros Inventario'!$B:$B)+SUMIFS(D$2:D4280,B$2:B4280,B4280,C$2:C4280,"ENTRADA")-SUMIFS(D$2:D4280,B$2:B4280,B4280,C$2:C4280,"SALIDA")</f>
        <v>19575.243000000002</v>
      </c>
    </row>
    <row r="4281" spans="1:5" x14ac:dyDescent="0.3">
      <c r="A4281" s="9">
        <v>45569</v>
      </c>
      <c r="B4281" s="10" t="s">
        <v>18</v>
      </c>
      <c r="C4281" s="10" t="s">
        <v>28</v>
      </c>
      <c r="D4281" s="12">
        <v>52.22</v>
      </c>
      <c r="E4281" s="12">
        <f>SUMIF('Parametros Inventario'!$A:$A,B4281,'Parametros Inventario'!$B:$B)+SUMIFS(D$2:D4281,B$2:B4281,B4281,C$2:C4281,"ENTRADA")-SUMIFS(D$2:D4281,B$2:B4281,B4281,C$2:C4281,"SALIDA")</f>
        <v>19799.119999999988</v>
      </c>
    </row>
    <row r="4282" spans="1:5" x14ac:dyDescent="0.3">
      <c r="A4282" s="9">
        <v>45569</v>
      </c>
      <c r="B4282" s="10" t="s">
        <v>10</v>
      </c>
      <c r="C4282" s="10" t="s">
        <v>28</v>
      </c>
      <c r="D4282" s="12">
        <v>282.16000000000003</v>
      </c>
      <c r="E4282" s="12">
        <f>SUMIF('Parametros Inventario'!$A:$A,B4282,'Parametros Inventario'!$B:$B)+SUMIFS(D$2:D4282,B$2:B4282,B4282,C$2:C4282,"ENTRADA")-SUMIFS(D$2:D4282,B$2:B4282,B4282,C$2:C4282,"SALIDA")</f>
        <v>21030.419000000005</v>
      </c>
    </row>
    <row r="4283" spans="1:5" x14ac:dyDescent="0.3">
      <c r="A4283" s="9">
        <v>45569</v>
      </c>
      <c r="B4283" s="10" t="s">
        <v>8</v>
      </c>
      <c r="C4283" s="10" t="s">
        <v>28</v>
      </c>
      <c r="D4283" s="12">
        <v>178.2</v>
      </c>
      <c r="E4283" s="12">
        <f>SUMIF('Parametros Inventario'!$A:$A,B4283,'Parametros Inventario'!$B:$B)+SUMIFS(D$2:D4283,B$2:B4283,B4283,C$2:C4283,"ENTRADA")-SUMIFS(D$2:D4283,B$2:B4283,B4283,C$2:C4283,"SALIDA")</f>
        <v>19978.957000000017</v>
      </c>
    </row>
    <row r="4284" spans="1:5" x14ac:dyDescent="0.3">
      <c r="A4284" s="9">
        <v>45569</v>
      </c>
      <c r="B4284" s="10" t="s">
        <v>13</v>
      </c>
      <c r="C4284" s="10" t="s">
        <v>28</v>
      </c>
      <c r="D4284" s="12">
        <v>175.95</v>
      </c>
      <c r="E4284" s="12">
        <f>SUMIF('Parametros Inventario'!$A:$A,B4284,'Parametros Inventario'!$B:$B)+SUMIFS(D$2:D4284,B$2:B4284,B4284,C$2:C4284,"ENTRADA")-SUMIFS(D$2:D4284,B$2:B4284,B4284,C$2:C4284,"SALIDA")</f>
        <v>19475.487000000001</v>
      </c>
    </row>
    <row r="4285" spans="1:5" x14ac:dyDescent="0.3">
      <c r="A4285" s="9">
        <v>45569</v>
      </c>
      <c r="B4285" s="10" t="s">
        <v>15</v>
      </c>
      <c r="C4285" s="10" t="s">
        <v>28</v>
      </c>
      <c r="D4285" s="12">
        <v>230.14</v>
      </c>
      <c r="E4285" s="12">
        <f>SUMIF('Parametros Inventario'!$A:$A,B4285,'Parametros Inventario'!$B:$B)+SUMIFS(D$2:D4285,B$2:B4285,B4285,C$2:C4285,"ENTRADA")-SUMIFS(D$2:D4285,B$2:B4285,B4285,C$2:C4285,"SALIDA")</f>
        <v>22562.310999999994</v>
      </c>
    </row>
    <row r="4286" spans="1:5" x14ac:dyDescent="0.3">
      <c r="A4286" s="9">
        <v>45569</v>
      </c>
      <c r="B4286" s="10" t="s">
        <v>11</v>
      </c>
      <c r="C4286" s="10" t="s">
        <v>28</v>
      </c>
      <c r="D4286" s="12">
        <v>114.71</v>
      </c>
      <c r="E4286" s="12">
        <f>SUMIF('Parametros Inventario'!$A:$A,B4286,'Parametros Inventario'!$B:$B)+SUMIFS(D$2:D4286,B$2:B4286,B4286,C$2:C4286,"ENTRADA")-SUMIFS(D$2:D4286,B$2:B4286,B4286,C$2:C4286,"SALIDA")</f>
        <v>22978.074000000015</v>
      </c>
    </row>
    <row r="4287" spans="1:5" x14ac:dyDescent="0.3">
      <c r="A4287" s="9">
        <f>'Volúmenes DIstribuidos '!B2613</f>
        <v>45569</v>
      </c>
      <c r="B4287" s="10" t="str">
        <f>IF(OR('Volúmenes DIstribuidos '!C2613="Azúcar",'Volúmenes DIstribuidos '!C2613="azúcar"),"Azúcar o dulce",IF('Volúmenes DIstribuidos '!C2613="Aceite","Aceite o grasas",IF('Volúmenes DIstribuidos '!C2613="Avena","Otros almidones",'Volúmenes DIstribuidos '!C2613)))</f>
        <v>Otros almidones</v>
      </c>
      <c r="C4287" s="10" t="s">
        <v>29</v>
      </c>
      <c r="D4287" s="12">
        <f>'Volúmenes DIstribuidos '!D2613</f>
        <v>9.6199999999999992</v>
      </c>
      <c r="E4287" s="12">
        <f>SUMIF('Parametros Inventario'!$A:$A,B4287,'Parametros Inventario'!$B:$B)+SUMIFS(D$2:D4287,B$2:B4287,B4287,C$2:C4287,"ENTRADA")-SUMIFS(D$2:D4287,B$2:B4287,B4287,C$2:C4287,"SALIDA")</f>
        <v>22552.690999999995</v>
      </c>
    </row>
    <row r="4288" spans="1:5" x14ac:dyDescent="0.3">
      <c r="A4288" s="9">
        <f>'Volúmenes DIstribuidos '!B2613</f>
        <v>45569</v>
      </c>
      <c r="B4288" s="10" t="str">
        <f>IF(OR('Volúmenes DIstribuidos '!C2614="Azúcar",'Volúmenes DIstribuidos '!C2614="azúcar"),"Azúcar o dulce",IF('Volúmenes DIstribuidos '!C2614="Aceite","Aceite o grasas",IF('Volúmenes DIstribuidos '!C2614="Avena","Otros almidones",'Volúmenes DIstribuidos '!C2614)))</f>
        <v>Aceite o grasas</v>
      </c>
      <c r="C4288" s="10" t="s">
        <v>29</v>
      </c>
      <c r="D4288" s="12">
        <f>'Volúmenes DIstribuidos '!D2614</f>
        <v>16.472000000000001</v>
      </c>
      <c r="E4288" s="12">
        <f>SUMIF('Parametros Inventario'!$A:$A,B4288,'Parametros Inventario'!$B:$B)+SUMIFS(D$2:D4288,B$2:B4288,B4288,C$2:C4288,"ENTRADA")-SUMIFS(D$2:D4288,B$2:B4288,B4288,C$2:C4288,"SALIDA")</f>
        <v>19962.485000000015</v>
      </c>
    </row>
    <row r="4289" spans="1:5" x14ac:dyDescent="0.3">
      <c r="A4289" s="9">
        <f>'Volúmenes DIstribuidos '!B2613</f>
        <v>45569</v>
      </c>
      <c r="B4289" s="10" t="str">
        <f>IF(OR('Volúmenes DIstribuidos '!C2615="Azúcar",'Volúmenes DIstribuidos '!C2615="azúcar"),"Azúcar o dulce",IF('Volúmenes DIstribuidos '!C2615="Aceite","Aceite o grasas",IF('Volúmenes DIstribuidos '!C2615="Avena","Otros almidones",'Volúmenes DIstribuidos '!C2615)))</f>
        <v>Carnes blancas</v>
      </c>
      <c r="C4289" s="10" t="s">
        <v>29</v>
      </c>
      <c r="D4289" s="12">
        <f>'Volúmenes DIstribuidos '!D2615</f>
        <v>31.55</v>
      </c>
      <c r="E4289" s="12">
        <f>SUMIF('Parametros Inventario'!$A:$A,B4289,'Parametros Inventario'!$B:$B)+SUMIFS(D$2:D4289,B$2:B4289,B4289,C$2:C4289,"ENTRADA")-SUMIFS(D$2:D4289,B$2:B4289,B4289,C$2:C4289,"SALIDA")</f>
        <v>20624.825000000004</v>
      </c>
    </row>
    <row r="4290" spans="1:5" x14ac:dyDescent="0.3">
      <c r="A4290" s="9">
        <f>'Volúmenes DIstribuidos '!B2613</f>
        <v>45569</v>
      </c>
      <c r="B4290" s="10" t="str">
        <f>IF(OR('Volúmenes DIstribuidos '!C2616="Azúcar",'Volúmenes DIstribuidos '!C2616="azúcar"),"Azúcar o dulce",IF('Volúmenes DIstribuidos '!C2616="Aceite","Aceite o grasas",IF('Volúmenes DIstribuidos '!C2616="Avena","Otros almidones",'Volúmenes DIstribuidos '!C2616)))</f>
        <v>Fideo</v>
      </c>
      <c r="C4290" s="10" t="s">
        <v>29</v>
      </c>
      <c r="D4290" s="12">
        <f>'Volúmenes DIstribuidos '!D2616</f>
        <v>9.69</v>
      </c>
      <c r="E4290" s="12">
        <f>SUMIF('Parametros Inventario'!$A:$A,B4290,'Parametros Inventario'!$B:$B)+SUMIFS(D$2:D4290,B$2:B4290,B4290,C$2:C4290,"ENTRADA")-SUMIFS(D$2:D4290,B$2:B4290,B4290,C$2:C4290,"SALIDA")</f>
        <v>22968.384000000013</v>
      </c>
    </row>
    <row r="4291" spans="1:5" x14ac:dyDescent="0.3">
      <c r="A4291" s="9">
        <f>'Volúmenes DIstribuidos '!B2613</f>
        <v>45569</v>
      </c>
      <c r="B4291" s="10" t="str">
        <f>IF(OR('Volúmenes DIstribuidos '!C2617="Azúcar",'Volúmenes DIstribuidos '!C2617="azúcar"),"Azúcar o dulce",IF('Volúmenes DIstribuidos '!C2617="Aceite","Aceite o grasas",IF('Volúmenes DIstribuidos '!C2617="Avena","Otros almidones",'Volúmenes DIstribuidos '!C2617)))</f>
        <v>Salsas</v>
      </c>
      <c r="C4291" s="10" t="s">
        <v>29</v>
      </c>
      <c r="D4291" s="12">
        <f>'Volúmenes DIstribuidos '!D2617</f>
        <v>21.14</v>
      </c>
      <c r="E4291" s="12">
        <f>SUMIF('Parametros Inventario'!$A:$A,B4291,'Parametros Inventario'!$B:$B)+SUMIFS(D$2:D4291,B$2:B4291,B4291,C$2:C4291,"ENTRADA")-SUMIFS(D$2:D4291,B$2:B4291,B4291,C$2:C4291,"SALIDA")</f>
        <v>19777.979999999989</v>
      </c>
    </row>
    <row r="4292" spans="1:5" x14ac:dyDescent="0.3">
      <c r="A4292" s="9">
        <f>'Volúmenes DIstribuidos '!B2613</f>
        <v>45569</v>
      </c>
      <c r="B4292" s="10" t="str">
        <f>IF(OR('Volúmenes DIstribuidos '!C2618="Azúcar",'Volúmenes DIstribuidos '!C2618="azúcar"),"Azúcar o dulce",IF('Volúmenes DIstribuidos '!C2618="Aceite","Aceite o grasas",IF('Volúmenes DIstribuidos '!C2618="Avena","Otros almidones",'Volúmenes DIstribuidos '!C2618)))</f>
        <v>Aceite o grasas</v>
      </c>
      <c r="C4292" s="10" t="s">
        <v>29</v>
      </c>
      <c r="D4292" s="12">
        <f>'Volúmenes DIstribuidos '!D2618</f>
        <v>10.949</v>
      </c>
      <c r="E4292" s="12">
        <f>SUMIF('Parametros Inventario'!$A:$A,B4292,'Parametros Inventario'!$B:$B)+SUMIFS(D$2:D4292,B$2:B4292,B4292,C$2:C4292,"ENTRADA")-SUMIFS(D$2:D4292,B$2:B4292,B4292,C$2:C4292,"SALIDA")</f>
        <v>19951.536000000015</v>
      </c>
    </row>
    <row r="4293" spans="1:5" x14ac:dyDescent="0.3">
      <c r="A4293" s="9">
        <f>'Volúmenes DIstribuidos '!B2619</f>
        <v>45573</v>
      </c>
      <c r="B4293" s="10" t="str">
        <f>IF(OR('Volúmenes DIstribuidos '!C2619="Azúcar",'Volúmenes DIstribuidos '!C2619="azúcar"),"Azúcar o dulce",IF('Volúmenes DIstribuidos '!C2619="Aceite","Aceite o grasas",IF('Volúmenes DIstribuidos '!C2619="Avena","Otros almidones",'Volúmenes DIstribuidos '!C2619)))</f>
        <v>Carnes blancas</v>
      </c>
      <c r="C4293" s="10" t="s">
        <v>29</v>
      </c>
      <c r="D4293" s="12">
        <f>'Volúmenes DIstribuidos '!D2619</f>
        <v>64.680000000000007</v>
      </c>
      <c r="E4293" s="12">
        <f>SUMIF('Parametros Inventario'!$A:$A,B4293,'Parametros Inventario'!$B:$B)+SUMIFS(D$2:D4293,B$2:B4293,B4293,C$2:C4293,"ENTRADA")-SUMIFS(D$2:D4293,B$2:B4293,B4293,C$2:C4293,"SALIDA")</f>
        <v>20560.145000000004</v>
      </c>
    </row>
    <row r="4294" spans="1:5" x14ac:dyDescent="0.3">
      <c r="A4294" s="9">
        <f>'Volúmenes DIstribuidos '!B2619</f>
        <v>45573</v>
      </c>
      <c r="B4294" s="10" t="str">
        <f>IF(OR('Volúmenes DIstribuidos '!C2620="Azúcar",'Volúmenes DIstribuidos '!C2620="azúcar"),"Azúcar o dulce",IF('Volúmenes DIstribuidos '!C2620="Aceite","Aceite o grasas",IF('Volúmenes DIstribuidos '!C2620="Avena","Otros almidones",'Volúmenes DIstribuidos '!C2620)))</f>
        <v>Fideo</v>
      </c>
      <c r="C4294" s="10" t="s">
        <v>29</v>
      </c>
      <c r="D4294" s="12">
        <f>'Volúmenes DIstribuidos '!D2620</f>
        <v>24.48</v>
      </c>
      <c r="E4294" s="12">
        <f>SUMIF('Parametros Inventario'!$A:$A,B4294,'Parametros Inventario'!$B:$B)+SUMIFS(D$2:D4294,B$2:B4294,B4294,C$2:C4294,"ENTRADA")-SUMIFS(D$2:D4294,B$2:B4294,B4294,C$2:C4294,"SALIDA")</f>
        <v>22943.904000000017</v>
      </c>
    </row>
    <row r="4295" spans="1:5" x14ac:dyDescent="0.3">
      <c r="A4295" s="9">
        <f>'Volúmenes DIstribuidos '!B2619</f>
        <v>45573</v>
      </c>
      <c r="B4295" s="10" t="str">
        <f>IF(OR('Volúmenes DIstribuidos '!C2621="Azúcar",'Volúmenes DIstribuidos '!C2621="azúcar"),"Azúcar o dulce",IF('Volúmenes DIstribuidos '!C2621="Aceite","Aceite o grasas",IF('Volúmenes DIstribuidos '!C2621="Avena","Otros almidones",'Volúmenes DIstribuidos '!C2621)))</f>
        <v>Azúcar o dulce</v>
      </c>
      <c r="C4295" s="10" t="s">
        <v>29</v>
      </c>
      <c r="D4295" s="12">
        <f>'Volúmenes DIstribuidos '!D2621</f>
        <v>45.36</v>
      </c>
      <c r="E4295" s="12">
        <f>SUMIF('Parametros Inventario'!$A:$A,B4295,'Parametros Inventario'!$B:$B)+SUMIFS(D$2:D4295,B$2:B4295,B4295,C$2:C4295,"ENTRADA")-SUMIFS(D$2:D4295,B$2:B4295,B4295,C$2:C4295,"SALIDA")</f>
        <v>19430.127</v>
      </c>
    </row>
    <row r="4296" spans="1:5" x14ac:dyDescent="0.3">
      <c r="A4296" s="9">
        <f>'Volúmenes DIstribuidos '!B2619</f>
        <v>45573</v>
      </c>
      <c r="B4296" s="10" t="str">
        <f>IF(OR('Volúmenes DIstribuidos '!C2622="Azúcar",'Volúmenes DIstribuidos '!C2622="azúcar"),"Azúcar o dulce",IF('Volúmenes DIstribuidos '!C2622="Aceite","Aceite o grasas",IF('Volúmenes DIstribuidos '!C2622="Avena","Otros almidones",'Volúmenes DIstribuidos '!C2622)))</f>
        <v>Otros almidones</v>
      </c>
      <c r="C4296" s="10" t="s">
        <v>29</v>
      </c>
      <c r="D4296" s="12">
        <f>'Volúmenes DIstribuidos '!D2622</f>
        <v>6.867</v>
      </c>
      <c r="E4296" s="12">
        <f>SUMIF('Parametros Inventario'!$A:$A,B4296,'Parametros Inventario'!$B:$B)+SUMIFS(D$2:D4296,B$2:B4296,B4296,C$2:C4296,"ENTRADA")-SUMIFS(D$2:D4296,B$2:B4296,B4296,C$2:C4296,"SALIDA")</f>
        <v>22545.823999999993</v>
      </c>
    </row>
    <row r="4297" spans="1:5" x14ac:dyDescent="0.3">
      <c r="A4297" s="9">
        <f>'Volúmenes DIstribuidos '!B2619</f>
        <v>45573</v>
      </c>
      <c r="B4297" s="10" t="str">
        <f>IF(OR('Volúmenes DIstribuidos '!C2623="Azúcar",'Volúmenes DIstribuidos '!C2623="azúcar"),"Azúcar o dulce",IF('Volúmenes DIstribuidos '!C2623="Aceite","Aceite o grasas",IF('Volúmenes DIstribuidos '!C2623="Avena","Otros almidones",'Volúmenes DIstribuidos '!C2623)))</f>
        <v>Aceite o grasas</v>
      </c>
      <c r="C4297" s="10" t="s">
        <v>29</v>
      </c>
      <c r="D4297" s="12">
        <f>'Volúmenes DIstribuidos '!D2623</f>
        <v>24.7</v>
      </c>
      <c r="E4297" s="12">
        <f>SUMIF('Parametros Inventario'!$A:$A,B4297,'Parametros Inventario'!$B:$B)+SUMIFS(D$2:D4297,B$2:B4297,B4297,C$2:C4297,"ENTRADA")-SUMIFS(D$2:D4297,B$2:B4297,B4297,C$2:C4297,"SALIDA")</f>
        <v>19926.836000000014</v>
      </c>
    </row>
    <row r="4298" spans="1:5" x14ac:dyDescent="0.3">
      <c r="A4298" s="9">
        <f>'Volúmenes DIstribuidos '!B2619</f>
        <v>45573</v>
      </c>
      <c r="B4298" s="10" t="str">
        <f>IF(OR('Volúmenes DIstribuidos '!C2624="Azúcar",'Volúmenes DIstribuidos '!C2624="azúcar"),"Azúcar o dulce",IF('Volúmenes DIstribuidos '!C2624="Aceite","Aceite o grasas",IF('Volúmenes DIstribuidos '!C2624="Avena","Otros almidones",'Volúmenes DIstribuidos '!C2624)))</f>
        <v>Otros almidones</v>
      </c>
      <c r="C4298" s="10" t="s">
        <v>29</v>
      </c>
      <c r="D4298" s="12">
        <f>'Volúmenes DIstribuidos '!D2624</f>
        <v>45.74</v>
      </c>
      <c r="E4298" s="12">
        <f>SUMIF('Parametros Inventario'!$A:$A,B4298,'Parametros Inventario'!$B:$B)+SUMIFS(D$2:D4298,B$2:B4298,B4298,C$2:C4298,"ENTRADA")-SUMIFS(D$2:D4298,B$2:B4298,B4298,C$2:C4298,"SALIDA")</f>
        <v>22500.083999999995</v>
      </c>
    </row>
    <row r="4299" spans="1:5" x14ac:dyDescent="0.3">
      <c r="A4299" s="9">
        <v>45576</v>
      </c>
      <c r="B4299" s="10" t="s">
        <v>9</v>
      </c>
      <c r="C4299" s="10" t="s">
        <v>28</v>
      </c>
      <c r="D4299" s="12">
        <v>263.12</v>
      </c>
      <c r="E4299" s="12">
        <f>SUMIF('Parametros Inventario'!$A:$A,B4299,'Parametros Inventario'!$B:$B)+SUMIFS(D$2:D4299,B$2:B4299,B4299,C$2:C4299,"ENTRADA")-SUMIFS(D$2:D4299,B$2:B4299,B4299,C$2:C4299,"SALIDA")</f>
        <v>18291.70199999999</v>
      </c>
    </row>
    <row r="4300" spans="1:5" x14ac:dyDescent="0.3">
      <c r="A4300" s="9">
        <v>45576</v>
      </c>
      <c r="B4300" s="10" t="s">
        <v>14</v>
      </c>
      <c r="C4300" s="10" t="s">
        <v>28</v>
      </c>
      <c r="D4300" s="12">
        <v>124.09</v>
      </c>
      <c r="E4300" s="12">
        <f>SUMIF('Parametros Inventario'!$A:$A,B4300,'Parametros Inventario'!$B:$B)+SUMIFS(D$2:D4300,B$2:B4300,B4300,C$2:C4300,"ENTRADA")-SUMIFS(D$2:D4300,B$2:B4300,B4300,C$2:C4300,"SALIDA")</f>
        <v>20518.616999999991</v>
      </c>
    </row>
    <row r="4301" spans="1:5" x14ac:dyDescent="0.3">
      <c r="A4301" s="9">
        <v>45576</v>
      </c>
      <c r="B4301" s="10" t="s">
        <v>12</v>
      </c>
      <c r="C4301" s="10" t="s">
        <v>28</v>
      </c>
      <c r="D4301" s="12">
        <v>117.13</v>
      </c>
      <c r="E4301" s="12">
        <f>SUMIF('Parametros Inventario'!$A:$A,B4301,'Parametros Inventario'!$B:$B)+SUMIFS(D$2:D4301,B$2:B4301,B4301,C$2:C4301,"ENTRADA")-SUMIFS(D$2:D4301,B$2:B4301,B4301,C$2:C4301,"SALIDA")</f>
        <v>19421.457000000002</v>
      </c>
    </row>
    <row r="4302" spans="1:5" x14ac:dyDescent="0.3">
      <c r="A4302" s="9">
        <v>45576</v>
      </c>
      <c r="B4302" s="10" t="s">
        <v>16</v>
      </c>
      <c r="C4302" s="10" t="s">
        <v>28</v>
      </c>
      <c r="D4302" s="12">
        <v>79.78</v>
      </c>
      <c r="E4302" s="12">
        <f>SUMIF('Parametros Inventario'!$A:$A,B4302,'Parametros Inventario'!$B:$B)+SUMIFS(D$2:D4302,B$2:B4302,B4302,C$2:C4302,"ENTRADA")-SUMIFS(D$2:D4302,B$2:B4302,B4302,C$2:C4302,"SALIDA")</f>
        <v>20639.925000000003</v>
      </c>
    </row>
    <row r="4303" spans="1:5" x14ac:dyDescent="0.3">
      <c r="A4303" s="9">
        <v>45576</v>
      </c>
      <c r="B4303" s="10" t="s">
        <v>17</v>
      </c>
      <c r="C4303" s="10" t="s">
        <v>28</v>
      </c>
      <c r="D4303" s="12">
        <v>105.98</v>
      </c>
      <c r="E4303" s="12">
        <f>SUMIF('Parametros Inventario'!$A:$A,B4303,'Parametros Inventario'!$B:$B)+SUMIFS(D$2:D4303,B$2:B4303,B4303,C$2:C4303,"ENTRADA")-SUMIFS(D$2:D4303,B$2:B4303,B4303,C$2:C4303,"SALIDA")</f>
        <v>19681.223000000002</v>
      </c>
    </row>
    <row r="4304" spans="1:5" x14ac:dyDescent="0.3">
      <c r="A4304" s="9">
        <v>45576</v>
      </c>
      <c r="B4304" s="10" t="s">
        <v>18</v>
      </c>
      <c r="C4304" s="10" t="s">
        <v>28</v>
      </c>
      <c r="D4304" s="12">
        <v>183.39</v>
      </c>
      <c r="E4304" s="12">
        <f>SUMIF('Parametros Inventario'!$A:$A,B4304,'Parametros Inventario'!$B:$B)+SUMIFS(D$2:D4304,B$2:B4304,B4304,C$2:C4304,"ENTRADA")-SUMIFS(D$2:D4304,B$2:B4304,B4304,C$2:C4304,"SALIDA")</f>
        <v>19961.369999999988</v>
      </c>
    </row>
    <row r="4305" spans="1:5" x14ac:dyDescent="0.3">
      <c r="A4305" s="9">
        <v>45576</v>
      </c>
      <c r="B4305" s="10" t="s">
        <v>10</v>
      </c>
      <c r="C4305" s="10" t="s">
        <v>28</v>
      </c>
      <c r="D4305" s="12">
        <v>122.96</v>
      </c>
      <c r="E4305" s="12">
        <f>SUMIF('Parametros Inventario'!$A:$A,B4305,'Parametros Inventario'!$B:$B)+SUMIFS(D$2:D4305,B$2:B4305,B4305,C$2:C4305,"ENTRADA")-SUMIFS(D$2:D4305,B$2:B4305,B4305,C$2:C4305,"SALIDA")</f>
        <v>21153.379000000004</v>
      </c>
    </row>
    <row r="4306" spans="1:5" x14ac:dyDescent="0.3">
      <c r="A4306" s="9">
        <v>45576</v>
      </c>
      <c r="B4306" s="10" t="s">
        <v>8</v>
      </c>
      <c r="C4306" s="10" t="s">
        <v>28</v>
      </c>
      <c r="D4306" s="12">
        <v>209.9</v>
      </c>
      <c r="E4306" s="12">
        <f>SUMIF('Parametros Inventario'!$A:$A,B4306,'Parametros Inventario'!$B:$B)+SUMIFS(D$2:D4306,B$2:B4306,B4306,C$2:C4306,"ENTRADA")-SUMIFS(D$2:D4306,B$2:B4306,B4306,C$2:C4306,"SALIDA")</f>
        <v>20136.736000000015</v>
      </c>
    </row>
    <row r="4307" spans="1:5" x14ac:dyDescent="0.3">
      <c r="A4307" s="9">
        <f>'Volúmenes DIstribuidos '!B2625</f>
        <v>45576</v>
      </c>
      <c r="B4307" s="10" t="str">
        <f>IF(OR('Volúmenes DIstribuidos '!C2625="Azúcar",'Volúmenes DIstribuidos '!C2625="azúcar"),"Azúcar o dulce",IF('Volúmenes DIstribuidos '!C2625="Aceite","Aceite o grasas",IF('Volúmenes DIstribuidos '!C2625="Avena","Otros almidones",'Volúmenes DIstribuidos '!C2625)))</f>
        <v>Fideo</v>
      </c>
      <c r="C4307" s="10" t="s">
        <v>29</v>
      </c>
      <c r="D4307" s="12">
        <f>'Volúmenes DIstribuidos '!D2625</f>
        <v>13.39</v>
      </c>
      <c r="E4307" s="12">
        <f>SUMIF('Parametros Inventario'!$A:$A,B4307,'Parametros Inventario'!$B:$B)+SUMIFS(D$2:D4307,B$2:B4307,B4307,C$2:C4307,"ENTRADA")-SUMIFS(D$2:D4307,B$2:B4307,B4307,C$2:C4307,"SALIDA")</f>
        <v>22930.514000000014</v>
      </c>
    </row>
    <row r="4308" spans="1:5" x14ac:dyDescent="0.3">
      <c r="A4308" s="9">
        <f>'Volúmenes DIstribuidos '!B2625</f>
        <v>45576</v>
      </c>
      <c r="B4308" s="10" t="str">
        <f>IF(OR('Volúmenes DIstribuidos '!C2626="Azúcar",'Volúmenes DIstribuidos '!C2626="azúcar"),"Azúcar o dulce",IF('Volúmenes DIstribuidos '!C2626="Aceite","Aceite o grasas",IF('Volúmenes DIstribuidos '!C2626="Avena","Otros almidones",'Volúmenes DIstribuidos '!C2626)))</f>
        <v>Carnes blancas</v>
      </c>
      <c r="C4308" s="10" t="s">
        <v>29</v>
      </c>
      <c r="D4308" s="12">
        <f>'Volúmenes DIstribuidos '!D2626</f>
        <v>37.241999999999997</v>
      </c>
      <c r="E4308" s="12">
        <f>SUMIF('Parametros Inventario'!$A:$A,B4308,'Parametros Inventario'!$B:$B)+SUMIFS(D$2:D4308,B$2:B4308,B4308,C$2:C4308,"ENTRADA")-SUMIFS(D$2:D4308,B$2:B4308,B4308,C$2:C4308,"SALIDA")</f>
        <v>20602.683000000005</v>
      </c>
    </row>
    <row r="4309" spans="1:5" x14ac:dyDescent="0.3">
      <c r="A4309" s="9">
        <f>'Volúmenes DIstribuidos '!B2625</f>
        <v>45576</v>
      </c>
      <c r="B4309" s="10" t="str">
        <f>IF(OR('Volúmenes DIstribuidos '!C2627="Azúcar",'Volúmenes DIstribuidos '!C2627="azúcar"),"Azúcar o dulce",IF('Volúmenes DIstribuidos '!C2627="Aceite","Aceite o grasas",IF('Volúmenes DIstribuidos '!C2627="Avena","Otros almidones",'Volúmenes DIstribuidos '!C2627)))</f>
        <v>Carnes blancas</v>
      </c>
      <c r="C4309" s="10" t="s">
        <v>29</v>
      </c>
      <c r="D4309" s="12">
        <f>'Volúmenes DIstribuidos '!D2627</f>
        <v>14.27</v>
      </c>
      <c r="E4309" s="12">
        <f>SUMIF('Parametros Inventario'!$A:$A,B4309,'Parametros Inventario'!$B:$B)+SUMIFS(D$2:D4309,B$2:B4309,B4309,C$2:C4309,"ENTRADA")-SUMIFS(D$2:D4309,B$2:B4309,B4309,C$2:C4309,"SALIDA")</f>
        <v>20588.413</v>
      </c>
    </row>
    <row r="4310" spans="1:5" x14ac:dyDescent="0.3">
      <c r="A4310" s="9">
        <f>'Volúmenes DIstribuidos '!B2625</f>
        <v>45576</v>
      </c>
      <c r="B4310" s="10" t="str">
        <f>IF(OR('Volúmenes DIstribuidos '!C2628="Azúcar",'Volúmenes DIstribuidos '!C2628="azúcar"),"Azúcar o dulce",IF('Volúmenes DIstribuidos '!C2628="Aceite","Aceite o grasas",IF('Volúmenes DIstribuidos '!C2628="Avena","Otros almidones",'Volúmenes DIstribuidos '!C2628)))</f>
        <v>Vegetales y hojas</v>
      </c>
      <c r="C4310" s="10" t="s">
        <v>29</v>
      </c>
      <c r="D4310" s="12">
        <f>'Volúmenes DIstribuidos '!D2628</f>
        <v>26.02</v>
      </c>
      <c r="E4310" s="12">
        <f>SUMIF('Parametros Inventario'!$A:$A,B4310,'Parametros Inventario'!$B:$B)+SUMIFS(D$2:D4310,B$2:B4310,B4310,C$2:C4310,"ENTRADA")-SUMIFS(D$2:D4310,B$2:B4310,B4310,C$2:C4310,"SALIDA")</f>
        <v>21127.359000000004</v>
      </c>
    </row>
    <row r="4311" spans="1:5" x14ac:dyDescent="0.3">
      <c r="A4311" s="9">
        <f>'Volúmenes DIstribuidos '!B2625</f>
        <v>45576</v>
      </c>
      <c r="B4311" s="10" t="str">
        <f>IF(OR('Volúmenes DIstribuidos '!C2629="Azúcar",'Volúmenes DIstribuidos '!C2629="azúcar"),"Azúcar o dulce",IF('Volúmenes DIstribuidos '!C2629="Aceite","Aceite o grasas",IF('Volúmenes DIstribuidos '!C2629="Avena","Otros almidones",'Volúmenes DIstribuidos '!C2629)))</f>
        <v>Lácteos</v>
      </c>
      <c r="C4311" s="10" t="s">
        <v>29</v>
      </c>
      <c r="D4311" s="12">
        <f>'Volúmenes DIstribuidos '!D2629</f>
        <v>7.67</v>
      </c>
      <c r="E4311" s="12">
        <f>SUMIF('Parametros Inventario'!$A:$A,B4311,'Parametros Inventario'!$B:$B)+SUMIFS(D$2:D4311,B$2:B4311,B4311,C$2:C4311,"ENTRADA")-SUMIFS(D$2:D4311,B$2:B4311,B4311,C$2:C4311,"SALIDA")</f>
        <v>19673.553</v>
      </c>
    </row>
    <row r="4312" spans="1:5" x14ac:dyDescent="0.3">
      <c r="A4312" s="9">
        <f>'Volúmenes DIstribuidos '!B2625</f>
        <v>45576</v>
      </c>
      <c r="B4312" s="10" t="str">
        <f>IF(OR('Volúmenes DIstribuidos '!C2630="Azúcar",'Volúmenes DIstribuidos '!C2630="azúcar"),"Azúcar o dulce",IF('Volúmenes DIstribuidos '!C2630="Aceite","Aceite o grasas",IF('Volúmenes DIstribuidos '!C2630="Avena","Otros almidones",'Volúmenes DIstribuidos '!C2630)))</f>
        <v>Salsas</v>
      </c>
      <c r="C4312" s="10" t="s">
        <v>29</v>
      </c>
      <c r="D4312" s="12">
        <f>'Volúmenes DIstribuidos '!D2630</f>
        <v>44.89</v>
      </c>
      <c r="E4312" s="12">
        <f>SUMIF('Parametros Inventario'!$A:$A,B4312,'Parametros Inventario'!$B:$B)+SUMIFS(D$2:D4312,B$2:B4312,B4312,C$2:C4312,"ENTRADA")-SUMIFS(D$2:D4312,B$2:B4312,B4312,C$2:C4312,"SALIDA")</f>
        <v>19916.479999999989</v>
      </c>
    </row>
    <row r="4313" spans="1:5" x14ac:dyDescent="0.3">
      <c r="A4313" s="9">
        <f>'Volúmenes DIstribuidos '!B2631</f>
        <v>45580</v>
      </c>
      <c r="B4313" s="10" t="str">
        <f>IF(OR('Volúmenes DIstribuidos '!C2631="Azúcar",'Volúmenes DIstribuidos '!C2631="azúcar"),"Azúcar o dulce",IF('Volúmenes DIstribuidos '!C2631="Aceite","Aceite o grasas",IF('Volúmenes DIstribuidos '!C2631="Avena","Otros almidones",'Volúmenes DIstribuidos '!C2631)))</f>
        <v>Panadería</v>
      </c>
      <c r="C4313" s="10" t="s">
        <v>29</v>
      </c>
      <c r="D4313" s="12">
        <f>'Volúmenes DIstribuidos '!D2631</f>
        <v>117.71</v>
      </c>
      <c r="E4313" s="12">
        <f>SUMIF('Parametros Inventario'!$A:$A,B4313,'Parametros Inventario'!$B:$B)+SUMIFS(D$2:D4313,B$2:B4313,B4313,C$2:C4313,"ENTRADA")-SUMIFS(D$2:D4313,B$2:B4313,B4313,C$2:C4313,"SALIDA")</f>
        <v>18173.991999999991</v>
      </c>
    </row>
    <row r="4314" spans="1:5" x14ac:dyDescent="0.3">
      <c r="A4314" s="9">
        <f>'Volúmenes DIstribuidos '!B2631</f>
        <v>45580</v>
      </c>
      <c r="B4314" s="10" t="str">
        <f>IF(OR('Volúmenes DIstribuidos '!C2632="Azúcar",'Volúmenes DIstribuidos '!C2632="azúcar"),"Azúcar o dulce",IF('Volúmenes DIstribuidos '!C2632="Aceite","Aceite o grasas",IF('Volúmenes DIstribuidos '!C2632="Avena","Otros almidones",'Volúmenes DIstribuidos '!C2632)))</f>
        <v>Fideo</v>
      </c>
      <c r="C4314" s="10" t="s">
        <v>29</v>
      </c>
      <c r="D4314" s="12">
        <f>'Volúmenes DIstribuidos '!D2632</f>
        <v>23.501000000000001</v>
      </c>
      <c r="E4314" s="12">
        <f>SUMIF('Parametros Inventario'!$A:$A,B4314,'Parametros Inventario'!$B:$B)+SUMIFS(D$2:D4314,B$2:B4314,B4314,C$2:C4314,"ENTRADA")-SUMIFS(D$2:D4314,B$2:B4314,B4314,C$2:C4314,"SALIDA")</f>
        <v>22907.013000000014</v>
      </c>
    </row>
    <row r="4315" spans="1:5" x14ac:dyDescent="0.3">
      <c r="A4315" s="9">
        <f>'Volúmenes DIstribuidos '!B2631</f>
        <v>45580</v>
      </c>
      <c r="B4315" s="10" t="str">
        <f>IF(OR('Volúmenes DIstribuidos '!C2633="Azúcar",'Volúmenes DIstribuidos '!C2633="azúcar"),"Azúcar o dulce",IF('Volúmenes DIstribuidos '!C2633="Aceite","Aceite o grasas",IF('Volúmenes DIstribuidos '!C2633="Avena","Otros almidones",'Volúmenes DIstribuidos '!C2633)))</f>
        <v>Salsas</v>
      </c>
      <c r="C4315" s="10" t="s">
        <v>29</v>
      </c>
      <c r="D4315" s="12">
        <f>'Volúmenes DIstribuidos '!D2633</f>
        <v>99.92</v>
      </c>
      <c r="E4315" s="12">
        <f>SUMIF('Parametros Inventario'!$A:$A,B4315,'Parametros Inventario'!$B:$B)+SUMIFS(D$2:D4315,B$2:B4315,B4315,C$2:C4315,"ENTRADA")-SUMIFS(D$2:D4315,B$2:B4315,B4315,C$2:C4315,"SALIDA")</f>
        <v>19816.55999999999</v>
      </c>
    </row>
    <row r="4316" spans="1:5" x14ac:dyDescent="0.3">
      <c r="A4316" s="9">
        <f>'Volúmenes DIstribuidos '!B2631</f>
        <v>45580</v>
      </c>
      <c r="B4316" s="10" t="str">
        <f>IF(OR('Volúmenes DIstribuidos '!C2634="Azúcar",'Volúmenes DIstribuidos '!C2634="azúcar"),"Azúcar o dulce",IF('Volúmenes DIstribuidos '!C2634="Aceite","Aceite o grasas",IF('Volúmenes DIstribuidos '!C2634="Avena","Otros almidones",'Volúmenes DIstribuidos '!C2634)))</f>
        <v>Azúcar o dulce</v>
      </c>
      <c r="C4316" s="10" t="s">
        <v>29</v>
      </c>
      <c r="D4316" s="12">
        <f>'Volúmenes DIstribuidos '!D2634</f>
        <v>43.17</v>
      </c>
      <c r="E4316" s="12">
        <f>SUMIF('Parametros Inventario'!$A:$A,B4316,'Parametros Inventario'!$B:$B)+SUMIFS(D$2:D4316,B$2:B4316,B4316,C$2:C4316,"ENTRADA")-SUMIFS(D$2:D4316,B$2:B4316,B4316,C$2:C4316,"SALIDA")</f>
        <v>19386.956999999999</v>
      </c>
    </row>
    <row r="4317" spans="1:5" x14ac:dyDescent="0.3">
      <c r="A4317" s="9">
        <f>'Volúmenes DIstribuidos '!B2631</f>
        <v>45580</v>
      </c>
      <c r="B4317" s="10" t="str">
        <f>IF(OR('Volúmenes DIstribuidos '!C2635="Azúcar",'Volúmenes DIstribuidos '!C2635="azúcar"),"Azúcar o dulce",IF('Volúmenes DIstribuidos '!C2635="Aceite","Aceite o grasas",IF('Volúmenes DIstribuidos '!C2635="Avena","Otros almidones",'Volúmenes DIstribuidos '!C2635)))</f>
        <v>Aceite o grasas</v>
      </c>
      <c r="C4317" s="10" t="s">
        <v>29</v>
      </c>
      <c r="D4317" s="12">
        <f>'Volúmenes DIstribuidos '!D2635</f>
        <v>60</v>
      </c>
      <c r="E4317" s="12">
        <f>SUMIF('Parametros Inventario'!$A:$A,B4317,'Parametros Inventario'!$B:$B)+SUMIFS(D$2:D4317,B$2:B4317,B4317,C$2:C4317,"ENTRADA")-SUMIFS(D$2:D4317,B$2:B4317,B4317,C$2:C4317,"SALIDA")</f>
        <v>20076.736000000015</v>
      </c>
    </row>
    <row r="4318" spans="1:5" x14ac:dyDescent="0.3">
      <c r="A4318" s="9">
        <f>'Volúmenes DIstribuidos '!B2631</f>
        <v>45580</v>
      </c>
      <c r="B4318" s="10" t="str">
        <f>IF(OR('Volúmenes DIstribuidos '!C2636="Azúcar",'Volúmenes DIstribuidos '!C2636="azúcar"),"Azúcar o dulce",IF('Volúmenes DIstribuidos '!C2636="Aceite","Aceite o grasas",IF('Volúmenes DIstribuidos '!C2636="Avena","Otros almidones",'Volúmenes DIstribuidos '!C2636)))</f>
        <v>Lácteos</v>
      </c>
      <c r="C4318" s="10" t="s">
        <v>29</v>
      </c>
      <c r="D4318" s="12">
        <f>'Volúmenes DIstribuidos '!D2636</f>
        <v>26.42</v>
      </c>
      <c r="E4318" s="12">
        <f>SUMIF('Parametros Inventario'!$A:$A,B4318,'Parametros Inventario'!$B:$B)+SUMIFS(D$2:D4318,B$2:B4318,B4318,C$2:C4318,"ENTRADA")-SUMIFS(D$2:D4318,B$2:B4318,B4318,C$2:C4318,"SALIDA")</f>
        <v>19647.133000000002</v>
      </c>
    </row>
    <row r="4319" spans="1:5" x14ac:dyDescent="0.3">
      <c r="A4319" s="9">
        <f>'Volúmenes DIstribuidos '!B2637</f>
        <v>45583</v>
      </c>
      <c r="B4319" s="10" t="str">
        <f>IF(OR('Volúmenes DIstribuidos '!C2637="Azúcar",'Volúmenes DIstribuidos '!C2637="azúcar"),"Azúcar o dulce",IF('Volúmenes DIstribuidos '!C2637="Aceite","Aceite o grasas",IF('Volúmenes DIstribuidos '!C2637="Avena","Otros almidones",'Volúmenes DIstribuidos '!C2637)))</f>
        <v>Carnes rojas</v>
      </c>
      <c r="C4319" s="10" t="s">
        <v>29</v>
      </c>
      <c r="D4319" s="12">
        <f>'Volúmenes DIstribuidos '!D2637</f>
        <v>23.704000000000001</v>
      </c>
      <c r="E4319" s="12">
        <f>SUMIF('Parametros Inventario'!$A:$A,B4319,'Parametros Inventario'!$B:$B)+SUMIFS(D$2:D4319,B$2:B4319,B4319,C$2:C4319,"ENTRADA")-SUMIFS(D$2:D4319,B$2:B4319,B4319,C$2:C4319,"SALIDA")</f>
        <v>19397.753000000001</v>
      </c>
    </row>
    <row r="4320" spans="1:5" x14ac:dyDescent="0.3">
      <c r="A4320" s="9">
        <f>'Volúmenes DIstribuidos '!B2637</f>
        <v>45583</v>
      </c>
      <c r="B4320" s="10" t="str">
        <f>IF(OR('Volúmenes DIstribuidos '!C2638="Azúcar",'Volúmenes DIstribuidos '!C2638="azúcar"),"Azúcar o dulce",IF('Volúmenes DIstribuidos '!C2638="Aceite","Aceite o grasas",IF('Volúmenes DIstribuidos '!C2638="Avena","Otros almidones",'Volúmenes DIstribuidos '!C2638)))</f>
        <v>Salsas</v>
      </c>
      <c r="C4320" s="10" t="s">
        <v>29</v>
      </c>
      <c r="D4320" s="12">
        <f>'Volúmenes DIstribuidos '!D2638</f>
        <v>33.090000000000003</v>
      </c>
      <c r="E4320" s="12">
        <f>SUMIF('Parametros Inventario'!$A:$A,B4320,'Parametros Inventario'!$B:$B)+SUMIFS(D$2:D4320,B$2:B4320,B4320,C$2:C4320,"ENTRADA")-SUMIFS(D$2:D4320,B$2:B4320,B4320,C$2:C4320,"SALIDA")</f>
        <v>19783.469999999987</v>
      </c>
    </row>
    <row r="4321" spans="1:5" x14ac:dyDescent="0.3">
      <c r="A4321" s="9">
        <f>'Volúmenes DIstribuidos '!B2637</f>
        <v>45583</v>
      </c>
      <c r="B4321" s="10" t="str">
        <f>IF(OR('Volúmenes DIstribuidos '!C2639="Azúcar",'Volúmenes DIstribuidos '!C2639="azúcar"),"Azúcar o dulce",IF('Volúmenes DIstribuidos '!C2639="Aceite","Aceite o grasas",IF('Volúmenes DIstribuidos '!C2639="Avena","Otros almidones",'Volúmenes DIstribuidos '!C2639)))</f>
        <v>Lácteos</v>
      </c>
      <c r="C4321" s="10" t="s">
        <v>29</v>
      </c>
      <c r="D4321" s="12">
        <f>'Volúmenes DIstribuidos '!D2639</f>
        <v>8.1199999999999992</v>
      </c>
      <c r="E4321" s="12">
        <f>SUMIF('Parametros Inventario'!$A:$A,B4321,'Parametros Inventario'!$B:$B)+SUMIFS(D$2:D4321,B$2:B4321,B4321,C$2:C4321,"ENTRADA")-SUMIFS(D$2:D4321,B$2:B4321,B4321,C$2:C4321,"SALIDA")</f>
        <v>19639.013000000003</v>
      </c>
    </row>
    <row r="4322" spans="1:5" x14ac:dyDescent="0.3">
      <c r="A4322" s="9">
        <f>'Volúmenes DIstribuidos '!B2637</f>
        <v>45583</v>
      </c>
      <c r="B4322" s="10" t="str">
        <f>IF(OR('Volúmenes DIstribuidos '!C2640="Azúcar",'Volúmenes DIstribuidos '!C2640="azúcar"),"Azúcar o dulce",IF('Volúmenes DIstribuidos '!C2640="Aceite","Aceite o grasas",IF('Volúmenes DIstribuidos '!C2640="Avena","Otros almidones",'Volúmenes DIstribuidos '!C2640)))</f>
        <v>Vegetales y hojas</v>
      </c>
      <c r="C4322" s="10" t="s">
        <v>29</v>
      </c>
      <c r="D4322" s="12">
        <f>'Volúmenes DIstribuidos '!D2640</f>
        <v>40.68</v>
      </c>
      <c r="E4322" s="12">
        <f>SUMIF('Parametros Inventario'!$A:$A,B4322,'Parametros Inventario'!$B:$B)+SUMIFS(D$2:D4322,B$2:B4322,B4322,C$2:C4322,"ENTRADA")-SUMIFS(D$2:D4322,B$2:B4322,B4322,C$2:C4322,"SALIDA")</f>
        <v>21086.679000000004</v>
      </c>
    </row>
    <row r="4323" spans="1:5" x14ac:dyDescent="0.3">
      <c r="A4323" s="9">
        <f>'Volúmenes DIstribuidos '!B2637</f>
        <v>45583</v>
      </c>
      <c r="B4323" s="10" t="str">
        <f>IF(OR('Volúmenes DIstribuidos '!C2641="Azúcar",'Volúmenes DIstribuidos '!C2641="azúcar"),"Azúcar o dulce",IF('Volúmenes DIstribuidos '!C2641="Aceite","Aceite o grasas",IF('Volúmenes DIstribuidos '!C2641="Avena","Otros almidones",'Volúmenes DIstribuidos '!C2641)))</f>
        <v>Otros almidones</v>
      </c>
      <c r="C4323" s="10" t="s">
        <v>29</v>
      </c>
      <c r="D4323" s="12">
        <f>'Volúmenes DIstribuidos '!D2641</f>
        <v>38.700000000000003</v>
      </c>
      <c r="E4323" s="12">
        <f>SUMIF('Parametros Inventario'!$A:$A,B4323,'Parametros Inventario'!$B:$B)+SUMIFS(D$2:D4323,B$2:B4323,B4323,C$2:C4323,"ENTRADA")-SUMIFS(D$2:D4323,B$2:B4323,B4323,C$2:C4323,"SALIDA")</f>
        <v>22461.383999999995</v>
      </c>
    </row>
    <row r="4324" spans="1:5" x14ac:dyDescent="0.3">
      <c r="A4324" s="9">
        <f>'Volúmenes DIstribuidos '!B2637</f>
        <v>45583</v>
      </c>
      <c r="B4324" s="10" t="str">
        <f>IF(OR('Volúmenes DIstribuidos '!C2642="Azúcar",'Volúmenes DIstribuidos '!C2642="azúcar"),"Azúcar o dulce",IF('Volúmenes DIstribuidos '!C2642="Aceite","Aceite o grasas",IF('Volúmenes DIstribuidos '!C2642="Avena","Otros almidones",'Volúmenes DIstribuidos '!C2642)))</f>
        <v>Menestras</v>
      </c>
      <c r="C4324" s="10" t="s">
        <v>29</v>
      </c>
      <c r="D4324" s="12">
        <f>'Volúmenes DIstribuidos '!D2642</f>
        <v>7.218</v>
      </c>
      <c r="E4324" s="12">
        <f>SUMIF('Parametros Inventario'!$A:$A,B4324,'Parametros Inventario'!$B:$B)+SUMIFS(D$2:D4324,B$2:B4324,B4324,C$2:C4324,"ENTRADA")-SUMIFS(D$2:D4324,B$2:B4324,B4324,C$2:C4324,"SALIDA")</f>
        <v>20511.39899999999</v>
      </c>
    </row>
    <row r="4325" spans="1:5" x14ac:dyDescent="0.3">
      <c r="A4325" s="9">
        <v>45587</v>
      </c>
      <c r="B4325" s="10" t="s">
        <v>13</v>
      </c>
      <c r="C4325" s="10" t="s">
        <v>28</v>
      </c>
      <c r="D4325" s="12">
        <v>285.51</v>
      </c>
      <c r="E4325" s="12">
        <f>SUMIF('Parametros Inventario'!$A:$A,B4325,'Parametros Inventario'!$B:$B)+SUMIFS(D$2:D4325,B$2:B4325,B4325,C$2:C4325,"ENTRADA")-SUMIFS(D$2:D4325,B$2:B4325,B4325,C$2:C4325,"SALIDA")</f>
        <v>19672.466999999997</v>
      </c>
    </row>
    <row r="4326" spans="1:5" x14ac:dyDescent="0.3">
      <c r="A4326" s="9">
        <v>45587</v>
      </c>
      <c r="B4326" s="10" t="s">
        <v>15</v>
      </c>
      <c r="C4326" s="10" t="s">
        <v>28</v>
      </c>
      <c r="D4326" s="12">
        <v>119.44</v>
      </c>
      <c r="E4326" s="12">
        <f>SUMIF('Parametros Inventario'!$A:$A,B4326,'Parametros Inventario'!$B:$B)+SUMIFS(D$2:D4326,B$2:B4326,B4326,C$2:C4326,"ENTRADA")-SUMIFS(D$2:D4326,B$2:B4326,B4326,C$2:C4326,"SALIDA")</f>
        <v>22580.823999999993</v>
      </c>
    </row>
    <row r="4327" spans="1:5" x14ac:dyDescent="0.3">
      <c r="A4327" s="9">
        <v>45587</v>
      </c>
      <c r="B4327" s="10" t="s">
        <v>11</v>
      </c>
      <c r="C4327" s="10" t="s">
        <v>28</v>
      </c>
      <c r="D4327" s="12">
        <v>83.24</v>
      </c>
      <c r="E4327" s="12">
        <f>SUMIF('Parametros Inventario'!$A:$A,B4327,'Parametros Inventario'!$B:$B)+SUMIFS(D$2:D4327,B$2:B4327,B4327,C$2:C4327,"ENTRADA")-SUMIFS(D$2:D4327,B$2:B4327,B4327,C$2:C4327,"SALIDA")</f>
        <v>22990.253000000015</v>
      </c>
    </row>
    <row r="4328" spans="1:5" x14ac:dyDescent="0.3">
      <c r="A4328" s="9">
        <v>45587</v>
      </c>
      <c r="B4328" s="10" t="s">
        <v>9</v>
      </c>
      <c r="C4328" s="10" t="s">
        <v>28</v>
      </c>
      <c r="D4328" s="12">
        <v>268.35000000000002</v>
      </c>
      <c r="E4328" s="12">
        <f>SUMIF('Parametros Inventario'!$A:$A,B4328,'Parametros Inventario'!$B:$B)+SUMIFS(D$2:D4328,B$2:B4328,B4328,C$2:C4328,"ENTRADA")-SUMIFS(D$2:D4328,B$2:B4328,B4328,C$2:C4328,"SALIDA")</f>
        <v>18442.34199999999</v>
      </c>
    </row>
    <row r="4329" spans="1:5" x14ac:dyDescent="0.3">
      <c r="A4329" s="9">
        <v>45587</v>
      </c>
      <c r="B4329" s="10" t="s">
        <v>14</v>
      </c>
      <c r="C4329" s="10" t="s">
        <v>28</v>
      </c>
      <c r="D4329" s="12">
        <v>62.88</v>
      </c>
      <c r="E4329" s="12">
        <f>SUMIF('Parametros Inventario'!$A:$A,B4329,'Parametros Inventario'!$B:$B)+SUMIFS(D$2:D4329,B$2:B4329,B4329,C$2:C4329,"ENTRADA")-SUMIFS(D$2:D4329,B$2:B4329,B4329,C$2:C4329,"SALIDA")</f>
        <v>20574.278999999991</v>
      </c>
    </row>
    <row r="4330" spans="1:5" x14ac:dyDescent="0.3">
      <c r="A4330" s="9">
        <v>45587</v>
      </c>
      <c r="B4330" s="10" t="s">
        <v>12</v>
      </c>
      <c r="C4330" s="10" t="s">
        <v>28</v>
      </c>
      <c r="D4330" s="12">
        <v>295.01</v>
      </c>
      <c r="E4330" s="12">
        <f>SUMIF('Parametros Inventario'!$A:$A,B4330,'Parametros Inventario'!$B:$B)+SUMIFS(D$2:D4330,B$2:B4330,B4330,C$2:C4330,"ENTRADA")-SUMIFS(D$2:D4330,B$2:B4330,B4330,C$2:C4330,"SALIDA")</f>
        <v>19692.762999999999</v>
      </c>
    </row>
    <row r="4331" spans="1:5" x14ac:dyDescent="0.3">
      <c r="A4331" s="9">
        <v>45587</v>
      </c>
      <c r="B4331" s="10" t="s">
        <v>16</v>
      </c>
      <c r="C4331" s="10" t="s">
        <v>28</v>
      </c>
      <c r="D4331" s="12">
        <v>297.38</v>
      </c>
      <c r="E4331" s="12">
        <f>SUMIF('Parametros Inventario'!$A:$A,B4331,'Parametros Inventario'!$B:$B)+SUMIFS(D$2:D4331,B$2:B4331,B4331,C$2:C4331,"ENTRADA")-SUMIFS(D$2:D4331,B$2:B4331,B4331,C$2:C4331,"SALIDA")</f>
        <v>20885.793000000005</v>
      </c>
    </row>
    <row r="4332" spans="1:5" x14ac:dyDescent="0.3">
      <c r="A4332" s="9">
        <v>45587</v>
      </c>
      <c r="B4332" s="10" t="s">
        <v>17</v>
      </c>
      <c r="C4332" s="10" t="s">
        <v>28</v>
      </c>
      <c r="D4332" s="12">
        <v>102.49</v>
      </c>
      <c r="E4332" s="12">
        <f>SUMIF('Parametros Inventario'!$A:$A,B4332,'Parametros Inventario'!$B:$B)+SUMIFS(D$2:D4332,B$2:B4332,B4332,C$2:C4332,"ENTRADA")-SUMIFS(D$2:D4332,B$2:B4332,B4332,C$2:C4332,"SALIDA")</f>
        <v>19741.503000000004</v>
      </c>
    </row>
    <row r="4333" spans="1:5" x14ac:dyDescent="0.3">
      <c r="A4333" s="9">
        <v>45587</v>
      </c>
      <c r="B4333" s="10" t="s">
        <v>18</v>
      </c>
      <c r="C4333" s="10" t="s">
        <v>28</v>
      </c>
      <c r="D4333" s="12">
        <v>79.05</v>
      </c>
      <c r="E4333" s="12">
        <f>SUMIF('Parametros Inventario'!$A:$A,B4333,'Parametros Inventario'!$B:$B)+SUMIFS(D$2:D4333,B$2:B4333,B4333,C$2:C4333,"ENTRADA")-SUMIFS(D$2:D4333,B$2:B4333,B4333,C$2:C4333,"SALIDA")</f>
        <v>19862.51999999999</v>
      </c>
    </row>
    <row r="4334" spans="1:5" x14ac:dyDescent="0.3">
      <c r="A4334" s="9">
        <v>45587</v>
      </c>
      <c r="B4334" s="10" t="s">
        <v>10</v>
      </c>
      <c r="C4334" s="10" t="s">
        <v>28</v>
      </c>
      <c r="D4334" s="12">
        <v>212.16</v>
      </c>
      <c r="E4334" s="12">
        <f>SUMIF('Parametros Inventario'!$A:$A,B4334,'Parametros Inventario'!$B:$B)+SUMIFS(D$2:D4334,B$2:B4334,B4334,C$2:C4334,"ENTRADA")-SUMIFS(D$2:D4334,B$2:B4334,B4334,C$2:C4334,"SALIDA")</f>
        <v>21298.839000000004</v>
      </c>
    </row>
    <row r="4335" spans="1:5" x14ac:dyDescent="0.3">
      <c r="A4335" s="9">
        <f>'Volúmenes DIstribuidos '!B2643</f>
        <v>45587</v>
      </c>
      <c r="B4335" s="10" t="str">
        <f>IF(OR('Volúmenes DIstribuidos '!C2643="Azúcar",'Volúmenes DIstribuidos '!C2643="azúcar"),"Azúcar o dulce",IF('Volúmenes DIstribuidos '!C2643="Aceite","Aceite o grasas",IF('Volúmenes DIstribuidos '!C2643="Avena","Otros almidones",'Volúmenes DIstribuidos '!C2643)))</f>
        <v>Aceite o grasas</v>
      </c>
      <c r="C4335" s="10" t="s">
        <v>29</v>
      </c>
      <c r="D4335" s="12">
        <f>'Volúmenes DIstribuidos '!D2643</f>
        <v>22.63</v>
      </c>
      <c r="E4335" s="12">
        <f>SUMIF('Parametros Inventario'!$A:$A,B4335,'Parametros Inventario'!$B:$B)+SUMIFS(D$2:D4335,B$2:B4335,B4335,C$2:C4335,"ENTRADA")-SUMIFS(D$2:D4335,B$2:B4335,B4335,C$2:C4335,"SALIDA")</f>
        <v>20054.106000000014</v>
      </c>
    </row>
    <row r="4336" spans="1:5" x14ac:dyDescent="0.3">
      <c r="A4336" s="9">
        <f>'Volúmenes DIstribuidos '!B2643</f>
        <v>45587</v>
      </c>
      <c r="B4336" s="10" t="str">
        <f>IF(OR('Volúmenes DIstribuidos '!C2644="Azúcar",'Volúmenes DIstribuidos '!C2644="azúcar"),"Azúcar o dulce",IF('Volúmenes DIstribuidos '!C2644="Aceite","Aceite o grasas",IF('Volúmenes DIstribuidos '!C2644="Avena","Otros almidones",'Volúmenes DIstribuidos '!C2644)))</f>
        <v>Vegetales y hojas</v>
      </c>
      <c r="C4336" s="10" t="s">
        <v>29</v>
      </c>
      <c r="D4336" s="12">
        <f>'Volúmenes DIstribuidos '!D2644</f>
        <v>47.79</v>
      </c>
      <c r="E4336" s="12">
        <f>SUMIF('Parametros Inventario'!$A:$A,B4336,'Parametros Inventario'!$B:$B)+SUMIFS(D$2:D4336,B$2:B4336,B4336,C$2:C4336,"ENTRADA")-SUMIFS(D$2:D4336,B$2:B4336,B4336,C$2:C4336,"SALIDA")</f>
        <v>21251.049000000003</v>
      </c>
    </row>
    <row r="4337" spans="1:5" x14ac:dyDescent="0.3">
      <c r="A4337" s="9">
        <f>'Volúmenes DIstribuidos '!B2643</f>
        <v>45587</v>
      </c>
      <c r="B4337" s="10" t="str">
        <f>IF(OR('Volúmenes DIstribuidos '!C2645="Azúcar",'Volúmenes DIstribuidos '!C2645="azúcar"),"Azúcar o dulce",IF('Volúmenes DIstribuidos '!C2645="Aceite","Aceite o grasas",IF('Volúmenes DIstribuidos '!C2645="Avena","Otros almidones",'Volúmenes DIstribuidos '!C2645)))</f>
        <v>Azúcar o dulce</v>
      </c>
      <c r="C4337" s="10" t="s">
        <v>29</v>
      </c>
      <c r="D4337" s="12">
        <f>'Volúmenes DIstribuidos '!D2645</f>
        <v>24.03</v>
      </c>
      <c r="E4337" s="12">
        <f>SUMIF('Parametros Inventario'!$A:$A,B4337,'Parametros Inventario'!$B:$B)+SUMIFS(D$2:D4337,B$2:B4337,B4337,C$2:C4337,"ENTRADA")-SUMIFS(D$2:D4337,B$2:B4337,B4337,C$2:C4337,"SALIDA")</f>
        <v>19648.436999999998</v>
      </c>
    </row>
    <row r="4338" spans="1:5" x14ac:dyDescent="0.3">
      <c r="A4338" s="9">
        <f>'Volúmenes DIstribuidos '!B2643</f>
        <v>45587</v>
      </c>
      <c r="B4338" s="10" t="str">
        <f>IF(OR('Volúmenes DIstribuidos '!C2646="Azúcar",'Volúmenes DIstribuidos '!C2646="azúcar"),"Azúcar o dulce",IF('Volúmenes DIstribuidos '!C2646="Aceite","Aceite o grasas",IF('Volúmenes DIstribuidos '!C2646="Avena","Otros almidones",'Volúmenes DIstribuidos '!C2646)))</f>
        <v>Carnes rojas</v>
      </c>
      <c r="C4338" s="10" t="s">
        <v>29</v>
      </c>
      <c r="D4338" s="12">
        <f>'Volúmenes DIstribuidos '!D2646</f>
        <v>26.48</v>
      </c>
      <c r="E4338" s="12">
        <f>SUMIF('Parametros Inventario'!$A:$A,B4338,'Parametros Inventario'!$B:$B)+SUMIFS(D$2:D4338,B$2:B4338,B4338,C$2:C4338,"ENTRADA")-SUMIFS(D$2:D4338,B$2:B4338,B4338,C$2:C4338,"SALIDA")</f>
        <v>19666.282999999999</v>
      </c>
    </row>
    <row r="4339" spans="1:5" x14ac:dyDescent="0.3">
      <c r="A4339" s="9">
        <f>'Volúmenes DIstribuidos '!B2643</f>
        <v>45587</v>
      </c>
      <c r="B4339" s="10" t="str">
        <f>IF(OR('Volúmenes DIstribuidos '!C2647="Azúcar",'Volúmenes DIstribuidos '!C2647="azúcar"),"Azúcar o dulce",IF('Volúmenes DIstribuidos '!C2647="Aceite","Aceite o grasas",IF('Volúmenes DIstribuidos '!C2647="Avena","Otros almidones",'Volúmenes DIstribuidos '!C2647)))</f>
        <v>Menestras</v>
      </c>
      <c r="C4339" s="10" t="s">
        <v>29</v>
      </c>
      <c r="D4339" s="12">
        <f>'Volúmenes DIstribuidos '!D2647</f>
        <v>9.6839999999999993</v>
      </c>
      <c r="E4339" s="12">
        <f>SUMIF('Parametros Inventario'!$A:$A,B4339,'Parametros Inventario'!$B:$B)+SUMIFS(D$2:D4339,B$2:B4339,B4339,C$2:C4339,"ENTRADA")-SUMIFS(D$2:D4339,B$2:B4339,B4339,C$2:C4339,"SALIDA")</f>
        <v>20564.59499999999</v>
      </c>
    </row>
    <row r="4340" spans="1:5" x14ac:dyDescent="0.3">
      <c r="A4340" s="9">
        <f>'Volúmenes DIstribuidos '!B2643</f>
        <v>45587</v>
      </c>
      <c r="B4340" s="10" t="str">
        <f>IF(OR('Volúmenes DIstribuidos '!C2648="Azúcar",'Volúmenes DIstribuidos '!C2648="azúcar"),"Azúcar o dulce",IF('Volúmenes DIstribuidos '!C2648="Aceite","Aceite o grasas",IF('Volúmenes DIstribuidos '!C2648="Avena","Otros almidones",'Volúmenes DIstribuidos '!C2648)))</f>
        <v>Carnes rojas</v>
      </c>
      <c r="C4340" s="10" t="s">
        <v>29</v>
      </c>
      <c r="D4340" s="12">
        <f>'Volúmenes DIstribuidos '!D2648</f>
        <v>18.84</v>
      </c>
      <c r="E4340" s="12">
        <f>SUMIF('Parametros Inventario'!$A:$A,B4340,'Parametros Inventario'!$B:$B)+SUMIFS(D$2:D4340,B$2:B4340,B4340,C$2:C4340,"ENTRADA")-SUMIFS(D$2:D4340,B$2:B4340,B4340,C$2:C4340,"SALIDA")</f>
        <v>19647.442999999999</v>
      </c>
    </row>
    <row r="4341" spans="1:5" x14ac:dyDescent="0.3">
      <c r="A4341" s="9">
        <v>45590</v>
      </c>
      <c r="B4341" s="10" t="s">
        <v>8</v>
      </c>
      <c r="C4341" s="10" t="s">
        <v>28</v>
      </c>
      <c r="D4341" s="12">
        <v>208.17</v>
      </c>
      <c r="E4341" s="12">
        <f>SUMIF('Parametros Inventario'!$A:$A,B4341,'Parametros Inventario'!$B:$B)+SUMIFS(D$2:D4341,B$2:B4341,B4341,C$2:C4341,"ENTRADA")-SUMIFS(D$2:D4341,B$2:B4341,B4341,C$2:C4341,"SALIDA")</f>
        <v>20262.276000000013</v>
      </c>
    </row>
    <row r="4342" spans="1:5" x14ac:dyDescent="0.3">
      <c r="A4342" s="9">
        <v>45590</v>
      </c>
      <c r="B4342" s="10" t="s">
        <v>13</v>
      </c>
      <c r="C4342" s="10" t="s">
        <v>28</v>
      </c>
      <c r="D4342" s="12">
        <v>293.05</v>
      </c>
      <c r="E4342" s="12">
        <f>SUMIF('Parametros Inventario'!$A:$A,B4342,'Parametros Inventario'!$B:$B)+SUMIFS(D$2:D4342,B$2:B4342,B4342,C$2:C4342,"ENTRADA")-SUMIFS(D$2:D4342,B$2:B4342,B4342,C$2:C4342,"SALIDA")</f>
        <v>19941.486999999997</v>
      </c>
    </row>
    <row r="4343" spans="1:5" x14ac:dyDescent="0.3">
      <c r="A4343" s="9">
        <v>45590</v>
      </c>
      <c r="B4343" s="10" t="s">
        <v>15</v>
      </c>
      <c r="C4343" s="10" t="s">
        <v>28</v>
      </c>
      <c r="D4343" s="12">
        <v>131.13999999999999</v>
      </c>
      <c r="E4343" s="12">
        <f>SUMIF('Parametros Inventario'!$A:$A,B4343,'Parametros Inventario'!$B:$B)+SUMIFS(D$2:D4343,B$2:B4343,B4343,C$2:C4343,"ENTRADA")-SUMIFS(D$2:D4343,B$2:B4343,B4343,C$2:C4343,"SALIDA")</f>
        <v>22711.963999999993</v>
      </c>
    </row>
    <row r="4344" spans="1:5" x14ac:dyDescent="0.3">
      <c r="A4344" s="9">
        <v>45590</v>
      </c>
      <c r="B4344" s="10" t="s">
        <v>11</v>
      </c>
      <c r="C4344" s="10" t="s">
        <v>28</v>
      </c>
      <c r="D4344" s="12">
        <v>286.61</v>
      </c>
      <c r="E4344" s="12">
        <f>SUMIF('Parametros Inventario'!$A:$A,B4344,'Parametros Inventario'!$B:$B)+SUMIFS(D$2:D4344,B$2:B4344,B4344,C$2:C4344,"ENTRADA")-SUMIFS(D$2:D4344,B$2:B4344,B4344,C$2:C4344,"SALIDA")</f>
        <v>23276.863000000016</v>
      </c>
    </row>
    <row r="4345" spans="1:5" x14ac:dyDescent="0.3">
      <c r="A4345" s="9">
        <v>45590</v>
      </c>
      <c r="B4345" s="10" t="s">
        <v>9</v>
      </c>
      <c r="C4345" s="10" t="s">
        <v>28</v>
      </c>
      <c r="D4345" s="12">
        <v>271</v>
      </c>
      <c r="E4345" s="12">
        <f>SUMIF('Parametros Inventario'!$A:$A,B4345,'Parametros Inventario'!$B:$B)+SUMIFS(D$2:D4345,B$2:B4345,B4345,C$2:C4345,"ENTRADA")-SUMIFS(D$2:D4345,B$2:B4345,B4345,C$2:C4345,"SALIDA")</f>
        <v>18713.34199999999</v>
      </c>
    </row>
    <row r="4346" spans="1:5" x14ac:dyDescent="0.3">
      <c r="A4346" s="9">
        <v>45590</v>
      </c>
      <c r="B4346" s="10" t="s">
        <v>14</v>
      </c>
      <c r="C4346" s="10" t="s">
        <v>28</v>
      </c>
      <c r="D4346" s="12">
        <v>116.01</v>
      </c>
      <c r="E4346" s="12">
        <f>SUMIF('Parametros Inventario'!$A:$A,B4346,'Parametros Inventario'!$B:$B)+SUMIFS(D$2:D4346,B$2:B4346,B4346,C$2:C4346,"ENTRADA")-SUMIFS(D$2:D4346,B$2:B4346,B4346,C$2:C4346,"SALIDA")</f>
        <v>20680.604999999989</v>
      </c>
    </row>
    <row r="4347" spans="1:5" x14ac:dyDescent="0.3">
      <c r="A4347" s="9">
        <v>45590</v>
      </c>
      <c r="B4347" s="10" t="s">
        <v>12</v>
      </c>
      <c r="C4347" s="10" t="s">
        <v>28</v>
      </c>
      <c r="D4347" s="12">
        <v>83.4</v>
      </c>
      <c r="E4347" s="12">
        <f>SUMIF('Parametros Inventario'!$A:$A,B4347,'Parametros Inventario'!$B:$B)+SUMIFS(D$2:D4347,B$2:B4347,B4347,C$2:C4347,"ENTRADA")-SUMIFS(D$2:D4347,B$2:B4347,B4347,C$2:C4347,"SALIDA")</f>
        <v>19730.843000000001</v>
      </c>
    </row>
    <row r="4348" spans="1:5" x14ac:dyDescent="0.3">
      <c r="A4348" s="9">
        <f>'Volúmenes DIstribuidos '!B2649</f>
        <v>45590</v>
      </c>
      <c r="B4348" s="10" t="str">
        <f>IF(OR('Volúmenes DIstribuidos '!C2649="Azúcar",'Volúmenes DIstribuidos '!C2649="azúcar"),"Azúcar o dulce",IF('Volúmenes DIstribuidos '!C2649="Aceite","Aceite o grasas",IF('Volúmenes DIstribuidos '!C2649="Avena","Otros almidones",'Volúmenes DIstribuidos '!C2649)))</f>
        <v>Menestras</v>
      </c>
      <c r="C4348" s="10" t="s">
        <v>29</v>
      </c>
      <c r="D4348" s="12">
        <f>'Volúmenes DIstribuidos '!D2649</f>
        <v>39.979999999999997</v>
      </c>
      <c r="E4348" s="12">
        <f>SUMIF('Parametros Inventario'!$A:$A,B4348,'Parametros Inventario'!$B:$B)+SUMIFS(D$2:D4348,B$2:B4348,B4348,C$2:C4348,"ENTRADA")-SUMIFS(D$2:D4348,B$2:B4348,B4348,C$2:C4348,"SALIDA")</f>
        <v>20640.624999999989</v>
      </c>
    </row>
    <row r="4349" spans="1:5" x14ac:dyDescent="0.3">
      <c r="A4349" s="9">
        <f>'Volúmenes DIstribuidos '!B2649</f>
        <v>45590</v>
      </c>
      <c r="B4349" s="10" t="str">
        <f>IF(OR('Volúmenes DIstribuidos '!C2650="Azúcar",'Volúmenes DIstribuidos '!C2650="azúcar"),"Azúcar o dulce",IF('Volúmenes DIstribuidos '!C2650="Aceite","Aceite o grasas",IF('Volúmenes DIstribuidos '!C2650="Avena","Otros almidones",'Volúmenes DIstribuidos '!C2650)))</f>
        <v>Fideo</v>
      </c>
      <c r="C4349" s="10" t="s">
        <v>29</v>
      </c>
      <c r="D4349" s="12">
        <f>'Volúmenes DIstribuidos '!D2650</f>
        <v>28.17</v>
      </c>
      <c r="E4349" s="12">
        <f>SUMIF('Parametros Inventario'!$A:$A,B4349,'Parametros Inventario'!$B:$B)+SUMIFS(D$2:D4349,B$2:B4349,B4349,C$2:C4349,"ENTRADA")-SUMIFS(D$2:D4349,B$2:B4349,B4349,C$2:C4349,"SALIDA")</f>
        <v>23248.693000000017</v>
      </c>
    </row>
    <row r="4350" spans="1:5" x14ac:dyDescent="0.3">
      <c r="A4350" s="9">
        <f>'Volúmenes DIstribuidos '!B2649</f>
        <v>45590</v>
      </c>
      <c r="B4350" s="10" t="str">
        <f>IF(OR('Volúmenes DIstribuidos '!C2651="Azúcar",'Volúmenes DIstribuidos '!C2651="azúcar"),"Azúcar o dulce",IF('Volúmenes DIstribuidos '!C2651="Aceite","Aceite o grasas",IF('Volúmenes DIstribuidos '!C2651="Avena","Otros almidones",'Volúmenes DIstribuidos '!C2651)))</f>
        <v>Azúcar o dulce</v>
      </c>
      <c r="C4350" s="10" t="s">
        <v>29</v>
      </c>
      <c r="D4350" s="12">
        <f>'Volúmenes DIstribuidos '!D2651</f>
        <v>11.61</v>
      </c>
      <c r="E4350" s="12">
        <f>SUMIF('Parametros Inventario'!$A:$A,B4350,'Parametros Inventario'!$B:$B)+SUMIFS(D$2:D4350,B$2:B4350,B4350,C$2:C4350,"ENTRADA")-SUMIFS(D$2:D4350,B$2:B4350,B4350,C$2:C4350,"SALIDA")</f>
        <v>19929.876999999997</v>
      </c>
    </row>
    <row r="4351" spans="1:5" x14ac:dyDescent="0.3">
      <c r="A4351" s="9">
        <f>'Volúmenes DIstribuidos '!B2649</f>
        <v>45590</v>
      </c>
      <c r="B4351" s="10" t="str">
        <f>IF(OR('Volúmenes DIstribuidos '!C2652="Azúcar",'Volúmenes DIstribuidos '!C2652="azúcar"),"Azúcar o dulce",IF('Volúmenes DIstribuidos '!C2652="Aceite","Aceite o grasas",IF('Volúmenes DIstribuidos '!C2652="Avena","Otros almidones",'Volúmenes DIstribuidos '!C2652)))</f>
        <v>Carnes blancas</v>
      </c>
      <c r="C4351" s="10" t="s">
        <v>29</v>
      </c>
      <c r="D4351" s="12">
        <f>'Volúmenes DIstribuidos '!D2652</f>
        <v>113.223</v>
      </c>
      <c r="E4351" s="12">
        <f>SUMIF('Parametros Inventario'!$A:$A,B4351,'Parametros Inventario'!$B:$B)+SUMIFS(D$2:D4351,B$2:B4351,B4351,C$2:C4351,"ENTRADA")-SUMIFS(D$2:D4351,B$2:B4351,B4351,C$2:C4351,"SALIDA")</f>
        <v>20772.570000000003</v>
      </c>
    </row>
    <row r="4352" spans="1:5" x14ac:dyDescent="0.3">
      <c r="A4352" s="9">
        <f>'Volúmenes DIstribuidos '!B2649</f>
        <v>45590</v>
      </c>
      <c r="B4352" s="10" t="str">
        <f>IF(OR('Volúmenes DIstribuidos '!C2653="Azúcar",'Volúmenes DIstribuidos '!C2653="azúcar"),"Azúcar o dulce",IF('Volúmenes DIstribuidos '!C2653="Aceite","Aceite o grasas",IF('Volúmenes DIstribuidos '!C2653="Avena","Otros almidones",'Volúmenes DIstribuidos '!C2653)))</f>
        <v>Azúcar o dulce</v>
      </c>
      <c r="C4352" s="10" t="s">
        <v>29</v>
      </c>
      <c r="D4352" s="12">
        <f>'Volúmenes DIstribuidos '!D2653</f>
        <v>46.59</v>
      </c>
      <c r="E4352" s="12">
        <f>SUMIF('Parametros Inventario'!$A:$A,B4352,'Parametros Inventario'!$B:$B)+SUMIFS(D$2:D4352,B$2:B4352,B4352,C$2:C4352,"ENTRADA")-SUMIFS(D$2:D4352,B$2:B4352,B4352,C$2:C4352,"SALIDA")</f>
        <v>19883.286999999997</v>
      </c>
    </row>
    <row r="4353" spans="1:5" x14ac:dyDescent="0.3">
      <c r="A4353" s="9">
        <f>'Volúmenes DIstribuidos '!B2649</f>
        <v>45590</v>
      </c>
      <c r="B4353" s="10" t="str">
        <f>IF(OR('Volúmenes DIstribuidos '!C2654="Azúcar",'Volúmenes DIstribuidos '!C2654="azúcar"),"Azúcar o dulce",IF('Volúmenes DIstribuidos '!C2654="Aceite","Aceite o grasas",IF('Volúmenes DIstribuidos '!C2654="Avena","Otros almidones",'Volúmenes DIstribuidos '!C2654)))</f>
        <v>Aceite o grasas</v>
      </c>
      <c r="C4353" s="10" t="s">
        <v>29</v>
      </c>
      <c r="D4353" s="12">
        <f>'Volúmenes DIstribuidos '!D2654</f>
        <v>87.94</v>
      </c>
      <c r="E4353" s="12">
        <f>SUMIF('Parametros Inventario'!$A:$A,B4353,'Parametros Inventario'!$B:$B)+SUMIFS(D$2:D4353,B$2:B4353,B4353,C$2:C4353,"ENTRADA")-SUMIFS(D$2:D4353,B$2:B4353,B4353,C$2:C4353,"SALIDA")</f>
        <v>20174.336000000014</v>
      </c>
    </row>
    <row r="4354" spans="1:5" x14ac:dyDescent="0.3">
      <c r="A4354" s="9">
        <f>'Volúmenes DIstribuidos '!B2655</f>
        <v>45594</v>
      </c>
      <c r="B4354" s="10" t="str">
        <f>IF(OR('Volúmenes DIstribuidos '!C2655="Azúcar",'Volúmenes DIstribuidos '!C2655="azúcar"),"Azúcar o dulce",IF('Volúmenes DIstribuidos '!C2655="Aceite","Aceite o grasas",IF('Volúmenes DIstribuidos '!C2655="Avena","Otros almidones",'Volúmenes DIstribuidos '!C2655)))</f>
        <v>Otros almidones</v>
      </c>
      <c r="C4354" s="10" t="s">
        <v>29</v>
      </c>
      <c r="D4354" s="12">
        <f>'Volúmenes DIstribuidos '!D2655</f>
        <v>34.64</v>
      </c>
      <c r="E4354" s="12">
        <f>SUMIF('Parametros Inventario'!$A:$A,B4354,'Parametros Inventario'!$B:$B)+SUMIFS(D$2:D4354,B$2:B4354,B4354,C$2:C4354,"ENTRADA")-SUMIFS(D$2:D4354,B$2:B4354,B4354,C$2:C4354,"SALIDA")</f>
        <v>22677.323999999993</v>
      </c>
    </row>
    <row r="4355" spans="1:5" x14ac:dyDescent="0.3">
      <c r="A4355" s="9">
        <f>'Volúmenes DIstribuidos '!B2655</f>
        <v>45594</v>
      </c>
      <c r="B4355" s="10" t="str">
        <f>IF(OR('Volúmenes DIstribuidos '!C2656="Azúcar",'Volúmenes DIstribuidos '!C2656="azúcar"),"Azúcar o dulce",IF('Volúmenes DIstribuidos '!C2656="Aceite","Aceite o grasas",IF('Volúmenes DIstribuidos '!C2656="Avena","Otros almidones",'Volúmenes DIstribuidos '!C2656)))</f>
        <v>Carnes rojas</v>
      </c>
      <c r="C4355" s="10" t="s">
        <v>29</v>
      </c>
      <c r="D4355" s="12">
        <f>'Volúmenes DIstribuidos '!D2656</f>
        <v>18.065999999999999</v>
      </c>
      <c r="E4355" s="12">
        <f>SUMIF('Parametros Inventario'!$A:$A,B4355,'Parametros Inventario'!$B:$B)+SUMIFS(D$2:D4355,B$2:B4355,B4355,C$2:C4355,"ENTRADA")-SUMIFS(D$2:D4355,B$2:B4355,B4355,C$2:C4355,"SALIDA")</f>
        <v>19712.777000000002</v>
      </c>
    </row>
    <row r="4356" spans="1:5" x14ac:dyDescent="0.3">
      <c r="A4356" s="9">
        <f>'Volúmenes DIstribuidos '!B2655</f>
        <v>45594</v>
      </c>
      <c r="B4356" s="10" t="str">
        <f>IF(OR('Volúmenes DIstribuidos '!C2657="Azúcar",'Volúmenes DIstribuidos '!C2657="azúcar"),"Azúcar o dulce",IF('Volúmenes DIstribuidos '!C2657="Aceite","Aceite o grasas",IF('Volúmenes DIstribuidos '!C2657="Avena","Otros almidones",'Volúmenes DIstribuidos '!C2657)))</f>
        <v>Otros almidones</v>
      </c>
      <c r="C4356" s="10" t="s">
        <v>29</v>
      </c>
      <c r="D4356" s="12">
        <f>'Volúmenes DIstribuidos '!D2657</f>
        <v>10.42</v>
      </c>
      <c r="E4356" s="12">
        <f>SUMIF('Parametros Inventario'!$A:$A,B4356,'Parametros Inventario'!$B:$B)+SUMIFS(D$2:D4356,B$2:B4356,B4356,C$2:C4356,"ENTRADA")-SUMIFS(D$2:D4356,B$2:B4356,B4356,C$2:C4356,"SALIDA")</f>
        <v>22666.903999999995</v>
      </c>
    </row>
    <row r="4357" spans="1:5" x14ac:dyDescent="0.3">
      <c r="A4357" s="9">
        <f>'Volúmenes DIstribuidos '!B2655</f>
        <v>45594</v>
      </c>
      <c r="B4357" s="10" t="str">
        <f>IF(OR('Volúmenes DIstribuidos '!C2658="Azúcar",'Volúmenes DIstribuidos '!C2658="azúcar"),"Azúcar o dulce",IF('Volúmenes DIstribuidos '!C2658="Aceite","Aceite o grasas",IF('Volúmenes DIstribuidos '!C2658="Avena","Otros almidones",'Volúmenes DIstribuidos '!C2658)))</f>
        <v>Carnes rojas</v>
      </c>
      <c r="C4357" s="10" t="s">
        <v>29</v>
      </c>
      <c r="D4357" s="12">
        <f>'Volúmenes DIstribuidos '!D2658</f>
        <v>9.56</v>
      </c>
      <c r="E4357" s="12">
        <f>SUMIF('Parametros Inventario'!$A:$A,B4357,'Parametros Inventario'!$B:$B)+SUMIFS(D$2:D4357,B$2:B4357,B4357,C$2:C4357,"ENTRADA")-SUMIFS(D$2:D4357,B$2:B4357,B4357,C$2:C4357,"SALIDA")</f>
        <v>19703.217000000001</v>
      </c>
    </row>
    <row r="4358" spans="1:5" x14ac:dyDescent="0.3">
      <c r="A4358" s="9">
        <f>'Volúmenes DIstribuidos '!B2655</f>
        <v>45594</v>
      </c>
      <c r="B4358" s="10" t="str">
        <f>IF(OR('Volúmenes DIstribuidos '!C2659="Azúcar",'Volúmenes DIstribuidos '!C2659="azúcar"),"Azúcar o dulce",IF('Volúmenes DIstribuidos '!C2659="Aceite","Aceite o grasas",IF('Volúmenes DIstribuidos '!C2659="Avena","Otros almidones",'Volúmenes DIstribuidos '!C2659)))</f>
        <v>Aceite o grasas</v>
      </c>
      <c r="C4358" s="10" t="s">
        <v>29</v>
      </c>
      <c r="D4358" s="12">
        <f>'Volúmenes DIstribuidos '!D2659</f>
        <v>5.2130000000000001</v>
      </c>
      <c r="E4358" s="12">
        <f>SUMIF('Parametros Inventario'!$A:$A,B4358,'Parametros Inventario'!$B:$B)+SUMIFS(D$2:D4358,B$2:B4358,B4358,C$2:C4358,"ENTRADA")-SUMIFS(D$2:D4358,B$2:B4358,B4358,C$2:C4358,"SALIDA")</f>
        <v>20169.123000000014</v>
      </c>
    </row>
    <row r="4359" spans="1:5" x14ac:dyDescent="0.3">
      <c r="A4359" s="9">
        <f>'Volúmenes DIstribuidos '!B2655</f>
        <v>45594</v>
      </c>
      <c r="B4359" s="10" t="str">
        <f>IF(OR('Volúmenes DIstribuidos '!C2660="Azúcar",'Volúmenes DIstribuidos '!C2660="azúcar"),"Azúcar o dulce",IF('Volúmenes DIstribuidos '!C2660="Aceite","Aceite o grasas",IF('Volúmenes DIstribuidos '!C2660="Avena","Otros almidones",'Volúmenes DIstribuidos '!C2660)))</f>
        <v>Menestras</v>
      </c>
      <c r="C4359" s="10" t="s">
        <v>29</v>
      </c>
      <c r="D4359" s="12">
        <f>'Volúmenes DIstribuidos '!D2660</f>
        <v>11.6</v>
      </c>
      <c r="E4359" s="12">
        <f>SUMIF('Parametros Inventario'!$A:$A,B4359,'Parametros Inventario'!$B:$B)+SUMIFS(D$2:D4359,B$2:B4359,B4359,C$2:C4359,"ENTRADA")-SUMIFS(D$2:D4359,B$2:B4359,B4359,C$2:C4359,"SALIDA")</f>
        <v>20629.024999999991</v>
      </c>
    </row>
    <row r="4360" spans="1:5" x14ac:dyDescent="0.3">
      <c r="A4360" s="9">
        <f>'Volúmenes DIstribuidos '!B2661</f>
        <v>45597</v>
      </c>
      <c r="B4360" s="10" t="str">
        <f>IF(OR('Volúmenes DIstribuidos '!C2661="Azúcar",'Volúmenes DIstribuidos '!C2661="azúcar"),"Azúcar o dulce",IF('Volúmenes DIstribuidos '!C2661="Aceite","Aceite o grasas",IF('Volúmenes DIstribuidos '!C2661="Avena","Otros almidones",'Volúmenes DIstribuidos '!C2661)))</f>
        <v>Aceite o grasas</v>
      </c>
      <c r="C4360" s="10" t="s">
        <v>29</v>
      </c>
      <c r="D4360" s="12">
        <f>'Volúmenes DIstribuidos '!D2661</f>
        <v>39.56</v>
      </c>
      <c r="E4360" s="12">
        <f>SUMIF('Parametros Inventario'!$A:$A,B4360,'Parametros Inventario'!$B:$B)+SUMIFS(D$2:D4360,B$2:B4360,B4360,C$2:C4360,"ENTRADA")-SUMIFS(D$2:D4360,B$2:B4360,B4360,C$2:C4360,"SALIDA")</f>
        <v>20129.563000000016</v>
      </c>
    </row>
    <row r="4361" spans="1:5" x14ac:dyDescent="0.3">
      <c r="A4361" s="9">
        <f>'Volúmenes DIstribuidos '!B2661</f>
        <v>45597</v>
      </c>
      <c r="B4361" s="10" t="str">
        <f>IF(OR('Volúmenes DIstribuidos '!C2662="Azúcar",'Volúmenes DIstribuidos '!C2662="azúcar"),"Azúcar o dulce",IF('Volúmenes DIstribuidos '!C2662="Aceite","Aceite o grasas",IF('Volúmenes DIstribuidos '!C2662="Avena","Otros almidones",'Volúmenes DIstribuidos '!C2662)))</f>
        <v>Fideo</v>
      </c>
      <c r="C4361" s="10" t="s">
        <v>29</v>
      </c>
      <c r="D4361" s="12">
        <f>'Volúmenes DIstribuidos '!D2662</f>
        <v>13.933</v>
      </c>
      <c r="E4361" s="12">
        <f>SUMIF('Parametros Inventario'!$A:$A,B4361,'Parametros Inventario'!$B:$B)+SUMIFS(D$2:D4361,B$2:B4361,B4361,C$2:C4361,"ENTRADA")-SUMIFS(D$2:D4361,B$2:B4361,B4361,C$2:C4361,"SALIDA")</f>
        <v>23234.760000000017</v>
      </c>
    </row>
    <row r="4362" spans="1:5" x14ac:dyDescent="0.3">
      <c r="A4362" s="9">
        <f>'Volúmenes DIstribuidos '!B2661</f>
        <v>45597</v>
      </c>
      <c r="B4362" s="10" t="str">
        <f>IF(OR('Volúmenes DIstribuidos '!C2663="Azúcar",'Volúmenes DIstribuidos '!C2663="azúcar"),"Azúcar o dulce",IF('Volúmenes DIstribuidos '!C2663="Aceite","Aceite o grasas",IF('Volúmenes DIstribuidos '!C2663="Avena","Otros almidones",'Volúmenes DIstribuidos '!C2663)))</f>
        <v>Aceite o grasas</v>
      </c>
      <c r="C4362" s="10" t="s">
        <v>29</v>
      </c>
      <c r="D4362" s="12">
        <f>'Volúmenes DIstribuidos '!D2663</f>
        <v>15.42</v>
      </c>
      <c r="E4362" s="12">
        <f>SUMIF('Parametros Inventario'!$A:$A,B4362,'Parametros Inventario'!$B:$B)+SUMIFS(D$2:D4362,B$2:B4362,B4362,C$2:C4362,"ENTRADA")-SUMIFS(D$2:D4362,B$2:B4362,B4362,C$2:C4362,"SALIDA")</f>
        <v>20114.143000000015</v>
      </c>
    </row>
    <row r="4363" spans="1:5" x14ac:dyDescent="0.3">
      <c r="A4363" s="9">
        <f>'Volúmenes DIstribuidos '!B2661</f>
        <v>45597</v>
      </c>
      <c r="B4363" s="10" t="str">
        <f>IF(OR('Volúmenes DIstribuidos '!C2664="Azúcar",'Volúmenes DIstribuidos '!C2664="azúcar"),"Azúcar o dulce",IF('Volúmenes DIstribuidos '!C2664="Aceite","Aceite o grasas",IF('Volúmenes DIstribuidos '!C2664="Avena","Otros almidones",'Volúmenes DIstribuidos '!C2664)))</f>
        <v>Menestras</v>
      </c>
      <c r="C4363" s="10" t="s">
        <v>29</v>
      </c>
      <c r="D4363" s="12">
        <f>'Volúmenes DIstribuidos '!D2664</f>
        <v>31.1</v>
      </c>
      <c r="E4363" s="12">
        <f>SUMIF('Parametros Inventario'!$A:$A,B4363,'Parametros Inventario'!$B:$B)+SUMIFS(D$2:D4363,B$2:B4363,B4363,C$2:C4363,"ENTRADA")-SUMIFS(D$2:D4363,B$2:B4363,B4363,C$2:C4363,"SALIDA")</f>
        <v>20597.924999999988</v>
      </c>
    </row>
    <row r="4364" spans="1:5" x14ac:dyDescent="0.3">
      <c r="A4364" s="9">
        <f>'Volúmenes DIstribuidos '!B2661</f>
        <v>45597</v>
      </c>
      <c r="B4364" s="10" t="str">
        <f>IF(OR('Volúmenes DIstribuidos '!C2665="Azúcar",'Volúmenes DIstribuidos '!C2665="azúcar"),"Azúcar o dulce",IF('Volúmenes DIstribuidos '!C2665="Aceite","Aceite o grasas",IF('Volúmenes DIstribuidos '!C2665="Avena","Otros almidones",'Volúmenes DIstribuidos '!C2665)))</f>
        <v>Panadería</v>
      </c>
      <c r="C4364" s="10" t="s">
        <v>29</v>
      </c>
      <c r="D4364" s="12">
        <f>'Volúmenes DIstribuidos '!D2665</f>
        <v>8.73</v>
      </c>
      <c r="E4364" s="12">
        <f>SUMIF('Parametros Inventario'!$A:$A,B4364,'Parametros Inventario'!$B:$B)+SUMIFS(D$2:D4364,B$2:B4364,B4364,C$2:C4364,"ENTRADA")-SUMIFS(D$2:D4364,B$2:B4364,B4364,C$2:C4364,"SALIDA")</f>
        <v>18704.61199999999</v>
      </c>
    </row>
    <row r="4365" spans="1:5" x14ac:dyDescent="0.3">
      <c r="A4365" s="9">
        <f>'Volúmenes DIstribuidos '!B2661</f>
        <v>45597</v>
      </c>
      <c r="B4365" s="10" t="str">
        <f>IF(OR('Volúmenes DIstribuidos '!C2666="Azúcar",'Volúmenes DIstribuidos '!C2666="azúcar"),"Azúcar o dulce",IF('Volúmenes DIstribuidos '!C2666="Aceite","Aceite o grasas",IF('Volúmenes DIstribuidos '!C2666="Avena","Otros almidones",'Volúmenes DIstribuidos '!C2666)))</f>
        <v>Lácteos</v>
      </c>
      <c r="C4365" s="10" t="s">
        <v>29</v>
      </c>
      <c r="D4365" s="12">
        <f>'Volúmenes DIstribuidos '!D2666</f>
        <v>75.171000000000006</v>
      </c>
      <c r="E4365" s="12">
        <f>SUMIF('Parametros Inventario'!$A:$A,B4365,'Parametros Inventario'!$B:$B)+SUMIFS(D$2:D4365,B$2:B4365,B4365,C$2:C4365,"ENTRADA")-SUMIFS(D$2:D4365,B$2:B4365,B4365,C$2:C4365,"SALIDA")</f>
        <v>19666.332000000002</v>
      </c>
    </row>
    <row r="4366" spans="1:5" x14ac:dyDescent="0.3">
      <c r="A4366" s="9">
        <f>'Volúmenes DIstribuidos '!B2667</f>
        <v>45601</v>
      </c>
      <c r="B4366" s="10" t="str">
        <f>IF(OR('Volúmenes DIstribuidos '!C2667="Azúcar",'Volúmenes DIstribuidos '!C2667="azúcar"),"Azúcar o dulce",IF('Volúmenes DIstribuidos '!C2667="Aceite","Aceite o grasas",IF('Volúmenes DIstribuidos '!C2667="Avena","Otros almidones",'Volúmenes DIstribuidos '!C2667)))</f>
        <v>Otros almidones</v>
      </c>
      <c r="C4366" s="10" t="s">
        <v>29</v>
      </c>
      <c r="D4366" s="12">
        <f>'Volúmenes DIstribuidos '!D2667</f>
        <v>12</v>
      </c>
      <c r="E4366" s="12">
        <f>SUMIF('Parametros Inventario'!$A:$A,B4366,'Parametros Inventario'!$B:$B)+SUMIFS(D$2:D4366,B$2:B4366,B4366,C$2:C4366,"ENTRADA")-SUMIFS(D$2:D4366,B$2:B4366,B4366,C$2:C4366,"SALIDA")</f>
        <v>22654.903999999995</v>
      </c>
    </row>
    <row r="4367" spans="1:5" x14ac:dyDescent="0.3">
      <c r="A4367" s="9">
        <f>'Volúmenes DIstribuidos '!B2667</f>
        <v>45601</v>
      </c>
      <c r="B4367" s="10" t="str">
        <f>IF(OR('Volúmenes DIstribuidos '!C2668="Azúcar",'Volúmenes DIstribuidos '!C2668="azúcar"),"Azúcar o dulce",IF('Volúmenes DIstribuidos '!C2668="Aceite","Aceite o grasas",IF('Volúmenes DIstribuidos '!C2668="Avena","Otros almidones",'Volúmenes DIstribuidos '!C2668)))</f>
        <v>Salsas</v>
      </c>
      <c r="C4367" s="10" t="s">
        <v>29</v>
      </c>
      <c r="D4367" s="12">
        <f>'Volúmenes DIstribuidos '!D2668</f>
        <v>24.76</v>
      </c>
      <c r="E4367" s="12">
        <f>SUMIF('Parametros Inventario'!$A:$A,B4367,'Parametros Inventario'!$B:$B)+SUMIFS(D$2:D4367,B$2:B4367,B4367,C$2:C4367,"ENTRADA")-SUMIFS(D$2:D4367,B$2:B4367,B4367,C$2:C4367,"SALIDA")</f>
        <v>19837.759999999987</v>
      </c>
    </row>
    <row r="4368" spans="1:5" x14ac:dyDescent="0.3">
      <c r="A4368" s="9">
        <f>'Volúmenes DIstribuidos '!B2667</f>
        <v>45601</v>
      </c>
      <c r="B4368" s="10" t="str">
        <f>IF(OR('Volúmenes DIstribuidos '!C2669="Azúcar",'Volúmenes DIstribuidos '!C2669="azúcar"),"Azúcar o dulce",IF('Volúmenes DIstribuidos '!C2669="Aceite","Aceite o grasas",IF('Volúmenes DIstribuidos '!C2669="Avena","Otros almidones",'Volúmenes DIstribuidos '!C2669)))</f>
        <v>Lácteos</v>
      </c>
      <c r="C4368" s="10" t="s">
        <v>29</v>
      </c>
      <c r="D4368" s="12">
        <f>'Volúmenes DIstribuidos '!D2669</f>
        <v>24.85</v>
      </c>
      <c r="E4368" s="12">
        <f>SUMIF('Parametros Inventario'!$A:$A,B4368,'Parametros Inventario'!$B:$B)+SUMIFS(D$2:D4368,B$2:B4368,B4368,C$2:C4368,"ENTRADA")-SUMIFS(D$2:D4368,B$2:B4368,B4368,C$2:C4368,"SALIDA")</f>
        <v>19641.482000000004</v>
      </c>
    </row>
    <row r="4369" spans="1:5" x14ac:dyDescent="0.3">
      <c r="A4369" s="9">
        <f>'Volúmenes DIstribuidos '!B2667</f>
        <v>45601</v>
      </c>
      <c r="B4369" s="10" t="str">
        <f>IF(OR('Volúmenes DIstribuidos '!C2670="Azúcar",'Volúmenes DIstribuidos '!C2670="azúcar"),"Azúcar o dulce",IF('Volúmenes DIstribuidos '!C2670="Aceite","Aceite o grasas",IF('Volúmenes DIstribuidos '!C2670="Avena","Otros almidones",'Volúmenes DIstribuidos '!C2670)))</f>
        <v>Vegetales y hojas</v>
      </c>
      <c r="C4369" s="10" t="s">
        <v>29</v>
      </c>
      <c r="D4369" s="12">
        <f>'Volúmenes DIstribuidos '!D2670</f>
        <v>36.420999999999999</v>
      </c>
      <c r="E4369" s="12">
        <f>SUMIF('Parametros Inventario'!$A:$A,B4369,'Parametros Inventario'!$B:$B)+SUMIFS(D$2:D4369,B$2:B4369,B4369,C$2:C4369,"ENTRADA")-SUMIFS(D$2:D4369,B$2:B4369,B4369,C$2:C4369,"SALIDA")</f>
        <v>21214.628000000004</v>
      </c>
    </row>
    <row r="4370" spans="1:5" x14ac:dyDescent="0.3">
      <c r="A4370" s="9">
        <f>'Volúmenes DIstribuidos '!B2667</f>
        <v>45601</v>
      </c>
      <c r="B4370" s="10" t="str">
        <f>IF(OR('Volúmenes DIstribuidos '!C2671="Azúcar",'Volúmenes DIstribuidos '!C2671="azúcar"),"Azúcar o dulce",IF('Volúmenes DIstribuidos '!C2671="Aceite","Aceite o grasas",IF('Volúmenes DIstribuidos '!C2671="Avena","Otros almidones",'Volúmenes DIstribuidos '!C2671)))</f>
        <v>Panadería</v>
      </c>
      <c r="C4370" s="10" t="s">
        <v>29</v>
      </c>
      <c r="D4370" s="12">
        <f>'Volúmenes DIstribuidos '!D2671</f>
        <v>31.22</v>
      </c>
      <c r="E4370" s="12">
        <f>SUMIF('Parametros Inventario'!$A:$A,B4370,'Parametros Inventario'!$B:$B)+SUMIFS(D$2:D4370,B$2:B4370,B4370,C$2:C4370,"ENTRADA")-SUMIFS(D$2:D4370,B$2:B4370,B4370,C$2:C4370,"SALIDA")</f>
        <v>18673.391999999989</v>
      </c>
    </row>
    <row r="4371" spans="1:5" x14ac:dyDescent="0.3">
      <c r="A4371" s="9">
        <f>'Volúmenes DIstribuidos '!B2667</f>
        <v>45601</v>
      </c>
      <c r="B4371" s="10" t="str">
        <f>IF(OR('Volúmenes DIstribuidos '!C2672="Azúcar",'Volúmenes DIstribuidos '!C2672="azúcar"),"Azúcar o dulce",IF('Volúmenes DIstribuidos '!C2672="Aceite","Aceite o grasas",IF('Volúmenes DIstribuidos '!C2672="Avena","Otros almidones",'Volúmenes DIstribuidos '!C2672)))</f>
        <v>Azúcar o dulce</v>
      </c>
      <c r="C4371" s="10" t="s">
        <v>29</v>
      </c>
      <c r="D4371" s="12">
        <f>'Volúmenes DIstribuidos '!D2672</f>
        <v>20.64</v>
      </c>
      <c r="E4371" s="12">
        <f>SUMIF('Parametros Inventario'!$A:$A,B4371,'Parametros Inventario'!$B:$B)+SUMIFS(D$2:D4371,B$2:B4371,B4371,C$2:C4371,"ENTRADA")-SUMIFS(D$2:D4371,B$2:B4371,B4371,C$2:C4371,"SALIDA")</f>
        <v>19862.646999999997</v>
      </c>
    </row>
    <row r="4372" spans="1:5" x14ac:dyDescent="0.3">
      <c r="A4372" s="9">
        <v>45604</v>
      </c>
      <c r="B4372" s="10" t="s">
        <v>16</v>
      </c>
      <c r="C4372" s="10" t="s">
        <v>28</v>
      </c>
      <c r="D4372" s="12">
        <v>274.58</v>
      </c>
      <c r="E4372" s="12">
        <f>SUMIF('Parametros Inventario'!$A:$A,B4372,'Parametros Inventario'!$B:$B)+SUMIFS(D$2:D4372,B$2:B4372,B4372,C$2:C4372,"ENTRADA")-SUMIFS(D$2:D4372,B$2:B4372,B4372,C$2:C4372,"SALIDA")</f>
        <v>21047.150000000005</v>
      </c>
    </row>
    <row r="4373" spans="1:5" x14ac:dyDescent="0.3">
      <c r="A4373" s="9">
        <v>45604</v>
      </c>
      <c r="B4373" s="10" t="s">
        <v>17</v>
      </c>
      <c r="C4373" s="10" t="s">
        <v>28</v>
      </c>
      <c r="D4373" s="12">
        <v>123.72</v>
      </c>
      <c r="E4373" s="12">
        <f>SUMIF('Parametros Inventario'!$A:$A,B4373,'Parametros Inventario'!$B:$B)+SUMIFS(D$2:D4373,B$2:B4373,B4373,C$2:C4373,"ENTRADA")-SUMIFS(D$2:D4373,B$2:B4373,B4373,C$2:C4373,"SALIDA")</f>
        <v>19765.202000000005</v>
      </c>
    </row>
    <row r="4374" spans="1:5" x14ac:dyDescent="0.3">
      <c r="A4374" s="9">
        <v>45604</v>
      </c>
      <c r="B4374" s="10" t="s">
        <v>18</v>
      </c>
      <c r="C4374" s="10" t="s">
        <v>28</v>
      </c>
      <c r="D4374" s="12">
        <v>296.32</v>
      </c>
      <c r="E4374" s="12">
        <f>SUMIF('Parametros Inventario'!$A:$A,B4374,'Parametros Inventario'!$B:$B)+SUMIFS(D$2:D4374,B$2:B4374,B4374,C$2:C4374,"ENTRADA")-SUMIFS(D$2:D4374,B$2:B4374,B4374,C$2:C4374,"SALIDA")</f>
        <v>20134.079999999987</v>
      </c>
    </row>
    <row r="4375" spans="1:5" x14ac:dyDescent="0.3">
      <c r="A4375" s="9">
        <v>45604</v>
      </c>
      <c r="B4375" s="10" t="s">
        <v>10</v>
      </c>
      <c r="C4375" s="10" t="s">
        <v>28</v>
      </c>
      <c r="D4375" s="12">
        <v>206.49</v>
      </c>
      <c r="E4375" s="12">
        <f>SUMIF('Parametros Inventario'!$A:$A,B4375,'Parametros Inventario'!$B:$B)+SUMIFS(D$2:D4375,B$2:B4375,B4375,C$2:C4375,"ENTRADA")-SUMIFS(D$2:D4375,B$2:B4375,B4375,C$2:C4375,"SALIDA")</f>
        <v>21421.118000000006</v>
      </c>
    </row>
    <row r="4376" spans="1:5" x14ac:dyDescent="0.3">
      <c r="A4376" s="9">
        <v>45604</v>
      </c>
      <c r="B4376" s="10" t="s">
        <v>8</v>
      </c>
      <c r="C4376" s="10" t="s">
        <v>28</v>
      </c>
      <c r="D4376" s="12">
        <v>52.6</v>
      </c>
      <c r="E4376" s="12">
        <f>SUMIF('Parametros Inventario'!$A:$A,B4376,'Parametros Inventario'!$B:$B)+SUMIFS(D$2:D4376,B$2:B4376,B4376,C$2:C4376,"ENTRADA")-SUMIFS(D$2:D4376,B$2:B4376,B4376,C$2:C4376,"SALIDA")</f>
        <v>20166.743000000013</v>
      </c>
    </row>
    <row r="4377" spans="1:5" x14ac:dyDescent="0.3">
      <c r="A4377" s="9">
        <v>45604</v>
      </c>
      <c r="B4377" s="10" t="s">
        <v>13</v>
      </c>
      <c r="C4377" s="10" t="s">
        <v>28</v>
      </c>
      <c r="D4377" s="12">
        <v>138.87</v>
      </c>
      <c r="E4377" s="12">
        <f>SUMIF('Parametros Inventario'!$A:$A,B4377,'Parametros Inventario'!$B:$B)+SUMIFS(D$2:D4377,B$2:B4377,B4377,C$2:C4377,"ENTRADA")-SUMIFS(D$2:D4377,B$2:B4377,B4377,C$2:C4377,"SALIDA")</f>
        <v>20001.516999999996</v>
      </c>
    </row>
    <row r="4378" spans="1:5" x14ac:dyDescent="0.3">
      <c r="A4378" s="9">
        <v>45604</v>
      </c>
      <c r="B4378" s="10" t="s">
        <v>15</v>
      </c>
      <c r="C4378" s="10" t="s">
        <v>28</v>
      </c>
      <c r="D4378" s="12">
        <v>232.62</v>
      </c>
      <c r="E4378" s="12">
        <f>SUMIF('Parametros Inventario'!$A:$A,B4378,'Parametros Inventario'!$B:$B)+SUMIFS(D$2:D4378,B$2:B4378,B4378,C$2:C4378,"ENTRADA")-SUMIFS(D$2:D4378,B$2:B4378,B4378,C$2:C4378,"SALIDA")</f>
        <v>22887.52399999999</v>
      </c>
    </row>
    <row r="4379" spans="1:5" x14ac:dyDescent="0.3">
      <c r="A4379" s="9">
        <f>'Volúmenes DIstribuidos '!B2673</f>
        <v>45604</v>
      </c>
      <c r="B4379" s="10" t="str">
        <f>IF(OR('Volúmenes DIstribuidos '!C2673="Azúcar",'Volúmenes DIstribuidos '!C2673="azúcar"),"Azúcar o dulce",IF('Volúmenes DIstribuidos '!C2673="Aceite","Aceite o grasas",IF('Volúmenes DIstribuidos '!C2673="Avena","Otros almidones",'Volúmenes DIstribuidos '!C2673)))</f>
        <v>Carnes rojas</v>
      </c>
      <c r="C4379" s="10" t="s">
        <v>29</v>
      </c>
      <c r="D4379" s="12">
        <f>'Volúmenes DIstribuidos '!D2673</f>
        <v>29.76</v>
      </c>
      <c r="E4379" s="12">
        <f>SUMIF('Parametros Inventario'!$A:$A,B4379,'Parametros Inventario'!$B:$B)+SUMIFS(D$2:D4379,B$2:B4379,B4379,C$2:C4379,"ENTRADA")-SUMIFS(D$2:D4379,B$2:B4379,B4379,C$2:C4379,"SALIDA")</f>
        <v>19673.457000000002</v>
      </c>
    </row>
    <row r="4380" spans="1:5" x14ac:dyDescent="0.3">
      <c r="A4380" s="9">
        <f>'Volúmenes DIstribuidos '!B2673</f>
        <v>45604</v>
      </c>
      <c r="B4380" s="10" t="str">
        <f>IF(OR('Volúmenes DIstribuidos '!C2674="Azúcar",'Volúmenes DIstribuidos '!C2674="azúcar"),"Azúcar o dulce",IF('Volúmenes DIstribuidos '!C2674="Aceite","Aceite o grasas",IF('Volúmenes DIstribuidos '!C2674="Avena","Otros almidones",'Volúmenes DIstribuidos '!C2674)))</f>
        <v>Otros almidones</v>
      </c>
      <c r="C4380" s="10" t="s">
        <v>29</v>
      </c>
      <c r="D4380" s="12">
        <f>'Volúmenes DIstribuidos '!D2674</f>
        <v>21.92</v>
      </c>
      <c r="E4380" s="12">
        <f>SUMIF('Parametros Inventario'!$A:$A,B4380,'Parametros Inventario'!$B:$B)+SUMIFS(D$2:D4380,B$2:B4380,B4380,C$2:C4380,"ENTRADA")-SUMIFS(D$2:D4380,B$2:B4380,B4380,C$2:C4380,"SALIDA")</f>
        <v>22865.603999999992</v>
      </c>
    </row>
    <row r="4381" spans="1:5" x14ac:dyDescent="0.3">
      <c r="A4381" s="9">
        <f>'Volúmenes DIstribuidos '!B2673</f>
        <v>45604</v>
      </c>
      <c r="B4381" s="10" t="str">
        <f>IF(OR('Volúmenes DIstribuidos '!C2675="Azúcar",'Volúmenes DIstribuidos '!C2675="azúcar"),"Azúcar o dulce",IF('Volúmenes DIstribuidos '!C2675="Aceite","Aceite o grasas",IF('Volúmenes DIstribuidos '!C2675="Avena","Otros almidones",'Volúmenes DIstribuidos '!C2675)))</f>
        <v>Aceite o grasas</v>
      </c>
      <c r="C4381" s="10" t="s">
        <v>29</v>
      </c>
      <c r="D4381" s="12">
        <f>'Volúmenes DIstribuidos '!D2675</f>
        <v>17.86</v>
      </c>
      <c r="E4381" s="12">
        <f>SUMIF('Parametros Inventario'!$A:$A,B4381,'Parametros Inventario'!$B:$B)+SUMIFS(D$2:D4381,B$2:B4381,B4381,C$2:C4381,"ENTRADA")-SUMIFS(D$2:D4381,B$2:B4381,B4381,C$2:C4381,"SALIDA")</f>
        <v>20148.883000000013</v>
      </c>
    </row>
    <row r="4382" spans="1:5" x14ac:dyDescent="0.3">
      <c r="A4382" s="9">
        <f>'Volúmenes DIstribuidos '!B2673</f>
        <v>45604</v>
      </c>
      <c r="B4382" s="10" t="str">
        <f>IF(OR('Volúmenes DIstribuidos '!C2676="Azúcar",'Volúmenes DIstribuidos '!C2676="azúcar"),"Azúcar o dulce",IF('Volúmenes DIstribuidos '!C2676="Aceite","Aceite o grasas",IF('Volúmenes DIstribuidos '!C2676="Avena","Otros almidones",'Volúmenes DIstribuidos '!C2676)))</f>
        <v>Salsas</v>
      </c>
      <c r="C4382" s="10" t="s">
        <v>29</v>
      </c>
      <c r="D4382" s="12">
        <f>'Volúmenes DIstribuidos '!D2676</f>
        <v>17.350000000000001</v>
      </c>
      <c r="E4382" s="12">
        <f>SUMIF('Parametros Inventario'!$A:$A,B4382,'Parametros Inventario'!$B:$B)+SUMIFS(D$2:D4382,B$2:B4382,B4382,C$2:C4382,"ENTRADA")-SUMIFS(D$2:D4382,B$2:B4382,B4382,C$2:C4382,"SALIDA")</f>
        <v>20116.729999999989</v>
      </c>
    </row>
    <row r="4383" spans="1:5" x14ac:dyDescent="0.3">
      <c r="A4383" s="9">
        <f>'Volúmenes DIstribuidos '!B2673</f>
        <v>45604</v>
      </c>
      <c r="B4383" s="10" t="str">
        <f>IF(OR('Volúmenes DIstribuidos '!C2677="Azúcar",'Volúmenes DIstribuidos '!C2677="azúcar"),"Azúcar o dulce",IF('Volúmenes DIstribuidos '!C2677="Aceite","Aceite o grasas",IF('Volúmenes DIstribuidos '!C2677="Avena","Otros almidones",'Volúmenes DIstribuidos '!C2677)))</f>
        <v>Lácteos</v>
      </c>
      <c r="C4383" s="10" t="s">
        <v>29</v>
      </c>
      <c r="D4383" s="12">
        <f>'Volúmenes DIstribuidos '!D2677</f>
        <v>79.42</v>
      </c>
      <c r="E4383" s="12">
        <f>SUMIF('Parametros Inventario'!$A:$A,B4383,'Parametros Inventario'!$B:$B)+SUMIFS(D$2:D4383,B$2:B4383,B4383,C$2:C4383,"ENTRADA")-SUMIFS(D$2:D4383,B$2:B4383,B4383,C$2:C4383,"SALIDA")</f>
        <v>19685.782000000003</v>
      </c>
    </row>
    <row r="4384" spans="1:5" x14ac:dyDescent="0.3">
      <c r="A4384" s="9">
        <f>'Volúmenes DIstribuidos '!B2673</f>
        <v>45604</v>
      </c>
      <c r="B4384" s="10" t="str">
        <f>IF(OR('Volúmenes DIstribuidos '!C2678="Azúcar",'Volúmenes DIstribuidos '!C2678="azúcar"),"Azúcar o dulce",IF('Volúmenes DIstribuidos '!C2678="Aceite","Aceite o grasas",IF('Volúmenes DIstribuidos '!C2678="Avena","Otros almidones",'Volúmenes DIstribuidos '!C2678)))</f>
        <v>Menestras</v>
      </c>
      <c r="C4384" s="10" t="s">
        <v>29</v>
      </c>
      <c r="D4384" s="12">
        <f>'Volúmenes DIstribuidos '!D2678</f>
        <v>117.4</v>
      </c>
      <c r="E4384" s="12">
        <f>SUMIF('Parametros Inventario'!$A:$A,B4384,'Parametros Inventario'!$B:$B)+SUMIFS(D$2:D4384,B$2:B4384,B4384,C$2:C4384,"ENTRADA")-SUMIFS(D$2:D4384,B$2:B4384,B4384,C$2:C4384,"SALIDA")</f>
        <v>20480.524999999991</v>
      </c>
    </row>
    <row r="4385" spans="1:5" x14ac:dyDescent="0.3">
      <c r="A4385" s="9">
        <f>'Volúmenes DIstribuidos '!B2679</f>
        <v>45608</v>
      </c>
      <c r="B4385" s="10" t="str">
        <f>IF(OR('Volúmenes DIstribuidos '!C2679="Azúcar",'Volúmenes DIstribuidos '!C2679="azúcar"),"Azúcar o dulce",IF('Volúmenes DIstribuidos '!C2679="Aceite","Aceite o grasas",IF('Volúmenes DIstribuidos '!C2679="Avena","Otros almidones",'Volúmenes DIstribuidos '!C2679)))</f>
        <v>Fideo</v>
      </c>
      <c r="C4385" s="10" t="s">
        <v>29</v>
      </c>
      <c r="D4385" s="12">
        <f>'Volúmenes DIstribuidos '!D2679</f>
        <v>39</v>
      </c>
      <c r="E4385" s="12">
        <f>SUMIF('Parametros Inventario'!$A:$A,B4385,'Parametros Inventario'!$B:$B)+SUMIFS(D$2:D4385,B$2:B4385,B4385,C$2:C4385,"ENTRADA")-SUMIFS(D$2:D4385,B$2:B4385,B4385,C$2:C4385,"SALIDA")</f>
        <v>23195.760000000017</v>
      </c>
    </row>
    <row r="4386" spans="1:5" x14ac:dyDescent="0.3">
      <c r="A4386" s="9">
        <f>'Volúmenes DIstribuidos '!B2679</f>
        <v>45608</v>
      </c>
      <c r="B4386" s="10" t="str">
        <f>IF(OR('Volúmenes DIstribuidos '!C2680="Azúcar",'Volúmenes DIstribuidos '!C2680="azúcar"),"Azúcar o dulce",IF('Volúmenes DIstribuidos '!C2680="Aceite","Aceite o grasas",IF('Volúmenes DIstribuidos '!C2680="Avena","Otros almidones",'Volúmenes DIstribuidos '!C2680)))</f>
        <v>Vegetales y hojas</v>
      </c>
      <c r="C4386" s="10" t="s">
        <v>29</v>
      </c>
      <c r="D4386" s="12">
        <f>'Volúmenes DIstribuidos '!D2680</f>
        <v>100</v>
      </c>
      <c r="E4386" s="12">
        <f>SUMIF('Parametros Inventario'!$A:$A,B4386,'Parametros Inventario'!$B:$B)+SUMIFS(D$2:D4386,B$2:B4386,B4386,C$2:C4386,"ENTRADA")-SUMIFS(D$2:D4386,B$2:B4386,B4386,C$2:C4386,"SALIDA")</f>
        <v>21321.118000000006</v>
      </c>
    </row>
    <row r="4387" spans="1:5" x14ac:dyDescent="0.3">
      <c r="A4387" s="9">
        <f>'Volúmenes DIstribuidos '!B2679</f>
        <v>45608</v>
      </c>
      <c r="B4387" s="10" t="str">
        <f>IF(OR('Volúmenes DIstribuidos '!C2681="Azúcar",'Volúmenes DIstribuidos '!C2681="azúcar"),"Azúcar o dulce",IF('Volúmenes DIstribuidos '!C2681="Aceite","Aceite o grasas",IF('Volúmenes DIstribuidos '!C2681="Avena","Otros almidones",'Volúmenes DIstribuidos '!C2681)))</f>
        <v>Panadería</v>
      </c>
      <c r="C4387" s="10" t="s">
        <v>29</v>
      </c>
      <c r="D4387" s="12">
        <f>'Volúmenes DIstribuidos '!D2681</f>
        <v>31.353000000000002</v>
      </c>
      <c r="E4387" s="12">
        <f>SUMIF('Parametros Inventario'!$A:$A,B4387,'Parametros Inventario'!$B:$B)+SUMIFS(D$2:D4387,B$2:B4387,B4387,C$2:C4387,"ENTRADA")-SUMIFS(D$2:D4387,B$2:B4387,B4387,C$2:C4387,"SALIDA")</f>
        <v>18642.03899999999</v>
      </c>
    </row>
    <row r="4388" spans="1:5" x14ac:dyDescent="0.3">
      <c r="A4388" s="9">
        <f>'Volúmenes DIstribuidos '!B2679</f>
        <v>45608</v>
      </c>
      <c r="B4388" s="10" t="str">
        <f>IF(OR('Volúmenes DIstribuidos '!C2682="Azúcar",'Volúmenes DIstribuidos '!C2682="azúcar"),"Azúcar o dulce",IF('Volúmenes DIstribuidos '!C2682="Aceite","Aceite o grasas",IF('Volúmenes DIstribuidos '!C2682="Avena","Otros almidones",'Volúmenes DIstribuidos '!C2682)))</f>
        <v>Aceite o grasas</v>
      </c>
      <c r="C4388" s="10" t="s">
        <v>29</v>
      </c>
      <c r="D4388" s="12">
        <f>'Volúmenes DIstribuidos '!D2682</f>
        <v>25.15</v>
      </c>
      <c r="E4388" s="12">
        <f>SUMIF('Parametros Inventario'!$A:$A,B4388,'Parametros Inventario'!$B:$B)+SUMIFS(D$2:D4388,B$2:B4388,B4388,C$2:C4388,"ENTRADA")-SUMIFS(D$2:D4388,B$2:B4388,B4388,C$2:C4388,"SALIDA")</f>
        <v>20123.733000000015</v>
      </c>
    </row>
    <row r="4389" spans="1:5" x14ac:dyDescent="0.3">
      <c r="A4389" s="9">
        <f>'Volúmenes DIstribuidos '!B2679</f>
        <v>45608</v>
      </c>
      <c r="B4389" s="10" t="str">
        <f>IF(OR('Volúmenes DIstribuidos '!C2683="Azúcar",'Volúmenes DIstribuidos '!C2683="azúcar"),"Azúcar o dulce",IF('Volúmenes DIstribuidos '!C2683="Aceite","Aceite o grasas",IF('Volúmenes DIstribuidos '!C2683="Avena","Otros almidones",'Volúmenes DIstribuidos '!C2683)))</f>
        <v>Salsas</v>
      </c>
      <c r="C4389" s="10" t="s">
        <v>29</v>
      </c>
      <c r="D4389" s="12">
        <f>'Volúmenes DIstribuidos '!D2683</f>
        <v>25.56</v>
      </c>
      <c r="E4389" s="12">
        <f>SUMIF('Parametros Inventario'!$A:$A,B4389,'Parametros Inventario'!$B:$B)+SUMIFS(D$2:D4389,B$2:B4389,B4389,C$2:C4389,"ENTRADA")-SUMIFS(D$2:D4389,B$2:B4389,B4389,C$2:C4389,"SALIDA")</f>
        <v>20091.169999999987</v>
      </c>
    </row>
    <row r="4390" spans="1:5" x14ac:dyDescent="0.3">
      <c r="A4390" s="9">
        <f>'Volúmenes DIstribuidos '!B2679</f>
        <v>45608</v>
      </c>
      <c r="B4390" s="10" t="str">
        <f>IF(OR('Volúmenes DIstribuidos '!C2684="Azúcar",'Volúmenes DIstribuidos '!C2684="azúcar"),"Azúcar o dulce",IF('Volúmenes DIstribuidos '!C2684="Aceite","Aceite o grasas",IF('Volúmenes DIstribuidos '!C2684="Avena","Otros almidones",'Volúmenes DIstribuidos '!C2684)))</f>
        <v>Carnes rojas</v>
      </c>
      <c r="C4390" s="10" t="s">
        <v>29</v>
      </c>
      <c r="D4390" s="12">
        <f>'Volúmenes DIstribuidos '!D2684</f>
        <v>15.516999999999999</v>
      </c>
      <c r="E4390" s="12">
        <f>SUMIF('Parametros Inventario'!$A:$A,B4390,'Parametros Inventario'!$B:$B)+SUMIFS(D$2:D4390,B$2:B4390,B4390,C$2:C4390,"ENTRADA")-SUMIFS(D$2:D4390,B$2:B4390,B4390,C$2:C4390,"SALIDA")</f>
        <v>19657.940000000002</v>
      </c>
    </row>
    <row r="4391" spans="1:5" x14ac:dyDescent="0.3">
      <c r="A4391" s="9">
        <v>45611</v>
      </c>
      <c r="B4391" s="10" t="s">
        <v>11</v>
      </c>
      <c r="C4391" s="10" t="s">
        <v>28</v>
      </c>
      <c r="D4391" s="12">
        <v>119.92</v>
      </c>
      <c r="E4391" s="12">
        <f>SUMIF('Parametros Inventario'!$A:$A,B4391,'Parametros Inventario'!$B:$B)+SUMIFS(D$2:D4391,B$2:B4391,B4391,C$2:C4391,"ENTRADA")-SUMIFS(D$2:D4391,B$2:B4391,B4391,C$2:C4391,"SALIDA")</f>
        <v>23315.680000000015</v>
      </c>
    </row>
    <row r="4392" spans="1:5" x14ac:dyDescent="0.3">
      <c r="A4392" s="9">
        <v>45611</v>
      </c>
      <c r="B4392" s="10" t="s">
        <v>9</v>
      </c>
      <c r="C4392" s="10" t="s">
        <v>28</v>
      </c>
      <c r="D4392" s="12">
        <v>114</v>
      </c>
      <c r="E4392" s="12">
        <f>SUMIF('Parametros Inventario'!$A:$A,B4392,'Parametros Inventario'!$B:$B)+SUMIFS(D$2:D4392,B$2:B4392,B4392,C$2:C4392,"ENTRADA")-SUMIFS(D$2:D4392,B$2:B4392,B4392,C$2:C4392,"SALIDA")</f>
        <v>18756.03899999999</v>
      </c>
    </row>
    <row r="4393" spans="1:5" x14ac:dyDescent="0.3">
      <c r="A4393" s="9">
        <v>45611</v>
      </c>
      <c r="B4393" s="10" t="s">
        <v>14</v>
      </c>
      <c r="C4393" s="10" t="s">
        <v>28</v>
      </c>
      <c r="D4393" s="12">
        <v>53.91</v>
      </c>
      <c r="E4393" s="12">
        <f>SUMIF('Parametros Inventario'!$A:$A,B4393,'Parametros Inventario'!$B:$B)+SUMIFS(D$2:D4393,B$2:B4393,B4393,C$2:C4393,"ENTRADA")-SUMIFS(D$2:D4393,B$2:B4393,B4393,C$2:C4393,"SALIDA")</f>
        <v>20534.43499999999</v>
      </c>
    </row>
    <row r="4394" spans="1:5" x14ac:dyDescent="0.3">
      <c r="A4394" s="9">
        <v>45611</v>
      </c>
      <c r="B4394" s="10" t="s">
        <v>12</v>
      </c>
      <c r="C4394" s="10" t="s">
        <v>28</v>
      </c>
      <c r="D4394" s="12">
        <v>214.33</v>
      </c>
      <c r="E4394" s="12">
        <f>SUMIF('Parametros Inventario'!$A:$A,B4394,'Parametros Inventario'!$B:$B)+SUMIFS(D$2:D4394,B$2:B4394,B4394,C$2:C4394,"ENTRADA")-SUMIFS(D$2:D4394,B$2:B4394,B4394,C$2:C4394,"SALIDA")</f>
        <v>19872.270000000004</v>
      </c>
    </row>
    <row r="4395" spans="1:5" x14ac:dyDescent="0.3">
      <c r="A4395" s="9">
        <v>45611</v>
      </c>
      <c r="B4395" s="10" t="s">
        <v>16</v>
      </c>
      <c r="C4395" s="10" t="s">
        <v>28</v>
      </c>
      <c r="D4395" s="12">
        <v>267</v>
      </c>
      <c r="E4395" s="12">
        <f>SUMIF('Parametros Inventario'!$A:$A,B4395,'Parametros Inventario'!$B:$B)+SUMIFS(D$2:D4395,B$2:B4395,B4395,C$2:C4395,"ENTRADA")-SUMIFS(D$2:D4395,B$2:B4395,B4395,C$2:C4395,"SALIDA")</f>
        <v>21314.150000000005</v>
      </c>
    </row>
    <row r="4396" spans="1:5" x14ac:dyDescent="0.3">
      <c r="A4396" s="9">
        <v>45611</v>
      </c>
      <c r="B4396" s="10" t="s">
        <v>17</v>
      </c>
      <c r="C4396" s="10" t="s">
        <v>28</v>
      </c>
      <c r="D4396" s="12">
        <v>284.75</v>
      </c>
      <c r="E4396" s="12">
        <f>SUMIF('Parametros Inventario'!$A:$A,B4396,'Parametros Inventario'!$B:$B)+SUMIFS(D$2:D4396,B$2:B4396,B4396,C$2:C4396,"ENTRADA")-SUMIFS(D$2:D4396,B$2:B4396,B4396,C$2:C4396,"SALIDA")</f>
        <v>19970.532000000003</v>
      </c>
    </row>
    <row r="4397" spans="1:5" x14ac:dyDescent="0.3">
      <c r="A4397" s="9">
        <v>45611</v>
      </c>
      <c r="B4397" s="10" t="s">
        <v>18</v>
      </c>
      <c r="C4397" s="10" t="s">
        <v>28</v>
      </c>
      <c r="D4397" s="12">
        <v>195.82</v>
      </c>
      <c r="E4397" s="12">
        <f>SUMIF('Parametros Inventario'!$A:$A,B4397,'Parametros Inventario'!$B:$B)+SUMIFS(D$2:D4397,B$2:B4397,B4397,C$2:C4397,"ENTRADA")-SUMIFS(D$2:D4397,B$2:B4397,B4397,C$2:C4397,"SALIDA")</f>
        <v>20286.989999999987</v>
      </c>
    </row>
    <row r="4398" spans="1:5" x14ac:dyDescent="0.3">
      <c r="A4398" s="9">
        <v>45611</v>
      </c>
      <c r="B4398" s="10" t="s">
        <v>10</v>
      </c>
      <c r="C4398" s="10" t="s">
        <v>28</v>
      </c>
      <c r="D4398" s="12">
        <v>230.65</v>
      </c>
      <c r="E4398" s="12">
        <f>SUMIF('Parametros Inventario'!$A:$A,B4398,'Parametros Inventario'!$B:$B)+SUMIFS(D$2:D4398,B$2:B4398,B4398,C$2:C4398,"ENTRADA")-SUMIFS(D$2:D4398,B$2:B4398,B4398,C$2:C4398,"SALIDA")</f>
        <v>21551.768000000007</v>
      </c>
    </row>
    <row r="4399" spans="1:5" x14ac:dyDescent="0.3">
      <c r="A4399" s="9">
        <v>45611</v>
      </c>
      <c r="B4399" s="10" t="s">
        <v>8</v>
      </c>
      <c r="C4399" s="10" t="s">
        <v>28</v>
      </c>
      <c r="D4399" s="12">
        <v>222.03</v>
      </c>
      <c r="E4399" s="12">
        <f>SUMIF('Parametros Inventario'!$A:$A,B4399,'Parametros Inventario'!$B:$B)+SUMIFS(D$2:D4399,B$2:B4399,B4399,C$2:C4399,"ENTRADA")-SUMIFS(D$2:D4399,B$2:B4399,B4399,C$2:C4399,"SALIDA")</f>
        <v>20345.763000000014</v>
      </c>
    </row>
    <row r="4400" spans="1:5" x14ac:dyDescent="0.3">
      <c r="A4400" s="9">
        <f>'Volúmenes DIstribuidos '!B2685</f>
        <v>45611</v>
      </c>
      <c r="B4400" s="10" t="str">
        <f>IF(OR('Volúmenes DIstribuidos '!C2685="Azúcar",'Volúmenes DIstribuidos '!C2685="azúcar"),"Azúcar o dulce",IF('Volúmenes DIstribuidos '!C2685="Aceite","Aceite o grasas",IF('Volúmenes DIstribuidos '!C2685="Avena","Otros almidones",'Volúmenes DIstribuidos '!C2685)))</f>
        <v>Aceite o grasas</v>
      </c>
      <c r="C4400" s="10" t="s">
        <v>29</v>
      </c>
      <c r="D4400" s="12">
        <f>'Volúmenes DIstribuidos '!D2685</f>
        <v>20.74</v>
      </c>
      <c r="E4400" s="12">
        <f>SUMIF('Parametros Inventario'!$A:$A,B4400,'Parametros Inventario'!$B:$B)+SUMIFS(D$2:D4400,B$2:B4400,B4400,C$2:C4400,"ENTRADA")-SUMIFS(D$2:D4400,B$2:B4400,B4400,C$2:C4400,"SALIDA")</f>
        <v>20325.023000000012</v>
      </c>
    </row>
    <row r="4401" spans="1:5" x14ac:dyDescent="0.3">
      <c r="A4401" s="9">
        <f>'Volúmenes DIstribuidos '!B2685</f>
        <v>45611</v>
      </c>
      <c r="B4401" s="10" t="str">
        <f>IF(OR('Volúmenes DIstribuidos '!C2686="Azúcar",'Volúmenes DIstribuidos '!C2686="azúcar"),"Azúcar o dulce",IF('Volúmenes DIstribuidos '!C2686="Aceite","Aceite o grasas",IF('Volúmenes DIstribuidos '!C2686="Avena","Otros almidones",'Volúmenes DIstribuidos '!C2686)))</f>
        <v>Menestras</v>
      </c>
      <c r="C4401" s="10" t="s">
        <v>29</v>
      </c>
      <c r="D4401" s="12">
        <f>'Volúmenes DIstribuidos '!D2686</f>
        <v>8.98</v>
      </c>
      <c r="E4401" s="12">
        <f>SUMIF('Parametros Inventario'!$A:$A,B4401,'Parametros Inventario'!$B:$B)+SUMIFS(D$2:D4401,B$2:B4401,B4401,C$2:C4401,"ENTRADA")-SUMIFS(D$2:D4401,B$2:B4401,B4401,C$2:C4401,"SALIDA")</f>
        <v>20525.454999999991</v>
      </c>
    </row>
    <row r="4402" spans="1:5" x14ac:dyDescent="0.3">
      <c r="A4402" s="9">
        <f>'Volúmenes DIstribuidos '!B2685</f>
        <v>45611</v>
      </c>
      <c r="B4402" s="10" t="str">
        <f>IF(OR('Volúmenes DIstribuidos '!C2687="Azúcar",'Volúmenes DIstribuidos '!C2687="azúcar"),"Azúcar o dulce",IF('Volúmenes DIstribuidos '!C2687="Aceite","Aceite o grasas",IF('Volúmenes DIstribuidos '!C2687="Avena","Otros almidones",'Volúmenes DIstribuidos '!C2687)))</f>
        <v>Vegetales y hojas</v>
      </c>
      <c r="C4402" s="10" t="s">
        <v>29</v>
      </c>
      <c r="D4402" s="12">
        <f>'Volúmenes DIstribuidos '!D2687</f>
        <v>32.15</v>
      </c>
      <c r="E4402" s="12">
        <f>SUMIF('Parametros Inventario'!$A:$A,B4402,'Parametros Inventario'!$B:$B)+SUMIFS(D$2:D4402,B$2:B4402,B4402,C$2:C4402,"ENTRADA")-SUMIFS(D$2:D4402,B$2:B4402,B4402,C$2:C4402,"SALIDA")</f>
        <v>21519.618000000006</v>
      </c>
    </row>
    <row r="4403" spans="1:5" x14ac:dyDescent="0.3">
      <c r="A4403" s="9">
        <f>'Volúmenes DIstribuidos '!B2685</f>
        <v>45611</v>
      </c>
      <c r="B4403" s="10" t="str">
        <f>IF(OR('Volúmenes DIstribuidos '!C2688="Azúcar",'Volúmenes DIstribuidos '!C2688="azúcar"),"Azúcar o dulce",IF('Volúmenes DIstribuidos '!C2688="Aceite","Aceite o grasas",IF('Volúmenes DIstribuidos '!C2688="Avena","Otros almidones",'Volúmenes DIstribuidos '!C2688)))</f>
        <v>Otros almidones</v>
      </c>
      <c r="C4403" s="10" t="s">
        <v>29</v>
      </c>
      <c r="D4403" s="12">
        <f>'Volúmenes DIstribuidos '!D2688</f>
        <v>55.95</v>
      </c>
      <c r="E4403" s="12">
        <f>SUMIF('Parametros Inventario'!$A:$A,B4403,'Parametros Inventario'!$B:$B)+SUMIFS(D$2:D4403,B$2:B4403,B4403,C$2:C4403,"ENTRADA")-SUMIFS(D$2:D4403,B$2:B4403,B4403,C$2:C4403,"SALIDA")</f>
        <v>22809.653999999991</v>
      </c>
    </row>
    <row r="4404" spans="1:5" x14ac:dyDescent="0.3">
      <c r="A4404" s="9">
        <f>'Volúmenes DIstribuidos '!B2685</f>
        <v>45611</v>
      </c>
      <c r="B4404" s="10" t="str">
        <f>IF(OR('Volúmenes DIstribuidos '!C2689="Azúcar",'Volúmenes DIstribuidos '!C2689="azúcar"),"Azúcar o dulce",IF('Volúmenes DIstribuidos '!C2689="Aceite","Aceite o grasas",IF('Volúmenes DIstribuidos '!C2689="Avena","Otros almidones",'Volúmenes DIstribuidos '!C2689)))</f>
        <v>Fideo</v>
      </c>
      <c r="C4404" s="10" t="s">
        <v>29</v>
      </c>
      <c r="D4404" s="12">
        <f>'Volúmenes DIstribuidos '!D2689</f>
        <v>23.484000000000002</v>
      </c>
      <c r="E4404" s="12">
        <f>SUMIF('Parametros Inventario'!$A:$A,B4404,'Parametros Inventario'!$B:$B)+SUMIFS(D$2:D4404,B$2:B4404,B4404,C$2:C4404,"ENTRADA")-SUMIFS(D$2:D4404,B$2:B4404,B4404,C$2:C4404,"SALIDA")</f>
        <v>23292.196000000014</v>
      </c>
    </row>
    <row r="4405" spans="1:5" x14ac:dyDescent="0.3">
      <c r="A4405" s="9">
        <f>'Volúmenes DIstribuidos '!B2685</f>
        <v>45611</v>
      </c>
      <c r="B4405" s="10" t="str">
        <f>IF(OR('Volúmenes DIstribuidos '!C2690="Azúcar",'Volúmenes DIstribuidos '!C2690="azúcar"),"Azúcar o dulce",IF('Volúmenes DIstribuidos '!C2690="Aceite","Aceite o grasas",IF('Volúmenes DIstribuidos '!C2690="Avena","Otros almidones",'Volúmenes DIstribuidos '!C2690)))</f>
        <v>Aceite o grasas</v>
      </c>
      <c r="C4405" s="10" t="s">
        <v>29</v>
      </c>
      <c r="D4405" s="12">
        <f>'Volúmenes DIstribuidos '!D2690</f>
        <v>13.58</v>
      </c>
      <c r="E4405" s="12">
        <f>SUMIF('Parametros Inventario'!$A:$A,B4405,'Parametros Inventario'!$B:$B)+SUMIFS(D$2:D4405,B$2:B4405,B4405,C$2:C4405,"ENTRADA")-SUMIFS(D$2:D4405,B$2:B4405,B4405,C$2:C4405,"SALIDA")</f>
        <v>20311.443000000014</v>
      </c>
    </row>
    <row r="4406" spans="1:5" x14ac:dyDescent="0.3">
      <c r="A4406" s="9">
        <v>45615</v>
      </c>
      <c r="B4406" s="10" t="s">
        <v>13</v>
      </c>
      <c r="C4406" s="10" t="s">
        <v>28</v>
      </c>
      <c r="D4406" s="12">
        <v>286.41000000000003</v>
      </c>
      <c r="E4406" s="12">
        <f>SUMIF('Parametros Inventario'!$A:$A,B4406,'Parametros Inventario'!$B:$B)+SUMIFS(D$2:D4406,B$2:B4406,B4406,C$2:C4406,"ENTRADA")-SUMIFS(D$2:D4406,B$2:B4406,B4406,C$2:C4406,"SALIDA")</f>
        <v>20287.926999999996</v>
      </c>
    </row>
    <row r="4407" spans="1:5" x14ac:dyDescent="0.3">
      <c r="A4407" s="9">
        <v>45615</v>
      </c>
      <c r="B4407" s="10" t="s">
        <v>15</v>
      </c>
      <c r="C4407" s="10" t="s">
        <v>28</v>
      </c>
      <c r="D4407" s="12">
        <v>114.34</v>
      </c>
      <c r="E4407" s="12">
        <f>SUMIF('Parametros Inventario'!$A:$A,B4407,'Parametros Inventario'!$B:$B)+SUMIFS(D$2:D4407,B$2:B4407,B4407,C$2:C4407,"ENTRADA")-SUMIFS(D$2:D4407,B$2:B4407,B4407,C$2:C4407,"SALIDA")</f>
        <v>22923.993999999992</v>
      </c>
    </row>
    <row r="4408" spans="1:5" x14ac:dyDescent="0.3">
      <c r="A4408" s="9">
        <v>45615</v>
      </c>
      <c r="B4408" s="10" t="s">
        <v>11</v>
      </c>
      <c r="C4408" s="10" t="s">
        <v>28</v>
      </c>
      <c r="D4408" s="12">
        <v>206.56</v>
      </c>
      <c r="E4408" s="12">
        <f>SUMIF('Parametros Inventario'!$A:$A,B4408,'Parametros Inventario'!$B:$B)+SUMIFS(D$2:D4408,B$2:B4408,B4408,C$2:C4408,"ENTRADA")-SUMIFS(D$2:D4408,B$2:B4408,B4408,C$2:C4408,"SALIDA")</f>
        <v>23498.756000000016</v>
      </c>
    </row>
    <row r="4409" spans="1:5" x14ac:dyDescent="0.3">
      <c r="A4409" s="9">
        <v>45615</v>
      </c>
      <c r="B4409" s="10" t="s">
        <v>9</v>
      </c>
      <c r="C4409" s="10" t="s">
        <v>28</v>
      </c>
      <c r="D4409" s="12">
        <v>201.09</v>
      </c>
      <c r="E4409" s="12">
        <f>SUMIF('Parametros Inventario'!$A:$A,B4409,'Parametros Inventario'!$B:$B)+SUMIFS(D$2:D4409,B$2:B4409,B4409,C$2:C4409,"ENTRADA")-SUMIFS(D$2:D4409,B$2:B4409,B4409,C$2:C4409,"SALIDA")</f>
        <v>18957.12899999999</v>
      </c>
    </row>
    <row r="4410" spans="1:5" x14ac:dyDescent="0.3">
      <c r="A4410" s="9">
        <v>45615</v>
      </c>
      <c r="B4410" s="10" t="s">
        <v>14</v>
      </c>
      <c r="C4410" s="10" t="s">
        <v>28</v>
      </c>
      <c r="D4410" s="12">
        <v>101.54</v>
      </c>
      <c r="E4410" s="12">
        <f>SUMIF('Parametros Inventario'!$A:$A,B4410,'Parametros Inventario'!$B:$B)+SUMIFS(D$2:D4410,B$2:B4410,B4410,C$2:C4410,"ENTRADA")-SUMIFS(D$2:D4410,B$2:B4410,B4410,C$2:C4410,"SALIDA")</f>
        <v>20626.994999999992</v>
      </c>
    </row>
    <row r="4411" spans="1:5" x14ac:dyDescent="0.3">
      <c r="A4411" s="9">
        <v>45615</v>
      </c>
      <c r="B4411" s="10" t="s">
        <v>12</v>
      </c>
      <c r="C4411" s="10" t="s">
        <v>28</v>
      </c>
      <c r="D4411" s="12">
        <v>160.55000000000001</v>
      </c>
      <c r="E4411" s="12">
        <f>SUMIF('Parametros Inventario'!$A:$A,B4411,'Parametros Inventario'!$B:$B)+SUMIFS(D$2:D4411,B$2:B4411,B4411,C$2:C4411,"ENTRADA")-SUMIFS(D$2:D4411,B$2:B4411,B4411,C$2:C4411,"SALIDA")</f>
        <v>20032.820000000003</v>
      </c>
    </row>
    <row r="4412" spans="1:5" x14ac:dyDescent="0.3">
      <c r="A4412" s="9">
        <v>45615</v>
      </c>
      <c r="B4412" s="10" t="s">
        <v>16</v>
      </c>
      <c r="C4412" s="10" t="s">
        <v>28</v>
      </c>
      <c r="D4412" s="12">
        <v>131.07</v>
      </c>
      <c r="E4412" s="12">
        <f>SUMIF('Parametros Inventario'!$A:$A,B4412,'Parametros Inventario'!$B:$B)+SUMIFS(D$2:D4412,B$2:B4412,B4412,C$2:C4412,"ENTRADA")-SUMIFS(D$2:D4412,B$2:B4412,B4412,C$2:C4412,"SALIDA")</f>
        <v>21445.220000000005</v>
      </c>
    </row>
    <row r="4413" spans="1:5" x14ac:dyDescent="0.3">
      <c r="A4413" s="9">
        <v>45615</v>
      </c>
      <c r="B4413" s="10" t="s">
        <v>17</v>
      </c>
      <c r="C4413" s="10" t="s">
        <v>28</v>
      </c>
      <c r="D4413" s="12">
        <v>100.98</v>
      </c>
      <c r="E4413" s="12">
        <f>SUMIF('Parametros Inventario'!$A:$A,B4413,'Parametros Inventario'!$B:$B)+SUMIFS(D$2:D4413,B$2:B4413,B4413,C$2:C4413,"ENTRADA")-SUMIFS(D$2:D4413,B$2:B4413,B4413,C$2:C4413,"SALIDA")</f>
        <v>20071.512000000002</v>
      </c>
    </row>
    <row r="4414" spans="1:5" x14ac:dyDescent="0.3">
      <c r="A4414" s="9">
        <v>45615</v>
      </c>
      <c r="B4414" s="10" t="s">
        <v>18</v>
      </c>
      <c r="C4414" s="10" t="s">
        <v>28</v>
      </c>
      <c r="D4414" s="12">
        <v>207.45</v>
      </c>
      <c r="E4414" s="12">
        <f>SUMIF('Parametros Inventario'!$A:$A,B4414,'Parametros Inventario'!$B:$B)+SUMIFS(D$2:D4414,B$2:B4414,B4414,C$2:C4414,"ENTRADA")-SUMIFS(D$2:D4414,B$2:B4414,B4414,C$2:C4414,"SALIDA")</f>
        <v>20494.439999999988</v>
      </c>
    </row>
    <row r="4415" spans="1:5" x14ac:dyDescent="0.3">
      <c r="A4415" s="9">
        <v>45615</v>
      </c>
      <c r="B4415" s="10" t="s">
        <v>10</v>
      </c>
      <c r="C4415" s="10" t="s">
        <v>28</v>
      </c>
      <c r="D4415" s="12">
        <v>264.56</v>
      </c>
      <c r="E4415" s="12">
        <f>SUMIF('Parametros Inventario'!$A:$A,B4415,'Parametros Inventario'!$B:$B)+SUMIFS(D$2:D4415,B$2:B4415,B4415,C$2:C4415,"ENTRADA")-SUMIFS(D$2:D4415,B$2:B4415,B4415,C$2:C4415,"SALIDA")</f>
        <v>21784.178000000007</v>
      </c>
    </row>
    <row r="4416" spans="1:5" x14ac:dyDescent="0.3">
      <c r="A4416" s="9">
        <v>45615</v>
      </c>
      <c r="B4416" s="10" t="s">
        <v>8</v>
      </c>
      <c r="C4416" s="10" t="s">
        <v>28</v>
      </c>
      <c r="D4416" s="12">
        <v>148.87</v>
      </c>
      <c r="E4416" s="12">
        <f>SUMIF('Parametros Inventario'!$A:$A,B4416,'Parametros Inventario'!$B:$B)+SUMIFS(D$2:D4416,B$2:B4416,B4416,C$2:C4416,"ENTRADA")-SUMIFS(D$2:D4416,B$2:B4416,B4416,C$2:C4416,"SALIDA")</f>
        <v>20460.313000000009</v>
      </c>
    </row>
    <row r="4417" spans="1:5" x14ac:dyDescent="0.3">
      <c r="A4417" s="9">
        <f>'Volúmenes DIstribuidos '!B2691</f>
        <v>45615</v>
      </c>
      <c r="B4417" s="10" t="str">
        <f>IF(OR('Volúmenes DIstribuidos '!C2691="Azúcar",'Volúmenes DIstribuidos '!C2691="azúcar"),"Azúcar o dulce",IF('Volúmenes DIstribuidos '!C2691="Aceite","Aceite o grasas",IF('Volúmenes DIstribuidos '!C2691="Avena","Otros almidones",'Volúmenes DIstribuidos '!C2691)))</f>
        <v>Salsas</v>
      </c>
      <c r="C4417" s="10" t="s">
        <v>29</v>
      </c>
      <c r="D4417" s="12">
        <f>'Volúmenes DIstribuidos '!D2691</f>
        <v>11.6</v>
      </c>
      <c r="E4417" s="12">
        <f>SUMIF('Parametros Inventario'!$A:$A,B4417,'Parametros Inventario'!$B:$B)+SUMIFS(D$2:D4417,B$2:B4417,B4417,C$2:C4417,"ENTRADA")-SUMIFS(D$2:D4417,B$2:B4417,B4417,C$2:C4417,"SALIDA")</f>
        <v>20482.839999999986</v>
      </c>
    </row>
    <row r="4418" spans="1:5" x14ac:dyDescent="0.3">
      <c r="A4418" s="9">
        <f>'Volúmenes DIstribuidos '!B2691</f>
        <v>45615</v>
      </c>
      <c r="B4418" s="10" t="str">
        <f>IF(OR('Volúmenes DIstribuidos '!C2692="Azúcar",'Volúmenes DIstribuidos '!C2692="azúcar"),"Azúcar o dulce",IF('Volúmenes DIstribuidos '!C2692="Aceite","Aceite o grasas",IF('Volúmenes DIstribuidos '!C2692="Avena","Otros almidones",'Volúmenes DIstribuidos '!C2692)))</f>
        <v>Carnes rojas</v>
      </c>
      <c r="C4418" s="10" t="s">
        <v>29</v>
      </c>
      <c r="D4418" s="12">
        <f>'Volúmenes DIstribuidos '!D2692</f>
        <v>28.95</v>
      </c>
      <c r="E4418" s="12">
        <f>SUMIF('Parametros Inventario'!$A:$A,B4418,'Parametros Inventario'!$B:$B)+SUMIFS(D$2:D4418,B$2:B4418,B4418,C$2:C4418,"ENTRADA")-SUMIFS(D$2:D4418,B$2:B4418,B4418,C$2:C4418,"SALIDA")</f>
        <v>20003.870000000003</v>
      </c>
    </row>
    <row r="4419" spans="1:5" x14ac:dyDescent="0.3">
      <c r="A4419" s="9">
        <f>'Volúmenes DIstribuidos '!B2691</f>
        <v>45615</v>
      </c>
      <c r="B4419" s="10" t="str">
        <f>IF(OR('Volúmenes DIstribuidos '!C2693="Azúcar",'Volúmenes DIstribuidos '!C2693="azúcar"),"Azúcar o dulce",IF('Volúmenes DIstribuidos '!C2693="Aceite","Aceite o grasas",IF('Volúmenes DIstribuidos '!C2693="Avena","Otros almidones",'Volúmenes DIstribuidos '!C2693)))</f>
        <v>Fideo</v>
      </c>
      <c r="C4419" s="10" t="s">
        <v>29</v>
      </c>
      <c r="D4419" s="12">
        <f>'Volúmenes DIstribuidos '!D2693</f>
        <v>21.67</v>
      </c>
      <c r="E4419" s="12">
        <f>SUMIF('Parametros Inventario'!$A:$A,B4419,'Parametros Inventario'!$B:$B)+SUMIFS(D$2:D4419,B$2:B4419,B4419,C$2:C4419,"ENTRADA")-SUMIFS(D$2:D4419,B$2:B4419,B4419,C$2:C4419,"SALIDA")</f>
        <v>23477.086000000018</v>
      </c>
    </row>
    <row r="4420" spans="1:5" x14ac:dyDescent="0.3">
      <c r="A4420" s="9">
        <f>'Volúmenes DIstribuidos '!B2691</f>
        <v>45615</v>
      </c>
      <c r="B4420" s="10" t="str">
        <f>IF(OR('Volúmenes DIstribuidos '!C2694="Azúcar",'Volúmenes DIstribuidos '!C2694="azúcar"),"Azúcar o dulce",IF('Volúmenes DIstribuidos '!C2694="Aceite","Aceite o grasas",IF('Volúmenes DIstribuidos '!C2694="Avena","Otros almidones",'Volúmenes DIstribuidos '!C2694)))</f>
        <v>Otros almidones</v>
      </c>
      <c r="C4420" s="10" t="s">
        <v>29</v>
      </c>
      <c r="D4420" s="12">
        <f>'Volúmenes DIstribuidos '!D2694</f>
        <v>26.19</v>
      </c>
      <c r="E4420" s="12">
        <f>SUMIF('Parametros Inventario'!$A:$A,B4420,'Parametros Inventario'!$B:$B)+SUMIFS(D$2:D4420,B$2:B4420,B4420,C$2:C4420,"ENTRADA")-SUMIFS(D$2:D4420,B$2:B4420,B4420,C$2:C4420,"SALIDA")</f>
        <v>22897.803999999993</v>
      </c>
    </row>
    <row r="4421" spans="1:5" x14ac:dyDescent="0.3">
      <c r="A4421" s="9">
        <f>'Volúmenes DIstribuidos '!B2691</f>
        <v>45615</v>
      </c>
      <c r="B4421" s="10" t="str">
        <f>IF(OR('Volúmenes DIstribuidos '!C2695="Azúcar",'Volúmenes DIstribuidos '!C2695="azúcar"),"Azúcar o dulce",IF('Volúmenes DIstribuidos '!C2695="Aceite","Aceite o grasas",IF('Volúmenes DIstribuidos '!C2695="Avena","Otros almidones",'Volúmenes DIstribuidos '!C2695)))</f>
        <v>Vegetales y hojas</v>
      </c>
      <c r="C4421" s="10" t="s">
        <v>29</v>
      </c>
      <c r="D4421" s="12">
        <f>'Volúmenes DIstribuidos '!D2695</f>
        <v>67.37</v>
      </c>
      <c r="E4421" s="12">
        <f>SUMIF('Parametros Inventario'!$A:$A,B4421,'Parametros Inventario'!$B:$B)+SUMIFS(D$2:D4421,B$2:B4421,B4421,C$2:C4421,"ENTRADA")-SUMIFS(D$2:D4421,B$2:B4421,B4421,C$2:C4421,"SALIDA")</f>
        <v>21716.808000000008</v>
      </c>
    </row>
    <row r="4422" spans="1:5" x14ac:dyDescent="0.3">
      <c r="A4422" s="9">
        <f>'Volúmenes DIstribuidos '!B2691</f>
        <v>45615</v>
      </c>
      <c r="B4422" s="10" t="str">
        <f>IF(OR('Volúmenes DIstribuidos '!C2696="Azúcar",'Volúmenes DIstribuidos '!C2696="azúcar"),"Azúcar o dulce",IF('Volúmenes DIstribuidos '!C2696="Aceite","Aceite o grasas",IF('Volúmenes DIstribuidos '!C2696="Avena","Otros almidones",'Volúmenes DIstribuidos '!C2696)))</f>
        <v>Fideo</v>
      </c>
      <c r="C4422" s="10" t="s">
        <v>29</v>
      </c>
      <c r="D4422" s="12">
        <f>'Volúmenes DIstribuidos '!D2696</f>
        <v>8.7780000000000005</v>
      </c>
      <c r="E4422" s="12">
        <f>SUMIF('Parametros Inventario'!$A:$A,B4422,'Parametros Inventario'!$B:$B)+SUMIFS(D$2:D4422,B$2:B4422,B4422,C$2:C4422,"ENTRADA")-SUMIFS(D$2:D4422,B$2:B4422,B4422,C$2:C4422,"SALIDA")</f>
        <v>23468.308000000015</v>
      </c>
    </row>
    <row r="4423" spans="1:5" x14ac:dyDescent="0.3">
      <c r="A4423" s="9">
        <v>45618</v>
      </c>
      <c r="B4423" s="10" t="s">
        <v>13</v>
      </c>
      <c r="C4423" s="10" t="s">
        <v>28</v>
      </c>
      <c r="D4423" s="12">
        <v>161.51</v>
      </c>
      <c r="E4423" s="12">
        <f>SUMIF('Parametros Inventario'!$A:$A,B4423,'Parametros Inventario'!$B:$B)+SUMIFS(D$2:D4423,B$2:B4423,B4423,C$2:C4423,"ENTRADA")-SUMIFS(D$2:D4423,B$2:B4423,B4423,C$2:C4423,"SALIDA")</f>
        <v>20449.436999999994</v>
      </c>
    </row>
    <row r="4424" spans="1:5" x14ac:dyDescent="0.3">
      <c r="A4424" s="9">
        <v>45618</v>
      </c>
      <c r="B4424" s="10" t="s">
        <v>15</v>
      </c>
      <c r="C4424" s="10" t="s">
        <v>28</v>
      </c>
      <c r="D4424" s="12">
        <v>232.45</v>
      </c>
      <c r="E4424" s="12">
        <f>SUMIF('Parametros Inventario'!$A:$A,B4424,'Parametros Inventario'!$B:$B)+SUMIFS(D$2:D4424,B$2:B4424,B4424,C$2:C4424,"ENTRADA")-SUMIFS(D$2:D4424,B$2:B4424,B4424,C$2:C4424,"SALIDA")</f>
        <v>23130.253999999994</v>
      </c>
    </row>
    <row r="4425" spans="1:5" x14ac:dyDescent="0.3">
      <c r="A4425" s="9">
        <v>45618</v>
      </c>
      <c r="B4425" s="10" t="s">
        <v>11</v>
      </c>
      <c r="C4425" s="10" t="s">
        <v>28</v>
      </c>
      <c r="D4425" s="12">
        <v>158.47999999999999</v>
      </c>
      <c r="E4425" s="12">
        <f>SUMIF('Parametros Inventario'!$A:$A,B4425,'Parametros Inventario'!$B:$B)+SUMIFS(D$2:D4425,B$2:B4425,B4425,C$2:C4425,"ENTRADA")-SUMIFS(D$2:D4425,B$2:B4425,B4425,C$2:C4425,"SALIDA")</f>
        <v>23626.788000000015</v>
      </c>
    </row>
    <row r="4426" spans="1:5" x14ac:dyDescent="0.3">
      <c r="A4426" s="9">
        <v>45618</v>
      </c>
      <c r="B4426" s="10" t="s">
        <v>9</v>
      </c>
      <c r="C4426" s="10" t="s">
        <v>28</v>
      </c>
      <c r="D4426" s="12">
        <v>87.08</v>
      </c>
      <c r="E4426" s="12">
        <f>SUMIF('Parametros Inventario'!$A:$A,B4426,'Parametros Inventario'!$B:$B)+SUMIFS(D$2:D4426,B$2:B4426,B4426,C$2:C4426,"ENTRADA")-SUMIFS(D$2:D4426,B$2:B4426,B4426,C$2:C4426,"SALIDA")</f>
        <v>19044.208999999992</v>
      </c>
    </row>
    <row r="4427" spans="1:5" x14ac:dyDescent="0.3">
      <c r="A4427" s="9">
        <v>45618</v>
      </c>
      <c r="B4427" s="10" t="s">
        <v>14</v>
      </c>
      <c r="C4427" s="10" t="s">
        <v>28</v>
      </c>
      <c r="D4427" s="12">
        <v>169.75</v>
      </c>
      <c r="E4427" s="12">
        <f>SUMIF('Parametros Inventario'!$A:$A,B4427,'Parametros Inventario'!$B:$B)+SUMIFS(D$2:D4427,B$2:B4427,B4427,C$2:C4427,"ENTRADA")-SUMIFS(D$2:D4427,B$2:B4427,B4427,C$2:C4427,"SALIDA")</f>
        <v>20796.744999999992</v>
      </c>
    </row>
    <row r="4428" spans="1:5" x14ac:dyDescent="0.3">
      <c r="A4428" s="9">
        <f>'Volúmenes DIstribuidos '!B2697</f>
        <v>45618</v>
      </c>
      <c r="B4428" s="10" t="str">
        <f>IF(OR('Volúmenes DIstribuidos '!C2697="Azúcar",'Volúmenes DIstribuidos '!C2697="azúcar"),"Azúcar o dulce",IF('Volúmenes DIstribuidos '!C2697="Aceite","Aceite o grasas",IF('Volúmenes DIstribuidos '!C2697="Avena","Otros almidones",'Volúmenes DIstribuidos '!C2697)))</f>
        <v>Menestras</v>
      </c>
      <c r="C4428" s="10" t="s">
        <v>29</v>
      </c>
      <c r="D4428" s="12">
        <f>'Volúmenes DIstribuidos '!D2697</f>
        <v>11.42</v>
      </c>
      <c r="E4428" s="12">
        <f>SUMIF('Parametros Inventario'!$A:$A,B4428,'Parametros Inventario'!$B:$B)+SUMIFS(D$2:D4428,B$2:B4428,B4428,C$2:C4428,"ENTRADA")-SUMIFS(D$2:D4428,B$2:B4428,B4428,C$2:C4428,"SALIDA")</f>
        <v>20785.32499999999</v>
      </c>
    </row>
    <row r="4429" spans="1:5" x14ac:dyDescent="0.3">
      <c r="A4429" s="9">
        <f>'Volúmenes DIstribuidos '!B2697</f>
        <v>45618</v>
      </c>
      <c r="B4429" s="10" t="str">
        <f>IF(OR('Volúmenes DIstribuidos '!C2698="Azúcar",'Volúmenes DIstribuidos '!C2698="azúcar"),"Azúcar o dulce",IF('Volúmenes DIstribuidos '!C2698="Aceite","Aceite o grasas",IF('Volúmenes DIstribuidos '!C2698="Avena","Otros almidones",'Volúmenes DIstribuidos '!C2698)))</f>
        <v>Azúcar o dulce</v>
      </c>
      <c r="C4429" s="10" t="s">
        <v>29</v>
      </c>
      <c r="D4429" s="12">
        <f>'Volúmenes DIstribuidos '!D2698</f>
        <v>19.38</v>
      </c>
      <c r="E4429" s="12">
        <f>SUMIF('Parametros Inventario'!$A:$A,B4429,'Parametros Inventario'!$B:$B)+SUMIFS(D$2:D4429,B$2:B4429,B4429,C$2:C4429,"ENTRADA")-SUMIFS(D$2:D4429,B$2:B4429,B4429,C$2:C4429,"SALIDA")</f>
        <v>20430.056999999993</v>
      </c>
    </row>
    <row r="4430" spans="1:5" x14ac:dyDescent="0.3">
      <c r="A4430" s="9">
        <f>'Volúmenes DIstribuidos '!B2697</f>
        <v>45618</v>
      </c>
      <c r="B4430" s="10" t="str">
        <f>IF(OR('Volúmenes DIstribuidos '!C2699="Azúcar",'Volúmenes DIstribuidos '!C2699="azúcar"),"Azúcar o dulce",IF('Volúmenes DIstribuidos '!C2699="Aceite","Aceite o grasas",IF('Volúmenes DIstribuidos '!C2699="Avena","Otros almidones",'Volúmenes DIstribuidos '!C2699)))</f>
        <v>Otros almidones</v>
      </c>
      <c r="C4430" s="10" t="s">
        <v>29</v>
      </c>
      <c r="D4430" s="12">
        <f>'Volúmenes DIstribuidos '!D2699</f>
        <v>96.039000000000001</v>
      </c>
      <c r="E4430" s="12">
        <f>SUMIF('Parametros Inventario'!$A:$A,B4430,'Parametros Inventario'!$B:$B)+SUMIFS(D$2:D4430,B$2:B4430,B4430,C$2:C4430,"ENTRADA")-SUMIFS(D$2:D4430,B$2:B4430,B4430,C$2:C4430,"SALIDA")</f>
        <v>23034.214999999993</v>
      </c>
    </row>
    <row r="4431" spans="1:5" x14ac:dyDescent="0.3">
      <c r="A4431" s="9">
        <f>'Volúmenes DIstribuidos '!B2697</f>
        <v>45618</v>
      </c>
      <c r="B4431" s="10" t="str">
        <f>IF(OR('Volúmenes DIstribuidos '!C2700="Azúcar",'Volúmenes DIstribuidos '!C2700="azúcar"),"Azúcar o dulce",IF('Volúmenes DIstribuidos '!C2700="Aceite","Aceite o grasas",IF('Volúmenes DIstribuidos '!C2700="Avena","Otros almidones",'Volúmenes DIstribuidos '!C2700)))</f>
        <v>Panadería</v>
      </c>
      <c r="C4431" s="10" t="s">
        <v>29</v>
      </c>
      <c r="D4431" s="12">
        <f>'Volúmenes DIstribuidos '!D2700</f>
        <v>98.52</v>
      </c>
      <c r="E4431" s="12">
        <f>SUMIF('Parametros Inventario'!$A:$A,B4431,'Parametros Inventario'!$B:$B)+SUMIFS(D$2:D4431,B$2:B4431,B4431,C$2:C4431,"ENTRADA")-SUMIFS(D$2:D4431,B$2:B4431,B4431,C$2:C4431,"SALIDA")</f>
        <v>18945.688999999991</v>
      </c>
    </row>
    <row r="4432" spans="1:5" x14ac:dyDescent="0.3">
      <c r="A4432" s="9">
        <f>'Volúmenes DIstribuidos '!B2697</f>
        <v>45618</v>
      </c>
      <c r="B4432" s="10" t="str">
        <f>IF(OR('Volúmenes DIstribuidos '!C2701="Azúcar",'Volúmenes DIstribuidos '!C2701="azúcar"),"Azúcar o dulce",IF('Volúmenes DIstribuidos '!C2701="Aceite","Aceite o grasas",IF('Volúmenes DIstribuidos '!C2701="Avena","Otros almidones",'Volúmenes DIstribuidos '!C2701)))</f>
        <v>Otros almidones</v>
      </c>
      <c r="C4432" s="10" t="s">
        <v>29</v>
      </c>
      <c r="D4432" s="12">
        <f>'Volúmenes DIstribuidos '!D2701</f>
        <v>15.2</v>
      </c>
      <c r="E4432" s="12">
        <f>SUMIF('Parametros Inventario'!$A:$A,B4432,'Parametros Inventario'!$B:$B)+SUMIFS(D$2:D4432,B$2:B4432,B4432,C$2:C4432,"ENTRADA")-SUMIFS(D$2:D4432,B$2:B4432,B4432,C$2:C4432,"SALIDA")</f>
        <v>23019.014999999992</v>
      </c>
    </row>
    <row r="4433" spans="1:5" x14ac:dyDescent="0.3">
      <c r="A4433" s="9">
        <f>'Volúmenes DIstribuidos '!B2697</f>
        <v>45618</v>
      </c>
      <c r="B4433" s="10" t="str">
        <f>IF(OR('Volúmenes DIstribuidos '!C2702="Azúcar",'Volúmenes DIstribuidos '!C2702="azúcar"),"Azúcar o dulce",IF('Volúmenes DIstribuidos '!C2702="Aceite","Aceite o grasas",IF('Volúmenes DIstribuidos '!C2702="Avena","Otros almidones",'Volúmenes DIstribuidos '!C2702)))</f>
        <v>Aceite o grasas</v>
      </c>
      <c r="C4433" s="10" t="s">
        <v>29</v>
      </c>
      <c r="D4433" s="12">
        <f>'Volúmenes DIstribuidos '!D2702</f>
        <v>14.194000000000001</v>
      </c>
      <c r="E4433" s="12">
        <f>SUMIF('Parametros Inventario'!$A:$A,B4433,'Parametros Inventario'!$B:$B)+SUMIFS(D$2:D4433,B$2:B4433,B4433,C$2:C4433,"ENTRADA")-SUMIFS(D$2:D4433,B$2:B4433,B4433,C$2:C4433,"SALIDA")</f>
        <v>20446.119000000013</v>
      </c>
    </row>
    <row r="4434" spans="1:5" x14ac:dyDescent="0.3">
      <c r="A4434" s="9">
        <f>'Volúmenes DIstribuidos '!B2703</f>
        <v>45622</v>
      </c>
      <c r="B4434" s="10" t="str">
        <f>IF(OR('Volúmenes DIstribuidos '!C2703="Azúcar",'Volúmenes DIstribuidos '!C2703="azúcar"),"Azúcar o dulce",IF('Volúmenes DIstribuidos '!C2703="Aceite","Aceite o grasas",IF('Volúmenes DIstribuidos '!C2703="Avena","Otros almidones",'Volúmenes DIstribuidos '!C2703)))</f>
        <v>Aceite o grasas</v>
      </c>
      <c r="C4434" s="10" t="s">
        <v>29</v>
      </c>
      <c r="D4434" s="12">
        <f>'Volúmenes DIstribuidos '!D2703</f>
        <v>18.75</v>
      </c>
      <c r="E4434" s="12">
        <f>SUMIF('Parametros Inventario'!$A:$A,B4434,'Parametros Inventario'!$B:$B)+SUMIFS(D$2:D4434,B$2:B4434,B4434,C$2:C4434,"ENTRADA")-SUMIFS(D$2:D4434,B$2:B4434,B4434,C$2:C4434,"SALIDA")</f>
        <v>20427.369000000013</v>
      </c>
    </row>
    <row r="4435" spans="1:5" x14ac:dyDescent="0.3">
      <c r="A4435" s="9">
        <f>'Volúmenes DIstribuidos '!B2703</f>
        <v>45622</v>
      </c>
      <c r="B4435" s="10" t="str">
        <f>IF(OR('Volúmenes DIstribuidos '!C2704="Azúcar",'Volúmenes DIstribuidos '!C2704="azúcar"),"Azúcar o dulce",IF('Volúmenes DIstribuidos '!C2704="Aceite","Aceite o grasas",IF('Volúmenes DIstribuidos '!C2704="Avena","Otros almidones",'Volúmenes DIstribuidos '!C2704)))</f>
        <v>Otros almidones</v>
      </c>
      <c r="C4435" s="10" t="s">
        <v>29</v>
      </c>
      <c r="D4435" s="12">
        <f>'Volúmenes DIstribuidos '!D2704</f>
        <v>50.99</v>
      </c>
      <c r="E4435" s="12">
        <f>SUMIF('Parametros Inventario'!$A:$A,B4435,'Parametros Inventario'!$B:$B)+SUMIFS(D$2:D4435,B$2:B4435,B4435,C$2:C4435,"ENTRADA")-SUMIFS(D$2:D4435,B$2:B4435,B4435,C$2:C4435,"SALIDA")</f>
        <v>22968.024999999994</v>
      </c>
    </row>
    <row r="4436" spans="1:5" x14ac:dyDescent="0.3">
      <c r="A4436" s="9">
        <f>'Volúmenes DIstribuidos '!B2703</f>
        <v>45622</v>
      </c>
      <c r="B4436" s="10" t="str">
        <f>IF(OR('Volúmenes DIstribuidos '!C2705="Azúcar",'Volúmenes DIstribuidos '!C2705="azúcar"),"Azúcar o dulce",IF('Volúmenes DIstribuidos '!C2705="Aceite","Aceite o grasas",IF('Volúmenes DIstribuidos '!C2705="Avena","Otros almidones",'Volúmenes DIstribuidos '!C2705)))</f>
        <v>Fideo</v>
      </c>
      <c r="C4436" s="10" t="s">
        <v>29</v>
      </c>
      <c r="D4436" s="12">
        <f>'Volúmenes DIstribuidos '!D2705</f>
        <v>8.59</v>
      </c>
      <c r="E4436" s="12">
        <f>SUMIF('Parametros Inventario'!$A:$A,B4436,'Parametros Inventario'!$B:$B)+SUMIFS(D$2:D4436,B$2:B4436,B4436,C$2:C4436,"ENTRADA")-SUMIFS(D$2:D4436,B$2:B4436,B4436,C$2:C4436,"SALIDA")</f>
        <v>23618.198000000015</v>
      </c>
    </row>
    <row r="4437" spans="1:5" x14ac:dyDescent="0.3">
      <c r="A4437" s="9">
        <f>'Volúmenes DIstribuidos '!B2703</f>
        <v>45622</v>
      </c>
      <c r="B4437" s="10" t="str">
        <f>IF(OR('Volúmenes DIstribuidos '!C2706="Azúcar",'Volúmenes DIstribuidos '!C2706="azúcar"),"Azúcar o dulce",IF('Volúmenes DIstribuidos '!C2706="Aceite","Aceite o grasas",IF('Volúmenes DIstribuidos '!C2706="Avena","Otros almidones",'Volúmenes DIstribuidos '!C2706)))</f>
        <v>Menestras</v>
      </c>
      <c r="C4437" s="10" t="s">
        <v>29</v>
      </c>
      <c r="D4437" s="12">
        <f>'Volúmenes DIstribuidos '!D2706</f>
        <v>19.809999999999999</v>
      </c>
      <c r="E4437" s="12">
        <f>SUMIF('Parametros Inventario'!$A:$A,B4437,'Parametros Inventario'!$B:$B)+SUMIFS(D$2:D4437,B$2:B4437,B4437,C$2:C4437,"ENTRADA")-SUMIFS(D$2:D4437,B$2:B4437,B4437,C$2:C4437,"SALIDA")</f>
        <v>20765.514999999992</v>
      </c>
    </row>
    <row r="4438" spans="1:5" x14ac:dyDescent="0.3">
      <c r="A4438" s="9">
        <f>'Volúmenes DIstribuidos '!B2703</f>
        <v>45622</v>
      </c>
      <c r="B4438" s="10" t="str">
        <f>IF(OR('Volúmenes DIstribuidos '!C2707="Azúcar",'Volúmenes DIstribuidos '!C2707="azúcar"),"Azúcar o dulce",IF('Volúmenes DIstribuidos '!C2707="Aceite","Aceite o grasas",IF('Volúmenes DIstribuidos '!C2707="Avena","Otros almidones",'Volúmenes DIstribuidos '!C2707)))</f>
        <v>Lácteos</v>
      </c>
      <c r="C4438" s="10" t="s">
        <v>29</v>
      </c>
      <c r="D4438" s="12">
        <f>'Volúmenes DIstribuidos '!D2707</f>
        <v>20.36</v>
      </c>
      <c r="E4438" s="12">
        <f>SUMIF('Parametros Inventario'!$A:$A,B4438,'Parametros Inventario'!$B:$B)+SUMIFS(D$2:D4438,B$2:B4438,B4438,C$2:C4438,"ENTRADA")-SUMIFS(D$2:D4438,B$2:B4438,B4438,C$2:C4438,"SALIDA")</f>
        <v>20051.152000000002</v>
      </c>
    </row>
    <row r="4439" spans="1:5" x14ac:dyDescent="0.3">
      <c r="A4439" s="9">
        <f>'Volúmenes DIstribuidos '!B2703</f>
        <v>45622</v>
      </c>
      <c r="B4439" s="10" t="str">
        <f>IF(OR('Volúmenes DIstribuidos '!C2708="Azúcar",'Volúmenes DIstribuidos '!C2708="azúcar"),"Azúcar o dulce",IF('Volúmenes DIstribuidos '!C2708="Aceite","Aceite o grasas",IF('Volúmenes DIstribuidos '!C2708="Avena","Otros almidones",'Volúmenes DIstribuidos '!C2708)))</f>
        <v>Carnes blancas</v>
      </c>
      <c r="C4439" s="10" t="s">
        <v>29</v>
      </c>
      <c r="D4439" s="12">
        <f>'Volúmenes DIstribuidos '!D2708</f>
        <v>10.84</v>
      </c>
      <c r="E4439" s="12">
        <f>SUMIF('Parametros Inventario'!$A:$A,B4439,'Parametros Inventario'!$B:$B)+SUMIFS(D$2:D4439,B$2:B4439,B4439,C$2:C4439,"ENTRADA")-SUMIFS(D$2:D4439,B$2:B4439,B4439,C$2:C4439,"SALIDA")</f>
        <v>21434.380000000005</v>
      </c>
    </row>
    <row r="4440" spans="1:5" x14ac:dyDescent="0.3">
      <c r="A4440" s="9">
        <v>45625</v>
      </c>
      <c r="B4440" s="10" t="s">
        <v>12</v>
      </c>
      <c r="C4440" s="10" t="s">
        <v>28</v>
      </c>
      <c r="D4440" s="12">
        <v>173.99</v>
      </c>
      <c r="E4440" s="12">
        <f>SUMIF('Parametros Inventario'!$A:$A,B4440,'Parametros Inventario'!$B:$B)+SUMIFS(D$2:D4440,B$2:B4440,B4440,C$2:C4440,"ENTRADA")-SUMIFS(D$2:D4440,B$2:B4440,B4440,C$2:C4440,"SALIDA")</f>
        <v>20177.860000000004</v>
      </c>
    </row>
    <row r="4441" spans="1:5" x14ac:dyDescent="0.3">
      <c r="A4441" s="9">
        <v>45625</v>
      </c>
      <c r="B4441" s="10" t="s">
        <v>16</v>
      </c>
      <c r="C4441" s="10" t="s">
        <v>28</v>
      </c>
      <c r="D4441" s="12">
        <v>164.85</v>
      </c>
      <c r="E4441" s="12">
        <f>SUMIF('Parametros Inventario'!$A:$A,B4441,'Parametros Inventario'!$B:$B)+SUMIFS(D$2:D4441,B$2:B4441,B4441,C$2:C4441,"ENTRADA")-SUMIFS(D$2:D4441,B$2:B4441,B4441,C$2:C4441,"SALIDA")</f>
        <v>21599.230000000003</v>
      </c>
    </row>
    <row r="4442" spans="1:5" x14ac:dyDescent="0.3">
      <c r="A4442" s="9">
        <v>45625</v>
      </c>
      <c r="B4442" s="10" t="s">
        <v>17</v>
      </c>
      <c r="C4442" s="10" t="s">
        <v>28</v>
      </c>
      <c r="D4442" s="12">
        <v>253.9</v>
      </c>
      <c r="E4442" s="12">
        <f>SUMIF('Parametros Inventario'!$A:$A,B4442,'Parametros Inventario'!$B:$B)+SUMIFS(D$2:D4442,B$2:B4442,B4442,C$2:C4442,"ENTRADA")-SUMIFS(D$2:D4442,B$2:B4442,B4442,C$2:C4442,"SALIDA")</f>
        <v>20305.052000000003</v>
      </c>
    </row>
    <row r="4443" spans="1:5" x14ac:dyDescent="0.3">
      <c r="A4443" s="9">
        <v>45625</v>
      </c>
      <c r="B4443" s="10" t="s">
        <v>18</v>
      </c>
      <c r="C4443" s="10" t="s">
        <v>28</v>
      </c>
      <c r="D4443" s="12">
        <v>94.03</v>
      </c>
      <c r="E4443" s="12">
        <f>SUMIF('Parametros Inventario'!$A:$A,B4443,'Parametros Inventario'!$B:$B)+SUMIFS(D$2:D4443,B$2:B4443,B4443,C$2:C4443,"ENTRADA")-SUMIFS(D$2:D4443,B$2:B4443,B4443,C$2:C4443,"SALIDA")</f>
        <v>20576.869999999984</v>
      </c>
    </row>
    <row r="4444" spans="1:5" x14ac:dyDescent="0.3">
      <c r="A4444" s="9">
        <v>45625</v>
      </c>
      <c r="B4444" s="10" t="s">
        <v>10</v>
      </c>
      <c r="C4444" s="10" t="s">
        <v>28</v>
      </c>
      <c r="D4444" s="12">
        <v>192.41</v>
      </c>
      <c r="E4444" s="12">
        <f>SUMIF('Parametros Inventario'!$A:$A,B4444,'Parametros Inventario'!$B:$B)+SUMIFS(D$2:D4444,B$2:B4444,B4444,C$2:C4444,"ENTRADA")-SUMIFS(D$2:D4444,B$2:B4444,B4444,C$2:C4444,"SALIDA")</f>
        <v>21909.218000000008</v>
      </c>
    </row>
    <row r="4445" spans="1:5" x14ac:dyDescent="0.3">
      <c r="A4445" s="9">
        <v>45625</v>
      </c>
      <c r="B4445" s="10" t="s">
        <v>8</v>
      </c>
      <c r="C4445" s="10" t="s">
        <v>28</v>
      </c>
      <c r="D4445" s="12">
        <v>285.83999999999997</v>
      </c>
      <c r="E4445" s="12">
        <f>SUMIF('Parametros Inventario'!$A:$A,B4445,'Parametros Inventario'!$B:$B)+SUMIFS(D$2:D4445,B$2:B4445,B4445,C$2:C4445,"ENTRADA")-SUMIFS(D$2:D4445,B$2:B4445,B4445,C$2:C4445,"SALIDA")</f>
        <v>20713.20900000001</v>
      </c>
    </row>
    <row r="4446" spans="1:5" x14ac:dyDescent="0.3">
      <c r="A4446" s="9">
        <v>45625</v>
      </c>
      <c r="B4446" s="10" t="s">
        <v>13</v>
      </c>
      <c r="C4446" s="10" t="s">
        <v>28</v>
      </c>
      <c r="D4446" s="12">
        <v>95.1</v>
      </c>
      <c r="E4446" s="12">
        <f>SUMIF('Parametros Inventario'!$A:$A,B4446,'Parametros Inventario'!$B:$B)+SUMIFS(D$2:D4446,B$2:B4446,B4446,C$2:C4446,"ENTRADA")-SUMIFS(D$2:D4446,B$2:B4446,B4446,C$2:C4446,"SALIDA")</f>
        <v>20525.156999999992</v>
      </c>
    </row>
    <row r="4447" spans="1:5" x14ac:dyDescent="0.3">
      <c r="A4447" s="9">
        <v>45625</v>
      </c>
      <c r="B4447" s="10" t="s">
        <v>15</v>
      </c>
      <c r="C4447" s="10" t="s">
        <v>28</v>
      </c>
      <c r="D4447" s="12">
        <v>120.51</v>
      </c>
      <c r="E4447" s="12">
        <f>SUMIF('Parametros Inventario'!$A:$A,B4447,'Parametros Inventario'!$B:$B)+SUMIFS(D$2:D4447,B$2:B4447,B4447,C$2:C4447,"ENTRADA")-SUMIFS(D$2:D4447,B$2:B4447,B4447,C$2:C4447,"SALIDA")</f>
        <v>23088.534999999993</v>
      </c>
    </row>
    <row r="4448" spans="1:5" x14ac:dyDescent="0.3">
      <c r="A4448" s="9">
        <v>45625</v>
      </c>
      <c r="B4448" s="10" t="s">
        <v>11</v>
      </c>
      <c r="C4448" s="10" t="s">
        <v>28</v>
      </c>
      <c r="D4448" s="12">
        <v>127.54</v>
      </c>
      <c r="E4448" s="12">
        <f>SUMIF('Parametros Inventario'!$A:$A,B4448,'Parametros Inventario'!$B:$B)+SUMIFS(D$2:D4448,B$2:B4448,B4448,C$2:C4448,"ENTRADA")-SUMIFS(D$2:D4448,B$2:B4448,B4448,C$2:C4448,"SALIDA")</f>
        <v>23745.738000000016</v>
      </c>
    </row>
    <row r="4449" spans="1:5" x14ac:dyDescent="0.3">
      <c r="A4449" s="9">
        <v>45625</v>
      </c>
      <c r="B4449" s="10" t="s">
        <v>9</v>
      </c>
      <c r="C4449" s="10" t="s">
        <v>28</v>
      </c>
      <c r="D4449" s="12">
        <v>271.31</v>
      </c>
      <c r="E4449" s="12">
        <f>SUMIF('Parametros Inventario'!$A:$A,B4449,'Parametros Inventario'!$B:$B)+SUMIFS(D$2:D4449,B$2:B4449,B4449,C$2:C4449,"ENTRADA")-SUMIFS(D$2:D4449,B$2:B4449,B4449,C$2:C4449,"SALIDA")</f>
        <v>19216.998999999993</v>
      </c>
    </row>
    <row r="4450" spans="1:5" x14ac:dyDescent="0.3">
      <c r="A4450" s="9">
        <f>'Volúmenes DIstribuidos '!B2709</f>
        <v>45625</v>
      </c>
      <c r="B4450" s="10" t="str">
        <f>IF(OR('Volúmenes DIstribuidos '!C2709="Azúcar",'Volúmenes DIstribuidos '!C2709="azúcar"),"Azúcar o dulce",IF('Volúmenes DIstribuidos '!C2709="Aceite","Aceite o grasas",IF('Volúmenes DIstribuidos '!C2709="Avena","Otros almidones",'Volúmenes DIstribuidos '!C2709)))</f>
        <v>Carnes rojas</v>
      </c>
      <c r="C4450" s="10" t="s">
        <v>29</v>
      </c>
      <c r="D4450" s="12">
        <f>'Volúmenes DIstribuidos '!D2709</f>
        <v>8.31</v>
      </c>
      <c r="E4450" s="12">
        <f>SUMIF('Parametros Inventario'!$A:$A,B4450,'Parametros Inventario'!$B:$B)+SUMIFS(D$2:D4450,B$2:B4450,B4450,C$2:C4450,"ENTRADA")-SUMIFS(D$2:D4450,B$2:B4450,B4450,C$2:C4450,"SALIDA")</f>
        <v>20169.550000000003</v>
      </c>
    </row>
    <row r="4451" spans="1:5" x14ac:dyDescent="0.3">
      <c r="A4451" s="9">
        <f>'Volúmenes DIstribuidos '!B2709</f>
        <v>45625</v>
      </c>
      <c r="B4451" s="10" t="str">
        <f>IF(OR('Volúmenes DIstribuidos '!C2710="Azúcar",'Volúmenes DIstribuidos '!C2710="azúcar"),"Azúcar o dulce",IF('Volúmenes DIstribuidos '!C2710="Aceite","Aceite o grasas",IF('Volúmenes DIstribuidos '!C2710="Avena","Otros almidones",'Volúmenes DIstribuidos '!C2710)))</f>
        <v>Menestras</v>
      </c>
      <c r="C4451" s="10" t="s">
        <v>29</v>
      </c>
      <c r="D4451" s="12">
        <f>'Volúmenes DIstribuidos '!D2710</f>
        <v>21.38</v>
      </c>
      <c r="E4451" s="12">
        <f>SUMIF('Parametros Inventario'!$A:$A,B4451,'Parametros Inventario'!$B:$B)+SUMIFS(D$2:D4451,B$2:B4451,B4451,C$2:C4451,"ENTRADA")-SUMIFS(D$2:D4451,B$2:B4451,B4451,C$2:C4451,"SALIDA")</f>
        <v>20744.134999999991</v>
      </c>
    </row>
    <row r="4452" spans="1:5" x14ac:dyDescent="0.3">
      <c r="A4452" s="9">
        <f>'Volúmenes DIstribuidos '!B2709</f>
        <v>45625</v>
      </c>
      <c r="B4452" s="10" t="str">
        <f>IF(OR('Volúmenes DIstribuidos '!C2711="Azúcar",'Volúmenes DIstribuidos '!C2711="azúcar"),"Azúcar o dulce",IF('Volúmenes DIstribuidos '!C2711="Aceite","Aceite o grasas",IF('Volúmenes DIstribuidos '!C2711="Avena","Otros almidones",'Volúmenes DIstribuidos '!C2711)))</f>
        <v>Otros almidones</v>
      </c>
      <c r="C4452" s="10" t="s">
        <v>29</v>
      </c>
      <c r="D4452" s="12">
        <f>'Volúmenes DIstribuidos '!D2711</f>
        <v>55.95</v>
      </c>
      <c r="E4452" s="12">
        <f>SUMIF('Parametros Inventario'!$A:$A,B4452,'Parametros Inventario'!$B:$B)+SUMIFS(D$2:D4452,B$2:B4452,B4452,C$2:C4452,"ENTRADA")-SUMIFS(D$2:D4452,B$2:B4452,B4452,C$2:C4452,"SALIDA")</f>
        <v>23032.584999999992</v>
      </c>
    </row>
    <row r="4453" spans="1:5" x14ac:dyDescent="0.3">
      <c r="A4453" s="9">
        <f>'Volúmenes DIstribuidos '!B2709</f>
        <v>45625</v>
      </c>
      <c r="B4453" s="10" t="str">
        <f>IF(OR('Volúmenes DIstribuidos '!C2712="Azúcar",'Volúmenes DIstribuidos '!C2712="azúcar"),"Azúcar o dulce",IF('Volúmenes DIstribuidos '!C2712="Aceite","Aceite o grasas",IF('Volúmenes DIstribuidos '!C2712="Avena","Otros almidones",'Volúmenes DIstribuidos '!C2712)))</f>
        <v>Azúcar o dulce</v>
      </c>
      <c r="C4453" s="10" t="s">
        <v>29</v>
      </c>
      <c r="D4453" s="12">
        <f>'Volúmenes DIstribuidos '!D2712</f>
        <v>83.6</v>
      </c>
      <c r="E4453" s="12">
        <f>SUMIF('Parametros Inventario'!$A:$A,B4453,'Parametros Inventario'!$B:$B)+SUMIFS(D$2:D4453,B$2:B4453,B4453,C$2:C4453,"ENTRADA")-SUMIFS(D$2:D4453,B$2:B4453,B4453,C$2:C4453,"SALIDA")</f>
        <v>20441.556999999993</v>
      </c>
    </row>
    <row r="4454" spans="1:5" x14ac:dyDescent="0.3">
      <c r="A4454" s="9">
        <f>'Volúmenes DIstribuidos '!B2709</f>
        <v>45625</v>
      </c>
      <c r="B4454" s="10" t="str">
        <f>IF(OR('Volúmenes DIstribuidos '!C2713="Azúcar",'Volúmenes DIstribuidos '!C2713="azúcar"),"Azúcar o dulce",IF('Volúmenes DIstribuidos '!C2713="Aceite","Aceite o grasas",IF('Volúmenes DIstribuidos '!C2713="Avena","Otros almidones",'Volúmenes DIstribuidos '!C2713)))</f>
        <v>Panadería</v>
      </c>
      <c r="C4454" s="10" t="s">
        <v>29</v>
      </c>
      <c r="D4454" s="12">
        <f>'Volúmenes DIstribuidos '!D2713</f>
        <v>13.62</v>
      </c>
      <c r="E4454" s="12">
        <f>SUMIF('Parametros Inventario'!$A:$A,B4454,'Parametros Inventario'!$B:$B)+SUMIFS(D$2:D4454,B$2:B4454,B4454,C$2:C4454,"ENTRADA")-SUMIFS(D$2:D4454,B$2:B4454,B4454,C$2:C4454,"SALIDA")</f>
        <v>19203.378999999994</v>
      </c>
    </row>
    <row r="4455" spans="1:5" x14ac:dyDescent="0.3">
      <c r="A4455" s="9">
        <f>'Volúmenes DIstribuidos '!B2709</f>
        <v>45625</v>
      </c>
      <c r="B4455" s="10" t="str">
        <f>IF(OR('Volúmenes DIstribuidos '!C2714="Azúcar",'Volúmenes DIstribuidos '!C2714="azúcar"),"Azúcar o dulce",IF('Volúmenes DIstribuidos '!C2714="Aceite","Aceite o grasas",IF('Volúmenes DIstribuidos '!C2714="Avena","Otros almidones",'Volúmenes DIstribuidos '!C2714)))</f>
        <v>Salsas</v>
      </c>
      <c r="C4455" s="10" t="s">
        <v>29</v>
      </c>
      <c r="D4455" s="12">
        <f>'Volúmenes DIstribuidos '!D2714</f>
        <v>87.4</v>
      </c>
      <c r="E4455" s="12">
        <f>SUMIF('Parametros Inventario'!$A:$A,B4455,'Parametros Inventario'!$B:$B)+SUMIFS(D$2:D4455,B$2:B4455,B4455,C$2:C4455,"ENTRADA")-SUMIFS(D$2:D4455,B$2:B4455,B4455,C$2:C4455,"SALIDA")</f>
        <v>20489.469999999987</v>
      </c>
    </row>
    <row r="4456" spans="1:5" x14ac:dyDescent="0.3">
      <c r="A4456" s="9">
        <f>'Volúmenes DIstribuidos '!B2715</f>
        <v>45629</v>
      </c>
      <c r="B4456" s="10" t="str">
        <f>IF(OR('Volúmenes DIstribuidos '!C2715="Azúcar",'Volúmenes DIstribuidos '!C2715="azúcar"),"Azúcar o dulce",IF('Volúmenes DIstribuidos '!C2715="Aceite","Aceite o grasas",IF('Volúmenes DIstribuidos '!C2715="Avena","Otros almidones",'Volúmenes DIstribuidos '!C2715)))</f>
        <v>Fideo</v>
      </c>
      <c r="C4456" s="10" t="s">
        <v>29</v>
      </c>
      <c r="D4456" s="12">
        <f>'Volúmenes DIstribuidos '!D2715</f>
        <v>49.92</v>
      </c>
      <c r="E4456" s="12">
        <f>SUMIF('Parametros Inventario'!$A:$A,B4456,'Parametros Inventario'!$B:$B)+SUMIFS(D$2:D4456,B$2:B4456,B4456,C$2:C4456,"ENTRADA")-SUMIFS(D$2:D4456,B$2:B4456,B4456,C$2:C4456,"SALIDA")</f>
        <v>23695.818000000014</v>
      </c>
    </row>
    <row r="4457" spans="1:5" x14ac:dyDescent="0.3">
      <c r="A4457" s="9">
        <f>'Volúmenes DIstribuidos '!B2715</f>
        <v>45629</v>
      </c>
      <c r="B4457" s="10" t="str">
        <f>IF(OR('Volúmenes DIstribuidos '!C2716="Azúcar",'Volúmenes DIstribuidos '!C2716="azúcar"),"Azúcar o dulce",IF('Volúmenes DIstribuidos '!C2716="Aceite","Aceite o grasas",IF('Volúmenes DIstribuidos '!C2716="Avena","Otros almidones",'Volúmenes DIstribuidos '!C2716)))</f>
        <v>Menestras</v>
      </c>
      <c r="C4457" s="10" t="s">
        <v>29</v>
      </c>
      <c r="D4457" s="12">
        <f>'Volúmenes DIstribuidos '!D2716</f>
        <v>35.283000000000001</v>
      </c>
      <c r="E4457" s="12">
        <f>SUMIF('Parametros Inventario'!$A:$A,B4457,'Parametros Inventario'!$B:$B)+SUMIFS(D$2:D4457,B$2:B4457,B4457,C$2:C4457,"ENTRADA")-SUMIFS(D$2:D4457,B$2:B4457,B4457,C$2:C4457,"SALIDA")</f>
        <v>20708.851999999992</v>
      </c>
    </row>
    <row r="4458" spans="1:5" x14ac:dyDescent="0.3">
      <c r="A4458" s="9">
        <f>'Volúmenes DIstribuidos '!B2715</f>
        <v>45629</v>
      </c>
      <c r="B4458" s="10" t="str">
        <f>IF(OR('Volúmenes DIstribuidos '!C2717="Azúcar",'Volúmenes DIstribuidos '!C2717="azúcar"),"Azúcar o dulce",IF('Volúmenes DIstribuidos '!C2717="Aceite","Aceite o grasas",IF('Volúmenes DIstribuidos '!C2717="Avena","Otros almidones",'Volúmenes DIstribuidos '!C2717)))</f>
        <v>Otros almidones</v>
      </c>
      <c r="C4458" s="10" t="s">
        <v>29</v>
      </c>
      <c r="D4458" s="12">
        <f>'Volúmenes DIstribuidos '!D2717</f>
        <v>22.27</v>
      </c>
      <c r="E4458" s="12">
        <f>SUMIF('Parametros Inventario'!$A:$A,B4458,'Parametros Inventario'!$B:$B)+SUMIFS(D$2:D4458,B$2:B4458,B4458,C$2:C4458,"ENTRADA")-SUMIFS(D$2:D4458,B$2:B4458,B4458,C$2:C4458,"SALIDA")</f>
        <v>23010.314999999991</v>
      </c>
    </row>
    <row r="4459" spans="1:5" x14ac:dyDescent="0.3">
      <c r="A4459" s="9">
        <f>'Volúmenes DIstribuidos '!B2715</f>
        <v>45629</v>
      </c>
      <c r="B4459" s="10" t="str">
        <f>IF(OR('Volúmenes DIstribuidos '!C2718="Azúcar",'Volúmenes DIstribuidos '!C2718="azúcar"),"Azúcar o dulce",IF('Volúmenes DIstribuidos '!C2718="Aceite","Aceite o grasas",IF('Volúmenes DIstribuidos '!C2718="Avena","Otros almidones",'Volúmenes DIstribuidos '!C2718)))</f>
        <v>Menestras</v>
      </c>
      <c r="C4459" s="10" t="s">
        <v>29</v>
      </c>
      <c r="D4459" s="12">
        <f>'Volúmenes DIstribuidos '!D2718</f>
        <v>43.92</v>
      </c>
      <c r="E4459" s="12">
        <f>SUMIF('Parametros Inventario'!$A:$A,B4459,'Parametros Inventario'!$B:$B)+SUMIFS(D$2:D4459,B$2:B4459,B4459,C$2:C4459,"ENTRADA")-SUMIFS(D$2:D4459,B$2:B4459,B4459,C$2:C4459,"SALIDA")</f>
        <v>20664.93199999999</v>
      </c>
    </row>
    <row r="4460" spans="1:5" x14ac:dyDescent="0.3">
      <c r="A4460" s="9">
        <f>'Volúmenes DIstribuidos '!B2715</f>
        <v>45629</v>
      </c>
      <c r="B4460" s="10" t="str">
        <f>IF(OR('Volúmenes DIstribuidos '!C2719="Azúcar",'Volúmenes DIstribuidos '!C2719="azúcar"),"Azúcar o dulce",IF('Volúmenes DIstribuidos '!C2719="Aceite","Aceite o grasas",IF('Volúmenes DIstribuidos '!C2719="Avena","Otros almidones",'Volúmenes DIstribuidos '!C2719)))</f>
        <v>Fideo</v>
      </c>
      <c r="C4460" s="10" t="s">
        <v>29</v>
      </c>
      <c r="D4460" s="12">
        <f>'Volúmenes DIstribuidos '!D2719</f>
        <v>23.07</v>
      </c>
      <c r="E4460" s="12">
        <f>SUMIF('Parametros Inventario'!$A:$A,B4460,'Parametros Inventario'!$B:$B)+SUMIFS(D$2:D4460,B$2:B4460,B4460,C$2:C4460,"ENTRADA")-SUMIFS(D$2:D4460,B$2:B4460,B4460,C$2:C4460,"SALIDA")</f>
        <v>23672.748000000014</v>
      </c>
    </row>
    <row r="4461" spans="1:5" x14ac:dyDescent="0.3">
      <c r="A4461" s="9">
        <f>'Volúmenes DIstribuidos '!B2715</f>
        <v>45629</v>
      </c>
      <c r="B4461" s="10" t="str">
        <f>IF(OR('Volúmenes DIstribuidos '!C2720="Azúcar",'Volúmenes DIstribuidos '!C2720="azúcar"),"Azúcar o dulce",IF('Volúmenes DIstribuidos '!C2720="Aceite","Aceite o grasas",IF('Volúmenes DIstribuidos '!C2720="Avena","Otros almidones",'Volúmenes DIstribuidos '!C2720)))</f>
        <v>Salsas</v>
      </c>
      <c r="C4461" s="10" t="s">
        <v>29</v>
      </c>
      <c r="D4461" s="12">
        <f>'Volúmenes DIstribuidos '!D2720</f>
        <v>25.1</v>
      </c>
      <c r="E4461" s="12">
        <f>SUMIF('Parametros Inventario'!$A:$A,B4461,'Parametros Inventario'!$B:$B)+SUMIFS(D$2:D4461,B$2:B4461,B4461,C$2:C4461,"ENTRADA")-SUMIFS(D$2:D4461,B$2:B4461,B4461,C$2:C4461,"SALIDA")</f>
        <v>20464.369999999984</v>
      </c>
    </row>
    <row r="4462" spans="1:5" x14ac:dyDescent="0.3">
      <c r="A4462" s="9">
        <v>45632</v>
      </c>
      <c r="B4462" s="10" t="s">
        <v>14</v>
      </c>
      <c r="C4462" s="10" t="s">
        <v>28</v>
      </c>
      <c r="D4462" s="12">
        <v>254.37</v>
      </c>
      <c r="E4462" s="12">
        <f>SUMIF('Parametros Inventario'!$A:$A,B4462,'Parametros Inventario'!$B:$B)+SUMIFS(D$2:D4462,B$2:B4462,B4462,C$2:C4462,"ENTRADA")-SUMIFS(D$2:D4462,B$2:B4462,B4462,C$2:C4462,"SALIDA")</f>
        <v>20919.301999999989</v>
      </c>
    </row>
    <row r="4463" spans="1:5" x14ac:dyDescent="0.3">
      <c r="A4463" s="9">
        <v>45632</v>
      </c>
      <c r="B4463" s="10" t="s">
        <v>12</v>
      </c>
      <c r="C4463" s="10" t="s">
        <v>28</v>
      </c>
      <c r="D4463" s="12">
        <v>221.84</v>
      </c>
      <c r="E4463" s="12">
        <f>SUMIF('Parametros Inventario'!$A:$A,B4463,'Parametros Inventario'!$B:$B)+SUMIFS(D$2:D4463,B$2:B4463,B4463,C$2:C4463,"ENTRADA")-SUMIFS(D$2:D4463,B$2:B4463,B4463,C$2:C4463,"SALIDA")</f>
        <v>20391.390000000003</v>
      </c>
    </row>
    <row r="4464" spans="1:5" x14ac:dyDescent="0.3">
      <c r="A4464" s="9">
        <v>45632</v>
      </c>
      <c r="B4464" s="10" t="s">
        <v>16</v>
      </c>
      <c r="C4464" s="10" t="s">
        <v>28</v>
      </c>
      <c r="D4464" s="12">
        <v>96.96</v>
      </c>
      <c r="E4464" s="12">
        <f>SUMIF('Parametros Inventario'!$A:$A,B4464,'Parametros Inventario'!$B:$B)+SUMIFS(D$2:D4464,B$2:B4464,B4464,C$2:C4464,"ENTRADA")-SUMIFS(D$2:D4464,B$2:B4464,B4464,C$2:C4464,"SALIDA")</f>
        <v>21696.190000000002</v>
      </c>
    </row>
    <row r="4465" spans="1:5" x14ac:dyDescent="0.3">
      <c r="A4465" s="9">
        <v>45632</v>
      </c>
      <c r="B4465" s="10" t="s">
        <v>17</v>
      </c>
      <c r="C4465" s="10" t="s">
        <v>28</v>
      </c>
      <c r="D4465" s="12">
        <v>85.88</v>
      </c>
      <c r="E4465" s="12">
        <f>SUMIF('Parametros Inventario'!$A:$A,B4465,'Parametros Inventario'!$B:$B)+SUMIFS(D$2:D4465,B$2:B4465,B4465,C$2:C4465,"ENTRADA")-SUMIFS(D$2:D4465,B$2:B4465,B4465,C$2:C4465,"SALIDA")</f>
        <v>20390.932000000008</v>
      </c>
    </row>
    <row r="4466" spans="1:5" x14ac:dyDescent="0.3">
      <c r="A4466" s="9">
        <v>45632</v>
      </c>
      <c r="B4466" s="10" t="s">
        <v>18</v>
      </c>
      <c r="C4466" s="10" t="s">
        <v>28</v>
      </c>
      <c r="D4466" s="12">
        <v>156.6</v>
      </c>
      <c r="E4466" s="12">
        <f>SUMIF('Parametros Inventario'!$A:$A,B4466,'Parametros Inventario'!$B:$B)+SUMIFS(D$2:D4466,B$2:B4466,B4466,C$2:C4466,"ENTRADA")-SUMIFS(D$2:D4466,B$2:B4466,B4466,C$2:C4466,"SALIDA")</f>
        <v>20620.969999999983</v>
      </c>
    </row>
    <row r="4467" spans="1:5" x14ac:dyDescent="0.3">
      <c r="A4467" s="9">
        <v>45632</v>
      </c>
      <c r="B4467" s="10" t="s">
        <v>10</v>
      </c>
      <c r="C4467" s="10" t="s">
        <v>28</v>
      </c>
      <c r="D4467" s="12">
        <v>163.76</v>
      </c>
      <c r="E4467" s="12">
        <f>SUMIF('Parametros Inventario'!$A:$A,B4467,'Parametros Inventario'!$B:$B)+SUMIFS(D$2:D4467,B$2:B4467,B4467,C$2:C4467,"ENTRADA")-SUMIFS(D$2:D4467,B$2:B4467,B4467,C$2:C4467,"SALIDA")</f>
        <v>22072.978000000006</v>
      </c>
    </row>
    <row r="4468" spans="1:5" x14ac:dyDescent="0.3">
      <c r="A4468" s="9">
        <v>45632</v>
      </c>
      <c r="B4468" s="10" t="s">
        <v>8</v>
      </c>
      <c r="C4468" s="10" t="s">
        <v>28</v>
      </c>
      <c r="D4468" s="12">
        <v>211.28</v>
      </c>
      <c r="E4468" s="12">
        <f>SUMIF('Parametros Inventario'!$A:$A,B4468,'Parametros Inventario'!$B:$B)+SUMIFS(D$2:D4468,B$2:B4468,B4468,C$2:C4468,"ENTRADA")-SUMIFS(D$2:D4468,B$2:B4468,B4468,C$2:C4468,"SALIDA")</f>
        <v>20924.489000000009</v>
      </c>
    </row>
    <row r="4469" spans="1:5" x14ac:dyDescent="0.3">
      <c r="A4469" s="9">
        <v>45632</v>
      </c>
      <c r="B4469" s="10" t="s">
        <v>13</v>
      </c>
      <c r="C4469" s="10" t="s">
        <v>28</v>
      </c>
      <c r="D4469" s="12">
        <v>150.63</v>
      </c>
      <c r="E4469" s="12">
        <f>SUMIF('Parametros Inventario'!$A:$A,B4469,'Parametros Inventario'!$B:$B)+SUMIFS(D$2:D4469,B$2:B4469,B4469,C$2:C4469,"ENTRADA")-SUMIFS(D$2:D4469,B$2:B4469,B4469,C$2:C4469,"SALIDA")</f>
        <v>20592.186999999994</v>
      </c>
    </row>
    <row r="4470" spans="1:5" x14ac:dyDescent="0.3">
      <c r="A4470" s="9">
        <f>'Volúmenes DIstribuidos '!B2721</f>
        <v>45632</v>
      </c>
      <c r="B4470" s="10" t="str">
        <f>IF(OR('Volúmenes DIstribuidos '!C2721="Azúcar",'Volúmenes DIstribuidos '!C2721="azúcar"),"Azúcar o dulce",IF('Volúmenes DIstribuidos '!C2721="Aceite","Aceite o grasas",IF('Volúmenes DIstribuidos '!C2721="Avena","Otros almidones",'Volúmenes DIstribuidos '!C2721)))</f>
        <v>Carnes blancas</v>
      </c>
      <c r="C4470" s="10" t="s">
        <v>29</v>
      </c>
      <c r="D4470" s="12">
        <f>'Volúmenes DIstribuidos '!D2721</f>
        <v>47.32</v>
      </c>
      <c r="E4470" s="12">
        <f>SUMIF('Parametros Inventario'!$A:$A,B4470,'Parametros Inventario'!$B:$B)+SUMIFS(D$2:D4470,B$2:B4470,B4470,C$2:C4470,"ENTRADA")-SUMIFS(D$2:D4470,B$2:B4470,B4470,C$2:C4470,"SALIDA")</f>
        <v>21648.870000000003</v>
      </c>
    </row>
    <row r="4471" spans="1:5" x14ac:dyDescent="0.3">
      <c r="A4471" s="9">
        <f>'Volúmenes DIstribuidos '!B2721</f>
        <v>45632</v>
      </c>
      <c r="B4471" s="10" t="str">
        <f>IF(OR('Volúmenes DIstribuidos '!C2722="Azúcar",'Volúmenes DIstribuidos '!C2722="azúcar"),"Azúcar o dulce",IF('Volúmenes DIstribuidos '!C2722="Aceite","Aceite o grasas",IF('Volúmenes DIstribuidos '!C2722="Avena","Otros almidones",'Volúmenes DIstribuidos '!C2722)))</f>
        <v>Panadería</v>
      </c>
      <c r="C4471" s="10" t="s">
        <v>29</v>
      </c>
      <c r="D4471" s="12">
        <f>'Volúmenes DIstribuidos '!D2722</f>
        <v>5.6369999999999996</v>
      </c>
      <c r="E4471" s="12">
        <f>SUMIF('Parametros Inventario'!$A:$A,B4471,'Parametros Inventario'!$B:$B)+SUMIFS(D$2:D4471,B$2:B4471,B4471,C$2:C4471,"ENTRADA")-SUMIFS(D$2:D4471,B$2:B4471,B4471,C$2:C4471,"SALIDA")</f>
        <v>19197.741999999991</v>
      </c>
    </row>
    <row r="4472" spans="1:5" x14ac:dyDescent="0.3">
      <c r="A4472" s="9">
        <f>'Volúmenes DIstribuidos '!B2721</f>
        <v>45632</v>
      </c>
      <c r="B4472" s="10" t="str">
        <f>IF(OR('Volúmenes DIstribuidos '!C2723="Azúcar",'Volúmenes DIstribuidos '!C2723="azúcar"),"Azúcar o dulce",IF('Volúmenes DIstribuidos '!C2723="Aceite","Aceite o grasas",IF('Volúmenes DIstribuidos '!C2723="Avena","Otros almidones",'Volúmenes DIstribuidos '!C2723)))</f>
        <v>Lácteos</v>
      </c>
      <c r="C4472" s="10" t="s">
        <v>29</v>
      </c>
      <c r="D4472" s="12">
        <f>'Volúmenes DIstribuidos '!D2723</f>
        <v>16.66</v>
      </c>
      <c r="E4472" s="12">
        <f>SUMIF('Parametros Inventario'!$A:$A,B4472,'Parametros Inventario'!$B:$B)+SUMIFS(D$2:D4472,B$2:B4472,B4472,C$2:C4472,"ENTRADA")-SUMIFS(D$2:D4472,B$2:B4472,B4472,C$2:C4472,"SALIDA")</f>
        <v>20374.272000000004</v>
      </c>
    </row>
    <row r="4473" spans="1:5" x14ac:dyDescent="0.3">
      <c r="A4473" s="9">
        <f>'Volúmenes DIstribuidos '!B2721</f>
        <v>45632</v>
      </c>
      <c r="B4473" s="10" t="str">
        <f>IF(OR('Volúmenes DIstribuidos '!C2724="Azúcar",'Volúmenes DIstribuidos '!C2724="azúcar"),"Azúcar o dulce",IF('Volúmenes DIstribuidos '!C2724="Aceite","Aceite o grasas",IF('Volúmenes DIstribuidos '!C2724="Avena","Otros almidones",'Volúmenes DIstribuidos '!C2724)))</f>
        <v>Azúcar o dulce</v>
      </c>
      <c r="C4473" s="10" t="s">
        <v>29</v>
      </c>
      <c r="D4473" s="12">
        <f>'Volúmenes DIstribuidos '!D2724</f>
        <v>13.45</v>
      </c>
      <c r="E4473" s="12">
        <f>SUMIF('Parametros Inventario'!$A:$A,B4473,'Parametros Inventario'!$B:$B)+SUMIFS(D$2:D4473,B$2:B4473,B4473,C$2:C4473,"ENTRADA")-SUMIFS(D$2:D4473,B$2:B4473,B4473,C$2:C4473,"SALIDA")</f>
        <v>20578.736999999994</v>
      </c>
    </row>
    <row r="4474" spans="1:5" x14ac:dyDescent="0.3">
      <c r="A4474" s="9">
        <f>'Volúmenes DIstribuidos '!B2721</f>
        <v>45632</v>
      </c>
      <c r="B4474" s="10" t="str">
        <f>IF(OR('Volúmenes DIstribuidos '!C2725="Azúcar",'Volúmenes DIstribuidos '!C2725="azúcar"),"Azúcar o dulce",IF('Volúmenes DIstribuidos '!C2725="Aceite","Aceite o grasas",IF('Volúmenes DIstribuidos '!C2725="Avena","Otros almidones",'Volúmenes DIstribuidos '!C2725)))</f>
        <v>Carnes blancas</v>
      </c>
      <c r="C4474" s="10" t="s">
        <v>29</v>
      </c>
      <c r="D4474" s="12">
        <f>'Volúmenes DIstribuidos '!D2725</f>
        <v>39.975999999999999</v>
      </c>
      <c r="E4474" s="12">
        <f>SUMIF('Parametros Inventario'!$A:$A,B4474,'Parametros Inventario'!$B:$B)+SUMIFS(D$2:D4474,B$2:B4474,B4474,C$2:C4474,"ENTRADA")-SUMIFS(D$2:D4474,B$2:B4474,B4474,C$2:C4474,"SALIDA")</f>
        <v>21608.894000000004</v>
      </c>
    </row>
    <row r="4475" spans="1:5" x14ac:dyDescent="0.3">
      <c r="A4475" s="9">
        <f>'Volúmenes DIstribuidos '!B2721</f>
        <v>45632</v>
      </c>
      <c r="B4475" s="10" t="str">
        <f>IF(OR('Volúmenes DIstribuidos '!C2726="Azúcar",'Volúmenes DIstribuidos '!C2726="azúcar"),"Azúcar o dulce",IF('Volúmenes DIstribuidos '!C2726="Aceite","Aceite o grasas",IF('Volúmenes DIstribuidos '!C2726="Avena","Otros almidones",'Volúmenes DIstribuidos '!C2726)))</f>
        <v>Carnes blancas</v>
      </c>
      <c r="C4475" s="10" t="s">
        <v>29</v>
      </c>
      <c r="D4475" s="12">
        <f>'Volúmenes DIstribuidos '!D2726</f>
        <v>28.41</v>
      </c>
      <c r="E4475" s="12">
        <f>SUMIF('Parametros Inventario'!$A:$A,B4475,'Parametros Inventario'!$B:$B)+SUMIFS(D$2:D4475,B$2:B4475,B4475,C$2:C4475,"ENTRADA")-SUMIFS(D$2:D4475,B$2:B4475,B4475,C$2:C4475,"SALIDA")</f>
        <v>21580.484000000004</v>
      </c>
    </row>
    <row r="4476" spans="1:5" x14ac:dyDescent="0.3">
      <c r="A4476" s="9">
        <f>'Volúmenes DIstribuidos '!B2727</f>
        <v>45636</v>
      </c>
      <c r="B4476" s="10" t="str">
        <f>IF(OR('Volúmenes DIstribuidos '!C2727="Azúcar",'Volúmenes DIstribuidos '!C2727="azúcar"),"Azúcar o dulce",IF('Volúmenes DIstribuidos '!C2727="Aceite","Aceite o grasas",IF('Volúmenes DIstribuidos '!C2727="Avena","Otros almidones",'Volúmenes DIstribuidos '!C2727)))</f>
        <v>Salsas</v>
      </c>
      <c r="C4476" s="10" t="s">
        <v>29</v>
      </c>
      <c r="D4476" s="12">
        <f>'Volúmenes DIstribuidos '!D2727</f>
        <v>42.97</v>
      </c>
      <c r="E4476" s="12">
        <f>SUMIF('Parametros Inventario'!$A:$A,B4476,'Parametros Inventario'!$B:$B)+SUMIFS(D$2:D4476,B$2:B4476,B4476,C$2:C4476,"ENTRADA")-SUMIFS(D$2:D4476,B$2:B4476,B4476,C$2:C4476,"SALIDA")</f>
        <v>20577.999999999985</v>
      </c>
    </row>
    <row r="4477" spans="1:5" x14ac:dyDescent="0.3">
      <c r="A4477" s="9">
        <f>'Volúmenes DIstribuidos '!B2727</f>
        <v>45636</v>
      </c>
      <c r="B4477" s="10" t="str">
        <f>IF(OR('Volúmenes DIstribuidos '!C2728="Azúcar",'Volúmenes DIstribuidos '!C2728="azúcar"),"Azúcar o dulce",IF('Volúmenes DIstribuidos '!C2728="Aceite","Aceite o grasas",IF('Volúmenes DIstribuidos '!C2728="Avena","Otros almidones",'Volúmenes DIstribuidos '!C2728)))</f>
        <v>Lácteos</v>
      </c>
      <c r="C4477" s="10" t="s">
        <v>29</v>
      </c>
      <c r="D4477" s="12">
        <f>'Volúmenes DIstribuidos '!D2728</f>
        <v>26.86</v>
      </c>
      <c r="E4477" s="12">
        <f>SUMIF('Parametros Inventario'!$A:$A,B4477,'Parametros Inventario'!$B:$B)+SUMIFS(D$2:D4477,B$2:B4477,B4477,C$2:C4477,"ENTRADA")-SUMIFS(D$2:D4477,B$2:B4477,B4477,C$2:C4477,"SALIDA")</f>
        <v>20347.412000000008</v>
      </c>
    </row>
    <row r="4478" spans="1:5" x14ac:dyDescent="0.3">
      <c r="A4478" s="9">
        <f>'Volúmenes DIstribuidos '!B2727</f>
        <v>45636</v>
      </c>
      <c r="B4478" s="10" t="str">
        <f>IF(OR('Volúmenes DIstribuidos '!C2729="Azúcar",'Volúmenes DIstribuidos '!C2729="azúcar"),"Azúcar o dulce",IF('Volúmenes DIstribuidos '!C2729="Aceite","Aceite o grasas",IF('Volúmenes DIstribuidos '!C2729="Avena","Otros almidones",'Volúmenes DIstribuidos '!C2729)))</f>
        <v>Vegetales y hojas</v>
      </c>
      <c r="C4478" s="10" t="s">
        <v>29</v>
      </c>
      <c r="D4478" s="12">
        <f>'Volúmenes DIstribuidos '!D2729</f>
        <v>8.61</v>
      </c>
      <c r="E4478" s="12">
        <f>SUMIF('Parametros Inventario'!$A:$A,B4478,'Parametros Inventario'!$B:$B)+SUMIFS(D$2:D4478,B$2:B4478,B4478,C$2:C4478,"ENTRADA")-SUMIFS(D$2:D4478,B$2:B4478,B4478,C$2:C4478,"SALIDA")</f>
        <v>22064.368000000006</v>
      </c>
    </row>
    <row r="4479" spans="1:5" x14ac:dyDescent="0.3">
      <c r="A4479" s="9">
        <f>'Volúmenes DIstribuidos '!B2727</f>
        <v>45636</v>
      </c>
      <c r="B4479" s="10" t="str">
        <f>IF(OR('Volúmenes DIstribuidos '!C2730="Azúcar",'Volúmenes DIstribuidos '!C2730="azúcar"),"Azúcar o dulce",IF('Volúmenes DIstribuidos '!C2730="Aceite","Aceite o grasas",IF('Volúmenes DIstribuidos '!C2730="Avena","Otros almidones",'Volúmenes DIstribuidos '!C2730)))</f>
        <v>Aceite o grasas</v>
      </c>
      <c r="C4479" s="10" t="s">
        <v>29</v>
      </c>
      <c r="D4479" s="12">
        <f>'Volúmenes DIstribuidos '!D2730</f>
        <v>57.4</v>
      </c>
      <c r="E4479" s="12">
        <f>SUMIF('Parametros Inventario'!$A:$A,B4479,'Parametros Inventario'!$B:$B)+SUMIFS(D$2:D4479,B$2:B4479,B4479,C$2:C4479,"ENTRADA")-SUMIFS(D$2:D4479,B$2:B4479,B4479,C$2:C4479,"SALIDA")</f>
        <v>20867.089000000011</v>
      </c>
    </row>
    <row r="4480" spans="1:5" x14ac:dyDescent="0.3">
      <c r="A4480" s="9">
        <f>'Volúmenes DIstribuidos '!B2727</f>
        <v>45636</v>
      </c>
      <c r="B4480" s="10" t="str">
        <f>IF(OR('Volúmenes DIstribuidos '!C2731="Azúcar",'Volúmenes DIstribuidos '!C2731="azúcar"),"Azúcar o dulce",IF('Volúmenes DIstribuidos '!C2731="Aceite","Aceite o grasas",IF('Volúmenes DIstribuidos '!C2731="Avena","Otros almidones",'Volúmenes DIstribuidos '!C2731)))</f>
        <v>Carnes rojas</v>
      </c>
      <c r="C4480" s="10" t="s">
        <v>29</v>
      </c>
      <c r="D4480" s="12">
        <f>'Volúmenes DIstribuidos '!D2731</f>
        <v>5.3330000000000002</v>
      </c>
      <c r="E4480" s="12">
        <f>SUMIF('Parametros Inventario'!$A:$A,B4480,'Parametros Inventario'!$B:$B)+SUMIFS(D$2:D4480,B$2:B4480,B4480,C$2:C4480,"ENTRADA")-SUMIFS(D$2:D4480,B$2:B4480,B4480,C$2:C4480,"SALIDA")</f>
        <v>20386.057000000004</v>
      </c>
    </row>
    <row r="4481" spans="1:5" x14ac:dyDescent="0.3">
      <c r="A4481" s="9">
        <f>'Volúmenes DIstribuidos '!B2727</f>
        <v>45636</v>
      </c>
      <c r="B4481" s="10" t="str">
        <f>IF(OR('Volúmenes DIstribuidos '!C2732="Azúcar",'Volúmenes DIstribuidos '!C2732="azúcar"),"Azúcar o dulce",IF('Volúmenes DIstribuidos '!C2732="Aceite","Aceite o grasas",IF('Volúmenes DIstribuidos '!C2732="Avena","Otros almidones",'Volúmenes DIstribuidos '!C2732)))</f>
        <v>Lácteos</v>
      </c>
      <c r="C4481" s="10" t="s">
        <v>29</v>
      </c>
      <c r="D4481" s="12">
        <f>'Volúmenes DIstribuidos '!D2732</f>
        <v>12.54</v>
      </c>
      <c r="E4481" s="12">
        <f>SUMIF('Parametros Inventario'!$A:$A,B4481,'Parametros Inventario'!$B:$B)+SUMIFS(D$2:D4481,B$2:B4481,B4481,C$2:C4481,"ENTRADA")-SUMIFS(D$2:D4481,B$2:B4481,B4481,C$2:C4481,"SALIDA")</f>
        <v>20334.872000000007</v>
      </c>
    </row>
    <row r="4482" spans="1:5" x14ac:dyDescent="0.3">
      <c r="A4482" s="9">
        <f>'Volúmenes DIstribuidos '!B2733</f>
        <v>45639</v>
      </c>
      <c r="B4482" s="10" t="str">
        <f>IF(OR('Volúmenes DIstribuidos '!C2733="Azúcar",'Volúmenes DIstribuidos '!C2733="azúcar"),"Azúcar o dulce",IF('Volúmenes DIstribuidos '!C2733="Aceite","Aceite o grasas",IF('Volúmenes DIstribuidos '!C2733="Avena","Otros almidones",'Volúmenes DIstribuidos '!C2733)))</f>
        <v>Carnes rojas</v>
      </c>
      <c r="C4482" s="10" t="s">
        <v>29</v>
      </c>
      <c r="D4482" s="12">
        <f>'Volúmenes DIstribuidos '!D2733</f>
        <v>19.38</v>
      </c>
      <c r="E4482" s="12">
        <f>SUMIF('Parametros Inventario'!$A:$A,B4482,'Parametros Inventario'!$B:$B)+SUMIFS(D$2:D4482,B$2:B4482,B4482,C$2:C4482,"ENTRADA")-SUMIFS(D$2:D4482,B$2:B4482,B4482,C$2:C4482,"SALIDA")</f>
        <v>20366.677000000003</v>
      </c>
    </row>
    <row r="4483" spans="1:5" x14ac:dyDescent="0.3">
      <c r="A4483" s="9">
        <f>'Volúmenes DIstribuidos '!B2733</f>
        <v>45639</v>
      </c>
      <c r="B4483" s="10" t="str">
        <f>IF(OR('Volúmenes DIstribuidos '!C2734="Azúcar",'Volúmenes DIstribuidos '!C2734="azúcar"),"Azúcar o dulce",IF('Volúmenes DIstribuidos '!C2734="Aceite","Aceite o grasas",IF('Volúmenes DIstribuidos '!C2734="Avena","Otros almidones",'Volúmenes DIstribuidos '!C2734)))</f>
        <v>Menestras</v>
      </c>
      <c r="C4483" s="10" t="s">
        <v>29</v>
      </c>
      <c r="D4483" s="12">
        <f>'Volúmenes DIstribuidos '!D2734</f>
        <v>5.22</v>
      </c>
      <c r="E4483" s="12">
        <f>SUMIF('Parametros Inventario'!$A:$A,B4483,'Parametros Inventario'!$B:$B)+SUMIFS(D$2:D4483,B$2:B4483,B4483,C$2:C4483,"ENTRADA")-SUMIFS(D$2:D4483,B$2:B4483,B4483,C$2:C4483,"SALIDA")</f>
        <v>20914.081999999988</v>
      </c>
    </row>
    <row r="4484" spans="1:5" x14ac:dyDescent="0.3">
      <c r="A4484" s="9">
        <f>'Volúmenes DIstribuidos '!B2733</f>
        <v>45639</v>
      </c>
      <c r="B4484" s="10" t="str">
        <f>IF(OR('Volúmenes DIstribuidos '!C2735="Azúcar",'Volúmenes DIstribuidos '!C2735="azúcar"),"Azúcar o dulce",IF('Volúmenes DIstribuidos '!C2735="Aceite","Aceite o grasas",IF('Volúmenes DIstribuidos '!C2735="Avena","Otros almidones",'Volúmenes DIstribuidos '!C2735)))</f>
        <v>Carnes blancas</v>
      </c>
      <c r="C4484" s="10" t="s">
        <v>29</v>
      </c>
      <c r="D4484" s="12">
        <f>'Volúmenes DIstribuidos '!D2735</f>
        <v>23.37</v>
      </c>
      <c r="E4484" s="12">
        <f>SUMIF('Parametros Inventario'!$A:$A,B4484,'Parametros Inventario'!$B:$B)+SUMIFS(D$2:D4484,B$2:B4484,B4484,C$2:C4484,"ENTRADA")-SUMIFS(D$2:D4484,B$2:B4484,B4484,C$2:C4484,"SALIDA")</f>
        <v>21557.114000000001</v>
      </c>
    </row>
    <row r="4485" spans="1:5" x14ac:dyDescent="0.3">
      <c r="A4485" s="9">
        <f>'Volúmenes DIstribuidos '!B2733</f>
        <v>45639</v>
      </c>
      <c r="B4485" s="10" t="str">
        <f>IF(OR('Volúmenes DIstribuidos '!C2736="Azúcar",'Volúmenes DIstribuidos '!C2736="azúcar"),"Azúcar o dulce",IF('Volúmenes DIstribuidos '!C2736="Aceite","Aceite o grasas",IF('Volúmenes DIstribuidos '!C2736="Avena","Otros almidones",'Volúmenes DIstribuidos '!C2736)))</f>
        <v>Azúcar o dulce</v>
      </c>
      <c r="C4485" s="10" t="s">
        <v>29</v>
      </c>
      <c r="D4485" s="12">
        <f>'Volúmenes DIstribuidos '!D2736</f>
        <v>26.448</v>
      </c>
      <c r="E4485" s="12">
        <f>SUMIF('Parametros Inventario'!$A:$A,B4485,'Parametros Inventario'!$B:$B)+SUMIFS(D$2:D4485,B$2:B4485,B4485,C$2:C4485,"ENTRADA")-SUMIFS(D$2:D4485,B$2:B4485,B4485,C$2:C4485,"SALIDA")</f>
        <v>20552.288999999993</v>
      </c>
    </row>
    <row r="4486" spans="1:5" x14ac:dyDescent="0.3">
      <c r="A4486" s="9">
        <f>'Volúmenes DIstribuidos '!B2733</f>
        <v>45639</v>
      </c>
      <c r="B4486" s="10" t="str">
        <f>IF(OR('Volúmenes DIstribuidos '!C2737="Azúcar",'Volúmenes DIstribuidos '!C2737="azúcar"),"Azúcar o dulce",IF('Volúmenes DIstribuidos '!C2737="Aceite","Aceite o grasas",IF('Volúmenes DIstribuidos '!C2737="Avena","Otros almidones",'Volúmenes DIstribuidos '!C2737)))</f>
        <v>Carnes rojas</v>
      </c>
      <c r="C4486" s="10" t="s">
        <v>29</v>
      </c>
      <c r="D4486" s="12">
        <f>'Volúmenes DIstribuidos '!D2737</f>
        <v>80</v>
      </c>
      <c r="E4486" s="12">
        <f>SUMIF('Parametros Inventario'!$A:$A,B4486,'Parametros Inventario'!$B:$B)+SUMIFS(D$2:D4486,B$2:B4486,B4486,C$2:C4486,"ENTRADA")-SUMIFS(D$2:D4486,B$2:B4486,B4486,C$2:C4486,"SALIDA")</f>
        <v>20286.677000000003</v>
      </c>
    </row>
    <row r="4487" spans="1:5" x14ac:dyDescent="0.3">
      <c r="A4487" s="9">
        <f>'Volúmenes DIstribuidos '!B2733</f>
        <v>45639</v>
      </c>
      <c r="B4487" s="10" t="str">
        <f>IF(OR('Volúmenes DIstribuidos '!C2738="Azúcar",'Volúmenes DIstribuidos '!C2738="azúcar"),"Azúcar o dulce",IF('Volúmenes DIstribuidos '!C2738="Aceite","Aceite o grasas",IF('Volúmenes DIstribuidos '!C2738="Avena","Otros almidones",'Volúmenes DIstribuidos '!C2738)))</f>
        <v>Menestras</v>
      </c>
      <c r="C4487" s="10" t="s">
        <v>29</v>
      </c>
      <c r="D4487" s="12">
        <f>'Volúmenes DIstribuidos '!D2738</f>
        <v>94.72</v>
      </c>
      <c r="E4487" s="12">
        <f>SUMIF('Parametros Inventario'!$A:$A,B4487,'Parametros Inventario'!$B:$B)+SUMIFS(D$2:D4487,B$2:B4487,B4487,C$2:C4487,"ENTRADA")-SUMIFS(D$2:D4487,B$2:B4487,B4487,C$2:C4487,"SALIDA")</f>
        <v>20819.361999999986</v>
      </c>
    </row>
    <row r="4488" spans="1:5" x14ac:dyDescent="0.3">
      <c r="A4488" s="9">
        <f>'Volúmenes DIstribuidos '!B2739</f>
        <v>45643</v>
      </c>
      <c r="B4488" s="10" t="str">
        <f>IF(OR('Volúmenes DIstribuidos '!C2739="Azúcar",'Volúmenes DIstribuidos '!C2739="azúcar"),"Azúcar o dulce",IF('Volúmenes DIstribuidos '!C2739="Aceite","Aceite o grasas",IF('Volúmenes DIstribuidos '!C2739="Avena","Otros almidones",'Volúmenes DIstribuidos '!C2739)))</f>
        <v>Panadería</v>
      </c>
      <c r="C4488" s="10" t="s">
        <v>29</v>
      </c>
      <c r="D4488" s="12">
        <f>'Volúmenes DIstribuidos '!D2739</f>
        <v>114.17</v>
      </c>
      <c r="E4488" s="12">
        <f>SUMIF('Parametros Inventario'!$A:$A,B4488,'Parametros Inventario'!$B:$B)+SUMIFS(D$2:D4488,B$2:B4488,B4488,C$2:C4488,"ENTRADA")-SUMIFS(D$2:D4488,B$2:B4488,B4488,C$2:C4488,"SALIDA")</f>
        <v>19083.571999999993</v>
      </c>
    </row>
    <row r="4489" spans="1:5" x14ac:dyDescent="0.3">
      <c r="A4489" s="9">
        <f>'Volúmenes DIstribuidos '!B2739</f>
        <v>45643</v>
      </c>
      <c r="B4489" s="10" t="str">
        <f>IF(OR('Volúmenes DIstribuidos '!C2740="Azúcar",'Volúmenes DIstribuidos '!C2740="azúcar"),"Azúcar o dulce",IF('Volúmenes DIstribuidos '!C2740="Aceite","Aceite o grasas",IF('Volúmenes DIstribuidos '!C2740="Avena","Otros almidones",'Volúmenes DIstribuidos '!C2740)))</f>
        <v>Fideo</v>
      </c>
      <c r="C4489" s="10" t="s">
        <v>29</v>
      </c>
      <c r="D4489" s="12">
        <f>'Volúmenes DIstribuidos '!D2740</f>
        <v>33.29</v>
      </c>
      <c r="E4489" s="12">
        <f>SUMIF('Parametros Inventario'!$A:$A,B4489,'Parametros Inventario'!$B:$B)+SUMIFS(D$2:D4489,B$2:B4489,B4489,C$2:C4489,"ENTRADA")-SUMIFS(D$2:D4489,B$2:B4489,B4489,C$2:C4489,"SALIDA")</f>
        <v>23639.458000000017</v>
      </c>
    </row>
    <row r="4490" spans="1:5" x14ac:dyDescent="0.3">
      <c r="A4490" s="9">
        <f>'Volúmenes DIstribuidos '!B2739</f>
        <v>45643</v>
      </c>
      <c r="B4490" s="10" t="str">
        <f>IF(OR('Volúmenes DIstribuidos '!C2741="Azúcar",'Volúmenes DIstribuidos '!C2741="azúcar"),"Azúcar o dulce",IF('Volúmenes DIstribuidos '!C2741="Aceite","Aceite o grasas",IF('Volúmenes DIstribuidos '!C2741="Avena","Otros almidones",'Volúmenes DIstribuidos '!C2741)))</f>
        <v>Aceite o grasas</v>
      </c>
      <c r="C4490" s="10" t="s">
        <v>29</v>
      </c>
      <c r="D4490" s="12">
        <f>'Volúmenes DIstribuidos '!D2741</f>
        <v>65.88</v>
      </c>
      <c r="E4490" s="12">
        <f>SUMIF('Parametros Inventario'!$A:$A,B4490,'Parametros Inventario'!$B:$B)+SUMIFS(D$2:D4490,B$2:B4490,B4490,C$2:C4490,"ENTRADA")-SUMIFS(D$2:D4490,B$2:B4490,B4490,C$2:C4490,"SALIDA")</f>
        <v>20801.20900000001</v>
      </c>
    </row>
    <row r="4491" spans="1:5" x14ac:dyDescent="0.3">
      <c r="A4491" s="9">
        <f>'Volúmenes DIstribuidos '!B2739</f>
        <v>45643</v>
      </c>
      <c r="B4491" s="10" t="str">
        <f>IF(OR('Volúmenes DIstribuidos '!C2742="Azúcar",'Volúmenes DIstribuidos '!C2742="azúcar"),"Azúcar o dulce",IF('Volúmenes DIstribuidos '!C2742="Aceite","Aceite o grasas",IF('Volúmenes DIstribuidos '!C2742="Avena","Otros almidones",'Volúmenes DIstribuidos '!C2742)))</f>
        <v>Azúcar o dulce</v>
      </c>
      <c r="C4491" s="10" t="s">
        <v>29</v>
      </c>
      <c r="D4491" s="12">
        <f>'Volúmenes DIstribuidos '!D2742</f>
        <v>10.568</v>
      </c>
      <c r="E4491" s="12">
        <f>SUMIF('Parametros Inventario'!$A:$A,B4491,'Parametros Inventario'!$B:$B)+SUMIFS(D$2:D4491,B$2:B4491,B4491,C$2:C4491,"ENTRADA")-SUMIFS(D$2:D4491,B$2:B4491,B4491,C$2:C4491,"SALIDA")</f>
        <v>20541.720999999994</v>
      </c>
    </row>
    <row r="4492" spans="1:5" x14ac:dyDescent="0.3">
      <c r="A4492" s="9">
        <f>'Volúmenes DIstribuidos '!B2739</f>
        <v>45643</v>
      </c>
      <c r="B4492" s="10" t="str">
        <f>IF(OR('Volúmenes DIstribuidos '!C2743="Azúcar",'Volúmenes DIstribuidos '!C2743="azúcar"),"Azúcar o dulce",IF('Volúmenes DIstribuidos '!C2743="Aceite","Aceite o grasas",IF('Volúmenes DIstribuidos '!C2743="Avena","Otros almidones",'Volúmenes DIstribuidos '!C2743)))</f>
        <v>Carnes rojas</v>
      </c>
      <c r="C4492" s="10" t="s">
        <v>29</v>
      </c>
      <c r="D4492" s="12">
        <f>'Volúmenes DIstribuidos '!D2743</f>
        <v>19.39</v>
      </c>
      <c r="E4492" s="12">
        <f>SUMIF('Parametros Inventario'!$A:$A,B4492,'Parametros Inventario'!$B:$B)+SUMIFS(D$2:D4492,B$2:B4492,B4492,C$2:C4492,"ENTRADA")-SUMIFS(D$2:D4492,B$2:B4492,B4492,C$2:C4492,"SALIDA")</f>
        <v>20267.287000000004</v>
      </c>
    </row>
    <row r="4493" spans="1:5" x14ac:dyDescent="0.3">
      <c r="A4493" s="9">
        <f>'Volúmenes DIstribuidos '!B2739</f>
        <v>45643</v>
      </c>
      <c r="B4493" s="10" t="str">
        <f>IF(OR('Volúmenes DIstribuidos '!C2744="Azúcar",'Volúmenes DIstribuidos '!C2744="azúcar"),"Azúcar o dulce",IF('Volúmenes DIstribuidos '!C2744="Aceite","Aceite o grasas",IF('Volúmenes DIstribuidos '!C2744="Avena","Otros almidones",'Volúmenes DIstribuidos '!C2744)))</f>
        <v>Panadería</v>
      </c>
      <c r="C4493" s="10" t="s">
        <v>29</v>
      </c>
      <c r="D4493" s="12">
        <f>'Volúmenes DIstribuidos '!D2744</f>
        <v>33.72</v>
      </c>
      <c r="E4493" s="12">
        <f>SUMIF('Parametros Inventario'!$A:$A,B4493,'Parametros Inventario'!$B:$B)+SUMIFS(D$2:D4493,B$2:B4493,B4493,C$2:C4493,"ENTRADA")-SUMIFS(D$2:D4493,B$2:B4493,B4493,C$2:C4493,"SALIDA")</f>
        <v>19049.851999999992</v>
      </c>
    </row>
    <row r="4494" spans="1:5" x14ac:dyDescent="0.3">
      <c r="A4494" s="9">
        <v>45646</v>
      </c>
      <c r="B4494" s="10" t="s">
        <v>15</v>
      </c>
      <c r="C4494" s="10" t="s">
        <v>28</v>
      </c>
      <c r="D4494" s="12">
        <v>231.08</v>
      </c>
      <c r="E4494" s="12">
        <f>SUMIF('Parametros Inventario'!$A:$A,B4494,'Parametros Inventario'!$B:$B)+SUMIFS(D$2:D4494,B$2:B4494,B4494,C$2:C4494,"ENTRADA")-SUMIFS(D$2:D4494,B$2:B4494,B4494,C$2:C4494,"SALIDA")</f>
        <v>23241.394999999993</v>
      </c>
    </row>
    <row r="4495" spans="1:5" x14ac:dyDescent="0.3">
      <c r="A4495" s="9">
        <v>45646</v>
      </c>
      <c r="B4495" s="10" t="s">
        <v>11</v>
      </c>
      <c r="C4495" s="10" t="s">
        <v>28</v>
      </c>
      <c r="D4495" s="12">
        <v>84.32</v>
      </c>
      <c r="E4495" s="12">
        <f>SUMIF('Parametros Inventario'!$A:$A,B4495,'Parametros Inventario'!$B:$B)+SUMIFS(D$2:D4495,B$2:B4495,B4495,C$2:C4495,"ENTRADA")-SUMIFS(D$2:D4495,B$2:B4495,B4495,C$2:C4495,"SALIDA")</f>
        <v>23723.778000000017</v>
      </c>
    </row>
    <row r="4496" spans="1:5" x14ac:dyDescent="0.3">
      <c r="A4496" s="9">
        <v>45646</v>
      </c>
      <c r="B4496" s="10" t="s">
        <v>9</v>
      </c>
      <c r="C4496" s="10" t="s">
        <v>28</v>
      </c>
      <c r="D4496" s="12">
        <v>237.61</v>
      </c>
      <c r="E4496" s="12">
        <f>SUMIF('Parametros Inventario'!$A:$A,B4496,'Parametros Inventario'!$B:$B)+SUMIFS(D$2:D4496,B$2:B4496,B4496,C$2:C4496,"ENTRADA")-SUMIFS(D$2:D4496,B$2:B4496,B4496,C$2:C4496,"SALIDA")</f>
        <v>19287.461999999992</v>
      </c>
    </row>
    <row r="4497" spans="1:5" x14ac:dyDescent="0.3">
      <c r="A4497" s="9">
        <v>45646</v>
      </c>
      <c r="B4497" s="10" t="s">
        <v>14</v>
      </c>
      <c r="C4497" s="10" t="s">
        <v>28</v>
      </c>
      <c r="D4497" s="12">
        <v>52.95</v>
      </c>
      <c r="E4497" s="12">
        <f>SUMIF('Parametros Inventario'!$A:$A,B4497,'Parametros Inventario'!$B:$B)+SUMIFS(D$2:D4497,B$2:B4497,B4497,C$2:C4497,"ENTRADA")-SUMIFS(D$2:D4497,B$2:B4497,B4497,C$2:C4497,"SALIDA")</f>
        <v>20872.311999999991</v>
      </c>
    </row>
    <row r="4498" spans="1:5" x14ac:dyDescent="0.3">
      <c r="A4498" s="9">
        <v>45646</v>
      </c>
      <c r="B4498" s="10" t="s">
        <v>12</v>
      </c>
      <c r="C4498" s="10" t="s">
        <v>28</v>
      </c>
      <c r="D4498" s="12">
        <v>74.930000000000007</v>
      </c>
      <c r="E4498" s="12">
        <f>SUMIF('Parametros Inventario'!$A:$A,B4498,'Parametros Inventario'!$B:$B)+SUMIFS(D$2:D4498,B$2:B4498,B4498,C$2:C4498,"ENTRADA")-SUMIFS(D$2:D4498,B$2:B4498,B4498,C$2:C4498,"SALIDA")</f>
        <v>20342.217000000004</v>
      </c>
    </row>
    <row r="4499" spans="1:5" x14ac:dyDescent="0.3">
      <c r="A4499" s="9">
        <v>45646</v>
      </c>
      <c r="B4499" s="10" t="s">
        <v>16</v>
      </c>
      <c r="C4499" s="10" t="s">
        <v>28</v>
      </c>
      <c r="D4499" s="12">
        <v>146</v>
      </c>
      <c r="E4499" s="12">
        <f>SUMIF('Parametros Inventario'!$A:$A,B4499,'Parametros Inventario'!$B:$B)+SUMIFS(D$2:D4499,B$2:B4499,B4499,C$2:C4499,"ENTRADA")-SUMIFS(D$2:D4499,B$2:B4499,B4499,C$2:C4499,"SALIDA")</f>
        <v>21703.114000000001</v>
      </c>
    </row>
    <row r="4500" spans="1:5" x14ac:dyDescent="0.3">
      <c r="A4500" s="9">
        <v>45646</v>
      </c>
      <c r="B4500" s="10" t="s">
        <v>17</v>
      </c>
      <c r="C4500" s="10" t="s">
        <v>28</v>
      </c>
      <c r="D4500" s="12">
        <v>77.510000000000005</v>
      </c>
      <c r="E4500" s="12">
        <f>SUMIF('Parametros Inventario'!$A:$A,B4500,'Parametros Inventario'!$B:$B)+SUMIFS(D$2:D4500,B$2:B4500,B4500,C$2:C4500,"ENTRADA")-SUMIFS(D$2:D4500,B$2:B4500,B4500,C$2:C4500,"SALIDA")</f>
        <v>20412.382000000005</v>
      </c>
    </row>
    <row r="4501" spans="1:5" x14ac:dyDescent="0.3">
      <c r="A4501" s="9">
        <v>45646</v>
      </c>
      <c r="B4501" s="10" t="s">
        <v>18</v>
      </c>
      <c r="C4501" s="10" t="s">
        <v>28</v>
      </c>
      <c r="D4501" s="12">
        <v>53.39</v>
      </c>
      <c r="E4501" s="12">
        <f>SUMIF('Parametros Inventario'!$A:$A,B4501,'Parametros Inventario'!$B:$B)+SUMIFS(D$2:D4501,B$2:B4501,B4501,C$2:C4501,"ENTRADA")-SUMIFS(D$2:D4501,B$2:B4501,B4501,C$2:C4501,"SALIDA")</f>
        <v>20631.389999999985</v>
      </c>
    </row>
    <row r="4502" spans="1:5" x14ac:dyDescent="0.3">
      <c r="A4502" s="9">
        <v>45646</v>
      </c>
      <c r="B4502" s="10" t="s">
        <v>10</v>
      </c>
      <c r="C4502" s="10" t="s">
        <v>28</v>
      </c>
      <c r="D4502" s="12">
        <v>257.63</v>
      </c>
      <c r="E4502" s="12">
        <f>SUMIF('Parametros Inventario'!$A:$A,B4502,'Parametros Inventario'!$B:$B)+SUMIFS(D$2:D4502,B$2:B4502,B4502,C$2:C4502,"ENTRADA")-SUMIFS(D$2:D4502,B$2:B4502,B4502,C$2:C4502,"SALIDA")</f>
        <v>22321.998000000007</v>
      </c>
    </row>
    <row r="4503" spans="1:5" x14ac:dyDescent="0.3">
      <c r="A4503" s="9">
        <v>45646</v>
      </c>
      <c r="B4503" s="10" t="s">
        <v>8</v>
      </c>
      <c r="C4503" s="10" t="s">
        <v>28</v>
      </c>
      <c r="D4503" s="12">
        <v>283.67</v>
      </c>
      <c r="E4503" s="12">
        <f>SUMIF('Parametros Inventario'!$A:$A,B4503,'Parametros Inventario'!$B:$B)+SUMIFS(D$2:D4503,B$2:B4503,B4503,C$2:C4503,"ENTRADA")-SUMIFS(D$2:D4503,B$2:B4503,B4503,C$2:C4503,"SALIDA")</f>
        <v>21084.879000000008</v>
      </c>
    </row>
    <row r="4504" spans="1:5" x14ac:dyDescent="0.3">
      <c r="A4504" s="9">
        <v>45646</v>
      </c>
      <c r="B4504" s="10" t="s">
        <v>13</v>
      </c>
      <c r="C4504" s="10" t="s">
        <v>28</v>
      </c>
      <c r="D4504" s="12">
        <v>83.04</v>
      </c>
      <c r="E4504" s="12">
        <f>SUMIF('Parametros Inventario'!$A:$A,B4504,'Parametros Inventario'!$B:$B)+SUMIFS(D$2:D4504,B$2:B4504,B4504,C$2:C4504,"ENTRADA")-SUMIFS(D$2:D4504,B$2:B4504,B4504,C$2:C4504,"SALIDA")</f>
        <v>20624.760999999995</v>
      </c>
    </row>
    <row r="4505" spans="1:5" x14ac:dyDescent="0.3">
      <c r="A4505" s="9">
        <v>45646</v>
      </c>
      <c r="B4505" s="10" t="s">
        <v>15</v>
      </c>
      <c r="C4505" s="10" t="s">
        <v>28</v>
      </c>
      <c r="D4505" s="12">
        <v>242.53</v>
      </c>
      <c r="E4505" s="12">
        <f>SUMIF('Parametros Inventario'!$A:$A,B4505,'Parametros Inventario'!$B:$B)+SUMIFS(D$2:D4505,B$2:B4505,B4505,C$2:C4505,"ENTRADA")-SUMIFS(D$2:D4505,B$2:B4505,B4505,C$2:C4505,"SALIDA")</f>
        <v>23483.924999999992</v>
      </c>
    </row>
    <row r="4506" spans="1:5" x14ac:dyDescent="0.3">
      <c r="A4506" s="9">
        <v>45646</v>
      </c>
      <c r="B4506" s="10" t="s">
        <v>11</v>
      </c>
      <c r="C4506" s="10" t="s">
        <v>28</v>
      </c>
      <c r="D4506" s="12">
        <v>116.91</v>
      </c>
      <c r="E4506" s="12">
        <f>SUMIF('Parametros Inventario'!$A:$A,B4506,'Parametros Inventario'!$B:$B)+SUMIFS(D$2:D4506,B$2:B4506,B4506,C$2:C4506,"ENTRADA")-SUMIFS(D$2:D4506,B$2:B4506,B4506,C$2:C4506,"SALIDA")</f>
        <v>23840.688000000016</v>
      </c>
    </row>
    <row r="4507" spans="1:5" x14ac:dyDescent="0.3">
      <c r="A4507" s="9">
        <v>45646</v>
      </c>
      <c r="B4507" s="10" t="s">
        <v>9</v>
      </c>
      <c r="C4507" s="10" t="s">
        <v>28</v>
      </c>
      <c r="D4507" s="12">
        <v>284.64999999999998</v>
      </c>
      <c r="E4507" s="12">
        <f>SUMIF('Parametros Inventario'!$A:$A,B4507,'Parametros Inventario'!$B:$B)+SUMIFS(D$2:D4507,B$2:B4507,B4507,C$2:C4507,"ENTRADA")-SUMIFS(D$2:D4507,B$2:B4507,B4507,C$2:C4507,"SALIDA")</f>
        <v>19572.111999999994</v>
      </c>
    </row>
    <row r="4508" spans="1:5" x14ac:dyDescent="0.3">
      <c r="A4508" s="9">
        <v>45646</v>
      </c>
      <c r="B4508" s="10" t="s">
        <v>14</v>
      </c>
      <c r="C4508" s="10" t="s">
        <v>28</v>
      </c>
      <c r="D4508" s="12">
        <v>199.91</v>
      </c>
      <c r="E4508" s="12">
        <f>SUMIF('Parametros Inventario'!$A:$A,B4508,'Parametros Inventario'!$B:$B)+SUMIFS(D$2:D4508,B$2:B4508,B4508,C$2:C4508,"ENTRADA")-SUMIFS(D$2:D4508,B$2:B4508,B4508,C$2:C4508,"SALIDA")</f>
        <v>21072.221999999987</v>
      </c>
    </row>
    <row r="4509" spans="1:5" x14ac:dyDescent="0.3">
      <c r="A4509" s="9">
        <v>45646</v>
      </c>
      <c r="B4509" s="10" t="s">
        <v>12</v>
      </c>
      <c r="C4509" s="10" t="s">
        <v>28</v>
      </c>
      <c r="D4509" s="12">
        <v>248.1</v>
      </c>
      <c r="E4509" s="12">
        <f>SUMIF('Parametros Inventario'!$A:$A,B4509,'Parametros Inventario'!$B:$B)+SUMIFS(D$2:D4509,B$2:B4509,B4509,C$2:C4509,"ENTRADA")-SUMIFS(D$2:D4509,B$2:B4509,B4509,C$2:C4509,"SALIDA")</f>
        <v>20590.317000000003</v>
      </c>
    </row>
    <row r="4510" spans="1:5" x14ac:dyDescent="0.3">
      <c r="A4510" s="9">
        <v>45646</v>
      </c>
      <c r="B4510" s="10" t="s">
        <v>16</v>
      </c>
      <c r="C4510" s="10" t="s">
        <v>28</v>
      </c>
      <c r="D4510" s="12">
        <v>52.35</v>
      </c>
      <c r="E4510" s="12">
        <f>SUMIF('Parametros Inventario'!$A:$A,B4510,'Parametros Inventario'!$B:$B)+SUMIFS(D$2:D4510,B$2:B4510,B4510,C$2:C4510,"ENTRADA")-SUMIFS(D$2:D4510,B$2:B4510,B4510,C$2:C4510,"SALIDA")</f>
        <v>21755.464</v>
      </c>
    </row>
    <row r="4511" spans="1:5" x14ac:dyDescent="0.3">
      <c r="A4511" s="9">
        <v>45646</v>
      </c>
      <c r="B4511" s="10" t="s">
        <v>17</v>
      </c>
      <c r="C4511" s="10" t="s">
        <v>28</v>
      </c>
      <c r="D4511" s="12">
        <v>247.92</v>
      </c>
      <c r="E4511" s="12">
        <f>SUMIF('Parametros Inventario'!$A:$A,B4511,'Parametros Inventario'!$B:$B)+SUMIFS(D$2:D4511,B$2:B4511,B4511,C$2:C4511,"ENTRADA")-SUMIFS(D$2:D4511,B$2:B4511,B4511,C$2:C4511,"SALIDA")</f>
        <v>20660.302000000003</v>
      </c>
    </row>
    <row r="4512" spans="1:5" x14ac:dyDescent="0.3">
      <c r="A4512" s="9">
        <v>45646</v>
      </c>
      <c r="B4512" s="10" t="s">
        <v>18</v>
      </c>
      <c r="C4512" s="10" t="s">
        <v>28</v>
      </c>
      <c r="D4512" s="12">
        <v>185.59</v>
      </c>
      <c r="E4512" s="12">
        <f>SUMIF('Parametros Inventario'!$A:$A,B4512,'Parametros Inventario'!$B:$B)+SUMIFS(D$2:D4512,B$2:B4512,B4512,C$2:C4512,"ENTRADA")-SUMIFS(D$2:D4512,B$2:B4512,B4512,C$2:C4512,"SALIDA")</f>
        <v>20816.979999999981</v>
      </c>
    </row>
    <row r="4513" spans="1:5" x14ac:dyDescent="0.3">
      <c r="A4513" s="9">
        <f>'Volúmenes DIstribuidos '!B2745</f>
        <v>45646</v>
      </c>
      <c r="B4513" s="10" t="str">
        <f>IF(OR('Volúmenes DIstribuidos '!C2745="Azúcar",'Volúmenes DIstribuidos '!C2745="azúcar"),"Azúcar o dulce",IF('Volúmenes DIstribuidos '!C2745="Aceite","Aceite o grasas",IF('Volúmenes DIstribuidos '!C2745="Avena","Otros almidones",'Volúmenes DIstribuidos '!C2745)))</f>
        <v>Fideo</v>
      </c>
      <c r="C4513" s="10" t="s">
        <v>29</v>
      </c>
      <c r="D4513" s="12">
        <f>'Volúmenes DIstribuidos '!D2745</f>
        <v>22.23</v>
      </c>
      <c r="E4513" s="12">
        <f>SUMIF('Parametros Inventario'!$A:$A,B4513,'Parametros Inventario'!$B:$B)+SUMIFS(D$2:D4513,B$2:B4513,B4513,C$2:C4513,"ENTRADA")-SUMIFS(D$2:D4513,B$2:B4513,B4513,C$2:C4513,"SALIDA")</f>
        <v>23818.458000000017</v>
      </c>
    </row>
    <row r="4514" spans="1:5" x14ac:dyDescent="0.3">
      <c r="A4514" s="9">
        <f>'Volúmenes DIstribuidos '!B2745</f>
        <v>45646</v>
      </c>
      <c r="B4514" s="10" t="str">
        <f>IF(OR('Volúmenes DIstribuidos '!C2746="Azúcar",'Volúmenes DIstribuidos '!C2746="azúcar"),"Azúcar o dulce",IF('Volúmenes DIstribuidos '!C2746="Aceite","Aceite o grasas",IF('Volúmenes DIstribuidos '!C2746="Avena","Otros almidones",'Volúmenes DIstribuidos '!C2746)))</f>
        <v>Azúcar o dulce</v>
      </c>
      <c r="C4514" s="10" t="s">
        <v>29</v>
      </c>
      <c r="D4514" s="12">
        <f>'Volúmenes DIstribuidos '!D2746</f>
        <v>8.76</v>
      </c>
      <c r="E4514" s="12">
        <f>SUMIF('Parametros Inventario'!$A:$A,B4514,'Parametros Inventario'!$B:$B)+SUMIFS(D$2:D4514,B$2:B4514,B4514,C$2:C4514,"ENTRADA")-SUMIFS(D$2:D4514,B$2:B4514,B4514,C$2:C4514,"SALIDA")</f>
        <v>20616.000999999997</v>
      </c>
    </row>
    <row r="4515" spans="1:5" x14ac:dyDescent="0.3">
      <c r="A4515" s="9">
        <f>'Volúmenes DIstribuidos '!B2745</f>
        <v>45646</v>
      </c>
      <c r="B4515" s="10" t="str">
        <f>IF(OR('Volúmenes DIstribuidos '!C2747="Azúcar",'Volúmenes DIstribuidos '!C2747="azúcar"),"Azúcar o dulce",IF('Volúmenes DIstribuidos '!C2747="Aceite","Aceite o grasas",IF('Volúmenes DIstribuidos '!C2747="Avena","Otros almidones",'Volúmenes DIstribuidos '!C2747)))</f>
        <v>Otros almidones</v>
      </c>
      <c r="C4515" s="10" t="s">
        <v>29</v>
      </c>
      <c r="D4515" s="12">
        <f>'Volúmenes DIstribuidos '!D2747</f>
        <v>6.55</v>
      </c>
      <c r="E4515" s="12">
        <f>SUMIF('Parametros Inventario'!$A:$A,B4515,'Parametros Inventario'!$B:$B)+SUMIFS(D$2:D4515,B$2:B4515,B4515,C$2:C4515,"ENTRADA")-SUMIFS(D$2:D4515,B$2:B4515,B4515,C$2:C4515,"SALIDA")</f>
        <v>23477.374999999993</v>
      </c>
    </row>
    <row r="4516" spans="1:5" x14ac:dyDescent="0.3">
      <c r="A4516" s="9">
        <f>'Volúmenes DIstribuidos '!B2745</f>
        <v>45646</v>
      </c>
      <c r="B4516" s="10" t="str">
        <f>IF(OR('Volúmenes DIstribuidos '!C2748="Azúcar",'Volúmenes DIstribuidos '!C2748="azúcar"),"Azúcar o dulce",IF('Volúmenes DIstribuidos '!C2748="Aceite","Aceite o grasas",IF('Volúmenes DIstribuidos '!C2748="Avena","Otros almidones",'Volúmenes DIstribuidos '!C2748)))</f>
        <v>Salsas</v>
      </c>
      <c r="C4516" s="10" t="s">
        <v>29</v>
      </c>
      <c r="D4516" s="12">
        <f>'Volúmenes DIstribuidos '!D2748</f>
        <v>29.989000000000001</v>
      </c>
      <c r="E4516" s="12">
        <f>SUMIF('Parametros Inventario'!$A:$A,B4516,'Parametros Inventario'!$B:$B)+SUMIFS(D$2:D4516,B$2:B4516,B4516,C$2:C4516,"ENTRADA")-SUMIFS(D$2:D4516,B$2:B4516,B4516,C$2:C4516,"SALIDA")</f>
        <v>20786.990999999984</v>
      </c>
    </row>
    <row r="4517" spans="1:5" x14ac:dyDescent="0.3">
      <c r="A4517" s="9">
        <f>'Volúmenes DIstribuidos '!B2745</f>
        <v>45646</v>
      </c>
      <c r="B4517" s="10" t="str">
        <f>IF(OR('Volúmenes DIstribuidos '!C2749="Azúcar",'Volúmenes DIstribuidos '!C2749="azúcar"),"Azúcar o dulce",IF('Volúmenes DIstribuidos '!C2749="Aceite","Aceite o grasas",IF('Volúmenes DIstribuidos '!C2749="Avena","Otros almidones",'Volúmenes DIstribuidos '!C2749)))</f>
        <v>Menestras</v>
      </c>
      <c r="C4517" s="10" t="s">
        <v>29</v>
      </c>
      <c r="D4517" s="12">
        <f>'Volúmenes DIstribuidos '!D2749</f>
        <v>71.27</v>
      </c>
      <c r="E4517" s="12">
        <f>SUMIF('Parametros Inventario'!$A:$A,B4517,'Parametros Inventario'!$B:$B)+SUMIFS(D$2:D4517,B$2:B4517,B4517,C$2:C4517,"ENTRADA")-SUMIFS(D$2:D4517,B$2:B4517,B4517,C$2:C4517,"SALIDA")</f>
        <v>21000.95199999999</v>
      </c>
    </row>
    <row r="4518" spans="1:5" x14ac:dyDescent="0.3">
      <c r="A4518" s="9">
        <f>'Volúmenes DIstribuidos '!B2745</f>
        <v>45646</v>
      </c>
      <c r="B4518" s="10" t="str">
        <f>IF(OR('Volúmenes DIstribuidos '!C2750="Azúcar",'Volúmenes DIstribuidos '!C2750="azúcar"),"Azúcar o dulce",IF('Volúmenes DIstribuidos '!C2750="Aceite","Aceite o grasas",IF('Volúmenes DIstribuidos '!C2750="Avena","Otros almidones",'Volúmenes DIstribuidos '!C2750)))</f>
        <v>Azúcar o dulce</v>
      </c>
      <c r="C4518" s="10" t="s">
        <v>29</v>
      </c>
      <c r="D4518" s="12">
        <f>'Volúmenes DIstribuidos '!D2750</f>
        <v>7.03</v>
      </c>
      <c r="E4518" s="12">
        <f>SUMIF('Parametros Inventario'!$A:$A,B4518,'Parametros Inventario'!$B:$B)+SUMIFS(D$2:D4518,B$2:B4518,B4518,C$2:C4518,"ENTRADA")-SUMIFS(D$2:D4518,B$2:B4518,B4518,C$2:C4518,"SALIDA")</f>
        <v>20608.970999999994</v>
      </c>
    </row>
    <row r="4519" spans="1:5" x14ac:dyDescent="0.3">
      <c r="A4519" s="9">
        <f>'Volúmenes DIstribuidos '!B2751</f>
        <v>45650</v>
      </c>
      <c r="B4519" s="10" t="str">
        <f>IF(OR('Volúmenes DIstribuidos '!C2751="Azúcar",'Volúmenes DIstribuidos '!C2751="azúcar"),"Azúcar o dulce",IF('Volúmenes DIstribuidos '!C2751="Aceite","Aceite o grasas",IF('Volúmenes DIstribuidos '!C2751="Avena","Otros almidones",'Volúmenes DIstribuidos '!C2751)))</f>
        <v>Aceite o grasas</v>
      </c>
      <c r="C4519" s="10" t="s">
        <v>29</v>
      </c>
      <c r="D4519" s="12">
        <f>'Volúmenes DIstribuidos '!D2751</f>
        <v>13.43</v>
      </c>
      <c r="E4519" s="12">
        <f>SUMIF('Parametros Inventario'!$A:$A,B4519,'Parametros Inventario'!$B:$B)+SUMIFS(D$2:D4519,B$2:B4519,B4519,C$2:C4519,"ENTRADA")-SUMIFS(D$2:D4519,B$2:B4519,B4519,C$2:C4519,"SALIDA")</f>
        <v>21071.449000000008</v>
      </c>
    </row>
    <row r="4520" spans="1:5" x14ac:dyDescent="0.3">
      <c r="A4520" s="9">
        <f>'Volúmenes DIstribuidos '!B2751</f>
        <v>45650</v>
      </c>
      <c r="B4520" s="10" t="str">
        <f>IF(OR('Volúmenes DIstribuidos '!C2752="Azúcar",'Volúmenes DIstribuidos '!C2752="azúcar"),"Azúcar o dulce",IF('Volúmenes DIstribuidos '!C2752="Aceite","Aceite o grasas",IF('Volúmenes DIstribuidos '!C2752="Avena","Otros almidones",'Volúmenes DIstribuidos '!C2752)))</f>
        <v>Carnes blancas</v>
      </c>
      <c r="C4520" s="10" t="s">
        <v>29</v>
      </c>
      <c r="D4520" s="12">
        <f>'Volúmenes DIstribuidos '!D2752</f>
        <v>25.37</v>
      </c>
      <c r="E4520" s="12">
        <f>SUMIF('Parametros Inventario'!$A:$A,B4520,'Parametros Inventario'!$B:$B)+SUMIFS(D$2:D4520,B$2:B4520,B4520,C$2:C4520,"ENTRADA")-SUMIFS(D$2:D4520,B$2:B4520,B4520,C$2:C4520,"SALIDA")</f>
        <v>21730.094000000001</v>
      </c>
    </row>
    <row r="4521" spans="1:5" x14ac:dyDescent="0.3">
      <c r="A4521" s="9">
        <f>'Volúmenes DIstribuidos '!B2751</f>
        <v>45650</v>
      </c>
      <c r="B4521" s="10" t="str">
        <f>IF(OR('Volúmenes DIstribuidos '!C2753="Azúcar",'Volúmenes DIstribuidos '!C2753="azúcar"),"Azúcar o dulce",IF('Volúmenes DIstribuidos '!C2753="Aceite","Aceite o grasas",IF('Volúmenes DIstribuidos '!C2753="Avena","Otros almidones",'Volúmenes DIstribuidos '!C2753)))</f>
        <v>Vegetales y hojas</v>
      </c>
      <c r="C4521" s="10" t="s">
        <v>29</v>
      </c>
      <c r="D4521" s="12">
        <f>'Volúmenes DIstribuidos '!D2753</f>
        <v>88.06</v>
      </c>
      <c r="E4521" s="12">
        <f>SUMIF('Parametros Inventario'!$A:$A,B4521,'Parametros Inventario'!$B:$B)+SUMIFS(D$2:D4521,B$2:B4521,B4521,C$2:C4521,"ENTRADA")-SUMIFS(D$2:D4521,B$2:B4521,B4521,C$2:C4521,"SALIDA")</f>
        <v>22233.938000000009</v>
      </c>
    </row>
    <row r="4522" spans="1:5" x14ac:dyDescent="0.3">
      <c r="A4522" s="9">
        <f>'Volúmenes DIstribuidos '!B2751</f>
        <v>45650</v>
      </c>
      <c r="B4522" s="10" t="str">
        <f>IF(OR('Volúmenes DIstribuidos '!C2754="Azúcar",'Volúmenes DIstribuidos '!C2754="azúcar"),"Azúcar o dulce",IF('Volúmenes DIstribuidos '!C2754="Aceite","Aceite o grasas",IF('Volúmenes DIstribuidos '!C2754="Avena","Otros almidones",'Volúmenes DIstribuidos '!C2754)))</f>
        <v>Fideo</v>
      </c>
      <c r="C4522" s="10" t="s">
        <v>29</v>
      </c>
      <c r="D4522" s="12">
        <f>'Volúmenes DIstribuidos '!D2754</f>
        <v>14.340999999999999</v>
      </c>
      <c r="E4522" s="12">
        <f>SUMIF('Parametros Inventario'!$A:$A,B4522,'Parametros Inventario'!$B:$B)+SUMIFS(D$2:D4522,B$2:B4522,B4522,C$2:C4522,"ENTRADA")-SUMIFS(D$2:D4522,B$2:B4522,B4522,C$2:C4522,"SALIDA")</f>
        <v>23804.117000000017</v>
      </c>
    </row>
    <row r="4523" spans="1:5" x14ac:dyDescent="0.3">
      <c r="A4523" s="9">
        <f>'Volúmenes DIstribuidos '!B2751</f>
        <v>45650</v>
      </c>
      <c r="B4523" s="10" t="str">
        <f>IF(OR('Volúmenes DIstribuidos '!C2755="Azúcar",'Volúmenes DIstribuidos '!C2755="azúcar"),"Azúcar o dulce",IF('Volúmenes DIstribuidos '!C2755="Aceite","Aceite o grasas",IF('Volúmenes DIstribuidos '!C2755="Avena","Otros almidones",'Volúmenes DIstribuidos '!C2755)))</f>
        <v>Lácteos</v>
      </c>
      <c r="C4523" s="10" t="s">
        <v>29</v>
      </c>
      <c r="D4523" s="12">
        <f>'Volúmenes DIstribuidos '!D2755</f>
        <v>2.87</v>
      </c>
      <c r="E4523" s="12">
        <f>SUMIF('Parametros Inventario'!$A:$A,B4523,'Parametros Inventario'!$B:$B)+SUMIFS(D$2:D4523,B$2:B4523,B4523,C$2:C4523,"ENTRADA")-SUMIFS(D$2:D4523,B$2:B4523,B4523,C$2:C4523,"SALIDA")</f>
        <v>20657.432000000004</v>
      </c>
    </row>
    <row r="4524" spans="1:5" x14ac:dyDescent="0.3">
      <c r="A4524" s="9">
        <f>'Volúmenes DIstribuidos '!B2751</f>
        <v>45650</v>
      </c>
      <c r="B4524" s="10" t="str">
        <f>IF(OR('Volúmenes DIstribuidos '!C2756="Azúcar",'Volúmenes DIstribuidos '!C2756="azúcar"),"Azúcar o dulce",IF('Volúmenes DIstribuidos '!C2756="Aceite","Aceite o grasas",IF('Volúmenes DIstribuidos '!C2756="Avena","Otros almidones",'Volúmenes DIstribuidos '!C2756)))</f>
        <v>Aceite o grasas</v>
      </c>
      <c r="C4524" s="10" t="s">
        <v>29</v>
      </c>
      <c r="D4524" s="12">
        <f>'Volúmenes DIstribuidos '!D2756</f>
        <v>7.83</v>
      </c>
      <c r="E4524" s="12">
        <f>SUMIF('Parametros Inventario'!$A:$A,B4524,'Parametros Inventario'!$B:$B)+SUMIFS(D$2:D4524,B$2:B4524,B4524,C$2:C4524,"ENTRADA")-SUMIFS(D$2:D4524,B$2:B4524,B4524,C$2:C4524,"SALIDA")</f>
        <v>21063.61900000001</v>
      </c>
    </row>
    <row r="4525" spans="1:5" x14ac:dyDescent="0.3">
      <c r="A4525" s="9">
        <v>45653</v>
      </c>
      <c r="B4525" s="10" t="s">
        <v>10</v>
      </c>
      <c r="C4525" s="10" t="s">
        <v>28</v>
      </c>
      <c r="D4525" s="12">
        <v>254.56</v>
      </c>
      <c r="E4525" s="12">
        <f>SUMIF('Parametros Inventario'!$A:$A,B4525,'Parametros Inventario'!$B:$B)+SUMIFS(D$2:D4525,B$2:B4525,B4525,C$2:C4525,"ENTRADA")-SUMIFS(D$2:D4525,B$2:B4525,B4525,C$2:C4525,"SALIDA")</f>
        <v>22488.498000000007</v>
      </c>
    </row>
    <row r="4526" spans="1:5" x14ac:dyDescent="0.3">
      <c r="A4526" s="9">
        <v>45653</v>
      </c>
      <c r="B4526" s="10" t="s">
        <v>8</v>
      </c>
      <c r="C4526" s="10" t="s">
        <v>28</v>
      </c>
      <c r="D4526" s="12">
        <v>263.18</v>
      </c>
      <c r="E4526" s="12">
        <f>SUMIF('Parametros Inventario'!$A:$A,B4526,'Parametros Inventario'!$B:$B)+SUMIFS(D$2:D4526,B$2:B4526,B4526,C$2:C4526,"ENTRADA")-SUMIFS(D$2:D4526,B$2:B4526,B4526,C$2:C4526,"SALIDA")</f>
        <v>21326.79900000001</v>
      </c>
    </row>
    <row r="4527" spans="1:5" x14ac:dyDescent="0.3">
      <c r="A4527" s="9">
        <v>45653</v>
      </c>
      <c r="B4527" s="10" t="s">
        <v>13</v>
      </c>
      <c r="C4527" s="10" t="s">
        <v>28</v>
      </c>
      <c r="D4527" s="12">
        <v>71.239999999999995</v>
      </c>
      <c r="E4527" s="12">
        <f>SUMIF('Parametros Inventario'!$A:$A,B4527,'Parametros Inventario'!$B:$B)+SUMIFS(D$2:D4527,B$2:B4527,B4527,C$2:C4527,"ENTRADA")-SUMIFS(D$2:D4527,B$2:B4527,B4527,C$2:C4527,"SALIDA")</f>
        <v>20680.210999999996</v>
      </c>
    </row>
    <row r="4528" spans="1:5" x14ac:dyDescent="0.3">
      <c r="A4528" s="9">
        <v>45653</v>
      </c>
      <c r="B4528" s="10" t="s">
        <v>15</v>
      </c>
      <c r="C4528" s="10" t="s">
        <v>28</v>
      </c>
      <c r="D4528" s="12">
        <v>84.81</v>
      </c>
      <c r="E4528" s="12">
        <f>SUMIF('Parametros Inventario'!$A:$A,B4528,'Parametros Inventario'!$B:$B)+SUMIFS(D$2:D4528,B$2:B4528,B4528,C$2:C4528,"ENTRADA")-SUMIFS(D$2:D4528,B$2:B4528,B4528,C$2:C4528,"SALIDA")</f>
        <v>23562.184999999994</v>
      </c>
    </row>
    <row r="4529" spans="1:5" x14ac:dyDescent="0.3">
      <c r="A4529" s="9">
        <v>45653</v>
      </c>
      <c r="B4529" s="10" t="s">
        <v>11</v>
      </c>
      <c r="C4529" s="10" t="s">
        <v>28</v>
      </c>
      <c r="D4529" s="12">
        <v>239.92</v>
      </c>
      <c r="E4529" s="12">
        <f>SUMIF('Parametros Inventario'!$A:$A,B4529,'Parametros Inventario'!$B:$B)+SUMIFS(D$2:D4529,B$2:B4529,B4529,C$2:C4529,"ENTRADA")-SUMIFS(D$2:D4529,B$2:B4529,B4529,C$2:C4529,"SALIDA")</f>
        <v>24044.037000000015</v>
      </c>
    </row>
    <row r="4530" spans="1:5" x14ac:dyDescent="0.3">
      <c r="A4530" s="9">
        <v>45653</v>
      </c>
      <c r="B4530" s="10" t="s">
        <v>9</v>
      </c>
      <c r="C4530" s="10" t="s">
        <v>28</v>
      </c>
      <c r="D4530" s="12">
        <v>273.10000000000002</v>
      </c>
      <c r="E4530" s="12">
        <f>SUMIF('Parametros Inventario'!$A:$A,B4530,'Parametros Inventario'!$B:$B)+SUMIFS(D$2:D4530,B$2:B4530,B4530,C$2:C4530,"ENTRADA")-SUMIFS(D$2:D4530,B$2:B4530,B4530,C$2:C4530,"SALIDA")</f>
        <v>19845.211999999992</v>
      </c>
    </row>
    <row r="4531" spans="1:5" x14ac:dyDescent="0.3">
      <c r="A4531" s="9">
        <v>45653</v>
      </c>
      <c r="B4531" s="10" t="s">
        <v>14</v>
      </c>
      <c r="C4531" s="10" t="s">
        <v>28</v>
      </c>
      <c r="D4531" s="12">
        <v>253.87</v>
      </c>
      <c r="E4531" s="12">
        <f>SUMIF('Parametros Inventario'!$A:$A,B4531,'Parametros Inventario'!$B:$B)+SUMIFS(D$2:D4531,B$2:B4531,B4531,C$2:C4531,"ENTRADA")-SUMIFS(D$2:D4531,B$2:B4531,B4531,C$2:C4531,"SALIDA")</f>
        <v>21254.821999999986</v>
      </c>
    </row>
    <row r="4532" spans="1:5" x14ac:dyDescent="0.3">
      <c r="A4532" s="9">
        <v>45653</v>
      </c>
      <c r="B4532" s="10" t="s">
        <v>12</v>
      </c>
      <c r="C4532" s="10" t="s">
        <v>28</v>
      </c>
      <c r="D4532" s="12">
        <v>126.85</v>
      </c>
      <c r="E4532" s="12">
        <f>SUMIF('Parametros Inventario'!$A:$A,B4532,'Parametros Inventario'!$B:$B)+SUMIFS(D$2:D4532,B$2:B4532,B4532,C$2:C4532,"ENTRADA")-SUMIFS(D$2:D4532,B$2:B4532,B4532,C$2:C4532,"SALIDA")</f>
        <v>20717.167000000001</v>
      </c>
    </row>
    <row r="4533" spans="1:5" x14ac:dyDescent="0.3">
      <c r="A4533" s="9">
        <v>45653</v>
      </c>
      <c r="B4533" s="10" t="s">
        <v>16</v>
      </c>
      <c r="C4533" s="10" t="s">
        <v>28</v>
      </c>
      <c r="D4533" s="12">
        <v>169.73</v>
      </c>
      <c r="E4533" s="12">
        <f>SUMIF('Parametros Inventario'!$A:$A,B4533,'Parametros Inventario'!$B:$B)+SUMIFS(D$2:D4533,B$2:B4533,B4533,C$2:C4533,"ENTRADA")-SUMIFS(D$2:D4533,B$2:B4533,B4533,C$2:C4533,"SALIDA")</f>
        <v>21899.824000000001</v>
      </c>
    </row>
    <row r="4534" spans="1:5" x14ac:dyDescent="0.3">
      <c r="A4534" s="9">
        <f>'Volúmenes DIstribuidos '!B2757</f>
        <v>45653</v>
      </c>
      <c r="B4534" s="10" t="str">
        <f>IF(OR('Volúmenes DIstribuidos '!C2757="Azúcar",'Volúmenes DIstribuidos '!C2757="azúcar"),"Azúcar o dulce",IF('Volúmenes DIstribuidos '!C2757="Aceite","Aceite o grasas",IF('Volúmenes DIstribuidos '!C2757="Avena","Otros almidones",'Volúmenes DIstribuidos '!C2757)))</f>
        <v>Panadería</v>
      </c>
      <c r="C4534" s="10" t="s">
        <v>29</v>
      </c>
      <c r="D4534" s="12">
        <f>'Volúmenes DIstribuidos '!D2757</f>
        <v>20.58</v>
      </c>
      <c r="E4534" s="12">
        <f>SUMIF('Parametros Inventario'!$A:$A,B4534,'Parametros Inventario'!$B:$B)+SUMIFS(D$2:D4534,B$2:B4534,B4534,C$2:C4534,"ENTRADA")-SUMIFS(D$2:D4534,B$2:B4534,B4534,C$2:C4534,"SALIDA")</f>
        <v>19824.631999999994</v>
      </c>
    </row>
    <row r="4535" spans="1:5" x14ac:dyDescent="0.3">
      <c r="A4535" s="9">
        <f>'Volúmenes DIstribuidos '!B2757</f>
        <v>45653</v>
      </c>
      <c r="B4535" s="10" t="str">
        <f>IF(OR('Volúmenes DIstribuidos '!C2758="Azúcar",'Volúmenes DIstribuidos '!C2758="azúcar"),"Azúcar o dulce",IF('Volúmenes DIstribuidos '!C2758="Aceite","Aceite o grasas",IF('Volúmenes DIstribuidos '!C2758="Avena","Otros almidones",'Volúmenes DIstribuidos '!C2758)))</f>
        <v>Otros almidones</v>
      </c>
      <c r="C4535" s="10" t="s">
        <v>29</v>
      </c>
      <c r="D4535" s="12">
        <f>'Volúmenes DIstribuidos '!D2758</f>
        <v>83.873999999999995</v>
      </c>
      <c r="E4535" s="12">
        <f>SUMIF('Parametros Inventario'!$A:$A,B4535,'Parametros Inventario'!$B:$B)+SUMIFS(D$2:D4535,B$2:B4535,B4535,C$2:C4535,"ENTRADA")-SUMIFS(D$2:D4535,B$2:B4535,B4535,C$2:C4535,"SALIDA")</f>
        <v>23478.310999999994</v>
      </c>
    </row>
    <row r="4536" spans="1:5" x14ac:dyDescent="0.3">
      <c r="A4536" s="9">
        <f>'Volúmenes DIstribuidos '!B2757</f>
        <v>45653</v>
      </c>
      <c r="B4536" s="10" t="str">
        <f>IF(OR('Volúmenes DIstribuidos '!C2759="Azúcar",'Volúmenes DIstribuidos '!C2759="azúcar"),"Azúcar o dulce",IF('Volúmenes DIstribuidos '!C2759="Aceite","Aceite o grasas",IF('Volúmenes DIstribuidos '!C2759="Avena","Otros almidones",'Volúmenes DIstribuidos '!C2759)))</f>
        <v>Lácteos</v>
      </c>
      <c r="C4536" s="10" t="s">
        <v>29</v>
      </c>
      <c r="D4536" s="12">
        <f>'Volúmenes DIstribuidos '!D2759</f>
        <v>31.72</v>
      </c>
      <c r="E4536" s="12">
        <f>SUMIF('Parametros Inventario'!$A:$A,B4536,'Parametros Inventario'!$B:$B)+SUMIFS(D$2:D4536,B$2:B4536,B4536,C$2:C4536,"ENTRADA")-SUMIFS(D$2:D4536,B$2:B4536,B4536,C$2:C4536,"SALIDA")</f>
        <v>20625.712000000003</v>
      </c>
    </row>
    <row r="4537" spans="1:5" x14ac:dyDescent="0.3">
      <c r="A4537" s="9">
        <f>'Volúmenes DIstribuidos '!B2757</f>
        <v>45653</v>
      </c>
      <c r="B4537" s="10" t="str">
        <f>IF(OR('Volúmenes DIstribuidos '!C2760="Azúcar",'Volúmenes DIstribuidos '!C2760="azúcar"),"Azúcar o dulce",IF('Volúmenes DIstribuidos '!C2760="Aceite","Aceite o grasas",IF('Volúmenes DIstribuidos '!C2760="Avena","Otros almidones",'Volúmenes DIstribuidos '!C2760)))</f>
        <v>Panadería</v>
      </c>
      <c r="C4537" s="10" t="s">
        <v>29</v>
      </c>
      <c r="D4537" s="12">
        <f>'Volúmenes DIstribuidos '!D2760</f>
        <v>200</v>
      </c>
      <c r="E4537" s="12">
        <f>SUMIF('Parametros Inventario'!$A:$A,B4537,'Parametros Inventario'!$B:$B)+SUMIFS(D$2:D4537,B$2:B4537,B4537,C$2:C4537,"ENTRADA")-SUMIFS(D$2:D4537,B$2:B4537,B4537,C$2:C4537,"SALIDA")</f>
        <v>19624.631999999994</v>
      </c>
    </row>
    <row r="4538" spans="1:5" x14ac:dyDescent="0.3">
      <c r="A4538" s="9">
        <f>'Volúmenes DIstribuidos '!B2757</f>
        <v>45653</v>
      </c>
      <c r="B4538" s="10" t="str">
        <f>IF(OR('Volúmenes DIstribuidos '!C2761="Azúcar",'Volúmenes DIstribuidos '!C2761="azúcar"),"Azúcar o dulce",IF('Volúmenes DIstribuidos '!C2761="Aceite","Aceite o grasas",IF('Volúmenes DIstribuidos '!C2761="Avena","Otros almidones",'Volúmenes DIstribuidos '!C2761)))</f>
        <v>Fideo</v>
      </c>
      <c r="C4538" s="10" t="s">
        <v>29</v>
      </c>
      <c r="D4538" s="12">
        <f>'Volúmenes DIstribuidos '!D2761</f>
        <v>17.311</v>
      </c>
      <c r="E4538" s="12">
        <f>SUMIF('Parametros Inventario'!$A:$A,B4538,'Parametros Inventario'!$B:$B)+SUMIFS(D$2:D4538,B$2:B4538,B4538,C$2:C4538,"ENTRADA")-SUMIFS(D$2:D4538,B$2:B4538,B4538,C$2:C4538,"SALIDA")</f>
        <v>24026.726000000013</v>
      </c>
    </row>
    <row r="4539" spans="1:5" x14ac:dyDescent="0.3">
      <c r="A4539" s="9">
        <f>'Volúmenes DIstribuidos '!B2757</f>
        <v>45653</v>
      </c>
      <c r="B4539" s="10" t="str">
        <f>IF(OR('Volúmenes DIstribuidos '!C2762="Azúcar",'Volúmenes DIstribuidos '!C2762="azúcar"),"Azúcar o dulce",IF('Volúmenes DIstribuidos '!C2762="Aceite","Aceite o grasas",IF('Volúmenes DIstribuidos '!C2762="Avena","Otros almidones",'Volúmenes DIstribuidos '!C2762)))</f>
        <v>Menestras</v>
      </c>
      <c r="C4539" s="10" t="s">
        <v>29</v>
      </c>
      <c r="D4539" s="12">
        <f>'Volúmenes DIstribuidos '!D2762</f>
        <v>8.77</v>
      </c>
      <c r="E4539" s="12">
        <f>SUMIF('Parametros Inventario'!$A:$A,B4539,'Parametros Inventario'!$B:$B)+SUMIFS(D$2:D4539,B$2:B4539,B4539,C$2:C4539,"ENTRADA")-SUMIFS(D$2:D4539,B$2:B4539,B4539,C$2:C4539,"SALIDA")</f>
        <v>21246.051999999989</v>
      </c>
    </row>
    <row r="4540" spans="1:5" x14ac:dyDescent="0.3">
      <c r="A4540" s="9">
        <f>'Volúmenes DIstribuidos '!B2763</f>
        <v>45657</v>
      </c>
      <c r="B4540" s="10" t="str">
        <f>IF(OR('Volúmenes DIstribuidos '!C2763="Azúcar",'Volúmenes DIstribuidos '!C2763="azúcar"),"Azúcar o dulce",IF('Volúmenes DIstribuidos '!C2763="Aceite","Aceite o grasas",IF('Volúmenes DIstribuidos '!C2763="Avena","Otros almidones",'Volúmenes DIstribuidos '!C2763)))</f>
        <v>Salsas</v>
      </c>
      <c r="C4540" s="10" t="s">
        <v>29</v>
      </c>
      <c r="D4540" s="12">
        <f>'Volúmenes DIstribuidos '!D2763</f>
        <v>12.56</v>
      </c>
      <c r="E4540" s="12">
        <f>SUMIF('Parametros Inventario'!$A:$A,B4540,'Parametros Inventario'!$B:$B)+SUMIFS(D$2:D4540,B$2:B4540,B4540,C$2:C4540,"ENTRADA")-SUMIFS(D$2:D4540,B$2:B4540,B4540,C$2:C4540,"SALIDA")</f>
        <v>20774.430999999982</v>
      </c>
    </row>
    <row r="4541" spans="1:5" x14ac:dyDescent="0.3">
      <c r="A4541" s="9">
        <f>'Volúmenes DIstribuidos '!B2763</f>
        <v>45657</v>
      </c>
      <c r="B4541" s="10" t="str">
        <f>IF(OR('Volúmenes DIstribuidos '!C2764="Azúcar",'Volúmenes DIstribuidos '!C2764="azúcar"),"Azúcar o dulce",IF('Volúmenes DIstribuidos '!C2764="Aceite","Aceite o grasas",IF('Volúmenes DIstribuidos '!C2764="Avena","Otros almidones",'Volúmenes DIstribuidos '!C2764)))</f>
        <v>Fideo</v>
      </c>
      <c r="C4541" s="10" t="s">
        <v>29</v>
      </c>
      <c r="D4541" s="12">
        <f>'Volúmenes DIstribuidos '!D2764</f>
        <v>29.350999999999999</v>
      </c>
      <c r="E4541" s="12">
        <f>SUMIF('Parametros Inventario'!$A:$A,B4541,'Parametros Inventario'!$B:$B)+SUMIFS(D$2:D4541,B$2:B4541,B4541,C$2:C4541,"ENTRADA")-SUMIFS(D$2:D4541,B$2:B4541,B4541,C$2:C4541,"SALIDA")</f>
        <v>23997.375000000015</v>
      </c>
    </row>
    <row r="4542" spans="1:5" x14ac:dyDescent="0.3">
      <c r="A4542" s="9">
        <f>'Volúmenes DIstribuidos '!B2763</f>
        <v>45657</v>
      </c>
      <c r="B4542" s="10" t="str">
        <f>IF(OR('Volúmenes DIstribuidos '!C2765="Azúcar",'Volúmenes DIstribuidos '!C2765="azúcar"),"Azúcar o dulce",IF('Volúmenes DIstribuidos '!C2765="Aceite","Aceite o grasas",IF('Volúmenes DIstribuidos '!C2765="Avena","Otros almidones",'Volúmenes DIstribuidos '!C2765)))</f>
        <v>Otros almidones</v>
      </c>
      <c r="C4542" s="10" t="s">
        <v>29</v>
      </c>
      <c r="D4542" s="12">
        <f>'Volúmenes DIstribuidos '!D2765</f>
        <v>70.48</v>
      </c>
      <c r="E4542" s="12">
        <f>SUMIF('Parametros Inventario'!$A:$A,B4542,'Parametros Inventario'!$B:$B)+SUMIFS(D$2:D4542,B$2:B4542,B4542,C$2:C4542,"ENTRADA")-SUMIFS(D$2:D4542,B$2:B4542,B4542,C$2:C4542,"SALIDA")</f>
        <v>23407.830999999995</v>
      </c>
    </row>
    <row r="4543" spans="1:5" x14ac:dyDescent="0.3">
      <c r="A4543" s="9">
        <f>'Volúmenes DIstribuidos '!B2763</f>
        <v>45657</v>
      </c>
      <c r="B4543" s="10" t="str">
        <f>IF(OR('Volúmenes DIstribuidos '!C2766="Azúcar",'Volúmenes DIstribuidos '!C2766="azúcar"),"Azúcar o dulce",IF('Volúmenes DIstribuidos '!C2766="Aceite","Aceite o grasas",IF('Volúmenes DIstribuidos '!C2766="Avena","Otros almidones",'Volúmenes DIstribuidos '!C2766)))</f>
        <v>Fideo</v>
      </c>
      <c r="C4543" s="10" t="s">
        <v>29</v>
      </c>
      <c r="D4543" s="12">
        <f>'Volúmenes DIstribuidos '!D2766</f>
        <v>52.62</v>
      </c>
      <c r="E4543" s="12">
        <f>SUMIF('Parametros Inventario'!$A:$A,B4543,'Parametros Inventario'!$B:$B)+SUMIFS(D$2:D4543,B$2:B4543,B4543,C$2:C4543,"ENTRADA")-SUMIFS(D$2:D4543,B$2:B4543,B4543,C$2:C4543,"SALIDA")</f>
        <v>23944.755000000016</v>
      </c>
    </row>
    <row r="4544" spans="1:5" x14ac:dyDescent="0.3">
      <c r="A4544" s="9">
        <f>'Volúmenes DIstribuidos '!B2763</f>
        <v>45657</v>
      </c>
      <c r="B4544" s="10" t="str">
        <f>IF(OR('Volúmenes DIstribuidos '!C2767="Azúcar",'Volúmenes DIstribuidos '!C2767="azúcar"),"Azúcar o dulce",IF('Volúmenes DIstribuidos '!C2767="Aceite","Aceite o grasas",IF('Volúmenes DIstribuidos '!C2767="Avena","Otros almidones",'Volúmenes DIstribuidos '!C2767)))</f>
        <v>Menestras</v>
      </c>
      <c r="C4544" s="10" t="s">
        <v>29</v>
      </c>
      <c r="D4544" s="12">
        <f>'Volúmenes DIstribuidos '!D2767</f>
        <v>36.35</v>
      </c>
      <c r="E4544" s="12">
        <f>SUMIF('Parametros Inventario'!$A:$A,B4544,'Parametros Inventario'!$B:$B)+SUMIFS(D$2:D4544,B$2:B4544,B4544,C$2:C4544,"ENTRADA")-SUMIFS(D$2:D4544,B$2:B4544,B4544,C$2:C4544,"SALIDA")</f>
        <v>21209.701999999987</v>
      </c>
    </row>
    <row r="4545" spans="1:5" x14ac:dyDescent="0.3">
      <c r="A4545" s="9">
        <f>'Volúmenes DIstribuidos '!B2763</f>
        <v>45657</v>
      </c>
      <c r="B4545" s="10" t="str">
        <f>IF(OR('Volúmenes DIstribuidos '!C2768="Azúcar",'Volúmenes DIstribuidos '!C2768="azúcar"),"Azúcar o dulce",IF('Volúmenes DIstribuidos '!C2768="Aceite","Aceite o grasas",IF('Volúmenes DIstribuidos '!C2768="Avena","Otros almidones",'Volúmenes DIstribuidos '!C2768)))</f>
        <v>Lácteos</v>
      </c>
      <c r="C4545" s="10" t="s">
        <v>29</v>
      </c>
      <c r="D4545" s="12">
        <f>'Volúmenes DIstribuidos '!D2768</f>
        <v>8.3770000000000007</v>
      </c>
      <c r="E4545" s="12">
        <f>SUMIF('Parametros Inventario'!$A:$A,B4545,'Parametros Inventario'!$B:$B)+SUMIFS(D$2:D4545,B$2:B4545,B4545,C$2:C4545,"ENTRADA")-SUMIFS(D$2:D4545,B$2:B4545,B4545,C$2:C4545,"SALIDA")</f>
        <v>20617.335000000003</v>
      </c>
    </row>
    <row r="4546" spans="1:5" x14ac:dyDescent="0.3">
      <c r="A4546" s="9">
        <v>45660</v>
      </c>
      <c r="B4546" s="10" t="s">
        <v>17</v>
      </c>
      <c r="C4546" s="10" t="s">
        <v>28</v>
      </c>
      <c r="D4546" s="12">
        <v>110.95</v>
      </c>
      <c r="E4546" s="12">
        <f>SUMIF('Parametros Inventario'!$A:$A,B4546,'Parametros Inventario'!$B:$B)+SUMIFS(D$2:D4546,B$2:B4546,B4546,C$2:C4546,"ENTRADA")-SUMIFS(D$2:D4546,B$2:B4546,B4546,C$2:C4546,"SALIDA")</f>
        <v>20728.285000000003</v>
      </c>
    </row>
    <row r="4547" spans="1:5" x14ac:dyDescent="0.3">
      <c r="A4547" s="9">
        <v>45660</v>
      </c>
      <c r="B4547" s="10" t="s">
        <v>18</v>
      </c>
      <c r="C4547" s="10" t="s">
        <v>28</v>
      </c>
      <c r="D4547" s="12">
        <v>185.88</v>
      </c>
      <c r="E4547" s="12">
        <f>SUMIF('Parametros Inventario'!$A:$A,B4547,'Parametros Inventario'!$B:$B)+SUMIFS(D$2:D4547,B$2:B4547,B4547,C$2:C4547,"ENTRADA")-SUMIFS(D$2:D4547,B$2:B4547,B4547,C$2:C4547,"SALIDA")</f>
        <v>20960.310999999983</v>
      </c>
    </row>
    <row r="4548" spans="1:5" x14ac:dyDescent="0.3">
      <c r="A4548" s="9">
        <v>45660</v>
      </c>
      <c r="B4548" s="10" t="s">
        <v>10</v>
      </c>
      <c r="C4548" s="10" t="s">
        <v>28</v>
      </c>
      <c r="D4548" s="12">
        <v>116.86</v>
      </c>
      <c r="E4548" s="12">
        <f>SUMIF('Parametros Inventario'!$A:$A,B4548,'Parametros Inventario'!$B:$B)+SUMIFS(D$2:D4548,B$2:B4548,B4548,C$2:C4548,"ENTRADA")-SUMIFS(D$2:D4548,B$2:B4548,B4548,C$2:C4548,"SALIDA")</f>
        <v>22605.358000000007</v>
      </c>
    </row>
    <row r="4549" spans="1:5" x14ac:dyDescent="0.3">
      <c r="A4549" s="9">
        <v>45660</v>
      </c>
      <c r="B4549" s="10" t="s">
        <v>8</v>
      </c>
      <c r="C4549" s="10" t="s">
        <v>28</v>
      </c>
      <c r="D4549" s="12">
        <v>185.9</v>
      </c>
      <c r="E4549" s="12">
        <f>SUMIF('Parametros Inventario'!$A:$A,B4549,'Parametros Inventario'!$B:$B)+SUMIFS(D$2:D4549,B$2:B4549,B4549,C$2:C4549,"ENTRADA")-SUMIFS(D$2:D4549,B$2:B4549,B4549,C$2:C4549,"SALIDA")</f>
        <v>21512.699000000011</v>
      </c>
    </row>
    <row r="4550" spans="1:5" x14ac:dyDescent="0.3">
      <c r="A4550" s="9">
        <v>45660</v>
      </c>
      <c r="B4550" s="10" t="s">
        <v>13</v>
      </c>
      <c r="C4550" s="10" t="s">
        <v>28</v>
      </c>
      <c r="D4550" s="12">
        <v>55.3</v>
      </c>
      <c r="E4550" s="12">
        <f>SUMIF('Parametros Inventario'!$A:$A,B4550,'Parametros Inventario'!$B:$B)+SUMIFS(D$2:D4550,B$2:B4550,B4550,C$2:C4550,"ENTRADA")-SUMIFS(D$2:D4550,B$2:B4550,B4550,C$2:C4550,"SALIDA")</f>
        <v>20735.510999999995</v>
      </c>
    </row>
    <row r="4551" spans="1:5" x14ac:dyDescent="0.3">
      <c r="A4551" s="9">
        <v>45660</v>
      </c>
      <c r="B4551" s="10" t="s">
        <v>15</v>
      </c>
      <c r="C4551" s="10" t="s">
        <v>28</v>
      </c>
      <c r="D4551" s="12">
        <v>61.13</v>
      </c>
      <c r="E4551" s="12">
        <f>SUMIF('Parametros Inventario'!$A:$A,B4551,'Parametros Inventario'!$B:$B)+SUMIFS(D$2:D4551,B$2:B4551,B4551,C$2:C4551,"ENTRADA")-SUMIFS(D$2:D4551,B$2:B4551,B4551,C$2:C4551,"SALIDA")</f>
        <v>23468.960999999996</v>
      </c>
    </row>
    <row r="4552" spans="1:5" x14ac:dyDescent="0.3">
      <c r="A4552" s="9">
        <v>45660</v>
      </c>
      <c r="B4552" s="10" t="s">
        <v>11</v>
      </c>
      <c r="C4552" s="10" t="s">
        <v>28</v>
      </c>
      <c r="D4552" s="12">
        <v>186.16</v>
      </c>
      <c r="E4552" s="12">
        <f>SUMIF('Parametros Inventario'!$A:$A,B4552,'Parametros Inventario'!$B:$B)+SUMIFS(D$2:D4552,B$2:B4552,B4552,C$2:C4552,"ENTRADA")-SUMIFS(D$2:D4552,B$2:B4552,B4552,C$2:C4552,"SALIDA")</f>
        <v>24130.915000000015</v>
      </c>
    </row>
    <row r="4553" spans="1:5" x14ac:dyDescent="0.3">
      <c r="A4553" s="9">
        <v>45660</v>
      </c>
      <c r="B4553" s="10" t="s">
        <v>9</v>
      </c>
      <c r="C4553" s="10" t="s">
        <v>28</v>
      </c>
      <c r="D4553" s="12">
        <v>75.64</v>
      </c>
      <c r="E4553" s="12">
        <f>SUMIF('Parametros Inventario'!$A:$A,B4553,'Parametros Inventario'!$B:$B)+SUMIFS(D$2:D4553,B$2:B4553,B4553,C$2:C4553,"ENTRADA")-SUMIFS(D$2:D4553,B$2:B4553,B4553,C$2:C4553,"SALIDA")</f>
        <v>19700.271999999994</v>
      </c>
    </row>
    <row r="4554" spans="1:5" x14ac:dyDescent="0.3">
      <c r="A4554" s="9">
        <v>45660</v>
      </c>
      <c r="B4554" s="10" t="s">
        <v>14</v>
      </c>
      <c r="C4554" s="10" t="s">
        <v>28</v>
      </c>
      <c r="D4554" s="12">
        <v>271.61</v>
      </c>
      <c r="E4554" s="12">
        <f>SUMIF('Parametros Inventario'!$A:$A,B4554,'Parametros Inventario'!$B:$B)+SUMIFS(D$2:D4554,B$2:B4554,B4554,C$2:C4554,"ENTRADA")-SUMIFS(D$2:D4554,B$2:B4554,B4554,C$2:C4554,"SALIDA")</f>
        <v>21481.311999999987</v>
      </c>
    </row>
    <row r="4555" spans="1:5" x14ac:dyDescent="0.3">
      <c r="A4555" s="9">
        <v>45660</v>
      </c>
      <c r="B4555" s="10" t="s">
        <v>12</v>
      </c>
      <c r="C4555" s="10" t="s">
        <v>28</v>
      </c>
      <c r="D4555" s="12">
        <v>153.82</v>
      </c>
      <c r="E4555" s="12">
        <f>SUMIF('Parametros Inventario'!$A:$A,B4555,'Parametros Inventario'!$B:$B)+SUMIFS(D$2:D4555,B$2:B4555,B4555,C$2:C4555,"ENTRADA")-SUMIFS(D$2:D4555,B$2:B4555,B4555,C$2:C4555,"SALIDA")</f>
        <v>20870.987000000001</v>
      </c>
    </row>
    <row r="4556" spans="1:5" x14ac:dyDescent="0.3">
      <c r="A4556" s="9">
        <f>'Volúmenes DIstribuidos '!B2769</f>
        <v>45660</v>
      </c>
      <c r="B4556" s="10" t="str">
        <f>IF(OR('Volúmenes DIstribuidos '!C2769="Azúcar",'Volúmenes DIstribuidos '!C2769="azúcar"),"Azúcar o dulce",IF('Volúmenes DIstribuidos '!C2769="Aceite","Aceite o grasas",IF('Volúmenes DIstribuidos '!C2769="Avena","Otros almidones",'Volúmenes DIstribuidos '!C2769)))</f>
        <v>Carnes blancas</v>
      </c>
      <c r="C4556" s="10" t="s">
        <v>29</v>
      </c>
      <c r="D4556" s="12">
        <f>'Volúmenes DIstribuidos '!D2769</f>
        <v>12.01</v>
      </c>
      <c r="E4556" s="12">
        <f>SUMIF('Parametros Inventario'!$A:$A,B4556,'Parametros Inventario'!$B:$B)+SUMIFS(D$2:D4556,B$2:B4556,B4556,C$2:C4556,"ENTRADA")-SUMIFS(D$2:D4556,B$2:B4556,B4556,C$2:C4556,"SALIDA")</f>
        <v>21887.814000000002</v>
      </c>
    </row>
    <row r="4557" spans="1:5" x14ac:dyDescent="0.3">
      <c r="A4557" s="9">
        <f>'Volúmenes DIstribuidos '!B2769</f>
        <v>45660</v>
      </c>
      <c r="B4557" s="10" t="str">
        <f>IF(OR('Volúmenes DIstribuidos '!C2770="Azúcar",'Volúmenes DIstribuidos '!C2770="azúcar"),"Azúcar o dulce",IF('Volúmenes DIstribuidos '!C2770="Aceite","Aceite o grasas",IF('Volúmenes DIstribuidos '!C2770="Avena","Otros almidones",'Volúmenes DIstribuidos '!C2770)))</f>
        <v>Carnes rojas</v>
      </c>
      <c r="C4557" s="10" t="s">
        <v>29</v>
      </c>
      <c r="D4557" s="12">
        <f>'Volúmenes DIstribuidos '!D2770</f>
        <v>11.71</v>
      </c>
      <c r="E4557" s="12">
        <f>SUMIF('Parametros Inventario'!$A:$A,B4557,'Parametros Inventario'!$B:$B)+SUMIFS(D$2:D4557,B$2:B4557,B4557,C$2:C4557,"ENTRADA")-SUMIFS(D$2:D4557,B$2:B4557,B4557,C$2:C4557,"SALIDA")</f>
        <v>20859.277000000002</v>
      </c>
    </row>
    <row r="4558" spans="1:5" x14ac:dyDescent="0.3">
      <c r="A4558" s="9">
        <f>'Volúmenes DIstribuidos '!B2769</f>
        <v>45660</v>
      </c>
      <c r="B4558" s="10" t="str">
        <f>IF(OR('Volúmenes DIstribuidos '!C2771="Azúcar",'Volúmenes DIstribuidos '!C2771="azúcar"),"Azúcar o dulce",IF('Volúmenes DIstribuidos '!C2771="Aceite","Aceite o grasas",IF('Volúmenes DIstribuidos '!C2771="Avena","Otros almidones",'Volúmenes DIstribuidos '!C2771)))</f>
        <v>Panadería</v>
      </c>
      <c r="C4558" s="10" t="s">
        <v>29</v>
      </c>
      <c r="D4558" s="12">
        <f>'Volúmenes DIstribuidos '!D2771</f>
        <v>13.02</v>
      </c>
      <c r="E4558" s="12">
        <f>SUMIF('Parametros Inventario'!$A:$A,B4558,'Parametros Inventario'!$B:$B)+SUMIFS(D$2:D4558,B$2:B4558,B4558,C$2:C4558,"ENTRADA")-SUMIFS(D$2:D4558,B$2:B4558,B4558,C$2:C4558,"SALIDA")</f>
        <v>19687.251999999993</v>
      </c>
    </row>
    <row r="4559" spans="1:5" x14ac:dyDescent="0.3">
      <c r="A4559" s="9">
        <f>'Volúmenes DIstribuidos '!B2769</f>
        <v>45660</v>
      </c>
      <c r="B4559" s="10" t="str">
        <f>IF(OR('Volúmenes DIstribuidos '!C2772="Azúcar",'Volúmenes DIstribuidos '!C2772="azúcar"),"Azúcar o dulce",IF('Volúmenes DIstribuidos '!C2772="Aceite","Aceite o grasas",IF('Volúmenes DIstribuidos '!C2772="Avena","Otros almidones",'Volúmenes DIstribuidos '!C2772)))</f>
        <v>Azúcar o dulce</v>
      </c>
      <c r="C4559" s="10" t="s">
        <v>29</v>
      </c>
      <c r="D4559" s="12">
        <f>'Volúmenes DIstribuidos '!D2772</f>
        <v>56.423000000000002</v>
      </c>
      <c r="E4559" s="12">
        <f>SUMIF('Parametros Inventario'!$A:$A,B4559,'Parametros Inventario'!$B:$B)+SUMIFS(D$2:D4559,B$2:B4559,B4559,C$2:C4559,"ENTRADA")-SUMIFS(D$2:D4559,B$2:B4559,B4559,C$2:C4559,"SALIDA")</f>
        <v>20679.087999999996</v>
      </c>
    </row>
    <row r="4560" spans="1:5" x14ac:dyDescent="0.3">
      <c r="A4560" s="9">
        <f>'Volúmenes DIstribuidos '!B2769</f>
        <v>45660</v>
      </c>
      <c r="B4560" s="10" t="str">
        <f>IF(OR('Volúmenes DIstribuidos '!C2773="Azúcar",'Volúmenes DIstribuidos '!C2773="azúcar"),"Azúcar o dulce",IF('Volúmenes DIstribuidos '!C2773="Aceite","Aceite o grasas",IF('Volúmenes DIstribuidos '!C2773="Avena","Otros almidones",'Volúmenes DIstribuidos '!C2773)))</f>
        <v>Fideo</v>
      </c>
      <c r="C4560" s="10" t="s">
        <v>29</v>
      </c>
      <c r="D4560" s="12">
        <f>'Volúmenes DIstribuidos '!D2773</f>
        <v>13.89</v>
      </c>
      <c r="E4560" s="12">
        <f>SUMIF('Parametros Inventario'!$A:$A,B4560,'Parametros Inventario'!$B:$B)+SUMIFS(D$2:D4560,B$2:B4560,B4560,C$2:C4560,"ENTRADA")-SUMIFS(D$2:D4560,B$2:B4560,B4560,C$2:C4560,"SALIDA")</f>
        <v>24117.025000000016</v>
      </c>
    </row>
    <row r="4561" spans="1:5" x14ac:dyDescent="0.3">
      <c r="A4561" s="9">
        <f>'Volúmenes DIstribuidos '!B2769</f>
        <v>45660</v>
      </c>
      <c r="B4561" s="10" t="str">
        <f>IF(OR('Volúmenes DIstribuidos '!C2774="Azúcar",'Volúmenes DIstribuidos '!C2774="azúcar"),"Azúcar o dulce",IF('Volúmenes DIstribuidos '!C2774="Aceite","Aceite o grasas",IF('Volúmenes DIstribuidos '!C2774="Avena","Otros almidones",'Volúmenes DIstribuidos '!C2774)))</f>
        <v>Carnes blancas</v>
      </c>
      <c r="C4561" s="10" t="s">
        <v>29</v>
      </c>
      <c r="D4561" s="12">
        <f>'Volúmenes DIstribuidos '!D2774</f>
        <v>16.46</v>
      </c>
      <c r="E4561" s="12">
        <f>SUMIF('Parametros Inventario'!$A:$A,B4561,'Parametros Inventario'!$B:$B)+SUMIFS(D$2:D4561,B$2:B4561,B4561,C$2:C4561,"ENTRADA")-SUMIFS(D$2:D4561,B$2:B4561,B4561,C$2:C4561,"SALIDA")</f>
        <v>21871.353999999999</v>
      </c>
    </row>
    <row r="4562" spans="1:5" x14ac:dyDescent="0.3">
      <c r="A4562" s="9">
        <f>'Volúmenes DIstribuidos '!B2775</f>
        <v>45664</v>
      </c>
      <c r="B4562" s="10" t="str">
        <f>IF(OR('Volúmenes DIstribuidos '!C2775="Azúcar",'Volúmenes DIstribuidos '!C2775="azúcar"),"Azúcar o dulce",IF('Volúmenes DIstribuidos '!C2775="Aceite","Aceite o grasas",IF('Volúmenes DIstribuidos '!C2775="Avena","Otros almidones",'Volúmenes DIstribuidos '!C2775)))</f>
        <v>Vegetales y hojas</v>
      </c>
      <c r="C4562" s="10" t="s">
        <v>29</v>
      </c>
      <c r="D4562" s="12">
        <f>'Volúmenes DIstribuidos '!D2775</f>
        <v>8.14</v>
      </c>
      <c r="E4562" s="12">
        <f>SUMIF('Parametros Inventario'!$A:$A,B4562,'Parametros Inventario'!$B:$B)+SUMIFS(D$2:D4562,B$2:B4562,B4562,C$2:C4562,"ENTRADA")-SUMIFS(D$2:D4562,B$2:B4562,B4562,C$2:C4562,"SALIDA")</f>
        <v>22597.218000000008</v>
      </c>
    </row>
    <row r="4563" spans="1:5" x14ac:dyDescent="0.3">
      <c r="A4563" s="9">
        <f>'Volúmenes DIstribuidos '!B2775</f>
        <v>45664</v>
      </c>
      <c r="B4563" s="10" t="str">
        <f>IF(OR('Volúmenes DIstribuidos '!C2776="Azúcar",'Volúmenes DIstribuidos '!C2776="azúcar"),"Azúcar o dulce",IF('Volúmenes DIstribuidos '!C2776="Aceite","Aceite o grasas",IF('Volúmenes DIstribuidos '!C2776="Avena","Otros almidones",'Volúmenes DIstribuidos '!C2776)))</f>
        <v>Panadería</v>
      </c>
      <c r="C4563" s="10" t="s">
        <v>29</v>
      </c>
      <c r="D4563" s="12">
        <f>'Volúmenes DIstribuidos '!D2776</f>
        <v>65.299000000000007</v>
      </c>
      <c r="E4563" s="12">
        <f>SUMIF('Parametros Inventario'!$A:$A,B4563,'Parametros Inventario'!$B:$B)+SUMIFS(D$2:D4563,B$2:B4563,B4563,C$2:C4563,"ENTRADA")-SUMIFS(D$2:D4563,B$2:B4563,B4563,C$2:C4563,"SALIDA")</f>
        <v>19621.952999999994</v>
      </c>
    </row>
    <row r="4564" spans="1:5" x14ac:dyDescent="0.3">
      <c r="A4564" s="9">
        <f>'Volúmenes DIstribuidos '!B2775</f>
        <v>45664</v>
      </c>
      <c r="B4564" s="10" t="str">
        <f>IF(OR('Volúmenes DIstribuidos '!C2777="Azúcar",'Volúmenes DIstribuidos '!C2777="azúcar"),"Azúcar o dulce",IF('Volúmenes DIstribuidos '!C2777="Aceite","Aceite o grasas",IF('Volúmenes DIstribuidos '!C2777="Avena","Otros almidones",'Volúmenes DIstribuidos '!C2777)))</f>
        <v>Otros almidones</v>
      </c>
      <c r="C4564" s="10" t="s">
        <v>29</v>
      </c>
      <c r="D4564" s="12">
        <f>'Volúmenes DIstribuidos '!D2777</f>
        <v>14.4</v>
      </c>
      <c r="E4564" s="12">
        <f>SUMIF('Parametros Inventario'!$A:$A,B4564,'Parametros Inventario'!$B:$B)+SUMIFS(D$2:D4564,B$2:B4564,B4564,C$2:C4564,"ENTRADA")-SUMIFS(D$2:D4564,B$2:B4564,B4564,C$2:C4564,"SALIDA")</f>
        <v>23454.560999999994</v>
      </c>
    </row>
    <row r="4565" spans="1:5" x14ac:dyDescent="0.3">
      <c r="A4565" s="9">
        <f>'Volúmenes DIstribuidos '!B2775</f>
        <v>45664</v>
      </c>
      <c r="B4565" s="10" t="str">
        <f>IF(OR('Volúmenes DIstribuidos '!C2778="Azúcar",'Volúmenes DIstribuidos '!C2778="azúcar"),"Azúcar o dulce",IF('Volúmenes DIstribuidos '!C2778="Aceite","Aceite o grasas",IF('Volúmenes DIstribuidos '!C2778="Avena","Otros almidones",'Volúmenes DIstribuidos '!C2778)))</f>
        <v>Panadería</v>
      </c>
      <c r="C4565" s="10" t="s">
        <v>29</v>
      </c>
      <c r="D4565" s="12">
        <f>'Volúmenes DIstribuidos '!D2778</f>
        <v>92.83</v>
      </c>
      <c r="E4565" s="12">
        <f>SUMIF('Parametros Inventario'!$A:$A,B4565,'Parametros Inventario'!$B:$B)+SUMIFS(D$2:D4565,B$2:B4565,B4565,C$2:C4565,"ENTRADA")-SUMIFS(D$2:D4565,B$2:B4565,B4565,C$2:C4565,"SALIDA")</f>
        <v>19529.122999999992</v>
      </c>
    </row>
    <row r="4566" spans="1:5" x14ac:dyDescent="0.3">
      <c r="A4566" s="9">
        <f>'Volúmenes DIstribuidos '!B2775</f>
        <v>45664</v>
      </c>
      <c r="B4566" s="10" t="str">
        <f>IF(OR('Volúmenes DIstribuidos '!C2779="Azúcar",'Volúmenes DIstribuidos '!C2779="azúcar"),"Azúcar o dulce",IF('Volúmenes DIstribuidos '!C2779="Aceite","Aceite o grasas",IF('Volúmenes DIstribuidos '!C2779="Avena","Otros almidones",'Volúmenes DIstribuidos '!C2779)))</f>
        <v>Azúcar o dulce</v>
      </c>
      <c r="C4566" s="10" t="s">
        <v>29</v>
      </c>
      <c r="D4566" s="12">
        <f>'Volúmenes DIstribuidos '!D2779</f>
        <v>21.84</v>
      </c>
      <c r="E4566" s="12">
        <f>SUMIF('Parametros Inventario'!$A:$A,B4566,'Parametros Inventario'!$B:$B)+SUMIFS(D$2:D4566,B$2:B4566,B4566,C$2:C4566,"ENTRADA")-SUMIFS(D$2:D4566,B$2:B4566,B4566,C$2:C4566,"SALIDA")</f>
        <v>20657.247999999992</v>
      </c>
    </row>
    <row r="4567" spans="1:5" x14ac:dyDescent="0.3">
      <c r="A4567" s="9">
        <f>'Volúmenes DIstribuidos '!B2775</f>
        <v>45664</v>
      </c>
      <c r="B4567" s="10" t="str">
        <f>IF(OR('Volúmenes DIstribuidos '!C2780="Azúcar",'Volúmenes DIstribuidos '!C2780="azúcar"),"Azúcar o dulce",IF('Volúmenes DIstribuidos '!C2780="Aceite","Aceite o grasas",IF('Volúmenes DIstribuidos '!C2780="Avena","Otros almidones",'Volúmenes DIstribuidos '!C2780)))</f>
        <v>Salsas</v>
      </c>
      <c r="C4567" s="10" t="s">
        <v>29</v>
      </c>
      <c r="D4567" s="12">
        <f>'Volúmenes DIstribuidos '!D2780</f>
        <v>23.62</v>
      </c>
      <c r="E4567" s="12">
        <f>SUMIF('Parametros Inventario'!$A:$A,B4567,'Parametros Inventario'!$B:$B)+SUMIFS(D$2:D4567,B$2:B4567,B4567,C$2:C4567,"ENTRADA")-SUMIFS(D$2:D4567,B$2:B4567,B4567,C$2:C4567,"SALIDA")</f>
        <v>20936.690999999984</v>
      </c>
    </row>
    <row r="4568" spans="1:5" x14ac:dyDescent="0.3">
      <c r="A4568" s="9">
        <v>45667</v>
      </c>
      <c r="B4568" s="10" t="s">
        <v>16</v>
      </c>
      <c r="C4568" s="10" t="s">
        <v>28</v>
      </c>
      <c r="D4568" s="12">
        <v>50.3</v>
      </c>
      <c r="E4568" s="12">
        <f>SUMIF('Parametros Inventario'!$A:$A,B4568,'Parametros Inventario'!$B:$B)+SUMIFS(D$2:D4568,B$2:B4568,B4568,C$2:C4568,"ENTRADA")-SUMIFS(D$2:D4568,B$2:B4568,B4568,C$2:C4568,"SALIDA")</f>
        <v>21921.654000000002</v>
      </c>
    </row>
    <row r="4569" spans="1:5" x14ac:dyDescent="0.3">
      <c r="A4569" s="9">
        <v>45667</v>
      </c>
      <c r="B4569" s="10" t="s">
        <v>17</v>
      </c>
      <c r="C4569" s="10" t="s">
        <v>28</v>
      </c>
      <c r="D4569" s="12">
        <v>106.08</v>
      </c>
      <c r="E4569" s="12">
        <f>SUMIF('Parametros Inventario'!$A:$A,B4569,'Parametros Inventario'!$B:$B)+SUMIFS(D$2:D4569,B$2:B4569,B4569,C$2:C4569,"ENTRADA")-SUMIFS(D$2:D4569,B$2:B4569,B4569,C$2:C4569,"SALIDA")</f>
        <v>20834.365000000005</v>
      </c>
    </row>
    <row r="4570" spans="1:5" x14ac:dyDescent="0.3">
      <c r="A4570" s="9">
        <v>45667</v>
      </c>
      <c r="B4570" s="10" t="s">
        <v>18</v>
      </c>
      <c r="C4570" s="10" t="s">
        <v>28</v>
      </c>
      <c r="D4570" s="12">
        <v>106.67</v>
      </c>
      <c r="E4570" s="12">
        <f>SUMIF('Parametros Inventario'!$A:$A,B4570,'Parametros Inventario'!$B:$B)+SUMIFS(D$2:D4570,B$2:B4570,B4570,C$2:C4570,"ENTRADA")-SUMIFS(D$2:D4570,B$2:B4570,B4570,C$2:C4570,"SALIDA")</f>
        <v>21043.360999999983</v>
      </c>
    </row>
    <row r="4571" spans="1:5" x14ac:dyDescent="0.3">
      <c r="A4571" s="9">
        <v>45667</v>
      </c>
      <c r="B4571" s="10" t="s">
        <v>10</v>
      </c>
      <c r="C4571" s="10" t="s">
        <v>28</v>
      </c>
      <c r="D4571" s="12">
        <v>146.35</v>
      </c>
      <c r="E4571" s="12">
        <f>SUMIF('Parametros Inventario'!$A:$A,B4571,'Parametros Inventario'!$B:$B)+SUMIFS(D$2:D4571,B$2:B4571,B4571,C$2:C4571,"ENTRADA")-SUMIFS(D$2:D4571,B$2:B4571,B4571,C$2:C4571,"SALIDA")</f>
        <v>22743.568000000007</v>
      </c>
    </row>
    <row r="4572" spans="1:5" x14ac:dyDescent="0.3">
      <c r="A4572" s="9">
        <v>45667</v>
      </c>
      <c r="B4572" s="10" t="s">
        <v>8</v>
      </c>
      <c r="C4572" s="10" t="s">
        <v>28</v>
      </c>
      <c r="D4572" s="12">
        <v>138.33000000000001</v>
      </c>
      <c r="E4572" s="12">
        <f>SUMIF('Parametros Inventario'!$A:$A,B4572,'Parametros Inventario'!$B:$B)+SUMIFS(D$2:D4572,B$2:B4572,B4572,C$2:C4572,"ENTRADA")-SUMIFS(D$2:D4572,B$2:B4572,B4572,C$2:C4572,"SALIDA")</f>
        <v>21651.029000000013</v>
      </c>
    </row>
    <row r="4573" spans="1:5" x14ac:dyDescent="0.3">
      <c r="A4573" s="9">
        <v>45667</v>
      </c>
      <c r="B4573" s="10" t="s">
        <v>13</v>
      </c>
      <c r="C4573" s="10" t="s">
        <v>28</v>
      </c>
      <c r="D4573" s="12">
        <v>121.71</v>
      </c>
      <c r="E4573" s="12">
        <f>SUMIF('Parametros Inventario'!$A:$A,B4573,'Parametros Inventario'!$B:$B)+SUMIFS(D$2:D4573,B$2:B4573,B4573,C$2:C4573,"ENTRADA")-SUMIFS(D$2:D4573,B$2:B4573,B4573,C$2:C4573,"SALIDA")</f>
        <v>20778.957999999991</v>
      </c>
    </row>
    <row r="4574" spans="1:5" x14ac:dyDescent="0.3">
      <c r="A4574" s="9">
        <v>45667</v>
      </c>
      <c r="B4574" s="10" t="s">
        <v>15</v>
      </c>
      <c r="C4574" s="10" t="s">
        <v>28</v>
      </c>
      <c r="D4574" s="12">
        <v>280.42</v>
      </c>
      <c r="E4574" s="12">
        <f>SUMIF('Parametros Inventario'!$A:$A,B4574,'Parametros Inventario'!$B:$B)+SUMIFS(D$2:D4574,B$2:B4574,B4574,C$2:C4574,"ENTRADA")-SUMIFS(D$2:D4574,B$2:B4574,B4574,C$2:C4574,"SALIDA")</f>
        <v>23734.980999999992</v>
      </c>
    </row>
    <row r="4575" spans="1:5" x14ac:dyDescent="0.3">
      <c r="A4575" s="9">
        <f>'Volúmenes DIstribuidos '!B2781</f>
        <v>45667</v>
      </c>
      <c r="B4575" s="10" t="str">
        <f>IF(OR('Volúmenes DIstribuidos '!C2781="Azúcar",'Volúmenes DIstribuidos '!C2781="azúcar"),"Azúcar o dulce",IF('Volúmenes DIstribuidos '!C2781="Aceite","Aceite o grasas",IF('Volúmenes DIstribuidos '!C2781="Avena","Otros almidones",'Volúmenes DIstribuidos '!C2781)))</f>
        <v>Vegetales y hojas</v>
      </c>
      <c r="C4575" s="10" t="s">
        <v>29</v>
      </c>
      <c r="D4575" s="12">
        <f>'Volúmenes DIstribuidos '!D2781</f>
        <v>19.940000000000001</v>
      </c>
      <c r="E4575" s="12">
        <f>SUMIF('Parametros Inventario'!$A:$A,B4575,'Parametros Inventario'!$B:$B)+SUMIFS(D$2:D4575,B$2:B4575,B4575,C$2:C4575,"ENTRADA")-SUMIFS(D$2:D4575,B$2:B4575,B4575,C$2:C4575,"SALIDA")</f>
        <v>22723.628000000008</v>
      </c>
    </row>
    <row r="4576" spans="1:5" x14ac:dyDescent="0.3">
      <c r="A4576" s="9">
        <f>'Volúmenes DIstribuidos '!B2781</f>
        <v>45667</v>
      </c>
      <c r="B4576" s="10" t="str">
        <f>IF(OR('Volúmenes DIstribuidos '!C2782="Azúcar",'Volúmenes DIstribuidos '!C2782="azúcar"),"Azúcar o dulce",IF('Volúmenes DIstribuidos '!C2782="Aceite","Aceite o grasas",IF('Volúmenes DIstribuidos '!C2782="Avena","Otros almidones",'Volúmenes DIstribuidos '!C2782)))</f>
        <v>Lácteos</v>
      </c>
      <c r="C4576" s="10" t="s">
        <v>29</v>
      </c>
      <c r="D4576" s="12">
        <f>'Volúmenes DIstribuidos '!D2782</f>
        <v>48.786999999999999</v>
      </c>
      <c r="E4576" s="12">
        <f>SUMIF('Parametros Inventario'!$A:$A,B4576,'Parametros Inventario'!$B:$B)+SUMIFS(D$2:D4576,B$2:B4576,B4576,C$2:C4576,"ENTRADA")-SUMIFS(D$2:D4576,B$2:B4576,B4576,C$2:C4576,"SALIDA")</f>
        <v>20785.578000000005</v>
      </c>
    </row>
    <row r="4577" spans="1:5" x14ac:dyDescent="0.3">
      <c r="A4577" s="9">
        <f>'Volúmenes DIstribuidos '!B2781</f>
        <v>45667</v>
      </c>
      <c r="B4577" s="10" t="str">
        <f>IF(OR('Volúmenes DIstribuidos '!C2783="Azúcar",'Volúmenes DIstribuidos '!C2783="azúcar"),"Azúcar o dulce",IF('Volúmenes DIstribuidos '!C2783="Aceite","Aceite o grasas",IF('Volúmenes DIstribuidos '!C2783="Avena","Otros almidones",'Volúmenes DIstribuidos '!C2783)))</f>
        <v>Lácteos</v>
      </c>
      <c r="C4577" s="10" t="s">
        <v>29</v>
      </c>
      <c r="D4577" s="12">
        <f>'Volúmenes DIstribuidos '!D2783</f>
        <v>111.22</v>
      </c>
      <c r="E4577" s="12">
        <f>SUMIF('Parametros Inventario'!$A:$A,B4577,'Parametros Inventario'!$B:$B)+SUMIFS(D$2:D4577,B$2:B4577,B4577,C$2:C4577,"ENTRADA")-SUMIFS(D$2:D4577,B$2:B4577,B4577,C$2:C4577,"SALIDA")</f>
        <v>20674.358000000007</v>
      </c>
    </row>
    <row r="4578" spans="1:5" x14ac:dyDescent="0.3">
      <c r="A4578" s="9">
        <f>'Volúmenes DIstribuidos '!B2781</f>
        <v>45667</v>
      </c>
      <c r="B4578" s="10" t="str">
        <f>IF(OR('Volúmenes DIstribuidos '!C2784="Azúcar",'Volúmenes DIstribuidos '!C2784="azúcar"),"Azúcar o dulce",IF('Volúmenes DIstribuidos '!C2784="Aceite","Aceite o grasas",IF('Volúmenes DIstribuidos '!C2784="Avena","Otros almidones",'Volúmenes DIstribuidos '!C2784)))</f>
        <v>Fideo</v>
      </c>
      <c r="C4578" s="10" t="s">
        <v>29</v>
      </c>
      <c r="D4578" s="12">
        <f>'Volúmenes DIstribuidos '!D2784</f>
        <v>80</v>
      </c>
      <c r="E4578" s="12">
        <f>SUMIF('Parametros Inventario'!$A:$A,B4578,'Parametros Inventario'!$B:$B)+SUMIFS(D$2:D4578,B$2:B4578,B4578,C$2:C4578,"ENTRADA")-SUMIFS(D$2:D4578,B$2:B4578,B4578,C$2:C4578,"SALIDA")</f>
        <v>24037.025000000016</v>
      </c>
    </row>
    <row r="4579" spans="1:5" x14ac:dyDescent="0.3">
      <c r="A4579" s="9">
        <f>'Volúmenes DIstribuidos '!B2781</f>
        <v>45667</v>
      </c>
      <c r="B4579" s="10" t="str">
        <f>IF(OR('Volúmenes DIstribuidos '!C2785="Azúcar",'Volúmenes DIstribuidos '!C2785="azúcar"),"Azúcar o dulce",IF('Volúmenes DIstribuidos '!C2785="Aceite","Aceite o grasas",IF('Volúmenes DIstribuidos '!C2785="Avena","Otros almidones",'Volúmenes DIstribuidos '!C2785)))</f>
        <v>Menestras</v>
      </c>
      <c r="C4579" s="10" t="s">
        <v>29</v>
      </c>
      <c r="D4579" s="12">
        <f>'Volúmenes DIstribuidos '!D2785</f>
        <v>29.73</v>
      </c>
      <c r="E4579" s="12">
        <f>SUMIF('Parametros Inventario'!$A:$A,B4579,'Parametros Inventario'!$B:$B)+SUMIFS(D$2:D4579,B$2:B4579,B4579,C$2:C4579,"ENTRADA")-SUMIFS(D$2:D4579,B$2:B4579,B4579,C$2:C4579,"SALIDA")</f>
        <v>21451.581999999988</v>
      </c>
    </row>
    <row r="4580" spans="1:5" x14ac:dyDescent="0.3">
      <c r="A4580" s="9">
        <f>'Volúmenes DIstribuidos '!B2781</f>
        <v>45667</v>
      </c>
      <c r="B4580" s="10" t="str">
        <f>IF(OR('Volúmenes DIstribuidos '!C2786="Azúcar",'Volúmenes DIstribuidos '!C2786="azúcar"),"Azúcar o dulce",IF('Volúmenes DIstribuidos '!C2786="Aceite","Aceite o grasas",IF('Volúmenes DIstribuidos '!C2786="Avena","Otros almidones",'Volúmenes DIstribuidos '!C2786)))</f>
        <v>Salsas</v>
      </c>
      <c r="C4580" s="10" t="s">
        <v>29</v>
      </c>
      <c r="D4580" s="12">
        <f>'Volúmenes DIstribuidos '!D2786</f>
        <v>119.553</v>
      </c>
      <c r="E4580" s="12">
        <f>SUMIF('Parametros Inventario'!$A:$A,B4580,'Parametros Inventario'!$B:$B)+SUMIFS(D$2:D4580,B$2:B4580,B4580,C$2:C4580,"ENTRADA")-SUMIFS(D$2:D4580,B$2:B4580,B4580,C$2:C4580,"SALIDA")</f>
        <v>20923.807999999983</v>
      </c>
    </row>
    <row r="4581" spans="1:5" x14ac:dyDescent="0.3">
      <c r="A4581" s="9">
        <f>'Volúmenes DIstribuidos '!B2787</f>
        <v>45671</v>
      </c>
      <c r="B4581" s="10" t="str">
        <f>IF(OR('Volúmenes DIstribuidos '!C2787="Azúcar",'Volúmenes DIstribuidos '!C2787="azúcar"),"Azúcar o dulce",IF('Volúmenes DIstribuidos '!C2787="Aceite","Aceite o grasas",IF('Volúmenes DIstribuidos '!C2787="Avena","Otros almidones",'Volúmenes DIstribuidos '!C2787)))</f>
        <v>Azúcar o dulce</v>
      </c>
      <c r="C4581" s="10" t="s">
        <v>29</v>
      </c>
      <c r="D4581" s="12">
        <f>'Volúmenes DIstribuidos '!D2787</f>
        <v>12.22</v>
      </c>
      <c r="E4581" s="12">
        <f>SUMIF('Parametros Inventario'!$A:$A,B4581,'Parametros Inventario'!$B:$B)+SUMIFS(D$2:D4581,B$2:B4581,B4581,C$2:C4581,"ENTRADA")-SUMIFS(D$2:D4581,B$2:B4581,B4581,C$2:C4581,"SALIDA")</f>
        <v>20766.737999999994</v>
      </c>
    </row>
    <row r="4582" spans="1:5" x14ac:dyDescent="0.3">
      <c r="A4582" s="9">
        <f>'Volúmenes DIstribuidos '!B2787</f>
        <v>45671</v>
      </c>
      <c r="B4582" s="10" t="str">
        <f>IF(OR('Volúmenes DIstribuidos '!C2788="Azúcar",'Volúmenes DIstribuidos '!C2788="azúcar"),"Azúcar o dulce",IF('Volúmenes DIstribuidos '!C2788="Aceite","Aceite o grasas",IF('Volúmenes DIstribuidos '!C2788="Avena","Otros almidones",'Volúmenes DIstribuidos '!C2788)))</f>
        <v>Aceite o grasas</v>
      </c>
      <c r="C4582" s="10" t="s">
        <v>29</v>
      </c>
      <c r="D4582" s="12">
        <f>'Volúmenes DIstribuidos '!D2788</f>
        <v>93.24</v>
      </c>
      <c r="E4582" s="12">
        <f>SUMIF('Parametros Inventario'!$A:$A,B4582,'Parametros Inventario'!$B:$B)+SUMIFS(D$2:D4582,B$2:B4582,B4582,C$2:C4582,"ENTRADA")-SUMIFS(D$2:D4582,B$2:B4582,B4582,C$2:C4582,"SALIDA")</f>
        <v>21557.789000000012</v>
      </c>
    </row>
    <row r="4583" spans="1:5" x14ac:dyDescent="0.3">
      <c r="A4583" s="9">
        <f>'Volúmenes DIstribuidos '!B2787</f>
        <v>45671</v>
      </c>
      <c r="B4583" s="10" t="str">
        <f>IF(OR('Volúmenes DIstribuidos '!C2789="Azúcar",'Volúmenes DIstribuidos '!C2789="azúcar"),"Azúcar o dulce",IF('Volúmenes DIstribuidos '!C2789="Aceite","Aceite o grasas",IF('Volúmenes DIstribuidos '!C2789="Avena","Otros almidones",'Volúmenes DIstribuidos '!C2789)))</f>
        <v>Fideo</v>
      </c>
      <c r="C4583" s="10" t="s">
        <v>29</v>
      </c>
      <c r="D4583" s="12">
        <f>'Volúmenes DIstribuidos '!D2789</f>
        <v>26.81</v>
      </c>
      <c r="E4583" s="12">
        <f>SUMIF('Parametros Inventario'!$A:$A,B4583,'Parametros Inventario'!$B:$B)+SUMIFS(D$2:D4583,B$2:B4583,B4583,C$2:C4583,"ENTRADA")-SUMIFS(D$2:D4583,B$2:B4583,B4583,C$2:C4583,"SALIDA")</f>
        <v>24010.215000000015</v>
      </c>
    </row>
    <row r="4584" spans="1:5" x14ac:dyDescent="0.3">
      <c r="A4584" s="9">
        <f>'Volúmenes DIstribuidos '!B2787</f>
        <v>45671</v>
      </c>
      <c r="B4584" s="10" t="str">
        <f>IF(OR('Volúmenes DIstribuidos '!C2790="Azúcar",'Volúmenes DIstribuidos '!C2790="azúcar"),"Azúcar o dulce",IF('Volúmenes DIstribuidos '!C2790="Aceite","Aceite o grasas",IF('Volúmenes DIstribuidos '!C2790="Avena","Otros almidones",'Volúmenes DIstribuidos '!C2790)))</f>
        <v>Carnes rojas</v>
      </c>
      <c r="C4584" s="10" t="s">
        <v>29</v>
      </c>
      <c r="D4584" s="12">
        <f>'Volúmenes DIstribuidos '!D2790</f>
        <v>74.900000000000006</v>
      </c>
      <c r="E4584" s="12">
        <f>SUMIF('Parametros Inventario'!$A:$A,B4584,'Parametros Inventario'!$B:$B)+SUMIFS(D$2:D4584,B$2:B4584,B4584,C$2:C4584,"ENTRADA")-SUMIFS(D$2:D4584,B$2:B4584,B4584,C$2:C4584,"SALIDA")</f>
        <v>20784.377</v>
      </c>
    </row>
    <row r="4585" spans="1:5" x14ac:dyDescent="0.3">
      <c r="A4585" s="9">
        <f>'Volúmenes DIstribuidos '!B2787</f>
        <v>45671</v>
      </c>
      <c r="B4585" s="10" t="str">
        <f>IF(OR('Volúmenes DIstribuidos '!C2791="Azúcar",'Volúmenes DIstribuidos '!C2791="azúcar"),"Azúcar o dulce",IF('Volúmenes DIstribuidos '!C2791="Aceite","Aceite o grasas",IF('Volúmenes DIstribuidos '!C2791="Avena","Otros almidones",'Volúmenes DIstribuidos '!C2791)))</f>
        <v>Panadería</v>
      </c>
      <c r="C4585" s="10" t="s">
        <v>29</v>
      </c>
      <c r="D4585" s="12">
        <f>'Volúmenes DIstribuidos '!D2791</f>
        <v>30.89</v>
      </c>
      <c r="E4585" s="12">
        <f>SUMIF('Parametros Inventario'!$A:$A,B4585,'Parametros Inventario'!$B:$B)+SUMIFS(D$2:D4585,B$2:B4585,B4585,C$2:C4585,"ENTRADA")-SUMIFS(D$2:D4585,B$2:B4585,B4585,C$2:C4585,"SALIDA")</f>
        <v>19498.232999999993</v>
      </c>
    </row>
    <row r="4586" spans="1:5" x14ac:dyDescent="0.3">
      <c r="A4586" s="9">
        <f>'Volúmenes DIstribuidos '!B2787</f>
        <v>45671</v>
      </c>
      <c r="B4586" s="10" t="str">
        <f>IF(OR('Volúmenes DIstribuidos '!C2792="Azúcar",'Volúmenes DIstribuidos '!C2792="azúcar"),"Azúcar o dulce",IF('Volúmenes DIstribuidos '!C2792="Aceite","Aceite o grasas",IF('Volúmenes DIstribuidos '!C2792="Avena","Otros almidones",'Volúmenes DIstribuidos '!C2792)))</f>
        <v>Menestras</v>
      </c>
      <c r="C4586" s="10" t="s">
        <v>29</v>
      </c>
      <c r="D4586" s="12">
        <f>'Volúmenes DIstribuidos '!D2792</f>
        <v>15.647</v>
      </c>
      <c r="E4586" s="12">
        <f>SUMIF('Parametros Inventario'!$A:$A,B4586,'Parametros Inventario'!$B:$B)+SUMIFS(D$2:D4586,B$2:B4586,B4586,C$2:C4586,"ENTRADA")-SUMIFS(D$2:D4586,B$2:B4586,B4586,C$2:C4586,"SALIDA")</f>
        <v>21435.934999999987</v>
      </c>
    </row>
    <row r="4587" spans="1:5" x14ac:dyDescent="0.3">
      <c r="A4587" s="9">
        <v>45674</v>
      </c>
      <c r="B4587" s="10" t="s">
        <v>11</v>
      </c>
      <c r="C4587" s="10" t="s">
        <v>28</v>
      </c>
      <c r="D4587" s="12">
        <v>221.1</v>
      </c>
      <c r="E4587" s="12">
        <f>SUMIF('Parametros Inventario'!$A:$A,B4587,'Parametros Inventario'!$B:$B)+SUMIFS(D$2:D4587,B$2:B4587,B4587,C$2:C4587,"ENTRADA")-SUMIFS(D$2:D4587,B$2:B4587,B4587,C$2:C4587,"SALIDA")</f>
        <v>24231.315000000013</v>
      </c>
    </row>
    <row r="4588" spans="1:5" x14ac:dyDescent="0.3">
      <c r="A4588" s="9">
        <v>45674</v>
      </c>
      <c r="B4588" s="10" t="s">
        <v>9</v>
      </c>
      <c r="C4588" s="10" t="s">
        <v>28</v>
      </c>
      <c r="D4588" s="12">
        <v>221.69</v>
      </c>
      <c r="E4588" s="12">
        <f>SUMIF('Parametros Inventario'!$A:$A,B4588,'Parametros Inventario'!$B:$B)+SUMIFS(D$2:D4588,B$2:B4588,B4588,C$2:C4588,"ENTRADA")-SUMIFS(D$2:D4588,B$2:B4588,B4588,C$2:C4588,"SALIDA")</f>
        <v>19719.922999999992</v>
      </c>
    </row>
    <row r="4589" spans="1:5" x14ac:dyDescent="0.3">
      <c r="A4589" s="9">
        <v>45674</v>
      </c>
      <c r="B4589" s="10" t="s">
        <v>14</v>
      </c>
      <c r="C4589" s="10" t="s">
        <v>28</v>
      </c>
      <c r="D4589" s="12">
        <v>228.71</v>
      </c>
      <c r="E4589" s="12">
        <f>SUMIF('Parametros Inventario'!$A:$A,B4589,'Parametros Inventario'!$B:$B)+SUMIFS(D$2:D4589,B$2:B4589,B4589,C$2:C4589,"ENTRADA")-SUMIFS(D$2:D4589,B$2:B4589,B4589,C$2:C4589,"SALIDA")</f>
        <v>21664.644999999986</v>
      </c>
    </row>
    <row r="4590" spans="1:5" x14ac:dyDescent="0.3">
      <c r="A4590" s="9">
        <v>45674</v>
      </c>
      <c r="B4590" s="10" t="s">
        <v>12</v>
      </c>
      <c r="C4590" s="10" t="s">
        <v>28</v>
      </c>
      <c r="D4590" s="12">
        <v>275.39999999999998</v>
      </c>
      <c r="E4590" s="12">
        <f>SUMIF('Parametros Inventario'!$A:$A,B4590,'Parametros Inventario'!$B:$B)+SUMIFS(D$2:D4590,B$2:B4590,B4590,C$2:C4590,"ENTRADA")-SUMIFS(D$2:D4590,B$2:B4590,B4590,C$2:C4590,"SALIDA")</f>
        <v>21059.777000000002</v>
      </c>
    </row>
    <row r="4591" spans="1:5" x14ac:dyDescent="0.3">
      <c r="A4591" s="9">
        <v>45674</v>
      </c>
      <c r="B4591" s="10" t="s">
        <v>16</v>
      </c>
      <c r="C4591" s="10" t="s">
        <v>28</v>
      </c>
      <c r="D4591" s="12">
        <v>172.96</v>
      </c>
      <c r="E4591" s="12">
        <f>SUMIF('Parametros Inventario'!$A:$A,B4591,'Parametros Inventario'!$B:$B)+SUMIFS(D$2:D4591,B$2:B4591,B4591,C$2:C4591,"ENTRADA")-SUMIFS(D$2:D4591,B$2:B4591,B4591,C$2:C4591,"SALIDA")</f>
        <v>22094.614000000001</v>
      </c>
    </row>
    <row r="4592" spans="1:5" x14ac:dyDescent="0.3">
      <c r="A4592" s="9">
        <v>45674</v>
      </c>
      <c r="B4592" s="10" t="s">
        <v>17</v>
      </c>
      <c r="C4592" s="10" t="s">
        <v>28</v>
      </c>
      <c r="D4592" s="12">
        <v>297.69</v>
      </c>
      <c r="E4592" s="12">
        <f>SUMIF('Parametros Inventario'!$A:$A,B4592,'Parametros Inventario'!$B:$B)+SUMIFS(D$2:D4592,B$2:B4592,B4592,C$2:C4592,"ENTRADA")-SUMIFS(D$2:D4592,B$2:B4592,B4592,C$2:C4592,"SALIDA")</f>
        <v>20972.048000000003</v>
      </c>
    </row>
    <row r="4593" spans="1:5" x14ac:dyDescent="0.3">
      <c r="A4593" s="9">
        <v>45674</v>
      </c>
      <c r="B4593" s="10" t="s">
        <v>18</v>
      </c>
      <c r="C4593" s="10" t="s">
        <v>28</v>
      </c>
      <c r="D4593" s="12">
        <v>106.13</v>
      </c>
      <c r="E4593" s="12">
        <f>SUMIF('Parametros Inventario'!$A:$A,B4593,'Parametros Inventario'!$B:$B)+SUMIFS(D$2:D4593,B$2:B4593,B4593,C$2:C4593,"ENTRADA")-SUMIFS(D$2:D4593,B$2:B4593,B4593,C$2:C4593,"SALIDA")</f>
        <v>21029.937999999984</v>
      </c>
    </row>
    <row r="4594" spans="1:5" x14ac:dyDescent="0.3">
      <c r="A4594" s="9">
        <v>45674</v>
      </c>
      <c r="B4594" s="10" t="s">
        <v>10</v>
      </c>
      <c r="C4594" s="10" t="s">
        <v>28</v>
      </c>
      <c r="D4594" s="12">
        <v>289.12</v>
      </c>
      <c r="E4594" s="12">
        <f>SUMIF('Parametros Inventario'!$A:$A,B4594,'Parametros Inventario'!$B:$B)+SUMIFS(D$2:D4594,B$2:B4594,B4594,C$2:C4594,"ENTRADA")-SUMIFS(D$2:D4594,B$2:B4594,B4594,C$2:C4594,"SALIDA")</f>
        <v>23012.748000000007</v>
      </c>
    </row>
    <row r="4595" spans="1:5" x14ac:dyDescent="0.3">
      <c r="A4595" s="9">
        <v>45674</v>
      </c>
      <c r="B4595" s="10" t="s">
        <v>8</v>
      </c>
      <c r="C4595" s="10" t="s">
        <v>28</v>
      </c>
      <c r="D4595" s="12">
        <v>120.45</v>
      </c>
      <c r="E4595" s="12">
        <f>SUMIF('Parametros Inventario'!$A:$A,B4595,'Parametros Inventario'!$B:$B)+SUMIFS(D$2:D4595,B$2:B4595,B4595,C$2:C4595,"ENTRADA")-SUMIFS(D$2:D4595,B$2:B4595,B4595,C$2:C4595,"SALIDA")</f>
        <v>21678.239000000016</v>
      </c>
    </row>
    <row r="4596" spans="1:5" x14ac:dyDescent="0.3">
      <c r="A4596" s="9">
        <v>45674</v>
      </c>
      <c r="B4596" s="10" t="s">
        <v>13</v>
      </c>
      <c r="C4596" s="10" t="s">
        <v>28</v>
      </c>
      <c r="D4596" s="12">
        <v>69.069999999999993</v>
      </c>
      <c r="E4596" s="12">
        <f>SUMIF('Parametros Inventario'!$A:$A,B4596,'Parametros Inventario'!$B:$B)+SUMIFS(D$2:D4596,B$2:B4596,B4596,C$2:C4596,"ENTRADA")-SUMIFS(D$2:D4596,B$2:B4596,B4596,C$2:C4596,"SALIDA")</f>
        <v>20835.807999999994</v>
      </c>
    </row>
    <row r="4597" spans="1:5" x14ac:dyDescent="0.3">
      <c r="A4597" s="9">
        <v>45674</v>
      </c>
      <c r="B4597" s="10" t="s">
        <v>15</v>
      </c>
      <c r="C4597" s="10" t="s">
        <v>28</v>
      </c>
      <c r="D4597" s="12">
        <v>133.43</v>
      </c>
      <c r="E4597" s="12">
        <f>SUMIF('Parametros Inventario'!$A:$A,B4597,'Parametros Inventario'!$B:$B)+SUMIFS(D$2:D4597,B$2:B4597,B4597,C$2:C4597,"ENTRADA")-SUMIFS(D$2:D4597,B$2:B4597,B4597,C$2:C4597,"SALIDA")</f>
        <v>23868.410999999993</v>
      </c>
    </row>
    <row r="4598" spans="1:5" x14ac:dyDescent="0.3">
      <c r="A4598" s="9">
        <v>45674</v>
      </c>
      <c r="B4598" s="10" t="s">
        <v>11</v>
      </c>
      <c r="C4598" s="10" t="s">
        <v>28</v>
      </c>
      <c r="D4598" s="12">
        <v>140.12</v>
      </c>
      <c r="E4598" s="12">
        <f>SUMIF('Parametros Inventario'!$A:$A,B4598,'Parametros Inventario'!$B:$B)+SUMIFS(D$2:D4598,B$2:B4598,B4598,C$2:C4598,"ENTRADA")-SUMIFS(D$2:D4598,B$2:B4598,B4598,C$2:C4598,"SALIDA")</f>
        <v>24371.435000000012</v>
      </c>
    </row>
    <row r="4599" spans="1:5" x14ac:dyDescent="0.3">
      <c r="A4599" s="9">
        <v>45674</v>
      </c>
      <c r="B4599" s="10" t="s">
        <v>9</v>
      </c>
      <c r="C4599" s="10" t="s">
        <v>28</v>
      </c>
      <c r="D4599" s="12">
        <v>281.18</v>
      </c>
      <c r="E4599" s="12">
        <f>SUMIF('Parametros Inventario'!$A:$A,B4599,'Parametros Inventario'!$B:$B)+SUMIFS(D$2:D4599,B$2:B4599,B4599,C$2:C4599,"ENTRADA")-SUMIFS(D$2:D4599,B$2:B4599,B4599,C$2:C4599,"SALIDA")</f>
        <v>20001.102999999992</v>
      </c>
    </row>
    <row r="4600" spans="1:5" x14ac:dyDescent="0.3">
      <c r="A4600" s="9">
        <v>45674</v>
      </c>
      <c r="B4600" s="10" t="s">
        <v>14</v>
      </c>
      <c r="C4600" s="10" t="s">
        <v>28</v>
      </c>
      <c r="D4600" s="12">
        <v>71.2</v>
      </c>
      <c r="E4600" s="12">
        <f>SUMIF('Parametros Inventario'!$A:$A,B4600,'Parametros Inventario'!$B:$B)+SUMIFS(D$2:D4600,B$2:B4600,B4600,C$2:C4600,"ENTRADA")-SUMIFS(D$2:D4600,B$2:B4600,B4600,C$2:C4600,"SALIDA")</f>
        <v>21735.844999999987</v>
      </c>
    </row>
    <row r="4601" spans="1:5" x14ac:dyDescent="0.3">
      <c r="A4601" s="9">
        <v>45674</v>
      </c>
      <c r="B4601" s="10" t="s">
        <v>12</v>
      </c>
      <c r="C4601" s="10" t="s">
        <v>28</v>
      </c>
      <c r="D4601" s="12">
        <v>60.84</v>
      </c>
      <c r="E4601" s="12">
        <f>SUMIF('Parametros Inventario'!$A:$A,B4601,'Parametros Inventario'!$B:$B)+SUMIFS(D$2:D4601,B$2:B4601,B4601,C$2:C4601,"ENTRADA")-SUMIFS(D$2:D4601,B$2:B4601,B4601,C$2:C4601,"SALIDA")</f>
        <v>21120.617000000002</v>
      </c>
    </row>
    <row r="4602" spans="1:5" x14ac:dyDescent="0.3">
      <c r="A4602" s="9">
        <v>45674</v>
      </c>
      <c r="B4602" s="10" t="s">
        <v>16</v>
      </c>
      <c r="C4602" s="10" t="s">
        <v>28</v>
      </c>
      <c r="D4602" s="12">
        <v>87.78</v>
      </c>
      <c r="E4602" s="12">
        <f>SUMIF('Parametros Inventario'!$A:$A,B4602,'Parametros Inventario'!$B:$B)+SUMIFS(D$2:D4602,B$2:B4602,B4602,C$2:C4602,"ENTRADA")-SUMIFS(D$2:D4602,B$2:B4602,B4602,C$2:C4602,"SALIDA")</f>
        <v>22182.394</v>
      </c>
    </row>
    <row r="4603" spans="1:5" x14ac:dyDescent="0.3">
      <c r="A4603" s="9">
        <v>45674</v>
      </c>
      <c r="B4603" s="10" t="s">
        <v>17</v>
      </c>
      <c r="C4603" s="10" t="s">
        <v>28</v>
      </c>
      <c r="D4603" s="12">
        <v>157.16</v>
      </c>
      <c r="E4603" s="12">
        <f>SUMIF('Parametros Inventario'!$A:$A,B4603,'Parametros Inventario'!$B:$B)+SUMIFS(D$2:D4603,B$2:B4603,B4603,C$2:C4603,"ENTRADA")-SUMIFS(D$2:D4603,B$2:B4603,B4603,C$2:C4603,"SALIDA")</f>
        <v>21129.208000000006</v>
      </c>
    </row>
    <row r="4604" spans="1:5" x14ac:dyDescent="0.3">
      <c r="A4604" s="9">
        <v>45674</v>
      </c>
      <c r="B4604" s="10" t="s">
        <v>18</v>
      </c>
      <c r="C4604" s="10" t="s">
        <v>28</v>
      </c>
      <c r="D4604" s="12">
        <v>133.71</v>
      </c>
      <c r="E4604" s="12">
        <f>SUMIF('Parametros Inventario'!$A:$A,B4604,'Parametros Inventario'!$B:$B)+SUMIFS(D$2:D4604,B$2:B4604,B4604,C$2:C4604,"ENTRADA")-SUMIFS(D$2:D4604,B$2:B4604,B4604,C$2:C4604,"SALIDA")</f>
        <v>21163.647999999983</v>
      </c>
    </row>
    <row r="4605" spans="1:5" x14ac:dyDescent="0.3">
      <c r="A4605" s="9">
        <f>'Volúmenes DIstribuidos '!B2793</f>
        <v>45674</v>
      </c>
      <c r="B4605" s="10" t="str">
        <f>IF(OR('Volúmenes DIstribuidos '!C2793="Azúcar",'Volúmenes DIstribuidos '!C2793="azúcar"),"Azúcar o dulce",IF('Volúmenes DIstribuidos '!C2793="Aceite","Aceite o grasas",IF('Volúmenes DIstribuidos '!C2793="Avena","Otros almidones",'Volúmenes DIstribuidos '!C2793)))</f>
        <v>Carnes rojas</v>
      </c>
      <c r="C4605" s="10" t="s">
        <v>29</v>
      </c>
      <c r="D4605" s="12">
        <f>'Volúmenes DIstribuidos '!D2793</f>
        <v>2.9</v>
      </c>
      <c r="E4605" s="12">
        <f>SUMIF('Parametros Inventario'!$A:$A,B4605,'Parametros Inventario'!$B:$B)+SUMIFS(D$2:D4605,B$2:B4605,B4605,C$2:C4605,"ENTRADA")-SUMIFS(D$2:D4605,B$2:B4605,B4605,C$2:C4605,"SALIDA")</f>
        <v>21117.717000000004</v>
      </c>
    </row>
    <row r="4606" spans="1:5" x14ac:dyDescent="0.3">
      <c r="A4606" s="9">
        <f>'Volúmenes DIstribuidos '!B2793</f>
        <v>45674</v>
      </c>
      <c r="B4606" s="10" t="str">
        <f>IF(OR('Volúmenes DIstribuidos '!C2794="Azúcar",'Volúmenes DIstribuidos '!C2794="azúcar"),"Azúcar o dulce",IF('Volúmenes DIstribuidos '!C2794="Aceite","Aceite o grasas",IF('Volúmenes DIstribuidos '!C2794="Avena","Otros almidones",'Volúmenes DIstribuidos '!C2794)))</f>
        <v>Salsas</v>
      </c>
      <c r="C4606" s="10" t="s">
        <v>29</v>
      </c>
      <c r="D4606" s="12">
        <f>'Volúmenes DIstribuidos '!D2794</f>
        <v>7.25</v>
      </c>
      <c r="E4606" s="12">
        <f>SUMIF('Parametros Inventario'!$A:$A,B4606,'Parametros Inventario'!$B:$B)+SUMIFS(D$2:D4606,B$2:B4606,B4606,C$2:C4606,"ENTRADA")-SUMIFS(D$2:D4606,B$2:B4606,B4606,C$2:C4606,"SALIDA")</f>
        <v>21156.397999999983</v>
      </c>
    </row>
    <row r="4607" spans="1:5" x14ac:dyDescent="0.3">
      <c r="A4607" s="9">
        <f>'Volúmenes DIstribuidos '!B2793</f>
        <v>45674</v>
      </c>
      <c r="B4607" s="10" t="str">
        <f>IF(OR('Volúmenes DIstribuidos '!C2795="Azúcar",'Volúmenes DIstribuidos '!C2795="azúcar"),"Azúcar o dulce",IF('Volúmenes DIstribuidos '!C2795="Aceite","Aceite o grasas",IF('Volúmenes DIstribuidos '!C2795="Avena","Otros almidones",'Volúmenes DIstribuidos '!C2795)))</f>
        <v>Panadería</v>
      </c>
      <c r="C4607" s="10" t="s">
        <v>29</v>
      </c>
      <c r="D4607" s="12">
        <f>'Volúmenes DIstribuidos '!D2795</f>
        <v>7.24</v>
      </c>
      <c r="E4607" s="12">
        <f>SUMIF('Parametros Inventario'!$A:$A,B4607,'Parametros Inventario'!$B:$B)+SUMIFS(D$2:D4607,B$2:B4607,B4607,C$2:C4607,"ENTRADA")-SUMIFS(D$2:D4607,B$2:B4607,B4607,C$2:C4607,"SALIDA")</f>
        <v>19993.86299999999</v>
      </c>
    </row>
    <row r="4608" spans="1:5" x14ac:dyDescent="0.3">
      <c r="A4608" s="9">
        <f>'Volúmenes DIstribuidos '!B2793</f>
        <v>45674</v>
      </c>
      <c r="B4608" s="10" t="str">
        <f>IF(OR('Volúmenes DIstribuidos '!C2796="Azúcar",'Volúmenes DIstribuidos '!C2796="azúcar"),"Azúcar o dulce",IF('Volúmenes DIstribuidos '!C2796="Aceite","Aceite o grasas",IF('Volúmenes DIstribuidos '!C2796="Avena","Otros almidones",'Volúmenes DIstribuidos '!C2796)))</f>
        <v>Menestras</v>
      </c>
      <c r="C4608" s="10" t="s">
        <v>29</v>
      </c>
      <c r="D4608" s="12">
        <f>'Volúmenes DIstribuidos '!D2796</f>
        <v>22.734000000000002</v>
      </c>
      <c r="E4608" s="12">
        <f>SUMIF('Parametros Inventario'!$A:$A,B4608,'Parametros Inventario'!$B:$B)+SUMIFS(D$2:D4608,B$2:B4608,B4608,C$2:C4608,"ENTRADA")-SUMIFS(D$2:D4608,B$2:B4608,B4608,C$2:C4608,"SALIDA")</f>
        <v>21713.110999999986</v>
      </c>
    </row>
    <row r="4609" spans="1:5" x14ac:dyDescent="0.3">
      <c r="A4609" s="9">
        <f>'Volúmenes DIstribuidos '!B2793</f>
        <v>45674</v>
      </c>
      <c r="B4609" s="10" t="str">
        <f>IF(OR('Volúmenes DIstribuidos '!C2797="Azúcar",'Volúmenes DIstribuidos '!C2797="azúcar"),"Azúcar o dulce",IF('Volúmenes DIstribuidos '!C2797="Aceite","Aceite o grasas",IF('Volúmenes DIstribuidos '!C2797="Avena","Otros almidones",'Volúmenes DIstribuidos '!C2797)))</f>
        <v>Lácteos</v>
      </c>
      <c r="C4609" s="10" t="s">
        <v>29</v>
      </c>
      <c r="D4609" s="12">
        <f>'Volúmenes DIstribuidos '!D2797</f>
        <v>41.1</v>
      </c>
      <c r="E4609" s="12">
        <f>SUMIF('Parametros Inventario'!$A:$A,B4609,'Parametros Inventario'!$B:$B)+SUMIFS(D$2:D4609,B$2:B4609,B4609,C$2:C4609,"ENTRADA")-SUMIFS(D$2:D4609,B$2:B4609,B4609,C$2:C4609,"SALIDA")</f>
        <v>21088.108000000004</v>
      </c>
    </row>
    <row r="4610" spans="1:5" x14ac:dyDescent="0.3">
      <c r="A4610" s="9">
        <f>'Volúmenes DIstribuidos '!B2793</f>
        <v>45674</v>
      </c>
      <c r="B4610" s="10" t="str">
        <f>IF(OR('Volúmenes DIstribuidos '!C2798="Azúcar",'Volúmenes DIstribuidos '!C2798="azúcar"),"Azúcar o dulce",IF('Volúmenes DIstribuidos '!C2798="Aceite","Aceite o grasas",IF('Volúmenes DIstribuidos '!C2798="Avena","Otros almidones",'Volúmenes DIstribuidos '!C2798)))</f>
        <v>Azúcar o dulce</v>
      </c>
      <c r="C4610" s="10" t="s">
        <v>29</v>
      </c>
      <c r="D4610" s="12">
        <f>'Volúmenes DIstribuidos '!D2798</f>
        <v>16.43</v>
      </c>
      <c r="E4610" s="12">
        <f>SUMIF('Parametros Inventario'!$A:$A,B4610,'Parametros Inventario'!$B:$B)+SUMIFS(D$2:D4610,B$2:B4610,B4610,C$2:C4610,"ENTRADA")-SUMIFS(D$2:D4610,B$2:B4610,B4610,C$2:C4610,"SALIDA")</f>
        <v>20819.377999999993</v>
      </c>
    </row>
    <row r="4611" spans="1:5" x14ac:dyDescent="0.3">
      <c r="A4611" s="9">
        <f>'Volúmenes DIstribuidos '!B2799</f>
        <v>45678</v>
      </c>
      <c r="B4611" s="10" t="str">
        <f>IF(OR('Volúmenes DIstribuidos '!C2799="Azúcar",'Volúmenes DIstribuidos '!C2799="azúcar"),"Azúcar o dulce",IF('Volúmenes DIstribuidos '!C2799="Aceite","Aceite o grasas",IF('Volúmenes DIstribuidos '!C2799="Avena","Otros almidones",'Volúmenes DIstribuidos '!C2799)))</f>
        <v>Aceite o grasas</v>
      </c>
      <c r="C4611" s="10" t="s">
        <v>29</v>
      </c>
      <c r="D4611" s="12">
        <f>'Volúmenes DIstribuidos '!D2799</f>
        <v>20.43</v>
      </c>
      <c r="E4611" s="12">
        <f>SUMIF('Parametros Inventario'!$A:$A,B4611,'Parametros Inventario'!$B:$B)+SUMIFS(D$2:D4611,B$2:B4611,B4611,C$2:C4611,"ENTRADA")-SUMIFS(D$2:D4611,B$2:B4611,B4611,C$2:C4611,"SALIDA")</f>
        <v>21657.809000000016</v>
      </c>
    </row>
    <row r="4612" spans="1:5" x14ac:dyDescent="0.3">
      <c r="A4612" s="9">
        <f>'Volúmenes DIstribuidos '!B2799</f>
        <v>45678</v>
      </c>
      <c r="B4612" s="10" t="str">
        <f>IF(OR('Volúmenes DIstribuidos '!C2800="Azúcar",'Volúmenes DIstribuidos '!C2800="azúcar"),"Azúcar o dulce",IF('Volúmenes DIstribuidos '!C2800="Aceite","Aceite o grasas",IF('Volúmenes DIstribuidos '!C2800="Avena","Otros almidones",'Volúmenes DIstribuidos '!C2800)))</f>
        <v>Carnes rojas</v>
      </c>
      <c r="C4612" s="10" t="s">
        <v>29</v>
      </c>
      <c r="D4612" s="12">
        <f>'Volúmenes DIstribuidos '!D2800</f>
        <v>20.591999999999999</v>
      </c>
      <c r="E4612" s="12">
        <f>SUMIF('Parametros Inventario'!$A:$A,B4612,'Parametros Inventario'!$B:$B)+SUMIFS(D$2:D4612,B$2:B4612,B4612,C$2:C4612,"ENTRADA")-SUMIFS(D$2:D4612,B$2:B4612,B4612,C$2:C4612,"SALIDA")</f>
        <v>21097.125000000004</v>
      </c>
    </row>
    <row r="4613" spans="1:5" x14ac:dyDescent="0.3">
      <c r="A4613" s="9">
        <f>'Volúmenes DIstribuidos '!B2799</f>
        <v>45678</v>
      </c>
      <c r="B4613" s="10" t="str">
        <f>IF(OR('Volúmenes DIstribuidos '!C2801="Azúcar",'Volúmenes DIstribuidos '!C2801="azúcar"),"Azúcar o dulce",IF('Volúmenes DIstribuidos '!C2801="Aceite","Aceite o grasas",IF('Volúmenes DIstribuidos '!C2801="Avena","Otros almidones",'Volúmenes DIstribuidos '!C2801)))</f>
        <v>Lácteos</v>
      </c>
      <c r="C4613" s="10" t="s">
        <v>29</v>
      </c>
      <c r="D4613" s="12">
        <f>'Volúmenes DIstribuidos '!D2801</f>
        <v>18.77</v>
      </c>
      <c r="E4613" s="12">
        <f>SUMIF('Parametros Inventario'!$A:$A,B4613,'Parametros Inventario'!$B:$B)+SUMIFS(D$2:D4613,B$2:B4613,B4613,C$2:C4613,"ENTRADA")-SUMIFS(D$2:D4613,B$2:B4613,B4613,C$2:C4613,"SALIDA")</f>
        <v>21069.338000000003</v>
      </c>
    </row>
    <row r="4614" spans="1:5" x14ac:dyDescent="0.3">
      <c r="A4614" s="9">
        <f>'Volúmenes DIstribuidos '!B2799</f>
        <v>45678</v>
      </c>
      <c r="B4614" s="10" t="str">
        <f>IF(OR('Volúmenes DIstribuidos '!C2802="Azúcar",'Volúmenes DIstribuidos '!C2802="azúcar"),"Azúcar o dulce",IF('Volúmenes DIstribuidos '!C2802="Aceite","Aceite o grasas",IF('Volúmenes DIstribuidos '!C2802="Avena","Otros almidones",'Volúmenes DIstribuidos '!C2802)))</f>
        <v>Vegetales y hojas</v>
      </c>
      <c r="C4614" s="10" t="s">
        <v>29</v>
      </c>
      <c r="D4614" s="12">
        <f>'Volúmenes DIstribuidos '!D2802</f>
        <v>51.35</v>
      </c>
      <c r="E4614" s="12">
        <f>SUMIF('Parametros Inventario'!$A:$A,B4614,'Parametros Inventario'!$B:$B)+SUMIFS(D$2:D4614,B$2:B4614,B4614,C$2:C4614,"ENTRADA")-SUMIFS(D$2:D4614,B$2:B4614,B4614,C$2:C4614,"SALIDA")</f>
        <v>22961.398000000008</v>
      </c>
    </row>
    <row r="4615" spans="1:5" x14ac:dyDescent="0.3">
      <c r="A4615" s="9">
        <f>'Volúmenes DIstribuidos '!B2799</f>
        <v>45678</v>
      </c>
      <c r="B4615" s="10" t="str">
        <f>IF(OR('Volúmenes DIstribuidos '!C2803="Azúcar",'Volúmenes DIstribuidos '!C2803="azúcar"),"Azúcar o dulce",IF('Volúmenes DIstribuidos '!C2803="Aceite","Aceite o grasas",IF('Volúmenes DIstribuidos '!C2803="Avena","Otros almidones",'Volúmenes DIstribuidos '!C2803)))</f>
        <v>Fideo</v>
      </c>
      <c r="C4615" s="10" t="s">
        <v>29</v>
      </c>
      <c r="D4615" s="12">
        <f>'Volúmenes DIstribuidos '!D2803</f>
        <v>3.37</v>
      </c>
      <c r="E4615" s="12">
        <f>SUMIF('Parametros Inventario'!$A:$A,B4615,'Parametros Inventario'!$B:$B)+SUMIFS(D$2:D4615,B$2:B4615,B4615,C$2:C4615,"ENTRADA")-SUMIFS(D$2:D4615,B$2:B4615,B4615,C$2:C4615,"SALIDA")</f>
        <v>24368.06500000001</v>
      </c>
    </row>
    <row r="4616" spans="1:5" x14ac:dyDescent="0.3">
      <c r="A4616" s="9">
        <f>'Volúmenes DIstribuidos '!B2799</f>
        <v>45678</v>
      </c>
      <c r="B4616" s="10" t="str">
        <f>IF(OR('Volúmenes DIstribuidos '!C2804="Azúcar",'Volúmenes DIstribuidos '!C2804="azúcar"),"Azúcar o dulce",IF('Volúmenes DIstribuidos '!C2804="Aceite","Aceite o grasas",IF('Volúmenes DIstribuidos '!C2804="Avena","Otros almidones",'Volúmenes DIstribuidos '!C2804)))</f>
        <v>Salsas</v>
      </c>
      <c r="C4616" s="10" t="s">
        <v>29</v>
      </c>
      <c r="D4616" s="12">
        <f>'Volúmenes DIstribuidos '!D2804</f>
        <v>6.19</v>
      </c>
      <c r="E4616" s="12">
        <f>SUMIF('Parametros Inventario'!$A:$A,B4616,'Parametros Inventario'!$B:$B)+SUMIFS(D$2:D4616,B$2:B4616,B4616,C$2:C4616,"ENTRADA")-SUMIFS(D$2:D4616,B$2:B4616,B4616,C$2:C4616,"SALIDA")</f>
        <v>21150.207999999984</v>
      </c>
    </row>
    <row r="4617" spans="1:5" x14ac:dyDescent="0.3">
      <c r="A4617" s="9">
        <v>45681</v>
      </c>
      <c r="B4617" s="10" t="s">
        <v>10</v>
      </c>
      <c r="C4617" s="10" t="s">
        <v>28</v>
      </c>
      <c r="D4617" s="12">
        <v>95.34</v>
      </c>
      <c r="E4617" s="12">
        <f>SUMIF('Parametros Inventario'!$A:$A,B4617,'Parametros Inventario'!$B:$B)+SUMIFS(D$2:D4617,B$2:B4617,B4617,C$2:C4617,"ENTRADA")-SUMIFS(D$2:D4617,B$2:B4617,B4617,C$2:C4617,"SALIDA")</f>
        <v>23056.738000000005</v>
      </c>
    </row>
    <row r="4618" spans="1:5" x14ac:dyDescent="0.3">
      <c r="A4618" s="9">
        <v>45681</v>
      </c>
      <c r="B4618" s="10" t="s">
        <v>8</v>
      </c>
      <c r="C4618" s="10" t="s">
        <v>28</v>
      </c>
      <c r="D4618" s="12">
        <v>156.31</v>
      </c>
      <c r="E4618" s="12">
        <f>SUMIF('Parametros Inventario'!$A:$A,B4618,'Parametros Inventario'!$B:$B)+SUMIFS(D$2:D4618,B$2:B4618,B4618,C$2:C4618,"ENTRADA")-SUMIFS(D$2:D4618,B$2:B4618,B4618,C$2:C4618,"SALIDA")</f>
        <v>21814.119000000013</v>
      </c>
    </row>
    <row r="4619" spans="1:5" x14ac:dyDescent="0.3">
      <c r="A4619" s="9">
        <v>45681</v>
      </c>
      <c r="B4619" s="10" t="s">
        <v>13</v>
      </c>
      <c r="C4619" s="10" t="s">
        <v>28</v>
      </c>
      <c r="D4619" s="12">
        <v>273.27999999999997</v>
      </c>
      <c r="E4619" s="12">
        <f>SUMIF('Parametros Inventario'!$A:$A,B4619,'Parametros Inventario'!$B:$B)+SUMIFS(D$2:D4619,B$2:B4619,B4619,C$2:C4619,"ENTRADA")-SUMIFS(D$2:D4619,B$2:B4619,B4619,C$2:C4619,"SALIDA")</f>
        <v>21092.657999999992</v>
      </c>
    </row>
    <row r="4620" spans="1:5" x14ac:dyDescent="0.3">
      <c r="A4620" s="9">
        <v>45681</v>
      </c>
      <c r="B4620" s="10" t="s">
        <v>15</v>
      </c>
      <c r="C4620" s="10" t="s">
        <v>28</v>
      </c>
      <c r="D4620" s="12">
        <v>221.79</v>
      </c>
      <c r="E4620" s="12">
        <f>SUMIF('Parametros Inventario'!$A:$A,B4620,'Parametros Inventario'!$B:$B)+SUMIFS(D$2:D4620,B$2:B4620,B4620,C$2:C4620,"ENTRADA")-SUMIFS(D$2:D4620,B$2:B4620,B4620,C$2:C4620,"SALIDA")</f>
        <v>24090.200999999994</v>
      </c>
    </row>
    <row r="4621" spans="1:5" x14ac:dyDescent="0.3">
      <c r="A4621" s="9">
        <v>45681</v>
      </c>
      <c r="B4621" s="10" t="s">
        <v>11</v>
      </c>
      <c r="C4621" s="10" t="s">
        <v>28</v>
      </c>
      <c r="D4621" s="12">
        <v>206.19</v>
      </c>
      <c r="E4621" s="12">
        <f>SUMIF('Parametros Inventario'!$A:$A,B4621,'Parametros Inventario'!$B:$B)+SUMIFS(D$2:D4621,B$2:B4621,B4621,C$2:C4621,"ENTRADA")-SUMIFS(D$2:D4621,B$2:B4621,B4621,C$2:C4621,"SALIDA")</f>
        <v>24574.255000000012</v>
      </c>
    </row>
    <row r="4622" spans="1:5" x14ac:dyDescent="0.3">
      <c r="A4622" s="9">
        <v>45681</v>
      </c>
      <c r="B4622" s="10" t="s">
        <v>9</v>
      </c>
      <c r="C4622" s="10" t="s">
        <v>28</v>
      </c>
      <c r="D4622" s="12">
        <v>121.75</v>
      </c>
      <c r="E4622" s="12">
        <f>SUMIF('Parametros Inventario'!$A:$A,B4622,'Parametros Inventario'!$B:$B)+SUMIFS(D$2:D4622,B$2:B4622,B4622,C$2:C4622,"ENTRADA")-SUMIFS(D$2:D4622,B$2:B4622,B4622,C$2:C4622,"SALIDA")</f>
        <v>20115.61299999999</v>
      </c>
    </row>
    <row r="4623" spans="1:5" x14ac:dyDescent="0.3">
      <c r="A4623" s="9">
        <v>45681</v>
      </c>
      <c r="B4623" s="10" t="s">
        <v>14</v>
      </c>
      <c r="C4623" s="10" t="s">
        <v>28</v>
      </c>
      <c r="D4623" s="12">
        <v>268.85000000000002</v>
      </c>
      <c r="E4623" s="12">
        <f>SUMIF('Parametros Inventario'!$A:$A,B4623,'Parametros Inventario'!$B:$B)+SUMIFS(D$2:D4623,B$2:B4623,B4623,C$2:C4623,"ENTRADA")-SUMIFS(D$2:D4623,B$2:B4623,B4623,C$2:C4623,"SALIDA")</f>
        <v>21981.960999999985</v>
      </c>
    </row>
    <row r="4624" spans="1:5" x14ac:dyDescent="0.3">
      <c r="A4624" s="9">
        <f>'Volúmenes DIstribuidos '!B2805</f>
        <v>45681</v>
      </c>
      <c r="B4624" s="10" t="str">
        <f>IF(OR('Volúmenes DIstribuidos '!C2805="Azúcar",'Volúmenes DIstribuidos '!C2805="azúcar"),"Azúcar o dulce",IF('Volúmenes DIstribuidos '!C2805="Aceite","Aceite o grasas",IF('Volúmenes DIstribuidos '!C2805="Avena","Otros almidones",'Volúmenes DIstribuidos '!C2805)))</f>
        <v>Lácteos</v>
      </c>
      <c r="C4624" s="10" t="s">
        <v>29</v>
      </c>
      <c r="D4624" s="12">
        <f>'Volúmenes DIstribuidos '!D2805</f>
        <v>13.14</v>
      </c>
      <c r="E4624" s="12">
        <f>SUMIF('Parametros Inventario'!$A:$A,B4624,'Parametros Inventario'!$B:$B)+SUMIFS(D$2:D4624,B$2:B4624,B4624,C$2:C4624,"ENTRADA")-SUMIFS(D$2:D4624,B$2:B4624,B4624,C$2:C4624,"SALIDA")</f>
        <v>21056.198000000004</v>
      </c>
    </row>
    <row r="4625" spans="1:5" x14ac:dyDescent="0.3">
      <c r="A4625" s="9">
        <f>'Volúmenes DIstribuidos '!B2805</f>
        <v>45681</v>
      </c>
      <c r="B4625" s="10" t="str">
        <f>IF(OR('Volúmenes DIstribuidos '!C2806="Azúcar",'Volúmenes DIstribuidos '!C2806="azúcar"),"Azúcar o dulce",IF('Volúmenes DIstribuidos '!C2806="Aceite","Aceite o grasas",IF('Volúmenes DIstribuidos '!C2806="Avena","Otros almidones",'Volúmenes DIstribuidos '!C2806)))</f>
        <v>Carnes rojas</v>
      </c>
      <c r="C4625" s="10" t="s">
        <v>29</v>
      </c>
      <c r="D4625" s="12">
        <f>'Volúmenes DIstribuidos '!D2806</f>
        <v>8.4</v>
      </c>
      <c r="E4625" s="12">
        <f>SUMIF('Parametros Inventario'!$A:$A,B4625,'Parametros Inventario'!$B:$B)+SUMIFS(D$2:D4625,B$2:B4625,B4625,C$2:C4625,"ENTRADA")-SUMIFS(D$2:D4625,B$2:B4625,B4625,C$2:C4625,"SALIDA")</f>
        <v>21088.725000000006</v>
      </c>
    </row>
    <row r="4626" spans="1:5" x14ac:dyDescent="0.3">
      <c r="A4626" s="9">
        <f>'Volúmenes DIstribuidos '!B2805</f>
        <v>45681</v>
      </c>
      <c r="B4626" s="10" t="str">
        <f>IF(OR('Volúmenes DIstribuidos '!C2807="Azúcar",'Volúmenes DIstribuidos '!C2807="azúcar"),"Azúcar o dulce",IF('Volúmenes DIstribuidos '!C2807="Aceite","Aceite o grasas",IF('Volúmenes DIstribuidos '!C2807="Avena","Otros almidones",'Volúmenes DIstribuidos '!C2807)))</f>
        <v>Carnes blancas</v>
      </c>
      <c r="C4626" s="10" t="s">
        <v>29</v>
      </c>
      <c r="D4626" s="12">
        <f>'Volúmenes DIstribuidos '!D2807</f>
        <v>36.459000000000003</v>
      </c>
      <c r="E4626" s="12">
        <f>SUMIF('Parametros Inventario'!$A:$A,B4626,'Parametros Inventario'!$B:$B)+SUMIFS(D$2:D4626,B$2:B4626,B4626,C$2:C4626,"ENTRADA")-SUMIFS(D$2:D4626,B$2:B4626,B4626,C$2:C4626,"SALIDA")</f>
        <v>22145.934999999998</v>
      </c>
    </row>
    <row r="4627" spans="1:5" x14ac:dyDescent="0.3">
      <c r="A4627" s="9">
        <f>'Volúmenes DIstribuidos '!B2805</f>
        <v>45681</v>
      </c>
      <c r="B4627" s="10" t="str">
        <f>IF(OR('Volúmenes DIstribuidos '!C2808="Azúcar",'Volúmenes DIstribuidos '!C2808="azúcar"),"Azúcar o dulce",IF('Volúmenes DIstribuidos '!C2808="Aceite","Aceite o grasas",IF('Volúmenes DIstribuidos '!C2808="Avena","Otros almidones",'Volúmenes DIstribuidos '!C2808)))</f>
        <v>Otros almidones</v>
      </c>
      <c r="C4627" s="10" t="s">
        <v>29</v>
      </c>
      <c r="D4627" s="12">
        <f>'Volúmenes DIstribuidos '!D2808</f>
        <v>46.93</v>
      </c>
      <c r="E4627" s="12">
        <f>SUMIF('Parametros Inventario'!$A:$A,B4627,'Parametros Inventario'!$B:$B)+SUMIFS(D$2:D4627,B$2:B4627,B4627,C$2:C4627,"ENTRADA")-SUMIFS(D$2:D4627,B$2:B4627,B4627,C$2:C4627,"SALIDA")</f>
        <v>24043.270999999993</v>
      </c>
    </row>
    <row r="4628" spans="1:5" x14ac:dyDescent="0.3">
      <c r="A4628" s="9">
        <f>'Volúmenes DIstribuidos '!B2805</f>
        <v>45681</v>
      </c>
      <c r="B4628" s="10" t="str">
        <f>IF(OR('Volúmenes DIstribuidos '!C2809="Azúcar",'Volúmenes DIstribuidos '!C2809="azúcar"),"Azúcar o dulce",IF('Volúmenes DIstribuidos '!C2809="Aceite","Aceite o grasas",IF('Volúmenes DIstribuidos '!C2809="Avena","Otros almidones",'Volúmenes DIstribuidos '!C2809)))</f>
        <v>Menestras</v>
      </c>
      <c r="C4628" s="10" t="s">
        <v>29</v>
      </c>
      <c r="D4628" s="12">
        <f>'Volúmenes DIstribuidos '!D2809</f>
        <v>21.14</v>
      </c>
      <c r="E4628" s="12">
        <f>SUMIF('Parametros Inventario'!$A:$A,B4628,'Parametros Inventario'!$B:$B)+SUMIFS(D$2:D4628,B$2:B4628,B4628,C$2:C4628,"ENTRADA")-SUMIFS(D$2:D4628,B$2:B4628,B4628,C$2:C4628,"SALIDA")</f>
        <v>21960.820999999985</v>
      </c>
    </row>
    <row r="4629" spans="1:5" x14ac:dyDescent="0.3">
      <c r="A4629" s="9">
        <f>'Volúmenes DIstribuidos '!B2805</f>
        <v>45681</v>
      </c>
      <c r="B4629" s="10" t="str">
        <f>IF(OR('Volúmenes DIstribuidos '!C2810="Azúcar",'Volúmenes DIstribuidos '!C2810="azúcar"),"Azúcar o dulce",IF('Volúmenes DIstribuidos '!C2810="Aceite","Aceite o grasas",IF('Volúmenes DIstribuidos '!C2810="Avena","Otros almidones",'Volúmenes DIstribuidos '!C2810)))</f>
        <v>Lácteos</v>
      </c>
      <c r="C4629" s="10" t="s">
        <v>29</v>
      </c>
      <c r="D4629" s="12">
        <f>'Volúmenes DIstribuidos '!D2810</f>
        <v>12.941000000000001</v>
      </c>
      <c r="E4629" s="12">
        <f>SUMIF('Parametros Inventario'!$A:$A,B4629,'Parametros Inventario'!$B:$B)+SUMIFS(D$2:D4629,B$2:B4629,B4629,C$2:C4629,"ENTRADA")-SUMIFS(D$2:D4629,B$2:B4629,B4629,C$2:C4629,"SALIDA")</f>
        <v>21043.257000000005</v>
      </c>
    </row>
    <row r="4630" spans="1:5" x14ac:dyDescent="0.3">
      <c r="A4630" s="9">
        <f>'Volúmenes DIstribuidos '!B2811</f>
        <v>45685</v>
      </c>
      <c r="B4630" s="10" t="str">
        <f>IF(OR('Volúmenes DIstribuidos '!C2811="Azúcar",'Volúmenes DIstribuidos '!C2811="azúcar"),"Azúcar o dulce",IF('Volúmenes DIstribuidos '!C2811="Aceite","Aceite o grasas",IF('Volúmenes DIstribuidos '!C2811="Avena","Otros almidones",'Volúmenes DIstribuidos '!C2811)))</f>
        <v>Panadería</v>
      </c>
      <c r="C4630" s="10" t="s">
        <v>29</v>
      </c>
      <c r="D4630" s="12">
        <f>'Volúmenes DIstribuidos '!D2811</f>
        <v>42.75</v>
      </c>
      <c r="E4630" s="12">
        <f>SUMIF('Parametros Inventario'!$A:$A,B4630,'Parametros Inventario'!$B:$B)+SUMIFS(D$2:D4630,B$2:B4630,B4630,C$2:C4630,"ENTRADA")-SUMIFS(D$2:D4630,B$2:B4630,B4630,C$2:C4630,"SALIDA")</f>
        <v>20072.86299999999</v>
      </c>
    </row>
    <row r="4631" spans="1:5" x14ac:dyDescent="0.3">
      <c r="A4631" s="9">
        <f>'Volúmenes DIstribuidos '!B2811</f>
        <v>45685</v>
      </c>
      <c r="B4631" s="10" t="str">
        <f>IF(OR('Volúmenes DIstribuidos '!C2812="Azúcar",'Volúmenes DIstribuidos '!C2812="azúcar"),"Azúcar o dulce",IF('Volúmenes DIstribuidos '!C2812="Aceite","Aceite o grasas",IF('Volúmenes DIstribuidos '!C2812="Avena","Otros almidones",'Volúmenes DIstribuidos '!C2812)))</f>
        <v>Azúcar o dulce</v>
      </c>
      <c r="C4631" s="10" t="s">
        <v>29</v>
      </c>
      <c r="D4631" s="12">
        <f>'Volúmenes DIstribuidos '!D2812</f>
        <v>16.52</v>
      </c>
      <c r="E4631" s="12">
        <f>SUMIF('Parametros Inventario'!$A:$A,B4631,'Parametros Inventario'!$B:$B)+SUMIFS(D$2:D4631,B$2:B4631,B4631,C$2:C4631,"ENTRADA")-SUMIFS(D$2:D4631,B$2:B4631,B4631,C$2:C4631,"SALIDA")</f>
        <v>21076.137999999992</v>
      </c>
    </row>
    <row r="4632" spans="1:5" x14ac:dyDescent="0.3">
      <c r="A4632" s="9">
        <f>'Volúmenes DIstribuidos '!B2811</f>
        <v>45685</v>
      </c>
      <c r="B4632" s="10" t="str">
        <f>IF(OR('Volúmenes DIstribuidos '!C2813="Azúcar",'Volúmenes DIstribuidos '!C2813="azúcar"),"Azúcar o dulce",IF('Volúmenes DIstribuidos '!C2813="Aceite","Aceite o grasas",IF('Volúmenes DIstribuidos '!C2813="Avena","Otros almidones",'Volúmenes DIstribuidos '!C2813)))</f>
        <v>Lácteos</v>
      </c>
      <c r="C4632" s="10" t="s">
        <v>29</v>
      </c>
      <c r="D4632" s="12">
        <f>'Volúmenes DIstribuidos '!D2813</f>
        <v>30.91</v>
      </c>
      <c r="E4632" s="12">
        <f>SUMIF('Parametros Inventario'!$A:$A,B4632,'Parametros Inventario'!$B:$B)+SUMIFS(D$2:D4632,B$2:B4632,B4632,C$2:C4632,"ENTRADA")-SUMIFS(D$2:D4632,B$2:B4632,B4632,C$2:C4632,"SALIDA")</f>
        <v>21012.347000000002</v>
      </c>
    </row>
    <row r="4633" spans="1:5" x14ac:dyDescent="0.3">
      <c r="A4633" s="9">
        <f>'Volúmenes DIstribuidos '!B2811</f>
        <v>45685</v>
      </c>
      <c r="B4633" s="10" t="str">
        <f>IF(OR('Volúmenes DIstribuidos '!C2814="Azúcar",'Volúmenes DIstribuidos '!C2814="azúcar"),"Azúcar o dulce",IF('Volúmenes DIstribuidos '!C2814="Aceite","Aceite o grasas",IF('Volúmenes DIstribuidos '!C2814="Avena","Otros almidones",'Volúmenes DIstribuidos '!C2814)))</f>
        <v>Fideo</v>
      </c>
      <c r="C4633" s="10" t="s">
        <v>29</v>
      </c>
      <c r="D4633" s="12">
        <f>'Volúmenes DIstribuidos '!D2814</f>
        <v>43.79</v>
      </c>
      <c r="E4633" s="12">
        <f>SUMIF('Parametros Inventario'!$A:$A,B4633,'Parametros Inventario'!$B:$B)+SUMIFS(D$2:D4633,B$2:B4633,B4633,C$2:C4633,"ENTRADA")-SUMIFS(D$2:D4633,B$2:B4633,B4633,C$2:C4633,"SALIDA")</f>
        <v>24530.465000000011</v>
      </c>
    </row>
    <row r="4634" spans="1:5" x14ac:dyDescent="0.3">
      <c r="A4634" s="9">
        <f>'Volúmenes DIstribuidos '!B2811</f>
        <v>45685</v>
      </c>
      <c r="B4634" s="10" t="str">
        <f>IF(OR('Volúmenes DIstribuidos '!C2815="Azúcar",'Volúmenes DIstribuidos '!C2815="azúcar"),"Azúcar o dulce",IF('Volúmenes DIstribuidos '!C2815="Aceite","Aceite o grasas",IF('Volúmenes DIstribuidos '!C2815="Avena","Otros almidones",'Volúmenes DIstribuidos '!C2815)))</f>
        <v>Otros almidones</v>
      </c>
      <c r="C4634" s="10" t="s">
        <v>29</v>
      </c>
      <c r="D4634" s="12">
        <f>'Volúmenes DIstribuidos '!D2815</f>
        <v>25.06</v>
      </c>
      <c r="E4634" s="12">
        <f>SUMIF('Parametros Inventario'!$A:$A,B4634,'Parametros Inventario'!$B:$B)+SUMIFS(D$2:D4634,B$2:B4634,B4634,C$2:C4634,"ENTRADA")-SUMIFS(D$2:D4634,B$2:B4634,B4634,C$2:C4634,"SALIDA")</f>
        <v>24018.210999999996</v>
      </c>
    </row>
    <row r="4635" spans="1:5" x14ac:dyDescent="0.3">
      <c r="A4635" s="9">
        <f>'Volúmenes DIstribuidos '!B2811</f>
        <v>45685</v>
      </c>
      <c r="B4635" s="10" t="str">
        <f>IF(OR('Volúmenes DIstribuidos '!C2816="Azúcar",'Volúmenes DIstribuidos '!C2816="azúcar"),"Azúcar o dulce",IF('Volúmenes DIstribuidos '!C2816="Aceite","Aceite o grasas",IF('Volúmenes DIstribuidos '!C2816="Avena","Otros almidones",'Volúmenes DIstribuidos '!C2816)))</f>
        <v>Carnes rojas</v>
      </c>
      <c r="C4635" s="10" t="s">
        <v>29</v>
      </c>
      <c r="D4635" s="12">
        <f>'Volúmenes DIstribuidos '!D2816</f>
        <v>22.492999999999999</v>
      </c>
      <c r="E4635" s="12">
        <f>SUMIF('Parametros Inventario'!$A:$A,B4635,'Parametros Inventario'!$B:$B)+SUMIFS(D$2:D4635,B$2:B4635,B4635,C$2:C4635,"ENTRADA")-SUMIFS(D$2:D4635,B$2:B4635,B4635,C$2:C4635,"SALIDA")</f>
        <v>21066.232000000004</v>
      </c>
    </row>
    <row r="4636" spans="1:5" x14ac:dyDescent="0.3">
      <c r="A4636" s="9">
        <v>45688</v>
      </c>
      <c r="B4636" s="10" t="s">
        <v>12</v>
      </c>
      <c r="C4636" s="10" t="s">
        <v>28</v>
      </c>
      <c r="D4636" s="12">
        <v>117.77</v>
      </c>
      <c r="E4636" s="12">
        <f>SUMIF('Parametros Inventario'!$A:$A,B4636,'Parametros Inventario'!$B:$B)+SUMIFS(D$2:D4636,B$2:B4636,B4636,C$2:C4636,"ENTRADA")-SUMIFS(D$2:D4636,B$2:B4636,B4636,C$2:C4636,"SALIDA")</f>
        <v>21184.002000000004</v>
      </c>
    </row>
    <row r="4637" spans="1:5" x14ac:dyDescent="0.3">
      <c r="A4637" s="9">
        <v>45688</v>
      </c>
      <c r="B4637" s="10" t="s">
        <v>16</v>
      </c>
      <c r="C4637" s="10" t="s">
        <v>28</v>
      </c>
      <c r="D4637" s="12">
        <v>174.81</v>
      </c>
      <c r="E4637" s="12">
        <f>SUMIF('Parametros Inventario'!$A:$A,B4637,'Parametros Inventario'!$B:$B)+SUMIFS(D$2:D4637,B$2:B4637,B4637,C$2:C4637,"ENTRADA")-SUMIFS(D$2:D4637,B$2:B4637,B4637,C$2:C4637,"SALIDA")</f>
        <v>22320.744999999999</v>
      </c>
    </row>
    <row r="4638" spans="1:5" x14ac:dyDescent="0.3">
      <c r="A4638" s="9">
        <v>45688</v>
      </c>
      <c r="B4638" s="10" t="s">
        <v>17</v>
      </c>
      <c r="C4638" s="10" t="s">
        <v>28</v>
      </c>
      <c r="D4638" s="12">
        <v>142.28</v>
      </c>
      <c r="E4638" s="12">
        <f>SUMIF('Parametros Inventario'!$A:$A,B4638,'Parametros Inventario'!$B:$B)+SUMIFS(D$2:D4638,B$2:B4638,B4638,C$2:C4638,"ENTRADA")-SUMIFS(D$2:D4638,B$2:B4638,B4638,C$2:C4638,"SALIDA")</f>
        <v>21154.627</v>
      </c>
    </row>
    <row r="4639" spans="1:5" x14ac:dyDescent="0.3">
      <c r="A4639" s="9">
        <v>45688</v>
      </c>
      <c r="B4639" s="10" t="s">
        <v>18</v>
      </c>
      <c r="C4639" s="10" t="s">
        <v>28</v>
      </c>
      <c r="D4639" s="12">
        <v>116.35</v>
      </c>
      <c r="E4639" s="12">
        <f>SUMIF('Parametros Inventario'!$A:$A,B4639,'Parametros Inventario'!$B:$B)+SUMIFS(D$2:D4639,B$2:B4639,B4639,C$2:C4639,"ENTRADA")-SUMIFS(D$2:D4639,B$2:B4639,B4639,C$2:C4639,"SALIDA")</f>
        <v>21266.557999999983</v>
      </c>
    </row>
    <row r="4640" spans="1:5" x14ac:dyDescent="0.3">
      <c r="A4640" s="9">
        <v>45688</v>
      </c>
      <c r="B4640" s="10" t="s">
        <v>10</v>
      </c>
      <c r="C4640" s="10" t="s">
        <v>28</v>
      </c>
      <c r="D4640" s="12">
        <v>276.75</v>
      </c>
      <c r="E4640" s="12">
        <f>SUMIF('Parametros Inventario'!$A:$A,B4640,'Parametros Inventario'!$B:$B)+SUMIFS(D$2:D4640,B$2:B4640,B4640,C$2:C4640,"ENTRADA")-SUMIFS(D$2:D4640,B$2:B4640,B4640,C$2:C4640,"SALIDA")</f>
        <v>23333.488000000005</v>
      </c>
    </row>
    <row r="4641" spans="1:5" x14ac:dyDescent="0.3">
      <c r="A4641" s="9">
        <v>45688</v>
      </c>
      <c r="B4641" s="10" t="s">
        <v>8</v>
      </c>
      <c r="C4641" s="10" t="s">
        <v>28</v>
      </c>
      <c r="D4641" s="12">
        <v>249.67</v>
      </c>
      <c r="E4641" s="12">
        <f>SUMIF('Parametros Inventario'!$A:$A,B4641,'Parametros Inventario'!$B:$B)+SUMIFS(D$2:D4641,B$2:B4641,B4641,C$2:C4641,"ENTRADA")-SUMIFS(D$2:D4641,B$2:B4641,B4641,C$2:C4641,"SALIDA")</f>
        <v>22063.789000000012</v>
      </c>
    </row>
    <row r="4642" spans="1:5" x14ac:dyDescent="0.3">
      <c r="A4642" s="9">
        <f>'Volúmenes DIstribuidos '!B2817</f>
        <v>45688</v>
      </c>
      <c r="B4642" s="10" t="str">
        <f>IF(OR('Volúmenes DIstribuidos '!C2817="Azúcar",'Volúmenes DIstribuidos '!C2817="azúcar"),"Azúcar o dulce",IF('Volúmenes DIstribuidos '!C2817="Aceite","Aceite o grasas",IF('Volúmenes DIstribuidos '!C2817="Avena","Otros almidones",'Volúmenes DIstribuidos '!C2817)))</f>
        <v>Menestras</v>
      </c>
      <c r="C4642" s="10" t="s">
        <v>29</v>
      </c>
      <c r="D4642" s="12">
        <f>'Volúmenes DIstribuidos '!D2817</f>
        <v>37.56</v>
      </c>
      <c r="E4642" s="12">
        <f>SUMIF('Parametros Inventario'!$A:$A,B4642,'Parametros Inventario'!$B:$B)+SUMIFS(D$2:D4642,B$2:B4642,B4642,C$2:C4642,"ENTRADA")-SUMIFS(D$2:D4642,B$2:B4642,B4642,C$2:C4642,"SALIDA")</f>
        <v>21923.260999999984</v>
      </c>
    </row>
    <row r="4643" spans="1:5" x14ac:dyDescent="0.3">
      <c r="A4643" s="9">
        <f>'Volúmenes DIstribuidos '!B2817</f>
        <v>45688</v>
      </c>
      <c r="B4643" s="10" t="str">
        <f>IF(OR('Volúmenes DIstribuidos '!C2818="Azúcar",'Volúmenes DIstribuidos '!C2818="azúcar"),"Azúcar o dulce",IF('Volúmenes DIstribuidos '!C2818="Aceite","Aceite o grasas",IF('Volúmenes DIstribuidos '!C2818="Avena","Otros almidones",'Volúmenes DIstribuidos '!C2818)))</f>
        <v>Azúcar o dulce</v>
      </c>
      <c r="C4643" s="10" t="s">
        <v>29</v>
      </c>
      <c r="D4643" s="12">
        <f>'Volúmenes DIstribuidos '!D2818</f>
        <v>30.85</v>
      </c>
      <c r="E4643" s="12">
        <f>SUMIF('Parametros Inventario'!$A:$A,B4643,'Parametros Inventario'!$B:$B)+SUMIFS(D$2:D4643,B$2:B4643,B4643,C$2:C4643,"ENTRADA")-SUMIFS(D$2:D4643,B$2:B4643,B4643,C$2:C4643,"SALIDA")</f>
        <v>21045.287999999993</v>
      </c>
    </row>
    <row r="4644" spans="1:5" x14ac:dyDescent="0.3">
      <c r="A4644" s="9">
        <f>'Volúmenes DIstribuidos '!B2817</f>
        <v>45688</v>
      </c>
      <c r="B4644" s="10" t="str">
        <f>IF(OR('Volúmenes DIstribuidos '!C2819="Azúcar",'Volúmenes DIstribuidos '!C2819="azúcar"),"Azúcar o dulce",IF('Volúmenes DIstribuidos '!C2819="Aceite","Aceite o grasas",IF('Volúmenes DIstribuidos '!C2819="Avena","Otros almidones",'Volúmenes DIstribuidos '!C2819)))</f>
        <v>Aceite o grasas</v>
      </c>
      <c r="C4644" s="10" t="s">
        <v>29</v>
      </c>
      <c r="D4644" s="12">
        <f>'Volúmenes DIstribuidos '!D2819</f>
        <v>28.53</v>
      </c>
      <c r="E4644" s="12">
        <f>SUMIF('Parametros Inventario'!$A:$A,B4644,'Parametros Inventario'!$B:$B)+SUMIFS(D$2:D4644,B$2:B4644,B4644,C$2:C4644,"ENTRADA")-SUMIFS(D$2:D4644,B$2:B4644,B4644,C$2:C4644,"SALIDA")</f>
        <v>22035.259000000013</v>
      </c>
    </row>
    <row r="4645" spans="1:5" x14ac:dyDescent="0.3">
      <c r="A4645" s="9">
        <f>'Volúmenes DIstribuidos '!B2817</f>
        <v>45688</v>
      </c>
      <c r="B4645" s="10" t="str">
        <f>IF(OR('Volúmenes DIstribuidos '!C2820="Azúcar",'Volúmenes DIstribuidos '!C2820="azúcar"),"Azúcar o dulce",IF('Volúmenes DIstribuidos '!C2820="Aceite","Aceite o grasas",IF('Volúmenes DIstribuidos '!C2820="Avena","Otros almidones",'Volúmenes DIstribuidos '!C2820)))</f>
        <v>Carnes rojas</v>
      </c>
      <c r="C4645" s="10" t="s">
        <v>29</v>
      </c>
      <c r="D4645" s="12">
        <f>'Volúmenes DIstribuidos '!D2820</f>
        <v>40.414000000000001</v>
      </c>
      <c r="E4645" s="12">
        <f>SUMIF('Parametros Inventario'!$A:$A,B4645,'Parametros Inventario'!$B:$B)+SUMIFS(D$2:D4645,B$2:B4645,B4645,C$2:C4645,"ENTRADA")-SUMIFS(D$2:D4645,B$2:B4645,B4645,C$2:C4645,"SALIDA")</f>
        <v>21143.588000000003</v>
      </c>
    </row>
    <row r="4646" spans="1:5" x14ac:dyDescent="0.3">
      <c r="A4646" s="9">
        <f>'Volúmenes DIstribuidos '!B2817</f>
        <v>45688</v>
      </c>
      <c r="B4646" s="10" t="str">
        <f>IF(OR('Volúmenes DIstribuidos '!C2821="Azúcar",'Volúmenes DIstribuidos '!C2821="azúcar"),"Azúcar o dulce",IF('Volúmenes DIstribuidos '!C2821="Aceite","Aceite o grasas",IF('Volúmenes DIstribuidos '!C2821="Avena","Otros almidones",'Volúmenes DIstribuidos '!C2821)))</f>
        <v>Fideo</v>
      </c>
      <c r="C4646" s="10" t="s">
        <v>29</v>
      </c>
      <c r="D4646" s="12">
        <f>'Volúmenes DIstribuidos '!D2821</f>
        <v>11.8</v>
      </c>
      <c r="E4646" s="12">
        <f>SUMIF('Parametros Inventario'!$A:$A,B4646,'Parametros Inventario'!$B:$B)+SUMIFS(D$2:D4646,B$2:B4646,B4646,C$2:C4646,"ENTRADA")-SUMIFS(D$2:D4646,B$2:B4646,B4646,C$2:C4646,"SALIDA")</f>
        <v>24518.665000000008</v>
      </c>
    </row>
    <row r="4647" spans="1:5" x14ac:dyDescent="0.3">
      <c r="A4647" s="9">
        <f>'Volúmenes DIstribuidos '!B2817</f>
        <v>45688</v>
      </c>
      <c r="B4647" s="10" t="str">
        <f>IF(OR('Volúmenes DIstribuidos '!C2822="Azúcar",'Volúmenes DIstribuidos '!C2822="azúcar"),"Azúcar o dulce",IF('Volúmenes DIstribuidos '!C2822="Aceite","Aceite o grasas",IF('Volúmenes DIstribuidos '!C2822="Avena","Otros almidones",'Volúmenes DIstribuidos '!C2822)))</f>
        <v>Carnes rojas</v>
      </c>
      <c r="C4647" s="10" t="s">
        <v>29</v>
      </c>
      <c r="D4647" s="12">
        <f>'Volúmenes DIstribuidos '!D2822</f>
        <v>16.059999999999999</v>
      </c>
      <c r="E4647" s="12">
        <f>SUMIF('Parametros Inventario'!$A:$A,B4647,'Parametros Inventario'!$B:$B)+SUMIFS(D$2:D4647,B$2:B4647,B4647,C$2:C4647,"ENTRADA")-SUMIFS(D$2:D4647,B$2:B4647,B4647,C$2:C4647,"SALIDA")</f>
        <v>21127.528000000006</v>
      </c>
    </row>
    <row r="4648" spans="1:5" x14ac:dyDescent="0.3">
      <c r="A4648" s="9">
        <f>'Volúmenes DIstribuidos '!B2823</f>
        <v>45692</v>
      </c>
      <c r="B4648" s="10" t="str">
        <f>IF(OR('Volúmenes DIstribuidos '!C2823="Azúcar",'Volúmenes DIstribuidos '!C2823="azúcar"),"Azúcar o dulce",IF('Volúmenes DIstribuidos '!C2823="Aceite","Aceite o grasas",IF('Volúmenes DIstribuidos '!C2823="Avena","Otros almidones",'Volúmenes DIstribuidos '!C2823)))</f>
        <v>Panadería</v>
      </c>
      <c r="C4648" s="10" t="s">
        <v>29</v>
      </c>
      <c r="D4648" s="12">
        <f>'Volúmenes DIstribuidos '!D2823</f>
        <v>4.8</v>
      </c>
      <c r="E4648" s="12">
        <f>SUMIF('Parametros Inventario'!$A:$A,B4648,'Parametros Inventario'!$B:$B)+SUMIFS(D$2:D4648,B$2:B4648,B4648,C$2:C4648,"ENTRADA")-SUMIFS(D$2:D4648,B$2:B4648,B4648,C$2:C4648,"SALIDA")</f>
        <v>20068.062999999995</v>
      </c>
    </row>
    <row r="4649" spans="1:5" x14ac:dyDescent="0.3">
      <c r="A4649" s="9">
        <f>'Volúmenes DIstribuidos '!B2823</f>
        <v>45692</v>
      </c>
      <c r="B4649" s="10" t="str">
        <f>IF(OR('Volúmenes DIstribuidos '!C2824="Azúcar",'Volúmenes DIstribuidos '!C2824="azúcar"),"Azúcar o dulce",IF('Volúmenes DIstribuidos '!C2824="Aceite","Aceite o grasas",IF('Volúmenes DIstribuidos '!C2824="Avena","Otros almidones",'Volúmenes DIstribuidos '!C2824)))</f>
        <v>Vegetales y hojas</v>
      </c>
      <c r="C4649" s="10" t="s">
        <v>29</v>
      </c>
      <c r="D4649" s="12">
        <f>'Volúmenes DIstribuidos '!D2824</f>
        <v>15.569000000000001</v>
      </c>
      <c r="E4649" s="12">
        <f>SUMIF('Parametros Inventario'!$A:$A,B4649,'Parametros Inventario'!$B:$B)+SUMIFS(D$2:D4649,B$2:B4649,B4649,C$2:C4649,"ENTRADA")-SUMIFS(D$2:D4649,B$2:B4649,B4649,C$2:C4649,"SALIDA")</f>
        <v>23317.919000000005</v>
      </c>
    </row>
    <row r="4650" spans="1:5" x14ac:dyDescent="0.3">
      <c r="A4650" s="9">
        <f>'Volúmenes DIstribuidos '!B2823</f>
        <v>45692</v>
      </c>
      <c r="B4650" s="10" t="str">
        <f>IF(OR('Volúmenes DIstribuidos '!C2825="Azúcar",'Volúmenes DIstribuidos '!C2825="azúcar"),"Azúcar o dulce",IF('Volúmenes DIstribuidos '!C2825="Aceite","Aceite o grasas",IF('Volúmenes DIstribuidos '!C2825="Avena","Otros almidones",'Volúmenes DIstribuidos '!C2825)))</f>
        <v>Carnes blancas</v>
      </c>
      <c r="C4650" s="10" t="s">
        <v>29</v>
      </c>
      <c r="D4650" s="12">
        <f>'Volúmenes DIstribuidos '!D2825</f>
        <v>19.600000000000001</v>
      </c>
      <c r="E4650" s="12">
        <f>SUMIF('Parametros Inventario'!$A:$A,B4650,'Parametros Inventario'!$B:$B)+SUMIFS(D$2:D4650,B$2:B4650,B4650,C$2:C4650,"ENTRADA")-SUMIFS(D$2:D4650,B$2:B4650,B4650,C$2:C4650,"SALIDA")</f>
        <v>22301.145</v>
      </c>
    </row>
    <row r="4651" spans="1:5" x14ac:dyDescent="0.3">
      <c r="A4651" s="9">
        <f>'Volúmenes DIstribuidos '!B2823</f>
        <v>45692</v>
      </c>
      <c r="B4651" s="10" t="str">
        <f>IF(OR('Volúmenes DIstribuidos '!C2826="Azúcar",'Volúmenes DIstribuidos '!C2826="azúcar"),"Azúcar o dulce",IF('Volúmenes DIstribuidos '!C2826="Aceite","Aceite o grasas",IF('Volúmenes DIstribuidos '!C2826="Avena","Otros almidones",'Volúmenes DIstribuidos '!C2826)))</f>
        <v>Panadería</v>
      </c>
      <c r="C4651" s="10" t="s">
        <v>29</v>
      </c>
      <c r="D4651" s="12">
        <f>'Volúmenes DIstribuidos '!D2826</f>
        <v>8.02</v>
      </c>
      <c r="E4651" s="12">
        <f>SUMIF('Parametros Inventario'!$A:$A,B4651,'Parametros Inventario'!$B:$B)+SUMIFS(D$2:D4651,B$2:B4651,B4651,C$2:C4651,"ENTRADA")-SUMIFS(D$2:D4651,B$2:B4651,B4651,C$2:C4651,"SALIDA")</f>
        <v>20060.042999999991</v>
      </c>
    </row>
    <row r="4652" spans="1:5" x14ac:dyDescent="0.3">
      <c r="A4652" s="9">
        <f>'Volúmenes DIstribuidos '!B2823</f>
        <v>45692</v>
      </c>
      <c r="B4652" s="10" t="str">
        <f>IF(OR('Volúmenes DIstribuidos '!C2827="Azúcar",'Volúmenes DIstribuidos '!C2827="azúcar"),"Azúcar o dulce",IF('Volúmenes DIstribuidos '!C2827="Aceite","Aceite o grasas",IF('Volúmenes DIstribuidos '!C2827="Avena","Otros almidones",'Volúmenes DIstribuidos '!C2827)))</f>
        <v>Salsas</v>
      </c>
      <c r="C4652" s="10" t="s">
        <v>29</v>
      </c>
      <c r="D4652" s="12">
        <f>'Volúmenes DIstribuidos '!D2827</f>
        <v>4.97</v>
      </c>
      <c r="E4652" s="12">
        <f>SUMIF('Parametros Inventario'!$A:$A,B4652,'Parametros Inventario'!$B:$B)+SUMIFS(D$2:D4652,B$2:B4652,B4652,C$2:C4652,"ENTRADA")-SUMIFS(D$2:D4652,B$2:B4652,B4652,C$2:C4652,"SALIDA")</f>
        <v>21261.587999999982</v>
      </c>
    </row>
    <row r="4653" spans="1:5" x14ac:dyDescent="0.3">
      <c r="A4653" s="9">
        <f>'Volúmenes DIstribuidos '!B2823</f>
        <v>45692</v>
      </c>
      <c r="B4653" s="10" t="str">
        <f>IF(OR('Volúmenes DIstribuidos '!C2828="Azúcar",'Volúmenes DIstribuidos '!C2828="azúcar"),"Azúcar o dulce",IF('Volúmenes DIstribuidos '!C2828="Aceite","Aceite o grasas",IF('Volúmenes DIstribuidos '!C2828="Avena","Otros almidones",'Volúmenes DIstribuidos '!C2828)))</f>
        <v>Vegetales y hojas</v>
      </c>
      <c r="C4653" s="10" t="s">
        <v>29</v>
      </c>
      <c r="D4653" s="12">
        <f>'Volúmenes DIstribuidos '!D2828</f>
        <v>23.09</v>
      </c>
      <c r="E4653" s="12">
        <f>SUMIF('Parametros Inventario'!$A:$A,B4653,'Parametros Inventario'!$B:$B)+SUMIFS(D$2:D4653,B$2:B4653,B4653,C$2:C4653,"ENTRADA")-SUMIFS(D$2:D4653,B$2:B4653,B4653,C$2:C4653,"SALIDA")</f>
        <v>23294.829000000005</v>
      </c>
    </row>
    <row r="4654" spans="1:5" x14ac:dyDescent="0.3">
      <c r="A4654" s="9">
        <f>'Volúmenes DIstribuidos '!B2829</f>
        <v>45695</v>
      </c>
      <c r="B4654" s="10" t="str">
        <f>IF(OR('Volúmenes DIstribuidos '!C2829="Azúcar",'Volúmenes DIstribuidos '!C2829="azúcar"),"Azúcar o dulce",IF('Volúmenes DIstribuidos '!C2829="Aceite","Aceite o grasas",IF('Volúmenes DIstribuidos '!C2829="Avena","Otros almidones",'Volúmenes DIstribuidos '!C2829)))</f>
        <v>Fideo</v>
      </c>
      <c r="C4654" s="10" t="s">
        <v>29</v>
      </c>
      <c r="D4654" s="12">
        <f>'Volúmenes DIstribuidos '!D2829</f>
        <v>24.49</v>
      </c>
      <c r="E4654" s="12">
        <f>SUMIF('Parametros Inventario'!$A:$A,B4654,'Parametros Inventario'!$B:$B)+SUMIFS(D$2:D4654,B$2:B4654,B4654,C$2:C4654,"ENTRADA")-SUMIFS(D$2:D4654,B$2:B4654,B4654,C$2:C4654,"SALIDA")</f>
        <v>24494.17500000001</v>
      </c>
    </row>
    <row r="4655" spans="1:5" x14ac:dyDescent="0.3">
      <c r="A4655" s="9">
        <f>'Volúmenes DIstribuidos '!B2829</f>
        <v>45695</v>
      </c>
      <c r="B4655" s="10" t="str">
        <f>IF(OR('Volúmenes DIstribuidos '!C2830="Azúcar",'Volúmenes DIstribuidos '!C2830="azúcar"),"Azúcar o dulce",IF('Volúmenes DIstribuidos '!C2830="Aceite","Aceite o grasas",IF('Volúmenes DIstribuidos '!C2830="Avena","Otros almidones",'Volúmenes DIstribuidos '!C2830)))</f>
        <v>Azúcar o dulce</v>
      </c>
      <c r="C4655" s="10" t="s">
        <v>29</v>
      </c>
      <c r="D4655" s="12">
        <f>'Volúmenes DIstribuidos '!D2830</f>
        <v>11.962999999999999</v>
      </c>
      <c r="E4655" s="12">
        <f>SUMIF('Parametros Inventario'!$A:$A,B4655,'Parametros Inventario'!$B:$B)+SUMIFS(D$2:D4655,B$2:B4655,B4655,C$2:C4655,"ENTRADA")-SUMIFS(D$2:D4655,B$2:B4655,B4655,C$2:C4655,"SALIDA")</f>
        <v>21033.32499999999</v>
      </c>
    </row>
    <row r="4656" spans="1:5" x14ac:dyDescent="0.3">
      <c r="A4656" s="9">
        <f>'Volúmenes DIstribuidos '!B2829</f>
        <v>45695</v>
      </c>
      <c r="B4656" s="10" t="str">
        <f>IF(OR('Volúmenes DIstribuidos '!C2831="Azúcar",'Volúmenes DIstribuidos '!C2831="azúcar"),"Azúcar o dulce",IF('Volúmenes DIstribuidos '!C2831="Aceite","Aceite o grasas",IF('Volúmenes DIstribuidos '!C2831="Avena","Otros almidones",'Volúmenes DIstribuidos '!C2831)))</f>
        <v>Vegetales y hojas</v>
      </c>
      <c r="C4656" s="10" t="s">
        <v>29</v>
      </c>
      <c r="D4656" s="12">
        <f>'Volúmenes DIstribuidos '!D2831</f>
        <v>4.54</v>
      </c>
      <c r="E4656" s="12">
        <f>SUMIF('Parametros Inventario'!$A:$A,B4656,'Parametros Inventario'!$B:$B)+SUMIFS(D$2:D4656,B$2:B4656,B4656,C$2:C4656,"ENTRADA")-SUMIFS(D$2:D4656,B$2:B4656,B4656,C$2:C4656,"SALIDA")</f>
        <v>23290.289000000004</v>
      </c>
    </row>
    <row r="4657" spans="1:5" x14ac:dyDescent="0.3">
      <c r="A4657" s="9">
        <f>'Volúmenes DIstribuidos '!B2829</f>
        <v>45695</v>
      </c>
      <c r="B4657" s="10" t="str">
        <f>IF(OR('Volúmenes DIstribuidos '!C2832="Azúcar",'Volúmenes DIstribuidos '!C2832="azúcar"),"Azúcar o dulce",IF('Volúmenes DIstribuidos '!C2832="Aceite","Aceite o grasas",IF('Volúmenes DIstribuidos '!C2832="Avena","Otros almidones",'Volúmenes DIstribuidos '!C2832)))</f>
        <v>Carnes blancas</v>
      </c>
      <c r="C4657" s="10" t="s">
        <v>29</v>
      </c>
      <c r="D4657" s="12">
        <f>'Volúmenes DIstribuidos '!D2832</f>
        <v>21.77</v>
      </c>
      <c r="E4657" s="12">
        <f>SUMIF('Parametros Inventario'!$A:$A,B4657,'Parametros Inventario'!$B:$B)+SUMIFS(D$2:D4657,B$2:B4657,B4657,C$2:C4657,"ENTRADA")-SUMIFS(D$2:D4657,B$2:B4657,B4657,C$2:C4657,"SALIDA")</f>
        <v>22279.375</v>
      </c>
    </row>
    <row r="4658" spans="1:5" x14ac:dyDescent="0.3">
      <c r="A4658" s="9">
        <f>'Volúmenes DIstribuidos '!B2829</f>
        <v>45695</v>
      </c>
      <c r="B4658" s="10" t="str">
        <f>IF(OR('Volúmenes DIstribuidos '!C2833="Azúcar",'Volúmenes DIstribuidos '!C2833="azúcar"),"Azúcar o dulce",IF('Volúmenes DIstribuidos '!C2833="Aceite","Aceite o grasas",IF('Volúmenes DIstribuidos '!C2833="Avena","Otros almidones",'Volúmenes DIstribuidos '!C2833)))</f>
        <v>Azúcar o dulce</v>
      </c>
      <c r="C4658" s="10" t="s">
        <v>29</v>
      </c>
      <c r="D4658" s="12">
        <f>'Volúmenes DIstribuidos '!D2833</f>
        <v>10.458</v>
      </c>
      <c r="E4658" s="12">
        <f>SUMIF('Parametros Inventario'!$A:$A,B4658,'Parametros Inventario'!$B:$B)+SUMIFS(D$2:D4658,B$2:B4658,B4658,C$2:C4658,"ENTRADA")-SUMIFS(D$2:D4658,B$2:B4658,B4658,C$2:C4658,"SALIDA")</f>
        <v>21022.866999999991</v>
      </c>
    </row>
    <row r="4659" spans="1:5" x14ac:dyDescent="0.3">
      <c r="A4659" s="9">
        <f>'Volúmenes DIstribuidos '!B2829</f>
        <v>45695</v>
      </c>
      <c r="B4659" s="10" t="str">
        <f>IF(OR('Volúmenes DIstribuidos '!C2834="Azúcar",'Volúmenes DIstribuidos '!C2834="azúcar"),"Azúcar o dulce",IF('Volúmenes DIstribuidos '!C2834="Aceite","Aceite o grasas",IF('Volúmenes DIstribuidos '!C2834="Avena","Otros almidones",'Volúmenes DIstribuidos '!C2834)))</f>
        <v>Salsas</v>
      </c>
      <c r="C4659" s="10" t="s">
        <v>29</v>
      </c>
      <c r="D4659" s="12">
        <f>'Volúmenes DIstribuidos '!D2834</f>
        <v>18.670000000000002</v>
      </c>
      <c r="E4659" s="12">
        <f>SUMIF('Parametros Inventario'!$A:$A,B4659,'Parametros Inventario'!$B:$B)+SUMIFS(D$2:D4659,B$2:B4659,B4659,C$2:C4659,"ENTRADA")-SUMIFS(D$2:D4659,B$2:B4659,B4659,C$2:C4659,"SALIDA")</f>
        <v>21242.917999999983</v>
      </c>
    </row>
    <row r="4660" spans="1:5" x14ac:dyDescent="0.3">
      <c r="A4660" s="9">
        <v>45699</v>
      </c>
      <c r="B4660" s="10" t="s">
        <v>13</v>
      </c>
      <c r="C4660" s="10" t="s">
        <v>28</v>
      </c>
      <c r="D4660" s="12">
        <v>247.21</v>
      </c>
      <c r="E4660" s="12">
        <f>SUMIF('Parametros Inventario'!$A:$A,B4660,'Parametros Inventario'!$B:$B)+SUMIFS(D$2:D4660,B$2:B4660,B4660,C$2:C4660,"ENTRADA")-SUMIFS(D$2:D4660,B$2:B4660,B4660,C$2:C4660,"SALIDA")</f>
        <v>21270.07699999999</v>
      </c>
    </row>
    <row r="4661" spans="1:5" x14ac:dyDescent="0.3">
      <c r="A4661" s="9">
        <v>45699</v>
      </c>
      <c r="B4661" s="10" t="s">
        <v>15</v>
      </c>
      <c r="C4661" s="10" t="s">
        <v>28</v>
      </c>
      <c r="D4661" s="12">
        <v>265.43</v>
      </c>
      <c r="E4661" s="12">
        <f>SUMIF('Parametros Inventario'!$A:$A,B4661,'Parametros Inventario'!$B:$B)+SUMIFS(D$2:D4661,B$2:B4661,B4661,C$2:C4661,"ENTRADA")-SUMIFS(D$2:D4661,B$2:B4661,B4661,C$2:C4661,"SALIDA")</f>
        <v>24283.640999999996</v>
      </c>
    </row>
    <row r="4662" spans="1:5" x14ac:dyDescent="0.3">
      <c r="A4662" s="9">
        <v>45699</v>
      </c>
      <c r="B4662" s="10" t="s">
        <v>11</v>
      </c>
      <c r="C4662" s="10" t="s">
        <v>28</v>
      </c>
      <c r="D4662" s="12">
        <v>294.51</v>
      </c>
      <c r="E4662" s="12">
        <f>SUMIF('Parametros Inventario'!$A:$A,B4662,'Parametros Inventario'!$B:$B)+SUMIFS(D$2:D4662,B$2:B4662,B4662,C$2:C4662,"ENTRADA")-SUMIFS(D$2:D4662,B$2:B4662,B4662,C$2:C4662,"SALIDA")</f>
        <v>24788.685000000009</v>
      </c>
    </row>
    <row r="4663" spans="1:5" x14ac:dyDescent="0.3">
      <c r="A4663" s="9">
        <v>45699</v>
      </c>
      <c r="B4663" s="10" t="s">
        <v>9</v>
      </c>
      <c r="C4663" s="10" t="s">
        <v>28</v>
      </c>
      <c r="D4663" s="12">
        <v>244.45</v>
      </c>
      <c r="E4663" s="12">
        <f>SUMIF('Parametros Inventario'!$A:$A,B4663,'Parametros Inventario'!$B:$B)+SUMIFS(D$2:D4663,B$2:B4663,B4663,C$2:C4663,"ENTRADA")-SUMIFS(D$2:D4663,B$2:B4663,B4663,C$2:C4663,"SALIDA")</f>
        <v>20304.492999999995</v>
      </c>
    </row>
    <row r="4664" spans="1:5" x14ac:dyDescent="0.3">
      <c r="A4664" s="9">
        <v>45699</v>
      </c>
      <c r="B4664" s="10" t="s">
        <v>14</v>
      </c>
      <c r="C4664" s="10" t="s">
        <v>28</v>
      </c>
      <c r="D4664" s="12">
        <v>86.65</v>
      </c>
      <c r="E4664" s="12">
        <f>SUMIF('Parametros Inventario'!$A:$A,B4664,'Parametros Inventario'!$B:$B)+SUMIFS(D$2:D4664,B$2:B4664,B4664,C$2:C4664,"ENTRADA")-SUMIFS(D$2:D4664,B$2:B4664,B4664,C$2:C4664,"SALIDA")</f>
        <v>22009.910999999986</v>
      </c>
    </row>
    <row r="4665" spans="1:5" x14ac:dyDescent="0.3">
      <c r="A4665" s="9">
        <v>45699</v>
      </c>
      <c r="B4665" s="10" t="s">
        <v>12</v>
      </c>
      <c r="C4665" s="10" t="s">
        <v>28</v>
      </c>
      <c r="D4665" s="12">
        <v>86.95</v>
      </c>
      <c r="E4665" s="12">
        <f>SUMIF('Parametros Inventario'!$A:$A,B4665,'Parametros Inventario'!$B:$B)+SUMIFS(D$2:D4665,B$2:B4665,B4665,C$2:C4665,"ENTRADA")-SUMIFS(D$2:D4665,B$2:B4665,B4665,C$2:C4665,"SALIDA")</f>
        <v>21214.478000000003</v>
      </c>
    </row>
    <row r="4666" spans="1:5" x14ac:dyDescent="0.3">
      <c r="A4666" s="9">
        <v>45699</v>
      </c>
      <c r="B4666" s="10" t="s">
        <v>16</v>
      </c>
      <c r="C4666" s="10" t="s">
        <v>28</v>
      </c>
      <c r="D4666" s="12">
        <v>161.66999999999999</v>
      </c>
      <c r="E4666" s="12">
        <f>SUMIF('Parametros Inventario'!$A:$A,B4666,'Parametros Inventario'!$B:$B)+SUMIFS(D$2:D4666,B$2:B4666,B4666,C$2:C4666,"ENTRADA")-SUMIFS(D$2:D4666,B$2:B4666,B4666,C$2:C4666,"SALIDA")</f>
        <v>22441.044999999998</v>
      </c>
    </row>
    <row r="4667" spans="1:5" x14ac:dyDescent="0.3">
      <c r="A4667" s="9">
        <v>45699</v>
      </c>
      <c r="B4667" s="10" t="s">
        <v>17</v>
      </c>
      <c r="C4667" s="10" t="s">
        <v>28</v>
      </c>
      <c r="D4667" s="12">
        <v>249.21</v>
      </c>
      <c r="E4667" s="12">
        <f>SUMIF('Parametros Inventario'!$A:$A,B4667,'Parametros Inventario'!$B:$B)+SUMIFS(D$2:D4667,B$2:B4667,B4667,C$2:C4667,"ENTRADA")-SUMIFS(D$2:D4667,B$2:B4667,B4667,C$2:C4667,"SALIDA")</f>
        <v>21403.837</v>
      </c>
    </row>
    <row r="4668" spans="1:5" x14ac:dyDescent="0.3">
      <c r="A4668" s="9">
        <v>45699</v>
      </c>
      <c r="B4668" s="10" t="s">
        <v>18</v>
      </c>
      <c r="C4668" s="10" t="s">
        <v>28</v>
      </c>
      <c r="D4668" s="12">
        <v>294.08</v>
      </c>
      <c r="E4668" s="12">
        <f>SUMIF('Parametros Inventario'!$A:$A,B4668,'Parametros Inventario'!$B:$B)+SUMIFS(D$2:D4668,B$2:B4668,B4668,C$2:C4668,"ENTRADA")-SUMIFS(D$2:D4668,B$2:B4668,B4668,C$2:C4668,"SALIDA")</f>
        <v>21536.997999999985</v>
      </c>
    </row>
    <row r="4669" spans="1:5" x14ac:dyDescent="0.3">
      <c r="A4669" s="9">
        <v>45699</v>
      </c>
      <c r="B4669" s="10" t="s">
        <v>10</v>
      </c>
      <c r="C4669" s="10" t="s">
        <v>28</v>
      </c>
      <c r="D4669" s="12">
        <v>253.66</v>
      </c>
      <c r="E4669" s="12">
        <f>SUMIF('Parametros Inventario'!$A:$A,B4669,'Parametros Inventario'!$B:$B)+SUMIFS(D$2:D4669,B$2:B4669,B4669,C$2:C4669,"ENTRADA")-SUMIFS(D$2:D4669,B$2:B4669,B4669,C$2:C4669,"SALIDA")</f>
        <v>23543.949000000008</v>
      </c>
    </row>
    <row r="4670" spans="1:5" x14ac:dyDescent="0.3">
      <c r="A4670" s="9">
        <v>45699</v>
      </c>
      <c r="B4670" s="10" t="s">
        <v>8</v>
      </c>
      <c r="C4670" s="10" t="s">
        <v>28</v>
      </c>
      <c r="D4670" s="12">
        <v>78.290000000000006</v>
      </c>
      <c r="E4670" s="12">
        <f>SUMIF('Parametros Inventario'!$A:$A,B4670,'Parametros Inventario'!$B:$B)+SUMIFS(D$2:D4670,B$2:B4670,B4670,C$2:C4670,"ENTRADA")-SUMIFS(D$2:D4670,B$2:B4670,B4670,C$2:C4670,"SALIDA")</f>
        <v>22113.549000000014</v>
      </c>
    </row>
    <row r="4671" spans="1:5" x14ac:dyDescent="0.3">
      <c r="A4671" s="9">
        <f>'Volúmenes DIstribuidos '!B2835</f>
        <v>45699</v>
      </c>
      <c r="B4671" s="10" t="str">
        <f>IF(OR('Volúmenes DIstribuidos '!C2835="Azúcar",'Volúmenes DIstribuidos '!C2835="azúcar"),"Azúcar o dulce",IF('Volúmenes DIstribuidos '!C2835="Aceite","Aceite o grasas",IF('Volúmenes DIstribuidos '!C2835="Avena","Otros almidones",'Volúmenes DIstribuidos '!C2835)))</f>
        <v>Lácteos</v>
      </c>
      <c r="C4671" s="10" t="s">
        <v>29</v>
      </c>
      <c r="D4671" s="12">
        <f>'Volúmenes DIstribuidos '!D2835</f>
        <v>85.73</v>
      </c>
      <c r="E4671" s="12">
        <f>SUMIF('Parametros Inventario'!$A:$A,B4671,'Parametros Inventario'!$B:$B)+SUMIFS(D$2:D4671,B$2:B4671,B4671,C$2:C4671,"ENTRADA")-SUMIFS(D$2:D4671,B$2:B4671,B4671,C$2:C4671,"SALIDA")</f>
        <v>21318.107000000004</v>
      </c>
    </row>
    <row r="4672" spans="1:5" x14ac:dyDescent="0.3">
      <c r="A4672" s="9">
        <f>'Volúmenes DIstribuidos '!B2835</f>
        <v>45699</v>
      </c>
      <c r="B4672" s="10" t="str">
        <f>IF(OR('Volúmenes DIstribuidos '!C2836="Azúcar",'Volúmenes DIstribuidos '!C2836="azúcar"),"Azúcar o dulce",IF('Volúmenes DIstribuidos '!C2836="Aceite","Aceite o grasas",IF('Volúmenes DIstribuidos '!C2836="Avena","Otros almidones",'Volúmenes DIstribuidos '!C2836)))</f>
        <v>Otros almidones</v>
      </c>
      <c r="C4672" s="10" t="s">
        <v>29</v>
      </c>
      <c r="D4672" s="12">
        <f>'Volúmenes DIstribuidos '!D2836</f>
        <v>35.840000000000003</v>
      </c>
      <c r="E4672" s="12">
        <f>SUMIF('Parametros Inventario'!$A:$A,B4672,'Parametros Inventario'!$B:$B)+SUMIFS(D$2:D4672,B$2:B4672,B4672,C$2:C4672,"ENTRADA")-SUMIFS(D$2:D4672,B$2:B4672,B4672,C$2:C4672,"SALIDA")</f>
        <v>24247.800999999996</v>
      </c>
    </row>
    <row r="4673" spans="1:5" x14ac:dyDescent="0.3">
      <c r="A4673" s="9">
        <f>'Volúmenes DIstribuidos '!B2835</f>
        <v>45699</v>
      </c>
      <c r="B4673" s="10" t="str">
        <f>IF(OR('Volúmenes DIstribuidos '!C2837="Azúcar",'Volúmenes DIstribuidos '!C2837="azúcar"),"Azúcar o dulce",IF('Volúmenes DIstribuidos '!C2837="Aceite","Aceite o grasas",IF('Volúmenes DIstribuidos '!C2837="Avena","Otros almidones",'Volúmenes DIstribuidos '!C2837)))</f>
        <v>Aceite o grasas</v>
      </c>
      <c r="C4673" s="10" t="s">
        <v>29</v>
      </c>
      <c r="D4673" s="12">
        <f>'Volúmenes DIstribuidos '!D2837</f>
        <v>49.9</v>
      </c>
      <c r="E4673" s="12">
        <f>SUMIF('Parametros Inventario'!$A:$A,B4673,'Parametros Inventario'!$B:$B)+SUMIFS(D$2:D4673,B$2:B4673,B4673,C$2:C4673,"ENTRADA")-SUMIFS(D$2:D4673,B$2:B4673,B4673,C$2:C4673,"SALIDA")</f>
        <v>22063.649000000012</v>
      </c>
    </row>
    <row r="4674" spans="1:5" x14ac:dyDescent="0.3">
      <c r="A4674" s="9">
        <f>'Volúmenes DIstribuidos '!B2835</f>
        <v>45699</v>
      </c>
      <c r="B4674" s="10" t="str">
        <f>IF(OR('Volúmenes DIstribuidos '!C2838="Azúcar",'Volúmenes DIstribuidos '!C2838="azúcar"),"Azúcar o dulce",IF('Volúmenes DIstribuidos '!C2838="Aceite","Aceite o grasas",IF('Volúmenes DIstribuidos '!C2838="Avena","Otros almidones",'Volúmenes DIstribuidos '!C2838)))</f>
        <v>Panadería</v>
      </c>
      <c r="C4674" s="10" t="s">
        <v>29</v>
      </c>
      <c r="D4674" s="12">
        <f>'Volúmenes DIstribuidos '!D2838</f>
        <v>17.78</v>
      </c>
      <c r="E4674" s="12">
        <f>SUMIF('Parametros Inventario'!$A:$A,B4674,'Parametros Inventario'!$B:$B)+SUMIFS(D$2:D4674,B$2:B4674,B4674,C$2:C4674,"ENTRADA")-SUMIFS(D$2:D4674,B$2:B4674,B4674,C$2:C4674,"SALIDA")</f>
        <v>20286.712999999992</v>
      </c>
    </row>
    <row r="4675" spans="1:5" x14ac:dyDescent="0.3">
      <c r="A4675" s="9">
        <f>'Volúmenes DIstribuidos '!B2835</f>
        <v>45699</v>
      </c>
      <c r="B4675" s="10" t="str">
        <f>IF(OR('Volúmenes DIstribuidos '!C2839="Azúcar",'Volúmenes DIstribuidos '!C2839="azúcar"),"Azúcar o dulce",IF('Volúmenes DIstribuidos '!C2839="Aceite","Aceite o grasas",IF('Volúmenes DIstribuidos '!C2839="Avena","Otros almidones",'Volúmenes DIstribuidos '!C2839)))</f>
        <v>Vegetales y hojas</v>
      </c>
      <c r="C4675" s="10" t="s">
        <v>29</v>
      </c>
      <c r="D4675" s="12">
        <f>'Volúmenes DIstribuidos '!D2839</f>
        <v>31.972999999999999</v>
      </c>
      <c r="E4675" s="12">
        <f>SUMIF('Parametros Inventario'!$A:$A,B4675,'Parametros Inventario'!$B:$B)+SUMIFS(D$2:D4675,B$2:B4675,B4675,C$2:C4675,"ENTRADA")-SUMIFS(D$2:D4675,B$2:B4675,B4675,C$2:C4675,"SALIDA")</f>
        <v>23511.976000000006</v>
      </c>
    </row>
    <row r="4676" spans="1:5" x14ac:dyDescent="0.3">
      <c r="A4676" s="9">
        <f>'Volúmenes DIstribuidos '!B2835</f>
        <v>45699</v>
      </c>
      <c r="B4676" s="10" t="str">
        <f>IF(OR('Volúmenes DIstribuidos '!C2840="Azúcar",'Volúmenes DIstribuidos '!C2840="azúcar"),"Azúcar o dulce",IF('Volúmenes DIstribuidos '!C2840="Aceite","Aceite o grasas",IF('Volúmenes DIstribuidos '!C2840="Avena","Otros almidones",'Volúmenes DIstribuidos '!C2840)))</f>
        <v>Carnes rojas</v>
      </c>
      <c r="C4676" s="10" t="s">
        <v>29</v>
      </c>
      <c r="D4676" s="12">
        <f>'Volúmenes DIstribuidos '!D2840</f>
        <v>106.9</v>
      </c>
      <c r="E4676" s="12">
        <f>SUMIF('Parametros Inventario'!$A:$A,B4676,'Parametros Inventario'!$B:$B)+SUMIFS(D$2:D4676,B$2:B4676,B4676,C$2:C4676,"ENTRADA")-SUMIFS(D$2:D4676,B$2:B4676,B4676,C$2:C4676,"SALIDA")</f>
        <v>21107.578000000005</v>
      </c>
    </row>
    <row r="4677" spans="1:5" x14ac:dyDescent="0.3">
      <c r="A4677" s="9">
        <v>45702</v>
      </c>
      <c r="B4677" s="10" t="s">
        <v>13</v>
      </c>
      <c r="C4677" s="10" t="s">
        <v>28</v>
      </c>
      <c r="D4677" s="12">
        <v>156.86000000000001</v>
      </c>
      <c r="E4677" s="12">
        <f>SUMIF('Parametros Inventario'!$A:$A,B4677,'Parametros Inventario'!$B:$B)+SUMIFS(D$2:D4677,B$2:B4677,B4677,C$2:C4677,"ENTRADA")-SUMIFS(D$2:D4677,B$2:B4677,B4677,C$2:C4677,"SALIDA")</f>
        <v>21426.936999999991</v>
      </c>
    </row>
    <row r="4678" spans="1:5" x14ac:dyDescent="0.3">
      <c r="A4678" s="9">
        <v>45702</v>
      </c>
      <c r="B4678" s="10" t="s">
        <v>15</v>
      </c>
      <c r="C4678" s="10" t="s">
        <v>28</v>
      </c>
      <c r="D4678" s="12">
        <v>231.68</v>
      </c>
      <c r="E4678" s="12">
        <f>SUMIF('Parametros Inventario'!$A:$A,B4678,'Parametros Inventario'!$B:$B)+SUMIFS(D$2:D4678,B$2:B4678,B4678,C$2:C4678,"ENTRADA")-SUMIFS(D$2:D4678,B$2:B4678,B4678,C$2:C4678,"SALIDA")</f>
        <v>24479.480999999996</v>
      </c>
    </row>
    <row r="4679" spans="1:5" x14ac:dyDescent="0.3">
      <c r="A4679" s="9">
        <v>45702</v>
      </c>
      <c r="B4679" s="10" t="s">
        <v>11</v>
      </c>
      <c r="C4679" s="10" t="s">
        <v>28</v>
      </c>
      <c r="D4679" s="12">
        <v>86.17</v>
      </c>
      <c r="E4679" s="12">
        <f>SUMIF('Parametros Inventario'!$A:$A,B4679,'Parametros Inventario'!$B:$B)+SUMIFS(D$2:D4679,B$2:B4679,B4679,C$2:C4679,"ENTRADA")-SUMIFS(D$2:D4679,B$2:B4679,B4679,C$2:C4679,"SALIDA")</f>
        <v>24874.855000000007</v>
      </c>
    </row>
    <row r="4680" spans="1:5" x14ac:dyDescent="0.3">
      <c r="A4680" s="9">
        <v>45702</v>
      </c>
      <c r="B4680" s="10" t="s">
        <v>9</v>
      </c>
      <c r="C4680" s="10" t="s">
        <v>28</v>
      </c>
      <c r="D4680" s="12">
        <v>130.76</v>
      </c>
      <c r="E4680" s="12">
        <f>SUMIF('Parametros Inventario'!$A:$A,B4680,'Parametros Inventario'!$B:$B)+SUMIFS(D$2:D4680,B$2:B4680,B4680,C$2:C4680,"ENTRADA")-SUMIFS(D$2:D4680,B$2:B4680,B4680,C$2:C4680,"SALIDA")</f>
        <v>20417.472999999991</v>
      </c>
    </row>
    <row r="4681" spans="1:5" x14ac:dyDescent="0.3">
      <c r="A4681" s="9">
        <v>45702</v>
      </c>
      <c r="B4681" s="10" t="s">
        <v>14</v>
      </c>
      <c r="C4681" s="10" t="s">
        <v>28</v>
      </c>
      <c r="D4681" s="12">
        <v>81.88</v>
      </c>
      <c r="E4681" s="12">
        <f>SUMIF('Parametros Inventario'!$A:$A,B4681,'Parametros Inventario'!$B:$B)+SUMIFS(D$2:D4681,B$2:B4681,B4681,C$2:C4681,"ENTRADA")-SUMIFS(D$2:D4681,B$2:B4681,B4681,C$2:C4681,"SALIDA")</f>
        <v>22091.790999999987</v>
      </c>
    </row>
    <row r="4682" spans="1:5" x14ac:dyDescent="0.3">
      <c r="A4682" s="9">
        <v>45702</v>
      </c>
      <c r="B4682" s="10" t="s">
        <v>12</v>
      </c>
      <c r="C4682" s="10" t="s">
        <v>28</v>
      </c>
      <c r="D4682" s="12">
        <v>241.88</v>
      </c>
      <c r="E4682" s="12">
        <f>SUMIF('Parametros Inventario'!$A:$A,B4682,'Parametros Inventario'!$B:$B)+SUMIFS(D$2:D4682,B$2:B4682,B4682,C$2:C4682,"ENTRADA")-SUMIFS(D$2:D4682,B$2:B4682,B4682,C$2:C4682,"SALIDA")</f>
        <v>21349.458000000006</v>
      </c>
    </row>
    <row r="4683" spans="1:5" x14ac:dyDescent="0.3">
      <c r="A4683" s="9">
        <f>'Volúmenes DIstribuidos '!B2841</f>
        <v>45702</v>
      </c>
      <c r="B4683" s="10" t="str">
        <f>IF(OR('Volúmenes DIstribuidos '!C2841="Azúcar",'Volúmenes DIstribuidos '!C2841="azúcar"),"Azúcar o dulce",IF('Volúmenes DIstribuidos '!C2841="Aceite","Aceite o grasas",IF('Volúmenes DIstribuidos '!C2841="Avena","Otros almidones",'Volúmenes DIstribuidos '!C2841)))</f>
        <v>Azúcar o dulce</v>
      </c>
      <c r="C4683" s="10" t="s">
        <v>29</v>
      </c>
      <c r="D4683" s="12">
        <f>'Volúmenes DIstribuidos '!D2841</f>
        <v>14.85</v>
      </c>
      <c r="E4683" s="12">
        <f>SUMIF('Parametros Inventario'!$A:$A,B4683,'Parametros Inventario'!$B:$B)+SUMIFS(D$2:D4683,B$2:B4683,B4683,C$2:C4683,"ENTRADA")-SUMIFS(D$2:D4683,B$2:B4683,B4683,C$2:C4683,"SALIDA")</f>
        <v>21412.086999999992</v>
      </c>
    </row>
    <row r="4684" spans="1:5" x14ac:dyDescent="0.3">
      <c r="A4684" s="9">
        <f>'Volúmenes DIstribuidos '!B2841</f>
        <v>45702</v>
      </c>
      <c r="B4684" s="10" t="str">
        <f>IF(OR('Volúmenes DIstribuidos '!C2842="Azúcar",'Volúmenes DIstribuidos '!C2842="azúcar"),"Azúcar o dulce",IF('Volúmenes DIstribuidos '!C2842="Aceite","Aceite o grasas",IF('Volúmenes DIstribuidos '!C2842="Avena","Otros almidones",'Volúmenes DIstribuidos '!C2842)))</f>
        <v>Salsas</v>
      </c>
      <c r="C4684" s="10" t="s">
        <v>29</v>
      </c>
      <c r="D4684" s="12">
        <f>'Volúmenes DIstribuidos '!D2842</f>
        <v>34.936999999999998</v>
      </c>
      <c r="E4684" s="12">
        <f>SUMIF('Parametros Inventario'!$A:$A,B4684,'Parametros Inventario'!$B:$B)+SUMIFS(D$2:D4684,B$2:B4684,B4684,C$2:C4684,"ENTRADA")-SUMIFS(D$2:D4684,B$2:B4684,B4684,C$2:C4684,"SALIDA")</f>
        <v>21502.060999999983</v>
      </c>
    </row>
    <row r="4685" spans="1:5" x14ac:dyDescent="0.3">
      <c r="A4685" s="9">
        <f>'Volúmenes DIstribuidos '!B2841</f>
        <v>45702</v>
      </c>
      <c r="B4685" s="10" t="str">
        <f>IF(OR('Volúmenes DIstribuidos '!C2843="Azúcar",'Volúmenes DIstribuidos '!C2843="azúcar"),"Azúcar o dulce",IF('Volúmenes DIstribuidos '!C2843="Aceite","Aceite o grasas",IF('Volúmenes DIstribuidos '!C2843="Avena","Otros almidones",'Volúmenes DIstribuidos '!C2843)))</f>
        <v>Lácteos</v>
      </c>
      <c r="C4685" s="10" t="s">
        <v>29</v>
      </c>
      <c r="D4685" s="12">
        <f>'Volúmenes DIstribuidos '!D2843</f>
        <v>21.55</v>
      </c>
      <c r="E4685" s="12">
        <f>SUMIF('Parametros Inventario'!$A:$A,B4685,'Parametros Inventario'!$B:$B)+SUMIFS(D$2:D4685,B$2:B4685,B4685,C$2:C4685,"ENTRADA")-SUMIFS(D$2:D4685,B$2:B4685,B4685,C$2:C4685,"SALIDA")</f>
        <v>21296.557000000001</v>
      </c>
    </row>
    <row r="4686" spans="1:5" x14ac:dyDescent="0.3">
      <c r="A4686" s="9">
        <f>'Volúmenes DIstribuidos '!B2841</f>
        <v>45702</v>
      </c>
      <c r="B4686" s="10" t="str">
        <f>IF(OR('Volúmenes DIstribuidos '!C2844="Azúcar",'Volúmenes DIstribuidos '!C2844="azúcar"),"Azúcar o dulce",IF('Volúmenes DIstribuidos '!C2844="Aceite","Aceite o grasas",IF('Volúmenes DIstribuidos '!C2844="Avena","Otros almidones",'Volúmenes DIstribuidos '!C2844)))</f>
        <v>Salsas</v>
      </c>
      <c r="C4686" s="10" t="s">
        <v>29</v>
      </c>
      <c r="D4686" s="12">
        <f>'Volúmenes DIstribuidos '!D2844</f>
        <v>29.23</v>
      </c>
      <c r="E4686" s="12">
        <f>SUMIF('Parametros Inventario'!$A:$A,B4686,'Parametros Inventario'!$B:$B)+SUMIFS(D$2:D4686,B$2:B4686,B4686,C$2:C4686,"ENTRADA")-SUMIFS(D$2:D4686,B$2:B4686,B4686,C$2:C4686,"SALIDA")</f>
        <v>21472.830999999984</v>
      </c>
    </row>
    <row r="4687" spans="1:5" x14ac:dyDescent="0.3">
      <c r="A4687" s="9">
        <f>'Volúmenes DIstribuidos '!B2841</f>
        <v>45702</v>
      </c>
      <c r="B4687" s="10" t="str">
        <f>IF(OR('Volúmenes DIstribuidos '!C2845="Azúcar",'Volúmenes DIstribuidos '!C2845="azúcar"),"Azúcar o dulce",IF('Volúmenes DIstribuidos '!C2845="Aceite","Aceite o grasas",IF('Volúmenes DIstribuidos '!C2845="Avena","Otros almidones",'Volúmenes DIstribuidos '!C2845)))</f>
        <v>Aceite o grasas</v>
      </c>
      <c r="C4687" s="10" t="s">
        <v>29</v>
      </c>
      <c r="D4687" s="12">
        <f>'Volúmenes DIstribuidos '!D2845</f>
        <v>6.4969999999999999</v>
      </c>
      <c r="E4687" s="12">
        <f>SUMIF('Parametros Inventario'!$A:$A,B4687,'Parametros Inventario'!$B:$B)+SUMIFS(D$2:D4687,B$2:B4687,B4687,C$2:C4687,"ENTRADA")-SUMIFS(D$2:D4687,B$2:B4687,B4687,C$2:C4687,"SALIDA")</f>
        <v>22057.152000000016</v>
      </c>
    </row>
    <row r="4688" spans="1:5" x14ac:dyDescent="0.3">
      <c r="A4688" s="9">
        <f>'Volúmenes DIstribuidos '!B2841</f>
        <v>45702</v>
      </c>
      <c r="B4688" s="10" t="str">
        <f>IF(OR('Volúmenes DIstribuidos '!C2846="Azúcar",'Volúmenes DIstribuidos '!C2846="azúcar"),"Azúcar o dulce",IF('Volúmenes DIstribuidos '!C2846="Aceite","Aceite o grasas",IF('Volúmenes DIstribuidos '!C2846="Avena","Otros almidones",'Volúmenes DIstribuidos '!C2846)))</f>
        <v>Carnes blancas</v>
      </c>
      <c r="C4688" s="10" t="s">
        <v>29</v>
      </c>
      <c r="D4688" s="12">
        <f>'Volúmenes DIstribuidos '!D2846</f>
        <v>9.1999999999999993</v>
      </c>
      <c r="E4688" s="12">
        <f>SUMIF('Parametros Inventario'!$A:$A,B4688,'Parametros Inventario'!$B:$B)+SUMIFS(D$2:D4688,B$2:B4688,B4688,C$2:C4688,"ENTRADA")-SUMIFS(D$2:D4688,B$2:B4688,B4688,C$2:C4688,"SALIDA")</f>
        <v>22431.844999999998</v>
      </c>
    </row>
    <row r="4689" spans="1:5" x14ac:dyDescent="0.3">
      <c r="A4689" s="9">
        <f>'Volúmenes DIstribuidos '!B2847</f>
        <v>45706</v>
      </c>
      <c r="B4689" s="10" t="str">
        <f>IF(OR('Volúmenes DIstribuidos '!C2847="Azúcar",'Volúmenes DIstribuidos '!C2847="azúcar"),"Azúcar o dulce",IF('Volúmenes DIstribuidos '!C2847="Aceite","Aceite o grasas",IF('Volúmenes DIstribuidos '!C2847="Avena","Otros almidones",'Volúmenes DIstribuidos '!C2847)))</f>
        <v>Salsas</v>
      </c>
      <c r="C4689" s="10" t="s">
        <v>29</v>
      </c>
      <c r="D4689" s="12">
        <f>'Volúmenes DIstribuidos '!D2847</f>
        <v>18.32</v>
      </c>
      <c r="E4689" s="12">
        <f>SUMIF('Parametros Inventario'!$A:$A,B4689,'Parametros Inventario'!$B:$B)+SUMIFS(D$2:D4689,B$2:B4689,B4689,C$2:C4689,"ENTRADA")-SUMIFS(D$2:D4689,B$2:B4689,B4689,C$2:C4689,"SALIDA")</f>
        <v>21454.510999999984</v>
      </c>
    </row>
    <row r="4690" spans="1:5" x14ac:dyDescent="0.3">
      <c r="A4690" s="9">
        <f>'Volúmenes DIstribuidos '!B2847</f>
        <v>45706</v>
      </c>
      <c r="B4690" s="10" t="str">
        <f>IF(OR('Volúmenes DIstribuidos '!C2848="Azúcar",'Volúmenes DIstribuidos '!C2848="azúcar"),"Azúcar o dulce",IF('Volúmenes DIstribuidos '!C2848="Aceite","Aceite o grasas",IF('Volúmenes DIstribuidos '!C2848="Avena","Otros almidones",'Volúmenes DIstribuidos '!C2848)))</f>
        <v>Azúcar o dulce</v>
      </c>
      <c r="C4690" s="10" t="s">
        <v>29</v>
      </c>
      <c r="D4690" s="12">
        <f>'Volúmenes DIstribuidos '!D2848</f>
        <v>8.15</v>
      </c>
      <c r="E4690" s="12">
        <f>SUMIF('Parametros Inventario'!$A:$A,B4690,'Parametros Inventario'!$B:$B)+SUMIFS(D$2:D4690,B$2:B4690,B4690,C$2:C4690,"ENTRADA")-SUMIFS(D$2:D4690,B$2:B4690,B4690,C$2:C4690,"SALIDA")</f>
        <v>21403.936999999991</v>
      </c>
    </row>
    <row r="4691" spans="1:5" x14ac:dyDescent="0.3">
      <c r="A4691" s="9">
        <f>'Volúmenes DIstribuidos '!B2847</f>
        <v>45706</v>
      </c>
      <c r="B4691" s="10" t="str">
        <f>IF(OR('Volúmenes DIstribuidos '!C2849="Azúcar",'Volúmenes DIstribuidos '!C2849="azúcar"),"Azúcar o dulce",IF('Volúmenes DIstribuidos '!C2849="Aceite","Aceite o grasas",IF('Volúmenes DIstribuidos '!C2849="Avena","Otros almidones",'Volúmenes DIstribuidos '!C2849)))</f>
        <v>Otros almidones</v>
      </c>
      <c r="C4691" s="10" t="s">
        <v>29</v>
      </c>
      <c r="D4691" s="12">
        <f>'Volúmenes DIstribuidos '!D2849</f>
        <v>13.52</v>
      </c>
      <c r="E4691" s="12">
        <f>SUMIF('Parametros Inventario'!$A:$A,B4691,'Parametros Inventario'!$B:$B)+SUMIFS(D$2:D4691,B$2:B4691,B4691,C$2:C4691,"ENTRADA")-SUMIFS(D$2:D4691,B$2:B4691,B4691,C$2:C4691,"SALIDA")</f>
        <v>24465.960999999996</v>
      </c>
    </row>
    <row r="4692" spans="1:5" x14ac:dyDescent="0.3">
      <c r="A4692" s="9">
        <f>'Volúmenes DIstribuidos '!B2847</f>
        <v>45706</v>
      </c>
      <c r="B4692" s="10" t="str">
        <f>IF(OR('Volúmenes DIstribuidos '!C2850="Azúcar",'Volúmenes DIstribuidos '!C2850="azúcar"),"Azúcar o dulce",IF('Volúmenes DIstribuidos '!C2850="Aceite","Aceite o grasas",IF('Volúmenes DIstribuidos '!C2850="Avena","Otros almidones",'Volúmenes DIstribuidos '!C2850)))</f>
        <v>Panadería</v>
      </c>
      <c r="C4692" s="10" t="s">
        <v>29</v>
      </c>
      <c r="D4692" s="12">
        <f>'Volúmenes DIstribuidos '!D2850</f>
        <v>15.471</v>
      </c>
      <c r="E4692" s="12">
        <f>SUMIF('Parametros Inventario'!$A:$A,B4692,'Parametros Inventario'!$B:$B)+SUMIFS(D$2:D4692,B$2:B4692,B4692,C$2:C4692,"ENTRADA")-SUMIFS(D$2:D4692,B$2:B4692,B4692,C$2:C4692,"SALIDA")</f>
        <v>20402.001999999993</v>
      </c>
    </row>
    <row r="4693" spans="1:5" x14ac:dyDescent="0.3">
      <c r="A4693" s="9">
        <f>'Volúmenes DIstribuidos '!B2847</f>
        <v>45706</v>
      </c>
      <c r="B4693" s="10" t="str">
        <f>IF(OR('Volúmenes DIstribuidos '!C2851="Azúcar",'Volúmenes DIstribuidos '!C2851="azúcar"),"Azúcar o dulce",IF('Volúmenes DIstribuidos '!C2851="Aceite","Aceite o grasas",IF('Volúmenes DIstribuidos '!C2851="Avena","Otros almidones",'Volúmenes DIstribuidos '!C2851)))</f>
        <v>Menestras</v>
      </c>
      <c r="C4693" s="10" t="s">
        <v>29</v>
      </c>
      <c r="D4693" s="12">
        <f>'Volúmenes DIstribuidos '!D2851</f>
        <v>17.79</v>
      </c>
      <c r="E4693" s="12">
        <f>SUMIF('Parametros Inventario'!$A:$A,B4693,'Parametros Inventario'!$B:$B)+SUMIFS(D$2:D4693,B$2:B4693,B4693,C$2:C4693,"ENTRADA")-SUMIFS(D$2:D4693,B$2:B4693,B4693,C$2:C4693,"SALIDA")</f>
        <v>22074.000999999989</v>
      </c>
    </row>
    <row r="4694" spans="1:5" x14ac:dyDescent="0.3">
      <c r="A4694" s="9">
        <f>'Volúmenes DIstribuidos '!B2847</f>
        <v>45706</v>
      </c>
      <c r="B4694" s="10" t="str">
        <f>IF(OR('Volúmenes DIstribuidos '!C2852="Azúcar",'Volúmenes DIstribuidos '!C2852="azúcar"),"Azúcar o dulce",IF('Volúmenes DIstribuidos '!C2852="Aceite","Aceite o grasas",IF('Volúmenes DIstribuidos '!C2852="Avena","Otros almidones",'Volúmenes DIstribuidos '!C2852)))</f>
        <v>Otros almidones</v>
      </c>
      <c r="C4694" s="10" t="s">
        <v>29</v>
      </c>
      <c r="D4694" s="12">
        <f>'Volúmenes DIstribuidos '!D2852</f>
        <v>16.29</v>
      </c>
      <c r="E4694" s="12">
        <f>SUMIF('Parametros Inventario'!$A:$A,B4694,'Parametros Inventario'!$B:$B)+SUMIFS(D$2:D4694,B$2:B4694,B4694,C$2:C4694,"ENTRADA")-SUMIFS(D$2:D4694,B$2:B4694,B4694,C$2:C4694,"SALIDA")</f>
        <v>24449.670999999995</v>
      </c>
    </row>
    <row r="4695" spans="1:5" x14ac:dyDescent="0.3">
      <c r="A4695" s="9">
        <v>45709</v>
      </c>
      <c r="B4695" s="10" t="s">
        <v>16</v>
      </c>
      <c r="C4695" s="10" t="s">
        <v>28</v>
      </c>
      <c r="D4695" s="12">
        <v>138.15</v>
      </c>
      <c r="E4695" s="12">
        <f>SUMIF('Parametros Inventario'!$A:$A,B4695,'Parametros Inventario'!$B:$B)+SUMIFS(D$2:D4695,B$2:B4695,B4695,C$2:C4695,"ENTRADA")-SUMIFS(D$2:D4695,B$2:B4695,B4695,C$2:C4695,"SALIDA")</f>
        <v>22569.994999999999</v>
      </c>
    </row>
    <row r="4696" spans="1:5" x14ac:dyDescent="0.3">
      <c r="A4696" s="9">
        <v>45709</v>
      </c>
      <c r="B4696" s="10" t="s">
        <v>17</v>
      </c>
      <c r="C4696" s="10" t="s">
        <v>28</v>
      </c>
      <c r="D4696" s="12">
        <v>173.55</v>
      </c>
      <c r="E4696" s="12">
        <f>SUMIF('Parametros Inventario'!$A:$A,B4696,'Parametros Inventario'!$B:$B)+SUMIFS(D$2:D4696,B$2:B4696,B4696,C$2:C4696,"ENTRADA")-SUMIFS(D$2:D4696,B$2:B4696,B4696,C$2:C4696,"SALIDA")</f>
        <v>21470.107000000004</v>
      </c>
    </row>
    <row r="4697" spans="1:5" x14ac:dyDescent="0.3">
      <c r="A4697" s="9">
        <v>45709</v>
      </c>
      <c r="B4697" s="10" t="s">
        <v>18</v>
      </c>
      <c r="C4697" s="10" t="s">
        <v>28</v>
      </c>
      <c r="D4697" s="12">
        <v>170.32</v>
      </c>
      <c r="E4697" s="12">
        <f>SUMIF('Parametros Inventario'!$A:$A,B4697,'Parametros Inventario'!$B:$B)+SUMIFS(D$2:D4697,B$2:B4697,B4697,C$2:C4697,"ENTRADA")-SUMIFS(D$2:D4697,B$2:B4697,B4697,C$2:C4697,"SALIDA")</f>
        <v>21624.830999999984</v>
      </c>
    </row>
    <row r="4698" spans="1:5" x14ac:dyDescent="0.3">
      <c r="A4698" s="9">
        <v>45709</v>
      </c>
      <c r="B4698" s="10" t="s">
        <v>10</v>
      </c>
      <c r="C4698" s="10" t="s">
        <v>28</v>
      </c>
      <c r="D4698" s="12">
        <v>293.20999999999998</v>
      </c>
      <c r="E4698" s="12">
        <f>SUMIF('Parametros Inventario'!$A:$A,B4698,'Parametros Inventario'!$B:$B)+SUMIFS(D$2:D4698,B$2:B4698,B4698,C$2:C4698,"ENTRADA")-SUMIFS(D$2:D4698,B$2:B4698,B4698,C$2:C4698,"SALIDA")</f>
        <v>23805.186000000005</v>
      </c>
    </row>
    <row r="4699" spans="1:5" x14ac:dyDescent="0.3">
      <c r="A4699" s="9">
        <v>45709</v>
      </c>
      <c r="B4699" s="10" t="s">
        <v>8</v>
      </c>
      <c r="C4699" s="10" t="s">
        <v>28</v>
      </c>
      <c r="D4699" s="12">
        <v>200.44</v>
      </c>
      <c r="E4699" s="12">
        <f>SUMIF('Parametros Inventario'!$A:$A,B4699,'Parametros Inventario'!$B:$B)+SUMIFS(D$2:D4699,B$2:B4699,B4699,C$2:C4699,"ENTRADA")-SUMIFS(D$2:D4699,B$2:B4699,B4699,C$2:C4699,"SALIDA")</f>
        <v>22257.592000000011</v>
      </c>
    </row>
    <row r="4700" spans="1:5" x14ac:dyDescent="0.3">
      <c r="A4700" s="9">
        <v>45709</v>
      </c>
      <c r="B4700" s="10" t="s">
        <v>13</v>
      </c>
      <c r="C4700" s="10" t="s">
        <v>28</v>
      </c>
      <c r="D4700" s="12">
        <v>209.15</v>
      </c>
      <c r="E4700" s="12">
        <f>SUMIF('Parametros Inventario'!$A:$A,B4700,'Parametros Inventario'!$B:$B)+SUMIFS(D$2:D4700,B$2:B4700,B4700,C$2:C4700,"ENTRADA")-SUMIFS(D$2:D4700,B$2:B4700,B4700,C$2:C4700,"SALIDA")</f>
        <v>21613.086999999992</v>
      </c>
    </row>
    <row r="4701" spans="1:5" x14ac:dyDescent="0.3">
      <c r="A4701" s="9">
        <f>'Volúmenes DIstribuidos '!B2853</f>
        <v>45709</v>
      </c>
      <c r="B4701" s="10" t="str">
        <f>IF(OR('Volúmenes DIstribuidos '!C2853="Azúcar",'Volúmenes DIstribuidos '!C2853="azúcar"),"Azúcar o dulce",IF('Volúmenes DIstribuidos '!C2853="Aceite","Aceite o grasas",IF('Volúmenes DIstribuidos '!C2853="Avena","Otros almidones",'Volúmenes DIstribuidos '!C2853)))</f>
        <v>Carnes blancas</v>
      </c>
      <c r="C4701" s="10" t="s">
        <v>29</v>
      </c>
      <c r="D4701" s="12">
        <f>'Volúmenes DIstribuidos '!D2853</f>
        <v>19.100000000000001</v>
      </c>
      <c r="E4701" s="12">
        <f>SUMIF('Parametros Inventario'!$A:$A,B4701,'Parametros Inventario'!$B:$B)+SUMIFS(D$2:D4701,B$2:B4701,B4701,C$2:C4701,"ENTRADA")-SUMIFS(D$2:D4701,B$2:B4701,B4701,C$2:C4701,"SALIDA")</f>
        <v>22550.894999999997</v>
      </c>
    </row>
    <row r="4702" spans="1:5" x14ac:dyDescent="0.3">
      <c r="A4702" s="9">
        <f>'Volúmenes DIstribuidos '!B2853</f>
        <v>45709</v>
      </c>
      <c r="B4702" s="10" t="str">
        <f>IF(OR('Volúmenes DIstribuidos '!C2854="Azúcar",'Volúmenes DIstribuidos '!C2854="azúcar"),"Azúcar o dulce",IF('Volúmenes DIstribuidos '!C2854="Aceite","Aceite o grasas",IF('Volúmenes DIstribuidos '!C2854="Avena","Otros almidones",'Volúmenes DIstribuidos '!C2854)))</f>
        <v>Azúcar o dulce</v>
      </c>
      <c r="C4702" s="10" t="s">
        <v>29</v>
      </c>
      <c r="D4702" s="12">
        <f>'Volúmenes DIstribuidos '!D2854</f>
        <v>38.322000000000003</v>
      </c>
      <c r="E4702" s="12">
        <f>SUMIF('Parametros Inventario'!$A:$A,B4702,'Parametros Inventario'!$B:$B)+SUMIFS(D$2:D4702,B$2:B4702,B4702,C$2:C4702,"ENTRADA")-SUMIFS(D$2:D4702,B$2:B4702,B4702,C$2:C4702,"SALIDA")</f>
        <v>21574.764999999992</v>
      </c>
    </row>
    <row r="4703" spans="1:5" x14ac:dyDescent="0.3">
      <c r="A4703" s="9">
        <f>'Volúmenes DIstribuidos '!B2853</f>
        <v>45709</v>
      </c>
      <c r="B4703" s="10" t="str">
        <f>IF(OR('Volúmenes DIstribuidos '!C2855="Azúcar",'Volúmenes DIstribuidos '!C2855="azúcar"),"Azúcar o dulce",IF('Volúmenes DIstribuidos '!C2855="Aceite","Aceite o grasas",IF('Volúmenes DIstribuidos '!C2855="Avena","Otros almidones",'Volúmenes DIstribuidos '!C2855)))</f>
        <v>Azúcar o dulce</v>
      </c>
      <c r="C4703" s="10" t="s">
        <v>29</v>
      </c>
      <c r="D4703" s="12">
        <f>'Volúmenes DIstribuidos '!D2855</f>
        <v>11.44</v>
      </c>
      <c r="E4703" s="12">
        <f>SUMIF('Parametros Inventario'!$A:$A,B4703,'Parametros Inventario'!$B:$B)+SUMIFS(D$2:D4703,B$2:B4703,B4703,C$2:C4703,"ENTRADA")-SUMIFS(D$2:D4703,B$2:B4703,B4703,C$2:C4703,"SALIDA")</f>
        <v>21563.32499999999</v>
      </c>
    </row>
    <row r="4704" spans="1:5" x14ac:dyDescent="0.3">
      <c r="A4704" s="9">
        <f>'Volúmenes DIstribuidos '!B2853</f>
        <v>45709</v>
      </c>
      <c r="B4704" s="10" t="str">
        <f>IF(OR('Volúmenes DIstribuidos '!C2856="Azúcar",'Volúmenes DIstribuidos '!C2856="azúcar"),"Azúcar o dulce",IF('Volúmenes DIstribuidos '!C2856="Aceite","Aceite o grasas",IF('Volúmenes DIstribuidos '!C2856="Avena","Otros almidones",'Volúmenes DIstribuidos '!C2856)))</f>
        <v>Salsas</v>
      </c>
      <c r="C4704" s="10" t="s">
        <v>29</v>
      </c>
      <c r="D4704" s="12">
        <f>'Volúmenes DIstribuidos '!D2856</f>
        <v>56.03</v>
      </c>
      <c r="E4704" s="12">
        <f>SUMIF('Parametros Inventario'!$A:$A,B4704,'Parametros Inventario'!$B:$B)+SUMIFS(D$2:D4704,B$2:B4704,B4704,C$2:C4704,"ENTRADA")-SUMIFS(D$2:D4704,B$2:B4704,B4704,C$2:C4704,"SALIDA")</f>
        <v>21568.800999999985</v>
      </c>
    </row>
    <row r="4705" spans="1:5" x14ac:dyDescent="0.3">
      <c r="A4705" s="9">
        <f>'Volúmenes DIstribuidos '!B2853</f>
        <v>45709</v>
      </c>
      <c r="B4705" s="10" t="str">
        <f>IF(OR('Volúmenes DIstribuidos '!C2857="Azúcar",'Volúmenes DIstribuidos '!C2857="azúcar"),"Azúcar o dulce",IF('Volúmenes DIstribuidos '!C2857="Aceite","Aceite o grasas",IF('Volúmenes DIstribuidos '!C2857="Avena","Otros almidones",'Volúmenes DIstribuidos '!C2857)))</f>
        <v>Otros almidones</v>
      </c>
      <c r="C4705" s="10" t="s">
        <v>29</v>
      </c>
      <c r="D4705" s="12">
        <f>'Volúmenes DIstribuidos '!D2857</f>
        <v>14.71</v>
      </c>
      <c r="E4705" s="12">
        <f>SUMIF('Parametros Inventario'!$A:$A,B4705,'Parametros Inventario'!$B:$B)+SUMIFS(D$2:D4705,B$2:B4705,B4705,C$2:C4705,"ENTRADA")-SUMIFS(D$2:D4705,B$2:B4705,B4705,C$2:C4705,"SALIDA")</f>
        <v>24434.960999999996</v>
      </c>
    </row>
    <row r="4706" spans="1:5" x14ac:dyDescent="0.3">
      <c r="A4706" s="9">
        <f>'Volúmenes DIstribuidos '!B2853</f>
        <v>45709</v>
      </c>
      <c r="B4706" s="10" t="str">
        <f>IF(OR('Volúmenes DIstribuidos '!C2858="Azúcar",'Volúmenes DIstribuidos '!C2858="azúcar"),"Azúcar o dulce",IF('Volúmenes DIstribuidos '!C2858="Aceite","Aceite o grasas",IF('Volúmenes DIstribuidos '!C2858="Avena","Otros almidones",'Volúmenes DIstribuidos '!C2858)))</f>
        <v>Carnes blancas</v>
      </c>
      <c r="C4706" s="10" t="s">
        <v>29</v>
      </c>
      <c r="D4706" s="12">
        <f>'Volúmenes DIstribuidos '!D2858</f>
        <v>57.56</v>
      </c>
      <c r="E4706" s="12">
        <f>SUMIF('Parametros Inventario'!$A:$A,B4706,'Parametros Inventario'!$B:$B)+SUMIFS(D$2:D4706,B$2:B4706,B4706,C$2:C4706,"ENTRADA")-SUMIFS(D$2:D4706,B$2:B4706,B4706,C$2:C4706,"SALIDA")</f>
        <v>22493.334999999999</v>
      </c>
    </row>
    <row r="4707" spans="1:5" x14ac:dyDescent="0.3">
      <c r="A4707" s="9">
        <f>'Volúmenes DIstribuidos '!B2859</f>
        <v>45713</v>
      </c>
      <c r="B4707" s="10" t="str">
        <f>IF(OR('Volúmenes DIstribuidos '!C2859="Azúcar",'Volúmenes DIstribuidos '!C2859="azúcar"),"Azúcar o dulce",IF('Volúmenes DIstribuidos '!C2859="Aceite","Aceite o grasas",IF('Volúmenes DIstribuidos '!C2859="Avena","Otros almidones",'Volúmenes DIstribuidos '!C2859)))</f>
        <v>Panadería</v>
      </c>
      <c r="C4707" s="10" t="s">
        <v>29</v>
      </c>
      <c r="D4707" s="12">
        <f>'Volúmenes DIstribuidos '!D2859</f>
        <v>7.7679999999999998</v>
      </c>
      <c r="E4707" s="12">
        <f>SUMIF('Parametros Inventario'!$A:$A,B4707,'Parametros Inventario'!$B:$B)+SUMIFS(D$2:D4707,B$2:B4707,B4707,C$2:C4707,"ENTRADA")-SUMIFS(D$2:D4707,B$2:B4707,B4707,C$2:C4707,"SALIDA")</f>
        <v>20394.233999999989</v>
      </c>
    </row>
    <row r="4708" spans="1:5" x14ac:dyDescent="0.3">
      <c r="A4708" s="9">
        <f>'Volúmenes DIstribuidos '!B2859</f>
        <v>45713</v>
      </c>
      <c r="B4708" s="10" t="str">
        <f>IF(OR('Volúmenes DIstribuidos '!C2860="Azúcar",'Volúmenes DIstribuidos '!C2860="azúcar"),"Azúcar o dulce",IF('Volúmenes DIstribuidos '!C2860="Aceite","Aceite o grasas",IF('Volúmenes DIstribuidos '!C2860="Avena","Otros almidones",'Volúmenes DIstribuidos '!C2860)))</f>
        <v>Panadería</v>
      </c>
      <c r="C4708" s="10" t="s">
        <v>29</v>
      </c>
      <c r="D4708" s="12">
        <f>'Volúmenes DIstribuidos '!D2860</f>
        <v>12.18</v>
      </c>
      <c r="E4708" s="12">
        <f>SUMIF('Parametros Inventario'!$A:$A,B4708,'Parametros Inventario'!$B:$B)+SUMIFS(D$2:D4708,B$2:B4708,B4708,C$2:C4708,"ENTRADA")-SUMIFS(D$2:D4708,B$2:B4708,B4708,C$2:C4708,"SALIDA")</f>
        <v>20382.053999999989</v>
      </c>
    </row>
    <row r="4709" spans="1:5" x14ac:dyDescent="0.3">
      <c r="A4709" s="9">
        <f>'Volúmenes DIstribuidos '!B2859</f>
        <v>45713</v>
      </c>
      <c r="B4709" s="10" t="str">
        <f>IF(OR('Volúmenes DIstribuidos '!C2861="Azúcar",'Volúmenes DIstribuidos '!C2861="azúcar"),"Azúcar o dulce",IF('Volúmenes DIstribuidos '!C2861="Aceite","Aceite o grasas",IF('Volúmenes DIstribuidos '!C2861="Avena","Otros almidones",'Volúmenes DIstribuidos '!C2861)))</f>
        <v>Menestras</v>
      </c>
      <c r="C4709" s="10" t="s">
        <v>29</v>
      </c>
      <c r="D4709" s="12">
        <f>'Volúmenes DIstribuidos '!D2861</f>
        <v>11.89</v>
      </c>
      <c r="E4709" s="12">
        <f>SUMIF('Parametros Inventario'!$A:$A,B4709,'Parametros Inventario'!$B:$B)+SUMIFS(D$2:D4709,B$2:B4709,B4709,C$2:C4709,"ENTRADA")-SUMIFS(D$2:D4709,B$2:B4709,B4709,C$2:C4709,"SALIDA")</f>
        <v>22062.110999999986</v>
      </c>
    </row>
    <row r="4710" spans="1:5" x14ac:dyDescent="0.3">
      <c r="A4710" s="9">
        <f>'Volúmenes DIstribuidos '!B2859</f>
        <v>45713</v>
      </c>
      <c r="B4710" s="10" t="str">
        <f>IF(OR('Volúmenes DIstribuidos '!C2862="Azúcar",'Volúmenes DIstribuidos '!C2862="azúcar"),"Azúcar o dulce",IF('Volúmenes DIstribuidos '!C2862="Aceite","Aceite o grasas",IF('Volúmenes DIstribuidos '!C2862="Avena","Otros almidones",'Volúmenes DIstribuidos '!C2862)))</f>
        <v>Vegetales y hojas</v>
      </c>
      <c r="C4710" s="10" t="s">
        <v>29</v>
      </c>
      <c r="D4710" s="12">
        <f>'Volúmenes DIstribuidos '!D2862</f>
        <v>19.100000000000001</v>
      </c>
      <c r="E4710" s="12">
        <f>SUMIF('Parametros Inventario'!$A:$A,B4710,'Parametros Inventario'!$B:$B)+SUMIFS(D$2:D4710,B$2:B4710,B4710,C$2:C4710,"ENTRADA")-SUMIFS(D$2:D4710,B$2:B4710,B4710,C$2:C4710,"SALIDA")</f>
        <v>23786.086000000003</v>
      </c>
    </row>
    <row r="4711" spans="1:5" x14ac:dyDescent="0.3">
      <c r="A4711" s="9">
        <f>'Volúmenes DIstribuidos '!B2859</f>
        <v>45713</v>
      </c>
      <c r="B4711" s="10" t="str">
        <f>IF(OR('Volúmenes DIstribuidos '!C2863="Azúcar",'Volúmenes DIstribuidos '!C2863="azúcar"),"Azúcar o dulce",IF('Volúmenes DIstribuidos '!C2863="Aceite","Aceite o grasas",IF('Volúmenes DIstribuidos '!C2863="Avena","Otros almidones",'Volúmenes DIstribuidos '!C2863)))</f>
        <v>Otros almidones</v>
      </c>
      <c r="C4711" s="10" t="s">
        <v>29</v>
      </c>
      <c r="D4711" s="12">
        <f>'Volúmenes DIstribuidos '!D2863</f>
        <v>16.95</v>
      </c>
      <c r="E4711" s="12">
        <f>SUMIF('Parametros Inventario'!$A:$A,B4711,'Parametros Inventario'!$B:$B)+SUMIFS(D$2:D4711,B$2:B4711,B4711,C$2:C4711,"ENTRADA")-SUMIFS(D$2:D4711,B$2:B4711,B4711,C$2:C4711,"SALIDA")</f>
        <v>24418.010999999995</v>
      </c>
    </row>
    <row r="4712" spans="1:5" x14ac:dyDescent="0.3">
      <c r="A4712" s="9">
        <f>'Volúmenes DIstribuidos '!B2859</f>
        <v>45713</v>
      </c>
      <c r="B4712" s="10" t="str">
        <f>IF(OR('Volúmenes DIstribuidos '!C2864="Azúcar",'Volúmenes DIstribuidos '!C2864="azúcar"),"Azúcar o dulce",IF('Volúmenes DIstribuidos '!C2864="Aceite","Aceite o grasas",IF('Volúmenes DIstribuidos '!C2864="Avena","Otros almidones",'Volúmenes DIstribuidos '!C2864)))</f>
        <v>Carnes blancas</v>
      </c>
      <c r="C4712" s="10" t="s">
        <v>29</v>
      </c>
      <c r="D4712" s="12">
        <f>'Volúmenes DIstribuidos '!D2864</f>
        <v>20.062999999999999</v>
      </c>
      <c r="E4712" s="12">
        <f>SUMIF('Parametros Inventario'!$A:$A,B4712,'Parametros Inventario'!$B:$B)+SUMIFS(D$2:D4712,B$2:B4712,B4712,C$2:C4712,"ENTRADA")-SUMIFS(D$2:D4712,B$2:B4712,B4712,C$2:C4712,"SALIDA")</f>
        <v>22473.271999999997</v>
      </c>
    </row>
    <row r="4713" spans="1:5" x14ac:dyDescent="0.3">
      <c r="A4713" s="9">
        <f>'Volúmenes DIstribuidos '!B2865</f>
        <v>45716</v>
      </c>
      <c r="B4713" s="10" t="str">
        <f>IF(OR('Volúmenes DIstribuidos '!C2865="Azúcar",'Volúmenes DIstribuidos '!C2865="azúcar"),"Azúcar o dulce",IF('Volúmenes DIstribuidos '!C2865="Aceite","Aceite o grasas",IF('Volúmenes DIstribuidos '!C2865="Avena","Otros almidones",'Volúmenes DIstribuidos '!C2865)))</f>
        <v>Panadería</v>
      </c>
      <c r="C4713" s="10" t="s">
        <v>29</v>
      </c>
      <c r="D4713" s="12">
        <f>'Volúmenes DIstribuidos '!D2865</f>
        <v>10.8</v>
      </c>
      <c r="E4713" s="12">
        <f>SUMIF('Parametros Inventario'!$A:$A,B4713,'Parametros Inventario'!$B:$B)+SUMIFS(D$2:D4713,B$2:B4713,B4713,C$2:C4713,"ENTRADA")-SUMIFS(D$2:D4713,B$2:B4713,B4713,C$2:C4713,"SALIDA")</f>
        <v>20371.253999999994</v>
      </c>
    </row>
    <row r="4714" spans="1:5" x14ac:dyDescent="0.3">
      <c r="A4714" s="9">
        <f>'Volúmenes DIstribuidos '!B2865</f>
        <v>45716</v>
      </c>
      <c r="B4714" s="10" t="str">
        <f>IF(OR('Volúmenes DIstribuidos '!C2866="Azúcar",'Volúmenes DIstribuidos '!C2866="azúcar"),"Azúcar o dulce",IF('Volúmenes DIstribuidos '!C2866="Aceite","Aceite o grasas",IF('Volúmenes DIstribuidos '!C2866="Avena","Otros almidones",'Volúmenes DIstribuidos '!C2866)))</f>
        <v>Carnes blancas</v>
      </c>
      <c r="C4714" s="10" t="s">
        <v>29</v>
      </c>
      <c r="D4714" s="12">
        <f>'Volúmenes DIstribuidos '!D2866</f>
        <v>6.73</v>
      </c>
      <c r="E4714" s="12">
        <f>SUMIF('Parametros Inventario'!$A:$A,B4714,'Parametros Inventario'!$B:$B)+SUMIFS(D$2:D4714,B$2:B4714,B4714,C$2:C4714,"ENTRADA")-SUMIFS(D$2:D4714,B$2:B4714,B4714,C$2:C4714,"SALIDA")</f>
        <v>22466.541999999998</v>
      </c>
    </row>
    <row r="4715" spans="1:5" x14ac:dyDescent="0.3">
      <c r="A4715" s="9">
        <f>'Volúmenes DIstribuidos '!B2865</f>
        <v>45716</v>
      </c>
      <c r="B4715" s="10" t="str">
        <f>IF(OR('Volúmenes DIstribuidos '!C2867="Azúcar",'Volúmenes DIstribuidos '!C2867="azúcar"),"Azúcar o dulce",IF('Volúmenes DIstribuidos '!C2867="Aceite","Aceite o grasas",IF('Volúmenes DIstribuidos '!C2867="Avena","Otros almidones",'Volúmenes DIstribuidos '!C2867)))</f>
        <v>Aceite o grasas</v>
      </c>
      <c r="C4715" s="10" t="s">
        <v>29</v>
      </c>
      <c r="D4715" s="12">
        <f>'Volúmenes DIstribuidos '!D2867</f>
        <v>4.74</v>
      </c>
      <c r="E4715" s="12">
        <f>SUMIF('Parametros Inventario'!$A:$A,B4715,'Parametros Inventario'!$B:$B)+SUMIFS(D$2:D4715,B$2:B4715,B4715,C$2:C4715,"ENTRADA")-SUMIFS(D$2:D4715,B$2:B4715,B4715,C$2:C4715,"SALIDA")</f>
        <v>22252.852000000014</v>
      </c>
    </row>
    <row r="4716" spans="1:5" x14ac:dyDescent="0.3">
      <c r="A4716" s="9">
        <f>'Volúmenes DIstribuidos '!B2865</f>
        <v>45716</v>
      </c>
      <c r="B4716" s="10" t="str">
        <f>IF(OR('Volúmenes DIstribuidos '!C2868="Azúcar",'Volúmenes DIstribuidos '!C2868="azúcar"),"Azúcar o dulce",IF('Volúmenes DIstribuidos '!C2868="Aceite","Aceite o grasas",IF('Volúmenes DIstribuidos '!C2868="Avena","Otros almidones",'Volúmenes DIstribuidos '!C2868)))</f>
        <v>Carnes rojas</v>
      </c>
      <c r="C4716" s="10" t="s">
        <v>29</v>
      </c>
      <c r="D4716" s="12">
        <f>'Volúmenes DIstribuidos '!D2868</f>
        <v>8.6609999999999996</v>
      </c>
      <c r="E4716" s="12">
        <f>SUMIF('Parametros Inventario'!$A:$A,B4716,'Parametros Inventario'!$B:$B)+SUMIFS(D$2:D4716,B$2:B4716,B4716,C$2:C4716,"ENTRADA")-SUMIFS(D$2:D4716,B$2:B4716,B4716,C$2:C4716,"SALIDA")</f>
        <v>21340.797000000006</v>
      </c>
    </row>
    <row r="4717" spans="1:5" x14ac:dyDescent="0.3">
      <c r="A4717" s="9">
        <f>'Volúmenes DIstribuidos '!B2865</f>
        <v>45716</v>
      </c>
      <c r="B4717" s="10" t="str">
        <f>IF(OR('Volúmenes DIstribuidos '!C2869="Azúcar",'Volúmenes DIstribuidos '!C2869="azúcar"),"Azúcar o dulce",IF('Volúmenes DIstribuidos '!C2869="Aceite","Aceite o grasas",IF('Volúmenes DIstribuidos '!C2869="Avena","Otros almidones",'Volúmenes DIstribuidos '!C2869)))</f>
        <v>Carnes rojas</v>
      </c>
      <c r="C4717" s="10" t="s">
        <v>29</v>
      </c>
      <c r="D4717" s="12">
        <f>'Volúmenes DIstribuidos '!D2869</f>
        <v>7.82</v>
      </c>
      <c r="E4717" s="12">
        <f>SUMIF('Parametros Inventario'!$A:$A,B4717,'Parametros Inventario'!$B:$B)+SUMIFS(D$2:D4717,B$2:B4717,B4717,C$2:C4717,"ENTRADA")-SUMIFS(D$2:D4717,B$2:B4717,B4717,C$2:C4717,"SALIDA")</f>
        <v>21332.977000000006</v>
      </c>
    </row>
    <row r="4718" spans="1:5" x14ac:dyDescent="0.3">
      <c r="A4718" s="9">
        <f>'Volúmenes DIstribuidos '!B2865</f>
        <v>45716</v>
      </c>
      <c r="B4718" s="10" t="str">
        <f>IF(OR('Volúmenes DIstribuidos '!C2870="Azúcar",'Volúmenes DIstribuidos '!C2870="azúcar"),"Azúcar o dulce",IF('Volúmenes DIstribuidos '!C2870="Aceite","Aceite o grasas",IF('Volúmenes DIstribuidos '!C2870="Avena","Otros almidones",'Volúmenes DIstribuidos '!C2870)))</f>
        <v>Vegetales y hojas</v>
      </c>
      <c r="C4718" s="10" t="s">
        <v>29</v>
      </c>
      <c r="D4718" s="12">
        <f>'Volúmenes DIstribuidos '!D2870</f>
        <v>10.75</v>
      </c>
      <c r="E4718" s="12">
        <f>SUMIF('Parametros Inventario'!$A:$A,B4718,'Parametros Inventario'!$B:$B)+SUMIFS(D$2:D4718,B$2:B4718,B4718,C$2:C4718,"ENTRADA")-SUMIFS(D$2:D4718,B$2:B4718,B4718,C$2:C4718,"SALIDA")</f>
        <v>23775.336000000003</v>
      </c>
    </row>
    <row r="4719" spans="1:5" x14ac:dyDescent="0.3">
      <c r="A4719" s="9">
        <f>'Volúmenes DIstribuidos '!B2871</f>
        <v>45720</v>
      </c>
      <c r="B4719" s="10" t="str">
        <f>IF(OR('Volúmenes DIstribuidos '!C2871="Azúcar",'Volúmenes DIstribuidos '!C2871="azúcar"),"Azúcar o dulce",IF('Volúmenes DIstribuidos '!C2871="Aceite","Aceite o grasas",IF('Volúmenes DIstribuidos '!C2871="Avena","Otros almidones",'Volúmenes DIstribuidos '!C2871)))</f>
        <v>Aceite o grasas</v>
      </c>
      <c r="C4719" s="10" t="s">
        <v>29</v>
      </c>
      <c r="D4719" s="12">
        <f>'Volúmenes DIstribuidos '!D2871</f>
        <v>25.49</v>
      </c>
      <c r="E4719" s="12">
        <f>SUMIF('Parametros Inventario'!$A:$A,B4719,'Parametros Inventario'!$B:$B)+SUMIFS(D$2:D4719,B$2:B4719,B4719,C$2:C4719,"ENTRADA")-SUMIFS(D$2:D4719,B$2:B4719,B4719,C$2:C4719,"SALIDA")</f>
        <v>22227.362000000016</v>
      </c>
    </row>
    <row r="4720" spans="1:5" x14ac:dyDescent="0.3">
      <c r="A4720" s="9">
        <f>'Volúmenes DIstribuidos '!B2871</f>
        <v>45720</v>
      </c>
      <c r="B4720" s="10" t="str">
        <f>IF(OR('Volúmenes DIstribuidos '!C2872="Azúcar",'Volúmenes DIstribuidos '!C2872="azúcar"),"Azúcar o dulce",IF('Volúmenes DIstribuidos '!C2872="Aceite","Aceite o grasas",IF('Volúmenes DIstribuidos '!C2872="Avena","Otros almidones",'Volúmenes DIstribuidos '!C2872)))</f>
        <v>Otros almidones</v>
      </c>
      <c r="C4720" s="10" t="s">
        <v>29</v>
      </c>
      <c r="D4720" s="12">
        <f>'Volúmenes DIstribuidos '!D2872</f>
        <v>14.04</v>
      </c>
      <c r="E4720" s="12">
        <f>SUMIF('Parametros Inventario'!$A:$A,B4720,'Parametros Inventario'!$B:$B)+SUMIFS(D$2:D4720,B$2:B4720,B4720,C$2:C4720,"ENTRADA")-SUMIFS(D$2:D4720,B$2:B4720,B4720,C$2:C4720,"SALIDA")</f>
        <v>24403.970999999994</v>
      </c>
    </row>
    <row r="4721" spans="1:5" x14ac:dyDescent="0.3">
      <c r="A4721" s="9">
        <f>'Volúmenes DIstribuidos '!B2871</f>
        <v>45720</v>
      </c>
      <c r="B4721" s="10" t="str">
        <f>IF(OR('Volúmenes DIstribuidos '!C2873="Azúcar",'Volúmenes DIstribuidos '!C2873="azúcar"),"Azúcar o dulce",IF('Volúmenes DIstribuidos '!C2873="Aceite","Aceite o grasas",IF('Volúmenes DIstribuidos '!C2873="Avena","Otros almidones",'Volúmenes DIstribuidos '!C2873)))</f>
        <v>Panadería</v>
      </c>
      <c r="C4721" s="10" t="s">
        <v>29</v>
      </c>
      <c r="D4721" s="12">
        <f>'Volúmenes DIstribuidos '!D2873</f>
        <v>8.9700000000000006</v>
      </c>
      <c r="E4721" s="12">
        <f>SUMIF('Parametros Inventario'!$A:$A,B4721,'Parametros Inventario'!$B:$B)+SUMIFS(D$2:D4721,B$2:B4721,B4721,C$2:C4721,"ENTRADA")-SUMIFS(D$2:D4721,B$2:B4721,B4721,C$2:C4721,"SALIDA")</f>
        <v>20362.283999999992</v>
      </c>
    </row>
    <row r="4722" spans="1:5" x14ac:dyDescent="0.3">
      <c r="A4722" s="9">
        <f>'Volúmenes DIstribuidos '!B2871</f>
        <v>45720</v>
      </c>
      <c r="B4722" s="10" t="str">
        <f>IF(OR('Volúmenes DIstribuidos '!C2874="Azúcar",'Volúmenes DIstribuidos '!C2874="azúcar"),"Azúcar o dulce",IF('Volúmenes DIstribuidos '!C2874="Aceite","Aceite o grasas",IF('Volúmenes DIstribuidos '!C2874="Avena","Otros almidones",'Volúmenes DIstribuidos '!C2874)))</f>
        <v>Carnes blancas</v>
      </c>
      <c r="C4722" s="10" t="s">
        <v>29</v>
      </c>
      <c r="D4722" s="12">
        <f>'Volúmenes DIstribuidos '!D2874</f>
        <v>19.126000000000001</v>
      </c>
      <c r="E4722" s="12">
        <f>SUMIF('Parametros Inventario'!$A:$A,B4722,'Parametros Inventario'!$B:$B)+SUMIFS(D$2:D4722,B$2:B4722,B4722,C$2:C4722,"ENTRADA")-SUMIFS(D$2:D4722,B$2:B4722,B4722,C$2:C4722,"SALIDA")</f>
        <v>22447.415999999997</v>
      </c>
    </row>
    <row r="4723" spans="1:5" x14ac:dyDescent="0.3">
      <c r="A4723" s="9">
        <f>'Volúmenes DIstribuidos '!B2871</f>
        <v>45720</v>
      </c>
      <c r="B4723" s="10" t="str">
        <f>IF(OR('Volúmenes DIstribuidos '!C2875="Azúcar",'Volúmenes DIstribuidos '!C2875="azúcar"),"Azúcar o dulce",IF('Volúmenes DIstribuidos '!C2875="Aceite","Aceite o grasas",IF('Volúmenes DIstribuidos '!C2875="Avena","Otros almidones",'Volúmenes DIstribuidos '!C2875)))</f>
        <v>Aceite o grasas</v>
      </c>
      <c r="C4723" s="10" t="s">
        <v>29</v>
      </c>
      <c r="D4723" s="12">
        <f>'Volúmenes DIstribuidos '!D2875</f>
        <v>10.79</v>
      </c>
      <c r="E4723" s="12">
        <f>SUMIF('Parametros Inventario'!$A:$A,B4723,'Parametros Inventario'!$B:$B)+SUMIFS(D$2:D4723,B$2:B4723,B4723,C$2:C4723,"ENTRADA")-SUMIFS(D$2:D4723,B$2:B4723,B4723,C$2:C4723,"SALIDA")</f>
        <v>22216.572000000015</v>
      </c>
    </row>
    <row r="4724" spans="1:5" x14ac:dyDescent="0.3">
      <c r="A4724" s="9">
        <f>'Volúmenes DIstribuidos '!B2871</f>
        <v>45720</v>
      </c>
      <c r="B4724" s="10" t="str">
        <f>IF(OR('Volúmenes DIstribuidos '!C2876="Azúcar",'Volúmenes DIstribuidos '!C2876="azúcar"),"Azúcar o dulce",IF('Volúmenes DIstribuidos '!C2876="Aceite","Aceite o grasas",IF('Volúmenes DIstribuidos '!C2876="Avena","Otros almidones",'Volúmenes DIstribuidos '!C2876)))</f>
        <v>Panadería</v>
      </c>
      <c r="C4724" s="10" t="s">
        <v>29</v>
      </c>
      <c r="D4724" s="12">
        <f>'Volúmenes DIstribuidos '!D2876</f>
        <v>13.28</v>
      </c>
      <c r="E4724" s="12">
        <f>SUMIF('Parametros Inventario'!$A:$A,B4724,'Parametros Inventario'!$B:$B)+SUMIFS(D$2:D4724,B$2:B4724,B4724,C$2:C4724,"ENTRADA")-SUMIFS(D$2:D4724,B$2:B4724,B4724,C$2:C4724,"SALIDA")</f>
        <v>20349.003999999994</v>
      </c>
    </row>
    <row r="4725" spans="1:5" x14ac:dyDescent="0.3">
      <c r="A4725" s="9">
        <v>45723</v>
      </c>
      <c r="B4725" s="10" t="s">
        <v>15</v>
      </c>
      <c r="C4725" s="10" t="s">
        <v>28</v>
      </c>
      <c r="D4725" s="12">
        <v>84.56</v>
      </c>
      <c r="E4725" s="12">
        <f>SUMIF('Parametros Inventario'!$A:$A,B4725,'Parametros Inventario'!$B:$B)+SUMIFS(D$2:D4725,B$2:B4725,B4725,C$2:C4725,"ENTRADA")-SUMIFS(D$2:D4725,B$2:B4725,B4725,C$2:C4725,"SALIDA")</f>
        <v>24488.530999999995</v>
      </c>
    </row>
    <row r="4726" spans="1:5" x14ac:dyDescent="0.3">
      <c r="A4726" s="9">
        <v>45723</v>
      </c>
      <c r="B4726" s="10" t="s">
        <v>11</v>
      </c>
      <c r="C4726" s="10" t="s">
        <v>28</v>
      </c>
      <c r="D4726" s="12">
        <v>286.01</v>
      </c>
      <c r="E4726" s="12">
        <f>SUMIF('Parametros Inventario'!$A:$A,B4726,'Parametros Inventario'!$B:$B)+SUMIFS(D$2:D4726,B$2:B4726,B4726,C$2:C4726,"ENTRADA")-SUMIFS(D$2:D4726,B$2:B4726,B4726,C$2:C4726,"SALIDA")</f>
        <v>25160.865000000005</v>
      </c>
    </row>
    <row r="4727" spans="1:5" x14ac:dyDescent="0.3">
      <c r="A4727" s="9">
        <v>45723</v>
      </c>
      <c r="B4727" s="10" t="s">
        <v>9</v>
      </c>
      <c r="C4727" s="10" t="s">
        <v>28</v>
      </c>
      <c r="D4727" s="12">
        <v>280.39999999999998</v>
      </c>
      <c r="E4727" s="12">
        <f>SUMIF('Parametros Inventario'!$A:$A,B4727,'Parametros Inventario'!$B:$B)+SUMIFS(D$2:D4727,B$2:B4727,B4727,C$2:C4727,"ENTRADA")-SUMIFS(D$2:D4727,B$2:B4727,B4727,C$2:C4727,"SALIDA")</f>
        <v>20629.403999999995</v>
      </c>
    </row>
    <row r="4728" spans="1:5" x14ac:dyDescent="0.3">
      <c r="A4728" s="9">
        <v>45723</v>
      </c>
      <c r="B4728" s="10" t="s">
        <v>14</v>
      </c>
      <c r="C4728" s="10" t="s">
        <v>28</v>
      </c>
      <c r="D4728" s="12">
        <v>145.80000000000001</v>
      </c>
      <c r="E4728" s="12">
        <f>SUMIF('Parametros Inventario'!$A:$A,B4728,'Parametros Inventario'!$B:$B)+SUMIFS(D$2:D4728,B$2:B4728,B4728,C$2:C4728,"ENTRADA")-SUMIFS(D$2:D4728,B$2:B4728,B4728,C$2:C4728,"SALIDA")</f>
        <v>22207.910999999986</v>
      </c>
    </row>
    <row r="4729" spans="1:5" x14ac:dyDescent="0.3">
      <c r="A4729" s="9">
        <v>45723</v>
      </c>
      <c r="B4729" s="10" t="s">
        <v>12</v>
      </c>
      <c r="C4729" s="10" t="s">
        <v>28</v>
      </c>
      <c r="D4729" s="12">
        <v>187.33</v>
      </c>
      <c r="E4729" s="12">
        <f>SUMIF('Parametros Inventario'!$A:$A,B4729,'Parametros Inventario'!$B:$B)+SUMIFS(D$2:D4729,B$2:B4729,B4729,C$2:C4729,"ENTRADA")-SUMIFS(D$2:D4729,B$2:B4729,B4729,C$2:C4729,"SALIDA")</f>
        <v>21520.307000000008</v>
      </c>
    </row>
    <row r="4730" spans="1:5" x14ac:dyDescent="0.3">
      <c r="A4730" s="9">
        <v>45723</v>
      </c>
      <c r="B4730" s="10" t="s">
        <v>16</v>
      </c>
      <c r="C4730" s="10" t="s">
        <v>28</v>
      </c>
      <c r="D4730" s="12">
        <v>184.69</v>
      </c>
      <c r="E4730" s="12">
        <f>SUMIF('Parametros Inventario'!$A:$A,B4730,'Parametros Inventario'!$B:$B)+SUMIFS(D$2:D4730,B$2:B4730,B4730,C$2:C4730,"ENTRADA")-SUMIFS(D$2:D4730,B$2:B4730,B4730,C$2:C4730,"SALIDA")</f>
        <v>22632.105999999996</v>
      </c>
    </row>
    <row r="4731" spans="1:5" x14ac:dyDescent="0.3">
      <c r="A4731" s="9">
        <v>45723</v>
      </c>
      <c r="B4731" s="10" t="s">
        <v>17</v>
      </c>
      <c r="C4731" s="10" t="s">
        <v>28</v>
      </c>
      <c r="D4731" s="12">
        <v>173.15</v>
      </c>
      <c r="E4731" s="12">
        <f>SUMIF('Parametros Inventario'!$A:$A,B4731,'Parametros Inventario'!$B:$B)+SUMIFS(D$2:D4731,B$2:B4731,B4731,C$2:C4731,"ENTRADA")-SUMIFS(D$2:D4731,B$2:B4731,B4731,C$2:C4731,"SALIDA")</f>
        <v>21643.257000000005</v>
      </c>
    </row>
    <row r="4732" spans="1:5" x14ac:dyDescent="0.3">
      <c r="A4732" s="9">
        <v>45723</v>
      </c>
      <c r="B4732" s="10" t="s">
        <v>18</v>
      </c>
      <c r="C4732" s="10" t="s">
        <v>28</v>
      </c>
      <c r="D4732" s="12">
        <v>184.05</v>
      </c>
      <c r="E4732" s="12">
        <f>SUMIF('Parametros Inventario'!$A:$A,B4732,'Parametros Inventario'!$B:$B)+SUMIFS(D$2:D4732,B$2:B4732,B4732,C$2:C4732,"ENTRADA")-SUMIFS(D$2:D4732,B$2:B4732,B4732,C$2:C4732,"SALIDA")</f>
        <v>21752.850999999984</v>
      </c>
    </row>
    <row r="4733" spans="1:5" x14ac:dyDescent="0.3">
      <c r="A4733" s="9">
        <v>45723</v>
      </c>
      <c r="B4733" s="10" t="s">
        <v>10</v>
      </c>
      <c r="C4733" s="10" t="s">
        <v>28</v>
      </c>
      <c r="D4733" s="12">
        <v>107.53</v>
      </c>
      <c r="E4733" s="12">
        <f>SUMIF('Parametros Inventario'!$A:$A,B4733,'Parametros Inventario'!$B:$B)+SUMIFS(D$2:D4733,B$2:B4733,B4733,C$2:C4733,"ENTRADA")-SUMIFS(D$2:D4733,B$2:B4733,B4733,C$2:C4733,"SALIDA")</f>
        <v>23882.866000000002</v>
      </c>
    </row>
    <row r="4734" spans="1:5" x14ac:dyDescent="0.3">
      <c r="A4734" s="9">
        <v>45723</v>
      </c>
      <c r="B4734" s="10" t="s">
        <v>8</v>
      </c>
      <c r="C4734" s="10" t="s">
        <v>28</v>
      </c>
      <c r="D4734" s="12">
        <v>70.900000000000006</v>
      </c>
      <c r="E4734" s="12">
        <f>SUMIF('Parametros Inventario'!$A:$A,B4734,'Parametros Inventario'!$B:$B)+SUMIFS(D$2:D4734,B$2:B4734,B4734,C$2:C4734,"ENTRADA")-SUMIFS(D$2:D4734,B$2:B4734,B4734,C$2:C4734,"SALIDA")</f>
        <v>22287.472000000016</v>
      </c>
    </row>
    <row r="4735" spans="1:5" x14ac:dyDescent="0.3">
      <c r="A4735" s="9">
        <f>'Volúmenes DIstribuidos '!B2877</f>
        <v>45723</v>
      </c>
      <c r="B4735" s="10" t="str">
        <f>IF(OR('Volúmenes DIstribuidos '!C2877="Azúcar",'Volúmenes DIstribuidos '!C2877="azúcar"),"Azúcar o dulce",IF('Volúmenes DIstribuidos '!C2877="Aceite","Aceite o grasas",IF('Volúmenes DIstribuidos '!C2877="Avena","Otros almidones",'Volúmenes DIstribuidos '!C2877)))</f>
        <v>Lácteos</v>
      </c>
      <c r="C4735" s="10" t="s">
        <v>29</v>
      </c>
      <c r="D4735" s="12">
        <f>'Volúmenes DIstribuidos '!D2877</f>
        <v>21.535</v>
      </c>
      <c r="E4735" s="12">
        <f>SUMIF('Parametros Inventario'!$A:$A,B4735,'Parametros Inventario'!$B:$B)+SUMIFS(D$2:D4735,B$2:B4735,B4735,C$2:C4735,"ENTRADA")-SUMIFS(D$2:D4735,B$2:B4735,B4735,C$2:C4735,"SALIDA")</f>
        <v>21621.722000000002</v>
      </c>
    </row>
    <row r="4736" spans="1:5" x14ac:dyDescent="0.3">
      <c r="A4736" s="9">
        <f>'Volúmenes DIstribuidos '!B2877</f>
        <v>45723</v>
      </c>
      <c r="B4736" s="10" t="str">
        <f>IF(OR('Volúmenes DIstribuidos '!C2878="Azúcar",'Volúmenes DIstribuidos '!C2878="azúcar"),"Azúcar o dulce",IF('Volúmenes DIstribuidos '!C2878="Aceite","Aceite o grasas",IF('Volúmenes DIstribuidos '!C2878="Avena","Otros almidones",'Volúmenes DIstribuidos '!C2878)))</f>
        <v>Fideo</v>
      </c>
      <c r="C4736" s="10" t="s">
        <v>29</v>
      </c>
      <c r="D4736" s="12">
        <f>'Volúmenes DIstribuidos '!D2878</f>
        <v>13.02</v>
      </c>
      <c r="E4736" s="12">
        <f>SUMIF('Parametros Inventario'!$A:$A,B4736,'Parametros Inventario'!$B:$B)+SUMIFS(D$2:D4736,B$2:B4736,B4736,C$2:C4736,"ENTRADA")-SUMIFS(D$2:D4736,B$2:B4736,B4736,C$2:C4736,"SALIDA")</f>
        <v>25147.845000000005</v>
      </c>
    </row>
    <row r="4737" spans="1:5" x14ac:dyDescent="0.3">
      <c r="A4737" s="9">
        <f>'Volúmenes DIstribuidos '!B2877</f>
        <v>45723</v>
      </c>
      <c r="B4737" s="10" t="str">
        <f>IF(OR('Volúmenes DIstribuidos '!C2879="Azúcar",'Volúmenes DIstribuidos '!C2879="azúcar"),"Azúcar o dulce",IF('Volúmenes DIstribuidos '!C2879="Aceite","Aceite o grasas",IF('Volúmenes DIstribuidos '!C2879="Avena","Otros almidones",'Volúmenes DIstribuidos '!C2879)))</f>
        <v>Otros almidones</v>
      </c>
      <c r="C4737" s="10" t="s">
        <v>29</v>
      </c>
      <c r="D4737" s="12">
        <f>'Volúmenes DIstribuidos '!D2879</f>
        <v>18.940000000000001</v>
      </c>
      <c r="E4737" s="12">
        <f>SUMIF('Parametros Inventario'!$A:$A,B4737,'Parametros Inventario'!$B:$B)+SUMIFS(D$2:D4737,B$2:B4737,B4737,C$2:C4737,"ENTRADA")-SUMIFS(D$2:D4737,B$2:B4737,B4737,C$2:C4737,"SALIDA")</f>
        <v>24469.590999999997</v>
      </c>
    </row>
    <row r="4738" spans="1:5" x14ac:dyDescent="0.3">
      <c r="A4738" s="9">
        <f>'Volúmenes DIstribuidos '!B2877</f>
        <v>45723</v>
      </c>
      <c r="B4738" s="10" t="str">
        <f>IF(OR('Volúmenes DIstribuidos '!C2880="Azúcar",'Volúmenes DIstribuidos '!C2880="azúcar"),"Azúcar o dulce",IF('Volúmenes DIstribuidos '!C2880="Aceite","Aceite o grasas",IF('Volúmenes DIstribuidos '!C2880="Avena","Otros almidones",'Volúmenes DIstribuidos '!C2880)))</f>
        <v>Panadería</v>
      </c>
      <c r="C4738" s="10" t="s">
        <v>29</v>
      </c>
      <c r="D4738" s="12">
        <f>'Volúmenes DIstribuidos '!D2880</f>
        <v>11.311</v>
      </c>
      <c r="E4738" s="12">
        <f>SUMIF('Parametros Inventario'!$A:$A,B4738,'Parametros Inventario'!$B:$B)+SUMIFS(D$2:D4738,B$2:B4738,B4738,C$2:C4738,"ENTRADA")-SUMIFS(D$2:D4738,B$2:B4738,B4738,C$2:C4738,"SALIDA")</f>
        <v>20618.092999999993</v>
      </c>
    </row>
    <row r="4739" spans="1:5" x14ac:dyDescent="0.3">
      <c r="A4739" s="9">
        <f>'Volúmenes DIstribuidos '!B2877</f>
        <v>45723</v>
      </c>
      <c r="B4739" s="10" t="str">
        <f>IF(OR('Volúmenes DIstribuidos '!C2881="Azúcar",'Volúmenes DIstribuidos '!C2881="azúcar"),"Azúcar o dulce",IF('Volúmenes DIstribuidos '!C2881="Aceite","Aceite o grasas",IF('Volúmenes DIstribuidos '!C2881="Avena","Otros almidones",'Volúmenes DIstribuidos '!C2881)))</f>
        <v>Lácteos</v>
      </c>
      <c r="C4739" s="10" t="s">
        <v>29</v>
      </c>
      <c r="D4739" s="12">
        <f>'Volúmenes DIstribuidos '!D2881</f>
        <v>13.33</v>
      </c>
      <c r="E4739" s="12">
        <f>SUMIF('Parametros Inventario'!$A:$A,B4739,'Parametros Inventario'!$B:$B)+SUMIFS(D$2:D4739,B$2:B4739,B4739,C$2:C4739,"ENTRADA")-SUMIFS(D$2:D4739,B$2:B4739,B4739,C$2:C4739,"SALIDA")</f>
        <v>21608.392000000003</v>
      </c>
    </row>
    <row r="4740" spans="1:5" x14ac:dyDescent="0.3">
      <c r="A4740" s="9">
        <f>'Volúmenes DIstribuidos '!B2877</f>
        <v>45723</v>
      </c>
      <c r="B4740" s="10" t="str">
        <f>IF(OR('Volúmenes DIstribuidos '!C2882="Azúcar",'Volúmenes DIstribuidos '!C2882="azúcar"),"Azúcar o dulce",IF('Volúmenes DIstribuidos '!C2882="Aceite","Aceite o grasas",IF('Volúmenes DIstribuidos '!C2882="Avena","Otros almidones",'Volúmenes DIstribuidos '!C2882)))</f>
        <v>Vegetales y hojas</v>
      </c>
      <c r="C4740" s="10" t="s">
        <v>29</v>
      </c>
      <c r="D4740" s="12">
        <f>'Volúmenes DIstribuidos '!D2882</f>
        <v>54.12</v>
      </c>
      <c r="E4740" s="12">
        <f>SUMIF('Parametros Inventario'!$A:$A,B4740,'Parametros Inventario'!$B:$B)+SUMIFS(D$2:D4740,B$2:B4740,B4740,C$2:C4740,"ENTRADA")-SUMIFS(D$2:D4740,B$2:B4740,B4740,C$2:C4740,"SALIDA")</f>
        <v>23828.746000000003</v>
      </c>
    </row>
    <row r="4741" spans="1:5" x14ac:dyDescent="0.3">
      <c r="A4741" s="9">
        <v>45727</v>
      </c>
      <c r="B4741" s="10" t="s">
        <v>13</v>
      </c>
      <c r="C4741" s="10" t="s">
        <v>28</v>
      </c>
      <c r="D4741" s="12">
        <v>228.73</v>
      </c>
      <c r="E4741" s="12">
        <f>SUMIF('Parametros Inventario'!$A:$A,B4741,'Parametros Inventario'!$B:$B)+SUMIFS(D$2:D4741,B$2:B4741,B4741,C$2:C4741,"ENTRADA")-SUMIFS(D$2:D4741,B$2:B4741,B4741,C$2:C4741,"SALIDA")</f>
        <v>21792.054999999993</v>
      </c>
    </row>
    <row r="4742" spans="1:5" x14ac:dyDescent="0.3">
      <c r="A4742" s="9">
        <v>45727</v>
      </c>
      <c r="B4742" s="10" t="s">
        <v>15</v>
      </c>
      <c r="C4742" s="10" t="s">
        <v>28</v>
      </c>
      <c r="D4742" s="12">
        <v>181.74</v>
      </c>
      <c r="E4742" s="12">
        <f>SUMIF('Parametros Inventario'!$A:$A,B4742,'Parametros Inventario'!$B:$B)+SUMIFS(D$2:D4742,B$2:B4742,B4742,C$2:C4742,"ENTRADA")-SUMIFS(D$2:D4742,B$2:B4742,B4742,C$2:C4742,"SALIDA")</f>
        <v>24651.330999999998</v>
      </c>
    </row>
    <row r="4743" spans="1:5" x14ac:dyDescent="0.3">
      <c r="A4743" s="9">
        <v>45727</v>
      </c>
      <c r="B4743" s="10" t="s">
        <v>11</v>
      </c>
      <c r="C4743" s="10" t="s">
        <v>28</v>
      </c>
      <c r="D4743" s="12">
        <v>244.15</v>
      </c>
      <c r="E4743" s="12">
        <f>SUMIF('Parametros Inventario'!$A:$A,B4743,'Parametros Inventario'!$B:$B)+SUMIFS(D$2:D4743,B$2:B4743,B4743,C$2:C4743,"ENTRADA")-SUMIFS(D$2:D4743,B$2:B4743,B4743,C$2:C4743,"SALIDA")</f>
        <v>25391.995000000006</v>
      </c>
    </row>
    <row r="4744" spans="1:5" x14ac:dyDescent="0.3">
      <c r="A4744" s="9">
        <v>45727</v>
      </c>
      <c r="B4744" s="10" t="s">
        <v>9</v>
      </c>
      <c r="C4744" s="10" t="s">
        <v>28</v>
      </c>
      <c r="D4744" s="12">
        <v>252.82</v>
      </c>
      <c r="E4744" s="12">
        <f>SUMIF('Parametros Inventario'!$A:$A,B4744,'Parametros Inventario'!$B:$B)+SUMIFS(D$2:D4744,B$2:B4744,B4744,C$2:C4744,"ENTRADA")-SUMIFS(D$2:D4744,B$2:B4744,B4744,C$2:C4744,"SALIDA")</f>
        <v>20870.912999999993</v>
      </c>
    </row>
    <row r="4745" spans="1:5" x14ac:dyDescent="0.3">
      <c r="A4745" s="9">
        <v>45727</v>
      </c>
      <c r="B4745" s="10" t="s">
        <v>14</v>
      </c>
      <c r="C4745" s="10" t="s">
        <v>28</v>
      </c>
      <c r="D4745" s="12">
        <v>104.83</v>
      </c>
      <c r="E4745" s="12">
        <f>SUMIF('Parametros Inventario'!$A:$A,B4745,'Parametros Inventario'!$B:$B)+SUMIFS(D$2:D4745,B$2:B4745,B4745,C$2:C4745,"ENTRADA")-SUMIFS(D$2:D4745,B$2:B4745,B4745,C$2:C4745,"SALIDA")</f>
        <v>22312.740999999987</v>
      </c>
    </row>
    <row r="4746" spans="1:5" x14ac:dyDescent="0.3">
      <c r="A4746" s="9">
        <v>45727</v>
      </c>
      <c r="B4746" s="10" t="s">
        <v>12</v>
      </c>
      <c r="C4746" s="10" t="s">
        <v>28</v>
      </c>
      <c r="D4746" s="12">
        <v>71.81</v>
      </c>
      <c r="E4746" s="12">
        <f>SUMIF('Parametros Inventario'!$A:$A,B4746,'Parametros Inventario'!$B:$B)+SUMIFS(D$2:D4746,B$2:B4746,B4746,C$2:C4746,"ENTRADA")-SUMIFS(D$2:D4746,B$2:B4746,B4746,C$2:C4746,"SALIDA")</f>
        <v>21592.117000000009</v>
      </c>
    </row>
    <row r="4747" spans="1:5" x14ac:dyDescent="0.3">
      <c r="A4747" s="9">
        <v>45727</v>
      </c>
      <c r="B4747" s="10" t="s">
        <v>16</v>
      </c>
      <c r="C4747" s="10" t="s">
        <v>28</v>
      </c>
      <c r="D4747" s="12">
        <v>140.43</v>
      </c>
      <c r="E4747" s="12">
        <f>SUMIF('Parametros Inventario'!$A:$A,B4747,'Parametros Inventario'!$B:$B)+SUMIFS(D$2:D4747,B$2:B4747,B4747,C$2:C4747,"ENTRADA")-SUMIFS(D$2:D4747,B$2:B4747,B4747,C$2:C4747,"SALIDA")</f>
        <v>22772.535999999996</v>
      </c>
    </row>
    <row r="4748" spans="1:5" x14ac:dyDescent="0.3">
      <c r="A4748" s="9">
        <v>45727</v>
      </c>
      <c r="B4748" s="10" t="s">
        <v>17</v>
      </c>
      <c r="C4748" s="10" t="s">
        <v>28</v>
      </c>
      <c r="D4748" s="12">
        <v>100.82</v>
      </c>
      <c r="E4748" s="12">
        <f>SUMIF('Parametros Inventario'!$A:$A,B4748,'Parametros Inventario'!$B:$B)+SUMIFS(D$2:D4748,B$2:B4748,B4748,C$2:C4748,"ENTRADA")-SUMIFS(D$2:D4748,B$2:B4748,B4748,C$2:C4748,"SALIDA")</f>
        <v>21709.212000000003</v>
      </c>
    </row>
    <row r="4749" spans="1:5" x14ac:dyDescent="0.3">
      <c r="A4749" s="9">
        <v>45727</v>
      </c>
      <c r="B4749" s="10" t="s">
        <v>18</v>
      </c>
      <c r="C4749" s="10" t="s">
        <v>28</v>
      </c>
      <c r="D4749" s="12">
        <v>262.64999999999998</v>
      </c>
      <c r="E4749" s="12">
        <f>SUMIF('Parametros Inventario'!$A:$A,B4749,'Parametros Inventario'!$B:$B)+SUMIFS(D$2:D4749,B$2:B4749,B4749,C$2:C4749,"ENTRADA")-SUMIFS(D$2:D4749,B$2:B4749,B4749,C$2:C4749,"SALIDA")</f>
        <v>22015.500999999986</v>
      </c>
    </row>
    <row r="4750" spans="1:5" x14ac:dyDescent="0.3">
      <c r="A4750" s="9">
        <v>45727</v>
      </c>
      <c r="B4750" s="10" t="s">
        <v>10</v>
      </c>
      <c r="C4750" s="10" t="s">
        <v>28</v>
      </c>
      <c r="D4750" s="12">
        <v>140.6</v>
      </c>
      <c r="E4750" s="12">
        <f>SUMIF('Parametros Inventario'!$A:$A,B4750,'Parametros Inventario'!$B:$B)+SUMIFS(D$2:D4750,B$2:B4750,B4750,C$2:C4750,"ENTRADA")-SUMIFS(D$2:D4750,B$2:B4750,B4750,C$2:C4750,"SALIDA")</f>
        <v>23969.346000000001</v>
      </c>
    </row>
    <row r="4751" spans="1:5" x14ac:dyDescent="0.3">
      <c r="A4751" s="9">
        <f>'Volúmenes DIstribuidos '!B2883</f>
        <v>45727</v>
      </c>
      <c r="B4751" s="10" t="str">
        <f>IF(OR('Volúmenes DIstribuidos '!C2883="Azúcar",'Volúmenes DIstribuidos '!C2883="azúcar"),"Azúcar o dulce",IF('Volúmenes DIstribuidos '!C2883="Aceite","Aceite o grasas",IF('Volúmenes DIstribuidos '!C2883="Avena","Otros almidones",'Volúmenes DIstribuidos '!C2883)))</f>
        <v>Azúcar o dulce</v>
      </c>
      <c r="C4751" s="10" t="s">
        <v>29</v>
      </c>
      <c r="D4751" s="12">
        <f>'Volúmenes DIstribuidos '!D2883</f>
        <v>37.950000000000003</v>
      </c>
      <c r="E4751" s="12">
        <f>SUMIF('Parametros Inventario'!$A:$A,B4751,'Parametros Inventario'!$B:$B)+SUMIFS(D$2:D4751,B$2:B4751,B4751,C$2:C4751,"ENTRADA")-SUMIFS(D$2:D4751,B$2:B4751,B4751,C$2:C4751,"SALIDA")</f>
        <v>21754.104999999989</v>
      </c>
    </row>
    <row r="4752" spans="1:5" x14ac:dyDescent="0.3">
      <c r="A4752" s="9">
        <f>'Volúmenes DIstribuidos '!B2883</f>
        <v>45727</v>
      </c>
      <c r="B4752" s="10" t="str">
        <f>IF(OR('Volúmenes DIstribuidos '!C2884="Azúcar",'Volúmenes DIstribuidos '!C2884="azúcar"),"Azúcar o dulce",IF('Volúmenes DIstribuidos '!C2884="Aceite","Aceite o grasas",IF('Volúmenes DIstribuidos '!C2884="Avena","Otros almidones",'Volúmenes DIstribuidos '!C2884)))</f>
        <v>Menestras</v>
      </c>
      <c r="C4752" s="10" t="s">
        <v>29</v>
      </c>
      <c r="D4752" s="12">
        <f>'Volúmenes DIstribuidos '!D2884</f>
        <v>7.8140000000000001</v>
      </c>
      <c r="E4752" s="12">
        <f>SUMIF('Parametros Inventario'!$A:$A,B4752,'Parametros Inventario'!$B:$B)+SUMIFS(D$2:D4752,B$2:B4752,B4752,C$2:C4752,"ENTRADA")-SUMIFS(D$2:D4752,B$2:B4752,B4752,C$2:C4752,"SALIDA")</f>
        <v>22304.926999999989</v>
      </c>
    </row>
    <row r="4753" spans="1:5" x14ac:dyDescent="0.3">
      <c r="A4753" s="9">
        <f>'Volúmenes DIstribuidos '!B2883</f>
        <v>45727</v>
      </c>
      <c r="B4753" s="10" t="str">
        <f>IF(OR('Volúmenes DIstribuidos '!C2885="Azúcar",'Volúmenes DIstribuidos '!C2885="azúcar"),"Azúcar o dulce",IF('Volúmenes DIstribuidos '!C2885="Aceite","Aceite o grasas",IF('Volúmenes DIstribuidos '!C2885="Avena","Otros almidones",'Volúmenes DIstribuidos '!C2885)))</f>
        <v>Lácteos</v>
      </c>
      <c r="C4753" s="10" t="s">
        <v>29</v>
      </c>
      <c r="D4753" s="12">
        <f>'Volúmenes DIstribuidos '!D2885</f>
        <v>31.79</v>
      </c>
      <c r="E4753" s="12">
        <f>SUMIF('Parametros Inventario'!$A:$A,B4753,'Parametros Inventario'!$B:$B)+SUMIFS(D$2:D4753,B$2:B4753,B4753,C$2:C4753,"ENTRADA")-SUMIFS(D$2:D4753,B$2:B4753,B4753,C$2:C4753,"SALIDA")</f>
        <v>21677.422000000002</v>
      </c>
    </row>
    <row r="4754" spans="1:5" x14ac:dyDescent="0.3">
      <c r="A4754" s="9">
        <f>'Volúmenes DIstribuidos '!B2883</f>
        <v>45727</v>
      </c>
      <c r="B4754" s="10" t="str">
        <f>IF(OR('Volúmenes DIstribuidos '!C2886="Azúcar",'Volúmenes DIstribuidos '!C2886="azúcar"),"Azúcar o dulce",IF('Volúmenes DIstribuidos '!C2886="Aceite","Aceite o grasas",IF('Volúmenes DIstribuidos '!C2886="Avena","Otros almidones",'Volúmenes DIstribuidos '!C2886)))</f>
        <v>Azúcar o dulce</v>
      </c>
      <c r="C4754" s="10" t="s">
        <v>29</v>
      </c>
      <c r="D4754" s="12">
        <f>'Volúmenes DIstribuidos '!D2886</f>
        <v>8.48</v>
      </c>
      <c r="E4754" s="12">
        <f>SUMIF('Parametros Inventario'!$A:$A,B4754,'Parametros Inventario'!$B:$B)+SUMIFS(D$2:D4754,B$2:B4754,B4754,C$2:C4754,"ENTRADA")-SUMIFS(D$2:D4754,B$2:B4754,B4754,C$2:C4754,"SALIDA")</f>
        <v>21745.624999999993</v>
      </c>
    </row>
    <row r="4755" spans="1:5" x14ac:dyDescent="0.3">
      <c r="A4755" s="9">
        <f>'Volúmenes DIstribuidos '!B2883</f>
        <v>45727</v>
      </c>
      <c r="B4755" s="10" t="str">
        <f>IF(OR('Volúmenes DIstribuidos '!C2887="Azúcar",'Volúmenes DIstribuidos '!C2887="azúcar"),"Azúcar o dulce",IF('Volúmenes DIstribuidos '!C2887="Aceite","Aceite o grasas",IF('Volúmenes DIstribuidos '!C2887="Avena","Otros almidones",'Volúmenes DIstribuidos '!C2887)))</f>
        <v>Menestras</v>
      </c>
      <c r="C4755" s="10" t="s">
        <v>29</v>
      </c>
      <c r="D4755" s="12">
        <f>'Volúmenes DIstribuidos '!D2887</f>
        <v>23.95</v>
      </c>
      <c r="E4755" s="12">
        <f>SUMIF('Parametros Inventario'!$A:$A,B4755,'Parametros Inventario'!$B:$B)+SUMIFS(D$2:D4755,B$2:B4755,B4755,C$2:C4755,"ENTRADA")-SUMIFS(D$2:D4755,B$2:B4755,B4755,C$2:C4755,"SALIDA")</f>
        <v>22280.976999999988</v>
      </c>
    </row>
    <row r="4756" spans="1:5" x14ac:dyDescent="0.3">
      <c r="A4756" s="9">
        <f>'Volúmenes DIstribuidos '!B2883</f>
        <v>45727</v>
      </c>
      <c r="B4756" s="10" t="str">
        <f>IF(OR('Volúmenes DIstribuidos '!C2888="Azúcar",'Volúmenes DIstribuidos '!C2888="azúcar"),"Azúcar o dulce",IF('Volúmenes DIstribuidos '!C2888="Aceite","Aceite o grasas",IF('Volúmenes DIstribuidos '!C2888="Avena","Otros almidones",'Volúmenes DIstribuidos '!C2888)))</f>
        <v>Panadería</v>
      </c>
      <c r="C4756" s="10" t="s">
        <v>29</v>
      </c>
      <c r="D4756" s="12">
        <f>'Volúmenes DIstribuidos '!D2888</f>
        <v>8.9499999999999993</v>
      </c>
      <c r="E4756" s="12">
        <f>SUMIF('Parametros Inventario'!$A:$A,B4756,'Parametros Inventario'!$B:$B)+SUMIFS(D$2:D4756,B$2:B4756,B4756,C$2:C4756,"ENTRADA")-SUMIFS(D$2:D4756,B$2:B4756,B4756,C$2:C4756,"SALIDA")</f>
        <v>20861.962999999992</v>
      </c>
    </row>
    <row r="4757" spans="1:5" x14ac:dyDescent="0.3">
      <c r="A4757" s="9">
        <v>45730</v>
      </c>
      <c r="B4757" s="10" t="s">
        <v>8</v>
      </c>
      <c r="C4757" s="10" t="s">
        <v>28</v>
      </c>
      <c r="D4757" s="12">
        <v>168.48</v>
      </c>
      <c r="E4757" s="12">
        <f>SUMIF('Parametros Inventario'!$A:$A,B4757,'Parametros Inventario'!$B:$B)+SUMIFS(D$2:D4757,B$2:B4757,B4757,C$2:C4757,"ENTRADA")-SUMIFS(D$2:D4757,B$2:B4757,B4757,C$2:C4757,"SALIDA")</f>
        <v>22455.952000000012</v>
      </c>
    </row>
    <row r="4758" spans="1:5" x14ac:dyDescent="0.3">
      <c r="A4758" s="9">
        <v>45730</v>
      </c>
      <c r="B4758" s="10" t="s">
        <v>13</v>
      </c>
      <c r="C4758" s="10" t="s">
        <v>28</v>
      </c>
      <c r="D4758" s="12">
        <v>83.4</v>
      </c>
      <c r="E4758" s="12">
        <f>SUMIF('Parametros Inventario'!$A:$A,B4758,'Parametros Inventario'!$B:$B)+SUMIFS(D$2:D4758,B$2:B4758,B4758,C$2:C4758,"ENTRADA")-SUMIFS(D$2:D4758,B$2:B4758,B4758,C$2:C4758,"SALIDA")</f>
        <v>21829.024999999994</v>
      </c>
    </row>
    <row r="4759" spans="1:5" x14ac:dyDescent="0.3">
      <c r="A4759" s="9">
        <v>45730</v>
      </c>
      <c r="B4759" s="10" t="s">
        <v>15</v>
      </c>
      <c r="C4759" s="10" t="s">
        <v>28</v>
      </c>
      <c r="D4759" s="12">
        <v>77.540000000000006</v>
      </c>
      <c r="E4759" s="12">
        <f>SUMIF('Parametros Inventario'!$A:$A,B4759,'Parametros Inventario'!$B:$B)+SUMIFS(D$2:D4759,B$2:B4759,B4759,C$2:C4759,"ENTRADA")-SUMIFS(D$2:D4759,B$2:B4759,B4759,C$2:C4759,"SALIDA")</f>
        <v>24728.870999999999</v>
      </c>
    </row>
    <row r="4760" spans="1:5" x14ac:dyDescent="0.3">
      <c r="A4760" s="9">
        <v>45730</v>
      </c>
      <c r="B4760" s="10" t="s">
        <v>11</v>
      </c>
      <c r="C4760" s="10" t="s">
        <v>28</v>
      </c>
      <c r="D4760" s="12">
        <v>277.83999999999997</v>
      </c>
      <c r="E4760" s="12">
        <f>SUMIF('Parametros Inventario'!$A:$A,B4760,'Parametros Inventario'!$B:$B)+SUMIFS(D$2:D4760,B$2:B4760,B4760,C$2:C4760,"ENTRADA")-SUMIFS(D$2:D4760,B$2:B4760,B4760,C$2:C4760,"SALIDA")</f>
        <v>25669.835000000006</v>
      </c>
    </row>
    <row r="4761" spans="1:5" x14ac:dyDescent="0.3">
      <c r="A4761" s="9">
        <v>45730</v>
      </c>
      <c r="B4761" s="10" t="s">
        <v>9</v>
      </c>
      <c r="C4761" s="10" t="s">
        <v>28</v>
      </c>
      <c r="D4761" s="12">
        <v>140.21</v>
      </c>
      <c r="E4761" s="12">
        <f>SUMIF('Parametros Inventario'!$A:$A,B4761,'Parametros Inventario'!$B:$B)+SUMIFS(D$2:D4761,B$2:B4761,B4761,C$2:C4761,"ENTRADA")-SUMIFS(D$2:D4761,B$2:B4761,B4761,C$2:C4761,"SALIDA")</f>
        <v>21002.172999999992</v>
      </c>
    </row>
    <row r="4762" spans="1:5" x14ac:dyDescent="0.3">
      <c r="A4762" s="9">
        <v>45730</v>
      </c>
      <c r="B4762" s="10" t="s">
        <v>14</v>
      </c>
      <c r="C4762" s="10" t="s">
        <v>28</v>
      </c>
      <c r="D4762" s="12">
        <v>262.33</v>
      </c>
      <c r="E4762" s="12">
        <f>SUMIF('Parametros Inventario'!$A:$A,B4762,'Parametros Inventario'!$B:$B)+SUMIFS(D$2:D4762,B$2:B4762,B4762,C$2:C4762,"ENTRADA")-SUMIFS(D$2:D4762,B$2:B4762,B4762,C$2:C4762,"SALIDA")</f>
        <v>22543.30699999999</v>
      </c>
    </row>
    <row r="4763" spans="1:5" x14ac:dyDescent="0.3">
      <c r="A4763" s="9">
        <v>45730</v>
      </c>
      <c r="B4763" s="10" t="s">
        <v>12</v>
      </c>
      <c r="C4763" s="10" t="s">
        <v>28</v>
      </c>
      <c r="D4763" s="12">
        <v>244.66</v>
      </c>
      <c r="E4763" s="12">
        <f>SUMIF('Parametros Inventario'!$A:$A,B4763,'Parametros Inventario'!$B:$B)+SUMIFS(D$2:D4763,B$2:B4763,B4763,C$2:C4763,"ENTRADA")-SUMIFS(D$2:D4763,B$2:B4763,B4763,C$2:C4763,"SALIDA")</f>
        <v>21836.777000000009</v>
      </c>
    </row>
    <row r="4764" spans="1:5" x14ac:dyDescent="0.3">
      <c r="A4764" s="9">
        <f>'Volúmenes DIstribuidos '!B2889</f>
        <v>45730</v>
      </c>
      <c r="B4764" s="10" t="str">
        <f>IF(OR('Volúmenes DIstribuidos '!C2889="Azúcar",'Volúmenes DIstribuidos '!C2889="azúcar"),"Azúcar o dulce",IF('Volúmenes DIstribuidos '!C2889="Aceite","Aceite o grasas",IF('Volúmenes DIstribuidos '!C2889="Avena","Otros almidones",'Volúmenes DIstribuidos '!C2889)))</f>
        <v>Aceite o grasas</v>
      </c>
      <c r="C4764" s="10" t="s">
        <v>29</v>
      </c>
      <c r="D4764" s="12">
        <f>'Volúmenes DIstribuidos '!D2889</f>
        <v>9.56</v>
      </c>
      <c r="E4764" s="12">
        <f>SUMIF('Parametros Inventario'!$A:$A,B4764,'Parametros Inventario'!$B:$B)+SUMIFS(D$2:D4764,B$2:B4764,B4764,C$2:C4764,"ENTRADA")-SUMIFS(D$2:D4764,B$2:B4764,B4764,C$2:C4764,"SALIDA")</f>
        <v>22446.392000000014</v>
      </c>
    </row>
    <row r="4765" spans="1:5" x14ac:dyDescent="0.3">
      <c r="A4765" s="9">
        <f>'Volúmenes DIstribuidos '!B2889</f>
        <v>45730</v>
      </c>
      <c r="B4765" s="10" t="str">
        <f>IF(OR('Volúmenes DIstribuidos '!C2890="Azúcar",'Volúmenes DIstribuidos '!C2890="azúcar"),"Azúcar o dulce",IF('Volúmenes DIstribuidos '!C2890="Aceite","Aceite o grasas",IF('Volúmenes DIstribuidos '!C2890="Avena","Otros almidones",'Volúmenes DIstribuidos '!C2890)))</f>
        <v>Carnes blancas</v>
      </c>
      <c r="C4765" s="10" t="s">
        <v>29</v>
      </c>
      <c r="D4765" s="12">
        <f>'Volúmenes DIstribuidos '!D2890</f>
        <v>41.128999999999998</v>
      </c>
      <c r="E4765" s="12">
        <f>SUMIF('Parametros Inventario'!$A:$A,B4765,'Parametros Inventario'!$B:$B)+SUMIFS(D$2:D4765,B$2:B4765,B4765,C$2:C4765,"ENTRADA")-SUMIFS(D$2:D4765,B$2:B4765,B4765,C$2:C4765,"SALIDA")</f>
        <v>22731.406999999999</v>
      </c>
    </row>
    <row r="4766" spans="1:5" x14ac:dyDescent="0.3">
      <c r="A4766" s="9">
        <f>'Volúmenes DIstribuidos '!B2889</f>
        <v>45730</v>
      </c>
      <c r="B4766" s="10" t="str">
        <f>IF(OR('Volúmenes DIstribuidos '!C2891="Azúcar",'Volúmenes DIstribuidos '!C2891="azúcar"),"Azúcar o dulce",IF('Volúmenes DIstribuidos '!C2891="Aceite","Aceite o grasas",IF('Volúmenes DIstribuidos '!C2891="Avena","Otros almidones",'Volúmenes DIstribuidos '!C2891)))</f>
        <v>Carnes rojas</v>
      </c>
      <c r="C4766" s="10" t="s">
        <v>29</v>
      </c>
      <c r="D4766" s="12">
        <f>'Volúmenes DIstribuidos '!D2891</f>
        <v>15.3</v>
      </c>
      <c r="E4766" s="12">
        <f>SUMIF('Parametros Inventario'!$A:$A,B4766,'Parametros Inventario'!$B:$B)+SUMIFS(D$2:D4766,B$2:B4766,B4766,C$2:C4766,"ENTRADA")-SUMIFS(D$2:D4766,B$2:B4766,B4766,C$2:C4766,"SALIDA")</f>
        <v>21821.47700000001</v>
      </c>
    </row>
    <row r="4767" spans="1:5" x14ac:dyDescent="0.3">
      <c r="A4767" s="9">
        <f>'Volúmenes DIstribuidos '!B2889</f>
        <v>45730</v>
      </c>
      <c r="B4767" s="10" t="str">
        <f>IF(OR('Volúmenes DIstribuidos '!C2892="Azúcar",'Volúmenes DIstribuidos '!C2892="azúcar"),"Azúcar o dulce",IF('Volúmenes DIstribuidos '!C2892="Aceite","Aceite o grasas",IF('Volúmenes DIstribuidos '!C2892="Avena","Otros almidones",'Volúmenes DIstribuidos '!C2892)))</f>
        <v>Salsas</v>
      </c>
      <c r="C4767" s="10" t="s">
        <v>29</v>
      </c>
      <c r="D4767" s="12">
        <f>'Volúmenes DIstribuidos '!D2892</f>
        <v>12.22</v>
      </c>
      <c r="E4767" s="12">
        <f>SUMIF('Parametros Inventario'!$A:$A,B4767,'Parametros Inventario'!$B:$B)+SUMIFS(D$2:D4767,B$2:B4767,B4767,C$2:C4767,"ENTRADA")-SUMIFS(D$2:D4767,B$2:B4767,B4767,C$2:C4767,"SALIDA")</f>
        <v>22003.280999999984</v>
      </c>
    </row>
    <row r="4768" spans="1:5" x14ac:dyDescent="0.3">
      <c r="A4768" s="9">
        <f>'Volúmenes DIstribuidos '!B2889</f>
        <v>45730</v>
      </c>
      <c r="B4768" s="10" t="str">
        <f>IF(OR('Volúmenes DIstribuidos '!C2893="Azúcar",'Volúmenes DIstribuidos '!C2893="azúcar"),"Azúcar o dulce",IF('Volúmenes DIstribuidos '!C2893="Aceite","Aceite o grasas",IF('Volúmenes DIstribuidos '!C2893="Avena","Otros almidones",'Volúmenes DIstribuidos '!C2893)))</f>
        <v>Vegetales y hojas</v>
      </c>
      <c r="C4768" s="10" t="s">
        <v>29</v>
      </c>
      <c r="D4768" s="12">
        <f>'Volúmenes DIstribuidos '!D2893</f>
        <v>33.26</v>
      </c>
      <c r="E4768" s="12">
        <f>SUMIF('Parametros Inventario'!$A:$A,B4768,'Parametros Inventario'!$B:$B)+SUMIFS(D$2:D4768,B$2:B4768,B4768,C$2:C4768,"ENTRADA")-SUMIFS(D$2:D4768,B$2:B4768,B4768,C$2:C4768,"SALIDA")</f>
        <v>23936.086000000003</v>
      </c>
    </row>
    <row r="4769" spans="1:5" x14ac:dyDescent="0.3">
      <c r="A4769" s="9">
        <f>'Volúmenes DIstribuidos '!B2889</f>
        <v>45730</v>
      </c>
      <c r="B4769" s="10" t="str">
        <f>IF(OR('Volúmenes DIstribuidos '!C2894="Azúcar",'Volúmenes DIstribuidos '!C2894="azúcar"),"Azúcar o dulce",IF('Volúmenes DIstribuidos '!C2894="Aceite","Aceite o grasas",IF('Volúmenes DIstribuidos '!C2894="Avena","Otros almidones",'Volúmenes DIstribuidos '!C2894)))</f>
        <v>Aceite o grasas</v>
      </c>
      <c r="C4769" s="10" t="s">
        <v>29</v>
      </c>
      <c r="D4769" s="12">
        <f>'Volúmenes DIstribuidos '!D2894</f>
        <v>26.99</v>
      </c>
      <c r="E4769" s="12">
        <f>SUMIF('Parametros Inventario'!$A:$A,B4769,'Parametros Inventario'!$B:$B)+SUMIFS(D$2:D4769,B$2:B4769,B4769,C$2:C4769,"ENTRADA")-SUMIFS(D$2:D4769,B$2:B4769,B4769,C$2:C4769,"SALIDA")</f>
        <v>22419.402000000016</v>
      </c>
    </row>
    <row r="4770" spans="1:5" x14ac:dyDescent="0.3">
      <c r="A4770" s="9">
        <f>'Volúmenes DIstribuidos '!B2895</f>
        <v>45734</v>
      </c>
      <c r="B4770" s="10" t="str">
        <f>IF(OR('Volúmenes DIstribuidos '!C2895="Azúcar",'Volúmenes DIstribuidos '!C2895="azúcar"),"Azúcar o dulce",IF('Volúmenes DIstribuidos '!C2895="Aceite","Aceite o grasas",IF('Volúmenes DIstribuidos '!C2895="Avena","Otros almidones",'Volúmenes DIstribuidos '!C2895)))</f>
        <v>Panadería</v>
      </c>
      <c r="C4770" s="10" t="s">
        <v>29</v>
      </c>
      <c r="D4770" s="12">
        <f>'Volúmenes DIstribuidos '!D2895</f>
        <v>31.927</v>
      </c>
      <c r="E4770" s="12">
        <f>SUMIF('Parametros Inventario'!$A:$A,B4770,'Parametros Inventario'!$B:$B)+SUMIFS(D$2:D4770,B$2:B4770,B4770,C$2:C4770,"ENTRADA")-SUMIFS(D$2:D4770,B$2:B4770,B4770,C$2:C4770,"SALIDA")</f>
        <v>20970.245999999992</v>
      </c>
    </row>
    <row r="4771" spans="1:5" x14ac:dyDescent="0.3">
      <c r="A4771" s="9">
        <f>'Volúmenes DIstribuidos '!B2895</f>
        <v>45734</v>
      </c>
      <c r="B4771" s="10" t="str">
        <f>IF(OR('Volúmenes DIstribuidos '!C2896="Azúcar",'Volúmenes DIstribuidos '!C2896="azúcar"),"Azúcar o dulce",IF('Volúmenes DIstribuidos '!C2896="Aceite","Aceite o grasas",IF('Volúmenes DIstribuidos '!C2896="Avena","Otros almidones",'Volúmenes DIstribuidos '!C2896)))</f>
        <v>Menestras</v>
      </c>
      <c r="C4771" s="10" t="s">
        <v>29</v>
      </c>
      <c r="D4771" s="12">
        <f>'Volúmenes DIstribuidos '!D2896</f>
        <v>29.79</v>
      </c>
      <c r="E4771" s="12">
        <f>SUMIF('Parametros Inventario'!$A:$A,B4771,'Parametros Inventario'!$B:$B)+SUMIFS(D$2:D4771,B$2:B4771,B4771,C$2:C4771,"ENTRADA")-SUMIFS(D$2:D4771,B$2:B4771,B4771,C$2:C4771,"SALIDA")</f>
        <v>22513.516999999989</v>
      </c>
    </row>
    <row r="4772" spans="1:5" x14ac:dyDescent="0.3">
      <c r="A4772" s="9">
        <f>'Volúmenes DIstribuidos '!B2895</f>
        <v>45734</v>
      </c>
      <c r="B4772" s="10" t="str">
        <f>IF(OR('Volúmenes DIstribuidos '!C2897="Azúcar",'Volúmenes DIstribuidos '!C2897="azúcar"),"Azúcar o dulce",IF('Volúmenes DIstribuidos '!C2897="Aceite","Aceite o grasas",IF('Volúmenes DIstribuidos '!C2897="Avena","Otros almidones",'Volúmenes DIstribuidos '!C2897)))</f>
        <v>Carnes rojas</v>
      </c>
      <c r="C4772" s="10" t="s">
        <v>29</v>
      </c>
      <c r="D4772" s="12">
        <f>'Volúmenes DIstribuidos '!D2897</f>
        <v>128.84</v>
      </c>
      <c r="E4772" s="12">
        <f>SUMIF('Parametros Inventario'!$A:$A,B4772,'Parametros Inventario'!$B:$B)+SUMIFS(D$2:D4772,B$2:B4772,B4772,C$2:C4772,"ENTRADA")-SUMIFS(D$2:D4772,B$2:B4772,B4772,C$2:C4772,"SALIDA")</f>
        <v>21692.63700000001</v>
      </c>
    </row>
    <row r="4773" spans="1:5" x14ac:dyDescent="0.3">
      <c r="A4773" s="9">
        <f>'Volúmenes DIstribuidos '!B2895</f>
        <v>45734</v>
      </c>
      <c r="B4773" s="10" t="str">
        <f>IF(OR('Volúmenes DIstribuidos '!C2898="Azúcar",'Volúmenes DIstribuidos '!C2898="azúcar"),"Azúcar o dulce",IF('Volúmenes DIstribuidos '!C2898="Aceite","Aceite o grasas",IF('Volúmenes DIstribuidos '!C2898="Avena","Otros almidones",'Volúmenes DIstribuidos '!C2898)))</f>
        <v>Azúcar o dulce</v>
      </c>
      <c r="C4773" s="10" t="s">
        <v>29</v>
      </c>
      <c r="D4773" s="12">
        <f>'Volúmenes DIstribuidos '!D2898</f>
        <v>132.03</v>
      </c>
      <c r="E4773" s="12">
        <f>SUMIF('Parametros Inventario'!$A:$A,B4773,'Parametros Inventario'!$B:$B)+SUMIFS(D$2:D4773,B$2:B4773,B4773,C$2:C4773,"ENTRADA")-SUMIFS(D$2:D4773,B$2:B4773,B4773,C$2:C4773,"SALIDA")</f>
        <v>21696.994999999992</v>
      </c>
    </row>
    <row r="4774" spans="1:5" x14ac:dyDescent="0.3">
      <c r="A4774" s="9">
        <f>'Volúmenes DIstribuidos '!B2895</f>
        <v>45734</v>
      </c>
      <c r="B4774" s="10" t="str">
        <f>IF(OR('Volúmenes DIstribuidos '!C2899="Azúcar",'Volúmenes DIstribuidos '!C2899="azúcar"),"Azúcar o dulce",IF('Volúmenes DIstribuidos '!C2899="Aceite","Aceite o grasas",IF('Volúmenes DIstribuidos '!C2899="Avena","Otros almidones",'Volúmenes DIstribuidos '!C2899)))</f>
        <v>Fideo</v>
      </c>
      <c r="C4774" s="10" t="s">
        <v>29</v>
      </c>
      <c r="D4774" s="12">
        <f>'Volúmenes DIstribuidos '!D2899</f>
        <v>14.08</v>
      </c>
      <c r="E4774" s="12">
        <f>SUMIF('Parametros Inventario'!$A:$A,B4774,'Parametros Inventario'!$B:$B)+SUMIFS(D$2:D4774,B$2:B4774,B4774,C$2:C4774,"ENTRADA")-SUMIFS(D$2:D4774,B$2:B4774,B4774,C$2:C4774,"SALIDA")</f>
        <v>25655.755000000005</v>
      </c>
    </row>
    <row r="4775" spans="1:5" x14ac:dyDescent="0.3">
      <c r="A4775" s="9">
        <f>'Volúmenes DIstribuidos '!B2895</f>
        <v>45734</v>
      </c>
      <c r="B4775" s="10" t="str">
        <f>IF(OR('Volúmenes DIstribuidos '!C2900="Azúcar",'Volúmenes DIstribuidos '!C2900="azúcar"),"Azúcar o dulce",IF('Volúmenes DIstribuidos '!C2900="Aceite","Aceite o grasas",IF('Volúmenes DIstribuidos '!C2900="Avena","Otros almidones",'Volúmenes DIstribuidos '!C2900)))</f>
        <v>Salsas</v>
      </c>
      <c r="C4775" s="10" t="s">
        <v>29</v>
      </c>
      <c r="D4775" s="12">
        <f>'Volúmenes DIstribuidos '!D2900</f>
        <v>10.207000000000001</v>
      </c>
      <c r="E4775" s="12">
        <f>SUMIF('Parametros Inventario'!$A:$A,B4775,'Parametros Inventario'!$B:$B)+SUMIFS(D$2:D4775,B$2:B4775,B4775,C$2:C4775,"ENTRADA")-SUMIFS(D$2:D4775,B$2:B4775,B4775,C$2:C4775,"SALIDA")</f>
        <v>21993.073999999986</v>
      </c>
    </row>
    <row r="4776" spans="1:5" x14ac:dyDescent="0.3">
      <c r="A4776" s="9">
        <v>45737</v>
      </c>
      <c r="B4776" s="10" t="s">
        <v>16</v>
      </c>
      <c r="C4776" s="10" t="s">
        <v>28</v>
      </c>
      <c r="D4776" s="12">
        <v>84.84</v>
      </c>
      <c r="E4776" s="12">
        <f>SUMIF('Parametros Inventario'!$A:$A,B4776,'Parametros Inventario'!$B:$B)+SUMIFS(D$2:D4776,B$2:B4776,B4776,C$2:C4776,"ENTRADA")-SUMIFS(D$2:D4776,B$2:B4776,B4776,C$2:C4776,"SALIDA")</f>
        <v>22816.246999999996</v>
      </c>
    </row>
    <row r="4777" spans="1:5" x14ac:dyDescent="0.3">
      <c r="A4777" s="9">
        <v>45737</v>
      </c>
      <c r="B4777" s="10" t="s">
        <v>17</v>
      </c>
      <c r="C4777" s="10" t="s">
        <v>28</v>
      </c>
      <c r="D4777" s="12">
        <v>165.1</v>
      </c>
      <c r="E4777" s="12">
        <f>SUMIF('Parametros Inventario'!$A:$A,B4777,'Parametros Inventario'!$B:$B)+SUMIFS(D$2:D4777,B$2:B4777,B4777,C$2:C4777,"ENTRADA")-SUMIFS(D$2:D4777,B$2:B4777,B4777,C$2:C4777,"SALIDA")</f>
        <v>21842.522000000001</v>
      </c>
    </row>
    <row r="4778" spans="1:5" x14ac:dyDescent="0.3">
      <c r="A4778" s="9">
        <v>45737</v>
      </c>
      <c r="B4778" s="10" t="s">
        <v>18</v>
      </c>
      <c r="C4778" s="10" t="s">
        <v>28</v>
      </c>
      <c r="D4778" s="12">
        <v>258.81</v>
      </c>
      <c r="E4778" s="12">
        <f>SUMIF('Parametros Inventario'!$A:$A,B4778,'Parametros Inventario'!$B:$B)+SUMIFS(D$2:D4778,B$2:B4778,B4778,C$2:C4778,"ENTRADA")-SUMIFS(D$2:D4778,B$2:B4778,B4778,C$2:C4778,"SALIDA")</f>
        <v>22251.883999999984</v>
      </c>
    </row>
    <row r="4779" spans="1:5" x14ac:dyDescent="0.3">
      <c r="A4779" s="9">
        <v>45737</v>
      </c>
      <c r="B4779" s="10" t="s">
        <v>10</v>
      </c>
      <c r="C4779" s="10" t="s">
        <v>28</v>
      </c>
      <c r="D4779" s="12">
        <v>187.88</v>
      </c>
      <c r="E4779" s="12">
        <f>SUMIF('Parametros Inventario'!$A:$A,B4779,'Parametros Inventario'!$B:$B)+SUMIFS(D$2:D4779,B$2:B4779,B4779,C$2:C4779,"ENTRADA")-SUMIFS(D$2:D4779,B$2:B4779,B4779,C$2:C4779,"SALIDA")</f>
        <v>24123.966000000004</v>
      </c>
    </row>
    <row r="4780" spans="1:5" x14ac:dyDescent="0.3">
      <c r="A4780" s="9">
        <v>45737</v>
      </c>
      <c r="B4780" s="10" t="s">
        <v>8</v>
      </c>
      <c r="C4780" s="10" t="s">
        <v>28</v>
      </c>
      <c r="D4780" s="12">
        <v>282.83999999999997</v>
      </c>
      <c r="E4780" s="12">
        <f>SUMIF('Parametros Inventario'!$A:$A,B4780,'Parametros Inventario'!$B:$B)+SUMIFS(D$2:D4780,B$2:B4780,B4780,C$2:C4780,"ENTRADA")-SUMIFS(D$2:D4780,B$2:B4780,B4780,C$2:C4780,"SALIDA")</f>
        <v>22702.242000000013</v>
      </c>
    </row>
    <row r="4781" spans="1:5" x14ac:dyDescent="0.3">
      <c r="A4781" s="9">
        <v>45737</v>
      </c>
      <c r="B4781" s="10" t="s">
        <v>13</v>
      </c>
      <c r="C4781" s="10" t="s">
        <v>28</v>
      </c>
      <c r="D4781" s="12">
        <v>155.27000000000001</v>
      </c>
      <c r="E4781" s="12">
        <f>SUMIF('Parametros Inventario'!$A:$A,B4781,'Parametros Inventario'!$B:$B)+SUMIFS(D$2:D4781,B$2:B4781,B4781,C$2:C4781,"ENTRADA")-SUMIFS(D$2:D4781,B$2:B4781,B4781,C$2:C4781,"SALIDA")</f>
        <v>21852.264999999992</v>
      </c>
    </row>
    <row r="4782" spans="1:5" x14ac:dyDescent="0.3">
      <c r="A4782" s="9">
        <v>45737</v>
      </c>
      <c r="B4782" s="10" t="s">
        <v>15</v>
      </c>
      <c r="C4782" s="10" t="s">
        <v>28</v>
      </c>
      <c r="D4782" s="12">
        <v>102.68</v>
      </c>
      <c r="E4782" s="12">
        <f>SUMIF('Parametros Inventario'!$A:$A,B4782,'Parametros Inventario'!$B:$B)+SUMIFS(D$2:D4782,B$2:B4782,B4782,C$2:C4782,"ENTRADA")-SUMIFS(D$2:D4782,B$2:B4782,B4782,C$2:C4782,"SALIDA")</f>
        <v>24831.550999999999</v>
      </c>
    </row>
    <row r="4783" spans="1:5" x14ac:dyDescent="0.3">
      <c r="A4783" s="9">
        <f>'Volúmenes DIstribuidos '!B2901</f>
        <v>45737</v>
      </c>
      <c r="B4783" s="10" t="str">
        <f>IF(OR('Volúmenes DIstribuidos '!C2901="Azúcar",'Volúmenes DIstribuidos '!C2901="azúcar"),"Azúcar o dulce",IF('Volúmenes DIstribuidos '!C2901="Aceite","Aceite o grasas",IF('Volúmenes DIstribuidos '!C2901="Avena","Otros almidones",'Volúmenes DIstribuidos '!C2901)))</f>
        <v>Salsas</v>
      </c>
      <c r="C4783" s="10" t="s">
        <v>29</v>
      </c>
      <c r="D4783" s="12">
        <f>'Volúmenes DIstribuidos '!D2901</f>
        <v>32.29</v>
      </c>
      <c r="E4783" s="12">
        <f>SUMIF('Parametros Inventario'!$A:$A,B4783,'Parametros Inventario'!$B:$B)+SUMIFS(D$2:D4783,B$2:B4783,B4783,C$2:C4783,"ENTRADA")-SUMIFS(D$2:D4783,B$2:B4783,B4783,C$2:C4783,"SALIDA")</f>
        <v>22219.593999999983</v>
      </c>
    </row>
    <row r="4784" spans="1:5" x14ac:dyDescent="0.3">
      <c r="A4784" s="9">
        <f>'Volúmenes DIstribuidos '!B2901</f>
        <v>45737</v>
      </c>
      <c r="B4784" s="10" t="str">
        <f>IF(OR('Volúmenes DIstribuidos '!C2902="Azúcar",'Volúmenes DIstribuidos '!C2902="azúcar"),"Azúcar o dulce",IF('Volúmenes DIstribuidos '!C2902="Aceite","Aceite o grasas",IF('Volúmenes DIstribuidos '!C2902="Avena","Otros almidones",'Volúmenes DIstribuidos '!C2902)))</f>
        <v>Fideo</v>
      </c>
      <c r="C4784" s="10" t="s">
        <v>29</v>
      </c>
      <c r="D4784" s="12">
        <f>'Volúmenes DIstribuidos '!D2902</f>
        <v>27.36</v>
      </c>
      <c r="E4784" s="12">
        <f>SUMIF('Parametros Inventario'!$A:$A,B4784,'Parametros Inventario'!$B:$B)+SUMIFS(D$2:D4784,B$2:B4784,B4784,C$2:C4784,"ENTRADA")-SUMIFS(D$2:D4784,B$2:B4784,B4784,C$2:C4784,"SALIDA")</f>
        <v>25628.395000000008</v>
      </c>
    </row>
    <row r="4785" spans="1:5" x14ac:dyDescent="0.3">
      <c r="A4785" s="9">
        <f>'Volúmenes DIstribuidos '!B2901</f>
        <v>45737</v>
      </c>
      <c r="B4785" s="10" t="str">
        <f>IF(OR('Volúmenes DIstribuidos '!C2903="Azúcar",'Volúmenes DIstribuidos '!C2903="azúcar"),"Azúcar o dulce",IF('Volúmenes DIstribuidos '!C2903="Aceite","Aceite o grasas",IF('Volúmenes DIstribuidos '!C2903="Avena","Otros almidones",'Volúmenes DIstribuidos '!C2903)))</f>
        <v>Aceite o grasas</v>
      </c>
      <c r="C4785" s="10" t="s">
        <v>29</v>
      </c>
      <c r="D4785" s="12">
        <f>'Volúmenes DIstribuidos '!D2903</f>
        <v>36.28</v>
      </c>
      <c r="E4785" s="12">
        <f>SUMIF('Parametros Inventario'!$A:$A,B4785,'Parametros Inventario'!$B:$B)+SUMIFS(D$2:D4785,B$2:B4785,B4785,C$2:C4785,"ENTRADA")-SUMIFS(D$2:D4785,B$2:B4785,B4785,C$2:C4785,"SALIDA")</f>
        <v>22665.962000000014</v>
      </c>
    </row>
    <row r="4786" spans="1:5" x14ac:dyDescent="0.3">
      <c r="A4786" s="9">
        <f>'Volúmenes DIstribuidos '!B2901</f>
        <v>45737</v>
      </c>
      <c r="B4786" s="10" t="str">
        <f>IF(OR('Volúmenes DIstribuidos '!C2904="Azúcar",'Volúmenes DIstribuidos '!C2904="azúcar"),"Azúcar o dulce",IF('Volúmenes DIstribuidos '!C2904="Aceite","Aceite o grasas",IF('Volúmenes DIstribuidos '!C2904="Avena","Otros almidones",'Volúmenes DIstribuidos '!C2904)))</f>
        <v>Panadería</v>
      </c>
      <c r="C4786" s="10" t="s">
        <v>29</v>
      </c>
      <c r="D4786" s="12">
        <f>'Volúmenes DIstribuidos '!D2904</f>
        <v>19.221</v>
      </c>
      <c r="E4786" s="12">
        <f>SUMIF('Parametros Inventario'!$A:$A,B4786,'Parametros Inventario'!$B:$B)+SUMIFS(D$2:D4786,B$2:B4786,B4786,C$2:C4786,"ENTRADA")-SUMIFS(D$2:D4786,B$2:B4786,B4786,C$2:C4786,"SALIDA")</f>
        <v>20951.024999999994</v>
      </c>
    </row>
    <row r="4787" spans="1:5" x14ac:dyDescent="0.3">
      <c r="A4787" s="9">
        <f>'Volúmenes DIstribuidos '!B2901</f>
        <v>45737</v>
      </c>
      <c r="B4787" s="10" t="str">
        <f>IF(OR('Volúmenes DIstribuidos '!C2905="Azúcar",'Volúmenes DIstribuidos '!C2905="azúcar"),"Azúcar o dulce",IF('Volúmenes DIstribuidos '!C2905="Aceite","Aceite o grasas",IF('Volúmenes DIstribuidos '!C2905="Avena","Otros almidones",'Volúmenes DIstribuidos '!C2905)))</f>
        <v>Lácteos</v>
      </c>
      <c r="C4787" s="10" t="s">
        <v>29</v>
      </c>
      <c r="D4787" s="12">
        <f>'Volúmenes DIstribuidos '!D2905</f>
        <v>51.27</v>
      </c>
      <c r="E4787" s="12">
        <f>SUMIF('Parametros Inventario'!$A:$A,B4787,'Parametros Inventario'!$B:$B)+SUMIFS(D$2:D4787,B$2:B4787,B4787,C$2:C4787,"ENTRADA")-SUMIFS(D$2:D4787,B$2:B4787,B4787,C$2:C4787,"SALIDA")</f>
        <v>21791.252</v>
      </c>
    </row>
    <row r="4788" spans="1:5" x14ac:dyDescent="0.3">
      <c r="A4788" s="9">
        <f>'Volúmenes DIstribuidos '!B2901</f>
        <v>45737</v>
      </c>
      <c r="B4788" s="10" t="str">
        <f>IF(OR('Volúmenes DIstribuidos '!C2906="Azúcar",'Volúmenes DIstribuidos '!C2906="azúcar"),"Azúcar o dulce",IF('Volúmenes DIstribuidos '!C2906="Aceite","Aceite o grasas",IF('Volúmenes DIstribuidos '!C2906="Avena","Otros almidones",'Volúmenes DIstribuidos '!C2906)))</f>
        <v>Panadería</v>
      </c>
      <c r="C4788" s="10" t="s">
        <v>29</v>
      </c>
      <c r="D4788" s="12">
        <f>'Volúmenes DIstribuidos '!D2906</f>
        <v>34.380000000000003</v>
      </c>
      <c r="E4788" s="12">
        <f>SUMIF('Parametros Inventario'!$A:$A,B4788,'Parametros Inventario'!$B:$B)+SUMIFS(D$2:D4788,B$2:B4788,B4788,C$2:C4788,"ENTRADA")-SUMIFS(D$2:D4788,B$2:B4788,B4788,C$2:C4788,"SALIDA")</f>
        <v>20916.644999999993</v>
      </c>
    </row>
    <row r="4789" spans="1:5" x14ac:dyDescent="0.3">
      <c r="A4789" s="9">
        <f>'Volúmenes DIstribuidos '!B2907</f>
        <v>45741</v>
      </c>
      <c r="B4789" s="10" t="str">
        <f>IF(OR('Volúmenes DIstribuidos '!C2907="Azúcar",'Volúmenes DIstribuidos '!C2907="azúcar"),"Azúcar o dulce",IF('Volúmenes DIstribuidos '!C2907="Aceite","Aceite o grasas",IF('Volúmenes DIstribuidos '!C2907="Avena","Otros almidones",'Volúmenes DIstribuidos '!C2907)))</f>
        <v>Vegetales y hojas</v>
      </c>
      <c r="C4789" s="10" t="s">
        <v>29</v>
      </c>
      <c r="D4789" s="12">
        <f>'Volúmenes DIstribuidos '!D2907</f>
        <v>38.36</v>
      </c>
      <c r="E4789" s="12">
        <f>SUMIF('Parametros Inventario'!$A:$A,B4789,'Parametros Inventario'!$B:$B)+SUMIFS(D$2:D4789,B$2:B4789,B4789,C$2:C4789,"ENTRADA")-SUMIFS(D$2:D4789,B$2:B4789,B4789,C$2:C4789,"SALIDA")</f>
        <v>24085.606000000003</v>
      </c>
    </row>
    <row r="4790" spans="1:5" x14ac:dyDescent="0.3">
      <c r="A4790" s="9">
        <f>'Volúmenes DIstribuidos '!B2907</f>
        <v>45741</v>
      </c>
      <c r="B4790" s="10" t="str">
        <f>IF(OR('Volúmenes DIstribuidos '!C2908="Azúcar",'Volúmenes DIstribuidos '!C2908="azúcar"),"Azúcar o dulce",IF('Volúmenes DIstribuidos '!C2908="Aceite","Aceite o grasas",IF('Volúmenes DIstribuidos '!C2908="Avena","Otros almidones",'Volúmenes DIstribuidos '!C2908)))</f>
        <v>Azúcar o dulce</v>
      </c>
      <c r="C4790" s="10" t="s">
        <v>29</v>
      </c>
      <c r="D4790" s="12">
        <f>'Volúmenes DIstribuidos '!D2908</f>
        <v>57.643000000000001</v>
      </c>
      <c r="E4790" s="12">
        <f>SUMIF('Parametros Inventario'!$A:$A,B4790,'Parametros Inventario'!$B:$B)+SUMIFS(D$2:D4790,B$2:B4790,B4790,C$2:C4790,"ENTRADA")-SUMIFS(D$2:D4790,B$2:B4790,B4790,C$2:C4790,"SALIDA")</f>
        <v>21794.621999999992</v>
      </c>
    </row>
    <row r="4791" spans="1:5" x14ac:dyDescent="0.3">
      <c r="A4791" s="9">
        <f>'Volúmenes DIstribuidos '!B2907</f>
        <v>45741</v>
      </c>
      <c r="B4791" s="10" t="str">
        <f>IF(OR('Volúmenes DIstribuidos '!C2909="Azúcar",'Volúmenes DIstribuidos '!C2909="azúcar"),"Azúcar o dulce",IF('Volúmenes DIstribuidos '!C2909="Aceite","Aceite o grasas",IF('Volúmenes DIstribuidos '!C2909="Avena","Otros almidones",'Volúmenes DIstribuidos '!C2909)))</f>
        <v>Lácteos</v>
      </c>
      <c r="C4791" s="10" t="s">
        <v>29</v>
      </c>
      <c r="D4791" s="12">
        <f>'Volúmenes DIstribuidos '!D2909</f>
        <v>50</v>
      </c>
      <c r="E4791" s="12">
        <f>SUMIF('Parametros Inventario'!$A:$A,B4791,'Parametros Inventario'!$B:$B)+SUMIFS(D$2:D4791,B$2:B4791,B4791,C$2:C4791,"ENTRADA")-SUMIFS(D$2:D4791,B$2:B4791,B4791,C$2:C4791,"SALIDA")</f>
        <v>21741.252</v>
      </c>
    </row>
    <row r="4792" spans="1:5" x14ac:dyDescent="0.3">
      <c r="A4792" s="9">
        <f>'Volúmenes DIstribuidos '!B2907</f>
        <v>45741</v>
      </c>
      <c r="B4792" s="10" t="str">
        <f>IF(OR('Volúmenes DIstribuidos '!C2910="Azúcar",'Volúmenes DIstribuidos '!C2910="azúcar"),"Azúcar o dulce",IF('Volúmenes DIstribuidos '!C2910="Aceite","Aceite o grasas",IF('Volúmenes DIstribuidos '!C2910="Avena","Otros almidones",'Volúmenes DIstribuidos '!C2910)))</f>
        <v>Vegetales y hojas</v>
      </c>
      <c r="C4792" s="10" t="s">
        <v>29</v>
      </c>
      <c r="D4792" s="12">
        <f>'Volúmenes DIstribuidos '!D2910</f>
        <v>64.2</v>
      </c>
      <c r="E4792" s="12">
        <f>SUMIF('Parametros Inventario'!$A:$A,B4792,'Parametros Inventario'!$B:$B)+SUMIFS(D$2:D4792,B$2:B4792,B4792,C$2:C4792,"ENTRADA")-SUMIFS(D$2:D4792,B$2:B4792,B4792,C$2:C4792,"SALIDA")</f>
        <v>24021.406000000003</v>
      </c>
    </row>
    <row r="4793" spans="1:5" x14ac:dyDescent="0.3">
      <c r="A4793" s="9">
        <f>'Volúmenes DIstribuidos '!B2907</f>
        <v>45741</v>
      </c>
      <c r="B4793" s="10" t="str">
        <f>IF(OR('Volúmenes DIstribuidos '!C2911="Azúcar",'Volúmenes DIstribuidos '!C2911="azúcar"),"Azúcar o dulce",IF('Volúmenes DIstribuidos '!C2911="Aceite","Aceite o grasas",IF('Volúmenes DIstribuidos '!C2911="Avena","Otros almidones",'Volúmenes DIstribuidos '!C2911)))</f>
        <v>Menestras</v>
      </c>
      <c r="C4793" s="10" t="s">
        <v>29</v>
      </c>
      <c r="D4793" s="12">
        <f>'Volúmenes DIstribuidos '!D2911</f>
        <v>101.43</v>
      </c>
      <c r="E4793" s="12">
        <f>SUMIF('Parametros Inventario'!$A:$A,B4793,'Parametros Inventario'!$B:$B)+SUMIFS(D$2:D4793,B$2:B4793,B4793,C$2:C4793,"ENTRADA")-SUMIFS(D$2:D4793,B$2:B4793,B4793,C$2:C4793,"SALIDA")</f>
        <v>22412.086999999989</v>
      </c>
    </row>
    <row r="4794" spans="1:5" x14ac:dyDescent="0.3">
      <c r="A4794" s="9">
        <f>'Volúmenes DIstribuidos '!B2907</f>
        <v>45741</v>
      </c>
      <c r="B4794" s="10" t="str">
        <f>IF(OR('Volúmenes DIstribuidos '!C2912="Azúcar",'Volúmenes DIstribuidos '!C2912="azúcar"),"Azúcar o dulce",IF('Volúmenes DIstribuidos '!C2912="Aceite","Aceite o grasas",IF('Volúmenes DIstribuidos '!C2912="Avena","Otros almidones",'Volúmenes DIstribuidos '!C2912)))</f>
        <v>Otros almidones</v>
      </c>
      <c r="C4794" s="10" t="s">
        <v>29</v>
      </c>
      <c r="D4794" s="12">
        <f>'Volúmenes DIstribuidos '!D2912</f>
        <v>47.911999999999999</v>
      </c>
      <c r="E4794" s="12">
        <f>SUMIF('Parametros Inventario'!$A:$A,B4794,'Parametros Inventario'!$B:$B)+SUMIFS(D$2:D4794,B$2:B4794,B4794,C$2:C4794,"ENTRADA")-SUMIFS(D$2:D4794,B$2:B4794,B4794,C$2:C4794,"SALIDA")</f>
        <v>24783.638999999999</v>
      </c>
    </row>
    <row r="4795" spans="1:5" x14ac:dyDescent="0.3">
      <c r="A4795" s="9">
        <v>45744</v>
      </c>
      <c r="B4795" s="10" t="s">
        <v>11</v>
      </c>
      <c r="C4795" s="10" t="s">
        <v>28</v>
      </c>
      <c r="D4795" s="12">
        <v>106.15</v>
      </c>
      <c r="E4795" s="12">
        <f>SUMIF('Parametros Inventario'!$A:$A,B4795,'Parametros Inventario'!$B:$B)+SUMIFS(D$2:D4795,B$2:B4795,B4795,C$2:C4795,"ENTRADA")-SUMIFS(D$2:D4795,B$2:B4795,B4795,C$2:C4795,"SALIDA")</f>
        <v>25734.545000000009</v>
      </c>
    </row>
    <row r="4796" spans="1:5" x14ac:dyDescent="0.3">
      <c r="A4796" s="9">
        <v>45744</v>
      </c>
      <c r="B4796" s="10" t="s">
        <v>9</v>
      </c>
      <c r="C4796" s="10" t="s">
        <v>28</v>
      </c>
      <c r="D4796" s="12">
        <v>236.75</v>
      </c>
      <c r="E4796" s="12">
        <f>SUMIF('Parametros Inventario'!$A:$A,B4796,'Parametros Inventario'!$B:$B)+SUMIFS(D$2:D4796,B$2:B4796,B4796,C$2:C4796,"ENTRADA")-SUMIFS(D$2:D4796,B$2:B4796,B4796,C$2:C4796,"SALIDA")</f>
        <v>21153.394999999993</v>
      </c>
    </row>
    <row r="4797" spans="1:5" x14ac:dyDescent="0.3">
      <c r="A4797" s="9">
        <v>45744</v>
      </c>
      <c r="B4797" s="10" t="s">
        <v>14</v>
      </c>
      <c r="C4797" s="10" t="s">
        <v>28</v>
      </c>
      <c r="D4797" s="12">
        <v>79.31</v>
      </c>
      <c r="E4797" s="12">
        <f>SUMIF('Parametros Inventario'!$A:$A,B4797,'Parametros Inventario'!$B:$B)+SUMIFS(D$2:D4797,B$2:B4797,B4797,C$2:C4797,"ENTRADA")-SUMIFS(D$2:D4797,B$2:B4797,B4797,C$2:C4797,"SALIDA")</f>
        <v>22491.39699999999</v>
      </c>
    </row>
    <row r="4798" spans="1:5" x14ac:dyDescent="0.3">
      <c r="A4798" s="9">
        <v>45744</v>
      </c>
      <c r="B4798" s="10" t="s">
        <v>12</v>
      </c>
      <c r="C4798" s="10" t="s">
        <v>28</v>
      </c>
      <c r="D4798" s="12">
        <v>223.95</v>
      </c>
      <c r="E4798" s="12">
        <f>SUMIF('Parametros Inventario'!$A:$A,B4798,'Parametros Inventario'!$B:$B)+SUMIFS(D$2:D4798,B$2:B4798,B4798,C$2:C4798,"ENTRADA")-SUMIFS(D$2:D4798,B$2:B4798,B4798,C$2:C4798,"SALIDA")</f>
        <v>21916.58700000001</v>
      </c>
    </row>
    <row r="4799" spans="1:5" x14ac:dyDescent="0.3">
      <c r="A4799" s="9">
        <v>45744</v>
      </c>
      <c r="B4799" s="10" t="s">
        <v>16</v>
      </c>
      <c r="C4799" s="10" t="s">
        <v>28</v>
      </c>
      <c r="D4799" s="12">
        <v>85.77</v>
      </c>
      <c r="E4799" s="12">
        <f>SUMIF('Parametros Inventario'!$A:$A,B4799,'Parametros Inventario'!$B:$B)+SUMIFS(D$2:D4799,B$2:B4799,B4799,C$2:C4799,"ENTRADA")-SUMIFS(D$2:D4799,B$2:B4799,B4799,C$2:C4799,"SALIDA")</f>
        <v>22902.017</v>
      </c>
    </row>
    <row r="4800" spans="1:5" x14ac:dyDescent="0.3">
      <c r="A4800" s="9">
        <v>45744</v>
      </c>
      <c r="B4800" s="10" t="s">
        <v>17</v>
      </c>
      <c r="C4800" s="10" t="s">
        <v>28</v>
      </c>
      <c r="D4800" s="12">
        <v>233.27</v>
      </c>
      <c r="E4800" s="12">
        <f>SUMIF('Parametros Inventario'!$A:$A,B4800,'Parametros Inventario'!$B:$B)+SUMIFS(D$2:D4800,B$2:B4800,B4800,C$2:C4800,"ENTRADA")-SUMIFS(D$2:D4800,B$2:B4800,B4800,C$2:C4800,"SALIDA")</f>
        <v>21974.522000000001</v>
      </c>
    </row>
    <row r="4801" spans="1:5" x14ac:dyDescent="0.3">
      <c r="A4801" s="9">
        <v>45744</v>
      </c>
      <c r="B4801" s="10" t="s">
        <v>18</v>
      </c>
      <c r="C4801" s="10" t="s">
        <v>28</v>
      </c>
      <c r="D4801" s="12">
        <v>224.03</v>
      </c>
      <c r="E4801" s="12">
        <f>SUMIF('Parametros Inventario'!$A:$A,B4801,'Parametros Inventario'!$B:$B)+SUMIFS(D$2:D4801,B$2:B4801,B4801,C$2:C4801,"ENTRADA")-SUMIFS(D$2:D4801,B$2:B4801,B4801,C$2:C4801,"SALIDA")</f>
        <v>22443.623999999982</v>
      </c>
    </row>
    <row r="4802" spans="1:5" x14ac:dyDescent="0.3">
      <c r="A4802" s="9">
        <v>45744</v>
      </c>
      <c r="B4802" s="10" t="s">
        <v>10</v>
      </c>
      <c r="C4802" s="10" t="s">
        <v>28</v>
      </c>
      <c r="D4802" s="12">
        <v>156.18</v>
      </c>
      <c r="E4802" s="12">
        <f>SUMIF('Parametros Inventario'!$A:$A,B4802,'Parametros Inventario'!$B:$B)+SUMIFS(D$2:D4802,B$2:B4802,B4802,C$2:C4802,"ENTRADA")-SUMIFS(D$2:D4802,B$2:B4802,B4802,C$2:C4802,"SALIDA")</f>
        <v>24177.586000000003</v>
      </c>
    </row>
    <row r="4803" spans="1:5" x14ac:dyDescent="0.3">
      <c r="A4803" s="9">
        <v>45744</v>
      </c>
      <c r="B4803" s="10" t="s">
        <v>8</v>
      </c>
      <c r="C4803" s="10" t="s">
        <v>28</v>
      </c>
      <c r="D4803" s="12">
        <v>63.52</v>
      </c>
      <c r="E4803" s="12">
        <f>SUMIF('Parametros Inventario'!$A:$A,B4803,'Parametros Inventario'!$B:$B)+SUMIFS(D$2:D4803,B$2:B4803,B4803,C$2:C4803,"ENTRADA")-SUMIFS(D$2:D4803,B$2:B4803,B4803,C$2:C4803,"SALIDA")</f>
        <v>22729.482000000015</v>
      </c>
    </row>
    <row r="4804" spans="1:5" x14ac:dyDescent="0.3">
      <c r="A4804" s="9">
        <f>'Volúmenes DIstribuidos '!B2913</f>
        <v>45744</v>
      </c>
      <c r="B4804" s="10" t="str">
        <f>IF(OR('Volúmenes DIstribuidos '!C2913="Azúcar",'Volúmenes DIstribuidos '!C2913="azúcar"),"Azúcar o dulce",IF('Volúmenes DIstribuidos '!C2913="Aceite","Aceite o grasas",IF('Volúmenes DIstribuidos '!C2913="Avena","Otros almidones",'Volúmenes DIstribuidos '!C2913)))</f>
        <v>Fideo</v>
      </c>
      <c r="C4804" s="10" t="s">
        <v>29</v>
      </c>
      <c r="D4804" s="12">
        <f>'Volúmenes DIstribuidos '!D2913</f>
        <v>19.11</v>
      </c>
      <c r="E4804" s="12">
        <f>SUMIF('Parametros Inventario'!$A:$A,B4804,'Parametros Inventario'!$B:$B)+SUMIFS(D$2:D4804,B$2:B4804,B4804,C$2:C4804,"ENTRADA")-SUMIFS(D$2:D4804,B$2:B4804,B4804,C$2:C4804,"SALIDA")</f>
        <v>25715.435000000009</v>
      </c>
    </row>
    <row r="4805" spans="1:5" x14ac:dyDescent="0.3">
      <c r="A4805" s="9">
        <f>'Volúmenes DIstribuidos '!B2913</f>
        <v>45744</v>
      </c>
      <c r="B4805" s="10" t="str">
        <f>IF(OR('Volúmenes DIstribuidos '!C2914="Azúcar",'Volúmenes DIstribuidos '!C2914="azúcar"),"Azúcar o dulce",IF('Volúmenes DIstribuidos '!C2914="Aceite","Aceite o grasas",IF('Volúmenes DIstribuidos '!C2914="Avena","Otros almidones",'Volúmenes DIstribuidos '!C2914)))</f>
        <v>Panadería</v>
      </c>
      <c r="C4805" s="10" t="s">
        <v>29</v>
      </c>
      <c r="D4805" s="12">
        <f>'Volúmenes DIstribuidos '!D2914</f>
        <v>21.85</v>
      </c>
      <c r="E4805" s="12">
        <f>SUMIF('Parametros Inventario'!$A:$A,B4805,'Parametros Inventario'!$B:$B)+SUMIFS(D$2:D4805,B$2:B4805,B4805,C$2:C4805,"ENTRADA")-SUMIFS(D$2:D4805,B$2:B4805,B4805,C$2:C4805,"SALIDA")</f>
        <v>21131.544999999991</v>
      </c>
    </row>
    <row r="4806" spans="1:5" x14ac:dyDescent="0.3">
      <c r="A4806" s="9">
        <f>'Volúmenes DIstribuidos '!B2913</f>
        <v>45744</v>
      </c>
      <c r="B4806" s="10" t="str">
        <f>IF(OR('Volúmenes DIstribuidos '!C2915="Azúcar",'Volúmenes DIstribuidos '!C2915="azúcar"),"Azúcar o dulce",IF('Volúmenes DIstribuidos '!C2915="Aceite","Aceite o grasas",IF('Volúmenes DIstribuidos '!C2915="Avena","Otros almidones",'Volúmenes DIstribuidos '!C2915)))</f>
        <v>Azúcar o dulce</v>
      </c>
      <c r="C4806" s="10" t="s">
        <v>29</v>
      </c>
      <c r="D4806" s="12">
        <f>'Volúmenes DIstribuidos '!D2915</f>
        <v>7.91</v>
      </c>
      <c r="E4806" s="12">
        <f>SUMIF('Parametros Inventario'!$A:$A,B4806,'Parametros Inventario'!$B:$B)+SUMIFS(D$2:D4806,B$2:B4806,B4806,C$2:C4806,"ENTRADA")-SUMIFS(D$2:D4806,B$2:B4806,B4806,C$2:C4806,"SALIDA")</f>
        <v>21786.711999999992</v>
      </c>
    </row>
    <row r="4807" spans="1:5" x14ac:dyDescent="0.3">
      <c r="A4807" s="9">
        <f>'Volúmenes DIstribuidos '!B2913</f>
        <v>45744</v>
      </c>
      <c r="B4807" s="10" t="str">
        <f>IF(OR('Volúmenes DIstribuidos '!C2916="Azúcar",'Volúmenes DIstribuidos '!C2916="azúcar"),"Azúcar o dulce",IF('Volúmenes DIstribuidos '!C2916="Aceite","Aceite o grasas",IF('Volúmenes DIstribuidos '!C2916="Avena","Otros almidones",'Volúmenes DIstribuidos '!C2916)))</f>
        <v>Carnes blancas</v>
      </c>
      <c r="C4807" s="10" t="s">
        <v>29</v>
      </c>
      <c r="D4807" s="12">
        <f>'Volúmenes DIstribuidos '!D2916</f>
        <v>9.58</v>
      </c>
      <c r="E4807" s="12">
        <f>SUMIF('Parametros Inventario'!$A:$A,B4807,'Parametros Inventario'!$B:$B)+SUMIFS(D$2:D4807,B$2:B4807,B4807,C$2:C4807,"ENTRADA")-SUMIFS(D$2:D4807,B$2:B4807,B4807,C$2:C4807,"SALIDA")</f>
        <v>22892.436999999998</v>
      </c>
    </row>
    <row r="4808" spans="1:5" x14ac:dyDescent="0.3">
      <c r="A4808" s="9">
        <f>'Volúmenes DIstribuidos '!B2913</f>
        <v>45744</v>
      </c>
      <c r="B4808" s="10" t="str">
        <f>IF(OR('Volúmenes DIstribuidos '!C2917="Azúcar",'Volúmenes DIstribuidos '!C2917="azúcar"),"Azúcar o dulce",IF('Volúmenes DIstribuidos '!C2917="Aceite","Aceite o grasas",IF('Volúmenes DIstribuidos '!C2917="Avena","Otros almidones",'Volúmenes DIstribuidos '!C2917)))</f>
        <v>Salsas</v>
      </c>
      <c r="C4808" s="10" t="s">
        <v>29</v>
      </c>
      <c r="D4808" s="12">
        <f>'Volúmenes DIstribuidos '!D2917</f>
        <v>9.1690000000000005</v>
      </c>
      <c r="E4808" s="12">
        <f>SUMIF('Parametros Inventario'!$A:$A,B4808,'Parametros Inventario'!$B:$B)+SUMIFS(D$2:D4808,B$2:B4808,B4808,C$2:C4808,"ENTRADA")-SUMIFS(D$2:D4808,B$2:B4808,B4808,C$2:C4808,"SALIDA")</f>
        <v>22434.454999999984</v>
      </c>
    </row>
    <row r="4809" spans="1:5" x14ac:dyDescent="0.3">
      <c r="A4809" s="9">
        <f>'Volúmenes DIstribuidos '!B2913</f>
        <v>45744</v>
      </c>
      <c r="B4809" s="10" t="str">
        <f>IF(OR('Volúmenes DIstribuidos '!C2918="Azúcar",'Volúmenes DIstribuidos '!C2918="azúcar"),"Azúcar o dulce",IF('Volúmenes DIstribuidos '!C2918="Aceite","Aceite o grasas",IF('Volúmenes DIstribuidos '!C2918="Avena","Otros almidones",'Volúmenes DIstribuidos '!C2918)))</f>
        <v>Vegetales y hojas</v>
      </c>
      <c r="C4809" s="10" t="s">
        <v>29</v>
      </c>
      <c r="D4809" s="12">
        <f>'Volúmenes DIstribuidos '!D2918</f>
        <v>13.15</v>
      </c>
      <c r="E4809" s="12">
        <f>SUMIF('Parametros Inventario'!$A:$A,B4809,'Parametros Inventario'!$B:$B)+SUMIFS(D$2:D4809,B$2:B4809,B4809,C$2:C4809,"ENTRADA")-SUMIFS(D$2:D4809,B$2:B4809,B4809,C$2:C4809,"SALIDA")</f>
        <v>24164.436000000005</v>
      </c>
    </row>
    <row r="4810" spans="1:5" x14ac:dyDescent="0.3">
      <c r="A4810" s="9">
        <v>45748</v>
      </c>
      <c r="B4810" s="10" t="s">
        <v>13</v>
      </c>
      <c r="C4810" s="10" t="s">
        <v>28</v>
      </c>
      <c r="D4810" s="12">
        <v>76.5</v>
      </c>
      <c r="E4810" s="12">
        <f>SUMIF('Parametros Inventario'!$A:$A,B4810,'Parametros Inventario'!$B:$B)+SUMIFS(D$2:D4810,B$2:B4810,B4810,C$2:C4810,"ENTRADA")-SUMIFS(D$2:D4810,B$2:B4810,B4810,C$2:C4810,"SALIDA")</f>
        <v>21863.211999999992</v>
      </c>
    </row>
    <row r="4811" spans="1:5" x14ac:dyDescent="0.3">
      <c r="A4811" s="9">
        <v>45748</v>
      </c>
      <c r="B4811" s="10" t="s">
        <v>15</v>
      </c>
      <c r="C4811" s="10" t="s">
        <v>28</v>
      </c>
      <c r="D4811" s="12">
        <v>195.4</v>
      </c>
      <c r="E4811" s="12">
        <f>SUMIF('Parametros Inventario'!$A:$A,B4811,'Parametros Inventario'!$B:$B)+SUMIFS(D$2:D4811,B$2:B4811,B4811,C$2:C4811,"ENTRADA")-SUMIFS(D$2:D4811,B$2:B4811,B4811,C$2:C4811,"SALIDA")</f>
        <v>24979.039000000001</v>
      </c>
    </row>
    <row r="4812" spans="1:5" x14ac:dyDescent="0.3">
      <c r="A4812" s="9">
        <v>45748</v>
      </c>
      <c r="B4812" s="10" t="s">
        <v>11</v>
      </c>
      <c r="C4812" s="10" t="s">
        <v>28</v>
      </c>
      <c r="D4812" s="12">
        <v>169.21</v>
      </c>
      <c r="E4812" s="12">
        <f>SUMIF('Parametros Inventario'!$A:$A,B4812,'Parametros Inventario'!$B:$B)+SUMIFS(D$2:D4812,B$2:B4812,B4812,C$2:C4812,"ENTRADA")-SUMIFS(D$2:D4812,B$2:B4812,B4812,C$2:C4812,"SALIDA")</f>
        <v>25884.645000000008</v>
      </c>
    </row>
    <row r="4813" spans="1:5" x14ac:dyDescent="0.3">
      <c r="A4813" s="9">
        <v>45748</v>
      </c>
      <c r="B4813" s="10" t="s">
        <v>9</v>
      </c>
      <c r="C4813" s="10" t="s">
        <v>28</v>
      </c>
      <c r="D4813" s="12">
        <v>198.48</v>
      </c>
      <c r="E4813" s="12">
        <f>SUMIF('Parametros Inventario'!$A:$A,B4813,'Parametros Inventario'!$B:$B)+SUMIFS(D$2:D4813,B$2:B4813,B4813,C$2:C4813,"ENTRADA")-SUMIFS(D$2:D4813,B$2:B4813,B4813,C$2:C4813,"SALIDA")</f>
        <v>21330.024999999994</v>
      </c>
    </row>
    <row r="4814" spans="1:5" x14ac:dyDescent="0.3">
      <c r="A4814" s="9">
        <v>45748</v>
      </c>
      <c r="B4814" s="10" t="s">
        <v>14</v>
      </c>
      <c r="C4814" s="10" t="s">
        <v>28</v>
      </c>
      <c r="D4814" s="12">
        <v>89.54</v>
      </c>
      <c r="E4814" s="12">
        <f>SUMIF('Parametros Inventario'!$A:$A,B4814,'Parametros Inventario'!$B:$B)+SUMIFS(D$2:D4814,B$2:B4814,B4814,C$2:C4814,"ENTRADA")-SUMIFS(D$2:D4814,B$2:B4814,B4814,C$2:C4814,"SALIDA")</f>
        <v>22580.936999999991</v>
      </c>
    </row>
    <row r="4815" spans="1:5" x14ac:dyDescent="0.3">
      <c r="A4815" s="9">
        <v>45748</v>
      </c>
      <c r="B4815" s="10" t="s">
        <v>12</v>
      </c>
      <c r="C4815" s="10" t="s">
        <v>28</v>
      </c>
      <c r="D4815" s="12">
        <v>86.72</v>
      </c>
      <c r="E4815" s="12">
        <f>SUMIF('Parametros Inventario'!$A:$A,B4815,'Parametros Inventario'!$B:$B)+SUMIFS(D$2:D4815,B$2:B4815,B4815,C$2:C4815,"ENTRADA")-SUMIFS(D$2:D4815,B$2:B4815,B4815,C$2:C4815,"SALIDA")</f>
        <v>22003.307000000012</v>
      </c>
    </row>
    <row r="4816" spans="1:5" x14ac:dyDescent="0.3">
      <c r="A4816" s="9">
        <v>45748</v>
      </c>
      <c r="B4816" s="10" t="s">
        <v>16</v>
      </c>
      <c r="C4816" s="10" t="s">
        <v>28</v>
      </c>
      <c r="D4816" s="12">
        <v>85.32</v>
      </c>
      <c r="E4816" s="12">
        <f>SUMIF('Parametros Inventario'!$A:$A,B4816,'Parametros Inventario'!$B:$B)+SUMIFS(D$2:D4816,B$2:B4816,B4816,C$2:C4816,"ENTRADA")-SUMIFS(D$2:D4816,B$2:B4816,B4816,C$2:C4816,"SALIDA")</f>
        <v>22977.756999999998</v>
      </c>
    </row>
    <row r="4817" spans="1:5" x14ac:dyDescent="0.3">
      <c r="A4817" s="9">
        <v>45748</v>
      </c>
      <c r="B4817" s="10" t="s">
        <v>17</v>
      </c>
      <c r="C4817" s="10" t="s">
        <v>28</v>
      </c>
      <c r="D4817" s="12">
        <v>111.26</v>
      </c>
      <c r="E4817" s="12">
        <f>SUMIF('Parametros Inventario'!$A:$A,B4817,'Parametros Inventario'!$B:$B)+SUMIFS(D$2:D4817,B$2:B4817,B4817,C$2:C4817,"ENTRADA")-SUMIFS(D$2:D4817,B$2:B4817,B4817,C$2:C4817,"SALIDA")</f>
        <v>22085.781999999999</v>
      </c>
    </row>
    <row r="4818" spans="1:5" x14ac:dyDescent="0.3">
      <c r="A4818" s="9">
        <v>45748</v>
      </c>
      <c r="B4818" s="10" t="s">
        <v>18</v>
      </c>
      <c r="C4818" s="10" t="s">
        <v>28</v>
      </c>
      <c r="D4818" s="12">
        <v>53.12</v>
      </c>
      <c r="E4818" s="12">
        <f>SUMIF('Parametros Inventario'!$A:$A,B4818,'Parametros Inventario'!$B:$B)+SUMIFS(D$2:D4818,B$2:B4818,B4818,C$2:C4818,"ENTRADA")-SUMIFS(D$2:D4818,B$2:B4818,B4818,C$2:C4818,"SALIDA")</f>
        <v>22487.574999999983</v>
      </c>
    </row>
    <row r="4819" spans="1:5" x14ac:dyDescent="0.3">
      <c r="A4819" s="9">
        <f>'Volúmenes DIstribuidos '!B2919</f>
        <v>45748</v>
      </c>
      <c r="B4819" s="10" t="str">
        <f>IF(OR('Volúmenes DIstribuidos '!C2919="Azúcar",'Volúmenes DIstribuidos '!C2919="azúcar"),"Azúcar o dulce",IF('Volúmenes DIstribuidos '!C2919="Aceite","Aceite o grasas",IF('Volúmenes DIstribuidos '!C2919="Avena","Otros almidones",'Volúmenes DIstribuidos '!C2919)))</f>
        <v>Carnes rojas</v>
      </c>
      <c r="C4819" s="10" t="s">
        <v>29</v>
      </c>
      <c r="D4819" s="12">
        <f>'Volúmenes DIstribuidos '!D2919</f>
        <v>9.84</v>
      </c>
      <c r="E4819" s="12">
        <f>SUMIF('Parametros Inventario'!$A:$A,B4819,'Parametros Inventario'!$B:$B)+SUMIFS(D$2:D4819,B$2:B4819,B4819,C$2:C4819,"ENTRADA")-SUMIFS(D$2:D4819,B$2:B4819,B4819,C$2:C4819,"SALIDA")</f>
        <v>21993.467000000011</v>
      </c>
    </row>
    <row r="4820" spans="1:5" x14ac:dyDescent="0.3">
      <c r="A4820" s="9">
        <f>'Volúmenes DIstribuidos '!B2919</f>
        <v>45748</v>
      </c>
      <c r="B4820" s="10" t="str">
        <f>IF(OR('Volúmenes DIstribuidos '!C2920="Azúcar",'Volúmenes DIstribuidos '!C2920="azúcar"),"Azúcar o dulce",IF('Volúmenes DIstribuidos '!C2920="Aceite","Aceite o grasas",IF('Volúmenes DIstribuidos '!C2920="Avena","Otros almidones",'Volúmenes DIstribuidos '!C2920)))</f>
        <v>Otros almidones</v>
      </c>
      <c r="C4820" s="10" t="s">
        <v>29</v>
      </c>
      <c r="D4820" s="12">
        <f>'Volúmenes DIstribuidos '!D2920</f>
        <v>4.2699999999999996</v>
      </c>
      <c r="E4820" s="12">
        <f>SUMIF('Parametros Inventario'!$A:$A,B4820,'Parametros Inventario'!$B:$B)+SUMIFS(D$2:D4820,B$2:B4820,B4820,C$2:C4820,"ENTRADA")-SUMIFS(D$2:D4820,B$2:B4820,B4820,C$2:C4820,"SALIDA")</f>
        <v>24974.769</v>
      </c>
    </row>
    <row r="4821" spans="1:5" x14ac:dyDescent="0.3">
      <c r="A4821" s="9">
        <f>'Volúmenes DIstribuidos '!B2919</f>
        <v>45748</v>
      </c>
      <c r="B4821" s="10" t="str">
        <f>IF(OR('Volúmenes DIstribuidos '!C2921="Azúcar",'Volúmenes DIstribuidos '!C2921="azúcar"),"Azúcar o dulce",IF('Volúmenes DIstribuidos '!C2921="Aceite","Aceite o grasas",IF('Volúmenes DIstribuidos '!C2921="Avena","Otros almidones",'Volúmenes DIstribuidos '!C2921)))</f>
        <v>Lácteos</v>
      </c>
      <c r="C4821" s="10" t="s">
        <v>29</v>
      </c>
      <c r="D4821" s="12">
        <f>'Volúmenes DIstribuidos '!D2921</f>
        <v>25.44</v>
      </c>
      <c r="E4821" s="12">
        <f>SUMIF('Parametros Inventario'!$A:$A,B4821,'Parametros Inventario'!$B:$B)+SUMIFS(D$2:D4821,B$2:B4821,B4821,C$2:C4821,"ENTRADA")-SUMIFS(D$2:D4821,B$2:B4821,B4821,C$2:C4821,"SALIDA")</f>
        <v>22060.341999999997</v>
      </c>
    </row>
    <row r="4822" spans="1:5" x14ac:dyDescent="0.3">
      <c r="A4822" s="9">
        <f>'Volúmenes DIstribuidos '!B2919</f>
        <v>45748</v>
      </c>
      <c r="B4822" s="10" t="str">
        <f>IF(OR('Volúmenes DIstribuidos '!C2922="Azúcar",'Volúmenes DIstribuidos '!C2922="azúcar"),"Azúcar o dulce",IF('Volúmenes DIstribuidos '!C2922="Aceite","Aceite o grasas",IF('Volúmenes DIstribuidos '!C2922="Avena","Otros almidones",'Volúmenes DIstribuidos '!C2922)))</f>
        <v>Azúcar o dulce</v>
      </c>
      <c r="C4822" s="10" t="s">
        <v>29</v>
      </c>
      <c r="D4822" s="12">
        <f>'Volúmenes DIstribuidos '!D2922</f>
        <v>4.1500000000000004</v>
      </c>
      <c r="E4822" s="12">
        <f>SUMIF('Parametros Inventario'!$A:$A,B4822,'Parametros Inventario'!$B:$B)+SUMIFS(D$2:D4822,B$2:B4822,B4822,C$2:C4822,"ENTRADA")-SUMIFS(D$2:D4822,B$2:B4822,B4822,C$2:C4822,"SALIDA")</f>
        <v>21859.061999999991</v>
      </c>
    </row>
    <row r="4823" spans="1:5" x14ac:dyDescent="0.3">
      <c r="A4823" s="9">
        <f>'Volúmenes DIstribuidos '!B2919</f>
        <v>45748</v>
      </c>
      <c r="B4823" s="10" t="str">
        <f>IF(OR('Volúmenes DIstribuidos '!C2923="Azúcar",'Volúmenes DIstribuidos '!C2923="azúcar"),"Azúcar o dulce",IF('Volúmenes DIstribuidos '!C2923="Aceite","Aceite o grasas",IF('Volúmenes DIstribuidos '!C2923="Avena","Otros almidones",'Volúmenes DIstribuidos '!C2923)))</f>
        <v>Salsas</v>
      </c>
      <c r="C4823" s="10" t="s">
        <v>29</v>
      </c>
      <c r="D4823" s="12">
        <f>'Volúmenes DIstribuidos '!D2923</f>
        <v>16.795000000000002</v>
      </c>
      <c r="E4823" s="12">
        <f>SUMIF('Parametros Inventario'!$A:$A,B4823,'Parametros Inventario'!$B:$B)+SUMIFS(D$2:D4823,B$2:B4823,B4823,C$2:C4823,"ENTRADA")-SUMIFS(D$2:D4823,B$2:B4823,B4823,C$2:C4823,"SALIDA")</f>
        <v>22470.779999999984</v>
      </c>
    </row>
    <row r="4824" spans="1:5" x14ac:dyDescent="0.3">
      <c r="A4824" s="9">
        <f>'Volúmenes DIstribuidos '!B2919</f>
        <v>45748</v>
      </c>
      <c r="B4824" s="10" t="str">
        <f>IF(OR('Volúmenes DIstribuidos '!C2924="Azúcar",'Volúmenes DIstribuidos '!C2924="azúcar"),"Azúcar o dulce",IF('Volúmenes DIstribuidos '!C2924="Aceite","Aceite o grasas",IF('Volúmenes DIstribuidos '!C2924="Avena","Otros almidones",'Volúmenes DIstribuidos '!C2924)))</f>
        <v>Carnes rojas</v>
      </c>
      <c r="C4824" s="10" t="s">
        <v>29</v>
      </c>
      <c r="D4824" s="12">
        <f>'Volúmenes DIstribuidos '!D2924</f>
        <v>26.67</v>
      </c>
      <c r="E4824" s="12">
        <f>SUMIF('Parametros Inventario'!$A:$A,B4824,'Parametros Inventario'!$B:$B)+SUMIFS(D$2:D4824,B$2:B4824,B4824,C$2:C4824,"ENTRADA")-SUMIFS(D$2:D4824,B$2:B4824,B4824,C$2:C4824,"SALIDA")</f>
        <v>21966.79700000001</v>
      </c>
    </row>
    <row r="4825" spans="1:5" x14ac:dyDescent="0.3">
      <c r="A4825" s="9">
        <v>45751</v>
      </c>
      <c r="B4825" s="10" t="s">
        <v>10</v>
      </c>
      <c r="C4825" s="10" t="s">
        <v>28</v>
      </c>
      <c r="D4825" s="12">
        <v>257.77</v>
      </c>
      <c r="E4825" s="12">
        <f>SUMIF('Parametros Inventario'!$A:$A,B4825,'Parametros Inventario'!$B:$B)+SUMIFS(D$2:D4825,B$2:B4825,B4825,C$2:C4825,"ENTRADA")-SUMIFS(D$2:D4825,B$2:B4825,B4825,C$2:C4825,"SALIDA")</f>
        <v>24422.206000000006</v>
      </c>
    </row>
    <row r="4826" spans="1:5" x14ac:dyDescent="0.3">
      <c r="A4826" s="9">
        <v>45751</v>
      </c>
      <c r="B4826" s="10" t="s">
        <v>8</v>
      </c>
      <c r="C4826" s="10" t="s">
        <v>28</v>
      </c>
      <c r="D4826" s="12">
        <v>154.12</v>
      </c>
      <c r="E4826" s="12">
        <f>SUMIF('Parametros Inventario'!$A:$A,B4826,'Parametros Inventario'!$B:$B)+SUMIFS(D$2:D4826,B$2:B4826,B4826,C$2:C4826,"ENTRADA")-SUMIFS(D$2:D4826,B$2:B4826,B4826,C$2:C4826,"SALIDA")</f>
        <v>22883.602000000014</v>
      </c>
    </row>
    <row r="4827" spans="1:5" x14ac:dyDescent="0.3">
      <c r="A4827" s="9">
        <v>45751</v>
      </c>
      <c r="B4827" s="10" t="s">
        <v>13</v>
      </c>
      <c r="C4827" s="10" t="s">
        <v>28</v>
      </c>
      <c r="D4827" s="12">
        <v>241.35</v>
      </c>
      <c r="E4827" s="12">
        <f>SUMIF('Parametros Inventario'!$A:$A,B4827,'Parametros Inventario'!$B:$B)+SUMIFS(D$2:D4827,B$2:B4827,B4827,C$2:C4827,"ENTRADA")-SUMIFS(D$2:D4827,B$2:B4827,B4827,C$2:C4827,"SALIDA")</f>
        <v>22100.411999999989</v>
      </c>
    </row>
    <row r="4828" spans="1:5" x14ac:dyDescent="0.3">
      <c r="A4828" s="9">
        <f>'Volúmenes DIstribuidos '!B2925</f>
        <v>45751</v>
      </c>
      <c r="B4828" s="10" t="str">
        <f>IF(OR('Volúmenes DIstribuidos '!C2925="Azúcar",'Volúmenes DIstribuidos '!C2925="azúcar"),"Azúcar o dulce",IF('Volúmenes DIstribuidos '!C2925="Aceite","Aceite o grasas",IF('Volúmenes DIstribuidos '!C2925="Avena","Otros almidones",'Volúmenes DIstribuidos '!C2925)))</f>
        <v>Aceite o grasas</v>
      </c>
      <c r="C4828" s="10" t="s">
        <v>29</v>
      </c>
      <c r="D4828" s="12">
        <f>'Volúmenes DIstribuidos '!D2925</f>
        <v>30.22</v>
      </c>
      <c r="E4828" s="12">
        <f>SUMIF('Parametros Inventario'!$A:$A,B4828,'Parametros Inventario'!$B:$B)+SUMIFS(D$2:D4828,B$2:B4828,B4828,C$2:C4828,"ENTRADA")-SUMIFS(D$2:D4828,B$2:B4828,B4828,C$2:C4828,"SALIDA")</f>
        <v>22853.382000000012</v>
      </c>
    </row>
    <row r="4829" spans="1:5" x14ac:dyDescent="0.3">
      <c r="A4829" s="9">
        <f>'Volúmenes DIstribuidos '!B2925</f>
        <v>45751</v>
      </c>
      <c r="B4829" s="10" t="str">
        <f>IF(OR('Volúmenes DIstribuidos '!C2926="Azúcar",'Volúmenes DIstribuidos '!C2926="azúcar"),"Azúcar o dulce",IF('Volúmenes DIstribuidos '!C2926="Aceite","Aceite o grasas",IF('Volúmenes DIstribuidos '!C2926="Avena","Otros almidones",'Volúmenes DIstribuidos '!C2926)))</f>
        <v>Panadería</v>
      </c>
      <c r="C4829" s="10" t="s">
        <v>29</v>
      </c>
      <c r="D4829" s="12">
        <f>'Volúmenes DIstribuidos '!D2926</f>
        <v>42.853000000000002</v>
      </c>
      <c r="E4829" s="12">
        <f>SUMIF('Parametros Inventario'!$A:$A,B4829,'Parametros Inventario'!$B:$B)+SUMIFS(D$2:D4829,B$2:B4829,B4829,C$2:C4829,"ENTRADA")-SUMIFS(D$2:D4829,B$2:B4829,B4829,C$2:C4829,"SALIDA")</f>
        <v>21287.171999999991</v>
      </c>
    </row>
    <row r="4830" spans="1:5" x14ac:dyDescent="0.3">
      <c r="A4830" s="9">
        <f>'Volúmenes DIstribuidos '!B2925</f>
        <v>45751</v>
      </c>
      <c r="B4830" s="10" t="str">
        <f>IF(OR('Volúmenes DIstribuidos '!C2927="Azúcar",'Volúmenes DIstribuidos '!C2927="azúcar"),"Azúcar o dulce",IF('Volúmenes DIstribuidos '!C2927="Aceite","Aceite o grasas",IF('Volúmenes DIstribuidos '!C2927="Avena","Otros almidones",'Volúmenes DIstribuidos '!C2927)))</f>
        <v>Menestras</v>
      </c>
      <c r="C4830" s="10" t="s">
        <v>29</v>
      </c>
      <c r="D4830" s="12">
        <f>'Volúmenes DIstribuidos '!D2927</f>
        <v>50</v>
      </c>
      <c r="E4830" s="12">
        <f>SUMIF('Parametros Inventario'!$A:$A,B4830,'Parametros Inventario'!$B:$B)+SUMIFS(D$2:D4830,B$2:B4830,B4830,C$2:C4830,"ENTRADA")-SUMIFS(D$2:D4830,B$2:B4830,B4830,C$2:C4830,"SALIDA")</f>
        <v>22530.936999999991</v>
      </c>
    </row>
    <row r="4831" spans="1:5" x14ac:dyDescent="0.3">
      <c r="A4831" s="9">
        <f>'Volúmenes DIstribuidos '!B2925</f>
        <v>45751</v>
      </c>
      <c r="B4831" s="10" t="str">
        <f>IF(OR('Volúmenes DIstribuidos '!C2928="Azúcar",'Volúmenes DIstribuidos '!C2928="azúcar"),"Azúcar o dulce",IF('Volúmenes DIstribuidos '!C2928="Aceite","Aceite o grasas",IF('Volúmenes DIstribuidos '!C2928="Avena","Otros almidones",'Volúmenes DIstribuidos '!C2928)))</f>
        <v>Vegetales y hojas</v>
      </c>
      <c r="C4831" s="10" t="s">
        <v>29</v>
      </c>
      <c r="D4831" s="12">
        <f>'Volúmenes DIstribuidos '!D2928</f>
        <v>40</v>
      </c>
      <c r="E4831" s="12">
        <f>SUMIF('Parametros Inventario'!$A:$A,B4831,'Parametros Inventario'!$B:$B)+SUMIFS(D$2:D4831,B$2:B4831,B4831,C$2:C4831,"ENTRADA")-SUMIFS(D$2:D4831,B$2:B4831,B4831,C$2:C4831,"SALIDA")</f>
        <v>24382.206000000006</v>
      </c>
    </row>
    <row r="4832" spans="1:5" x14ac:dyDescent="0.3">
      <c r="A4832" s="9">
        <f>'Volúmenes DIstribuidos '!B2925</f>
        <v>45751</v>
      </c>
      <c r="B4832" s="10" t="str">
        <f>IF(OR('Volúmenes DIstribuidos '!C2929="Azúcar",'Volúmenes DIstribuidos '!C2929="azúcar"),"Azúcar o dulce",IF('Volúmenes DIstribuidos '!C2929="Aceite","Aceite o grasas",IF('Volúmenes DIstribuidos '!C2929="Avena","Otros almidones",'Volúmenes DIstribuidos '!C2929)))</f>
        <v>Salsas</v>
      </c>
      <c r="C4832" s="10" t="s">
        <v>29</v>
      </c>
      <c r="D4832" s="12">
        <f>'Volúmenes DIstribuidos '!D2929</f>
        <v>8.7330000000000005</v>
      </c>
      <c r="E4832" s="12">
        <f>SUMIF('Parametros Inventario'!$A:$A,B4832,'Parametros Inventario'!$B:$B)+SUMIFS(D$2:D4832,B$2:B4832,B4832,C$2:C4832,"ENTRADA")-SUMIFS(D$2:D4832,B$2:B4832,B4832,C$2:C4832,"SALIDA")</f>
        <v>22462.046999999984</v>
      </c>
    </row>
    <row r="4833" spans="1:5" x14ac:dyDescent="0.3">
      <c r="A4833" s="9">
        <f>'Volúmenes DIstribuidos '!B2925</f>
        <v>45751</v>
      </c>
      <c r="B4833" s="10" t="str">
        <f>IF(OR('Volúmenes DIstribuidos '!C2930="Azúcar",'Volúmenes DIstribuidos '!C2930="azúcar"),"Azúcar o dulce",IF('Volúmenes DIstribuidos '!C2930="Aceite","Aceite o grasas",IF('Volúmenes DIstribuidos '!C2930="Avena","Otros almidones",'Volúmenes DIstribuidos '!C2930)))</f>
        <v>Salsas</v>
      </c>
      <c r="C4833" s="10" t="s">
        <v>29</v>
      </c>
      <c r="D4833" s="12">
        <f>'Volúmenes DIstribuidos '!D2930</f>
        <v>14.99</v>
      </c>
      <c r="E4833" s="12">
        <f>SUMIF('Parametros Inventario'!$A:$A,B4833,'Parametros Inventario'!$B:$B)+SUMIFS(D$2:D4833,B$2:B4833,B4833,C$2:C4833,"ENTRADA")-SUMIFS(D$2:D4833,B$2:B4833,B4833,C$2:C4833,"SALIDA")</f>
        <v>22447.056999999983</v>
      </c>
    </row>
    <row r="4834" spans="1:5" x14ac:dyDescent="0.3">
      <c r="A4834" s="9">
        <f>'Volúmenes DIstribuidos '!B2931</f>
        <v>45755</v>
      </c>
      <c r="B4834" s="10" t="str">
        <f>IF(OR('Volúmenes DIstribuidos '!C2931="Azúcar",'Volúmenes DIstribuidos '!C2931="azúcar"),"Azúcar o dulce",IF('Volúmenes DIstribuidos '!C2931="Aceite","Aceite o grasas",IF('Volúmenes DIstribuidos '!C2931="Avena","Otros almidones",'Volúmenes DIstribuidos '!C2931)))</f>
        <v>Carnes rojas</v>
      </c>
      <c r="C4834" s="10" t="s">
        <v>29</v>
      </c>
      <c r="D4834" s="12">
        <f>'Volúmenes DIstribuidos '!D2931</f>
        <v>15.46</v>
      </c>
      <c r="E4834" s="12">
        <f>SUMIF('Parametros Inventario'!$A:$A,B4834,'Parametros Inventario'!$B:$B)+SUMIFS(D$2:D4834,B$2:B4834,B4834,C$2:C4834,"ENTRADA")-SUMIFS(D$2:D4834,B$2:B4834,B4834,C$2:C4834,"SALIDA")</f>
        <v>21951.33700000001</v>
      </c>
    </row>
    <row r="4835" spans="1:5" x14ac:dyDescent="0.3">
      <c r="A4835" s="9">
        <f>'Volúmenes DIstribuidos '!B2931</f>
        <v>45755</v>
      </c>
      <c r="B4835" s="10" t="str">
        <f>IF(OR('Volúmenes DIstribuidos '!C2932="Azúcar",'Volúmenes DIstribuidos '!C2932="azúcar"),"Azúcar o dulce",IF('Volúmenes DIstribuidos '!C2932="Aceite","Aceite o grasas",IF('Volúmenes DIstribuidos '!C2932="Avena","Otros almidones",'Volúmenes DIstribuidos '!C2932)))</f>
        <v>Vegetales y hojas</v>
      </c>
      <c r="C4835" s="10" t="s">
        <v>29</v>
      </c>
      <c r="D4835" s="12">
        <f>'Volúmenes DIstribuidos '!D2932</f>
        <v>33.11</v>
      </c>
      <c r="E4835" s="12">
        <f>SUMIF('Parametros Inventario'!$A:$A,B4835,'Parametros Inventario'!$B:$B)+SUMIFS(D$2:D4835,B$2:B4835,B4835,C$2:C4835,"ENTRADA")-SUMIFS(D$2:D4835,B$2:B4835,B4835,C$2:C4835,"SALIDA")</f>
        <v>24349.096000000005</v>
      </c>
    </row>
    <row r="4836" spans="1:5" x14ac:dyDescent="0.3">
      <c r="A4836" s="9">
        <f>'Volúmenes DIstribuidos '!B2931</f>
        <v>45755</v>
      </c>
      <c r="B4836" s="10" t="str">
        <f>IF(OR('Volúmenes DIstribuidos '!C2933="Azúcar",'Volúmenes DIstribuidos '!C2933="azúcar"),"Azúcar o dulce",IF('Volúmenes DIstribuidos '!C2933="Aceite","Aceite o grasas",IF('Volúmenes DIstribuidos '!C2933="Avena","Otros almidones",'Volúmenes DIstribuidos '!C2933)))</f>
        <v>Azúcar o dulce</v>
      </c>
      <c r="C4836" s="10" t="s">
        <v>29</v>
      </c>
      <c r="D4836" s="12">
        <f>'Volúmenes DIstribuidos '!D2933</f>
        <v>10.18</v>
      </c>
      <c r="E4836" s="12">
        <f>SUMIF('Parametros Inventario'!$A:$A,B4836,'Parametros Inventario'!$B:$B)+SUMIFS(D$2:D4836,B$2:B4836,B4836,C$2:C4836,"ENTRADA")-SUMIFS(D$2:D4836,B$2:B4836,B4836,C$2:C4836,"SALIDA")</f>
        <v>22090.231999999989</v>
      </c>
    </row>
    <row r="4837" spans="1:5" x14ac:dyDescent="0.3">
      <c r="A4837" s="9">
        <f>'Volúmenes DIstribuidos '!B2931</f>
        <v>45755</v>
      </c>
      <c r="B4837" s="10" t="str">
        <f>IF(OR('Volúmenes DIstribuidos '!C2934="Azúcar",'Volúmenes DIstribuidos '!C2934="azúcar"),"Azúcar o dulce",IF('Volúmenes DIstribuidos '!C2934="Aceite","Aceite o grasas",IF('Volúmenes DIstribuidos '!C2934="Avena","Otros almidones",'Volúmenes DIstribuidos '!C2934)))</f>
        <v>Aceite o grasas</v>
      </c>
      <c r="C4837" s="10" t="s">
        <v>29</v>
      </c>
      <c r="D4837" s="12">
        <f>'Volúmenes DIstribuidos '!D2934</f>
        <v>16.78</v>
      </c>
      <c r="E4837" s="12">
        <f>SUMIF('Parametros Inventario'!$A:$A,B4837,'Parametros Inventario'!$B:$B)+SUMIFS(D$2:D4837,B$2:B4837,B4837,C$2:C4837,"ENTRADA")-SUMIFS(D$2:D4837,B$2:B4837,B4837,C$2:C4837,"SALIDA")</f>
        <v>22836.602000000014</v>
      </c>
    </row>
    <row r="4838" spans="1:5" x14ac:dyDescent="0.3">
      <c r="A4838" s="9">
        <f>'Volúmenes DIstribuidos '!B2931</f>
        <v>45755</v>
      </c>
      <c r="B4838" s="10" t="str">
        <f>IF(OR('Volúmenes DIstribuidos '!C2935="Azúcar",'Volúmenes DIstribuidos '!C2935="azúcar"),"Azúcar o dulce",IF('Volúmenes DIstribuidos '!C2935="Aceite","Aceite o grasas",IF('Volúmenes DIstribuidos '!C2935="Avena","Otros almidones",'Volúmenes DIstribuidos '!C2935)))</f>
        <v>Fideo</v>
      </c>
      <c r="C4838" s="10" t="s">
        <v>29</v>
      </c>
      <c r="D4838" s="12">
        <f>'Volúmenes DIstribuidos '!D2935</f>
        <v>43.716000000000001</v>
      </c>
      <c r="E4838" s="12">
        <f>SUMIF('Parametros Inventario'!$A:$A,B4838,'Parametros Inventario'!$B:$B)+SUMIFS(D$2:D4838,B$2:B4838,B4838,C$2:C4838,"ENTRADA")-SUMIFS(D$2:D4838,B$2:B4838,B4838,C$2:C4838,"SALIDA")</f>
        <v>25840.929000000007</v>
      </c>
    </row>
    <row r="4839" spans="1:5" x14ac:dyDescent="0.3">
      <c r="A4839" s="9">
        <f>'Volúmenes DIstribuidos '!B2931</f>
        <v>45755</v>
      </c>
      <c r="B4839" s="10" t="str">
        <f>IF(OR('Volúmenes DIstribuidos '!C2936="Azúcar",'Volúmenes DIstribuidos '!C2936="azúcar"),"Azúcar o dulce",IF('Volúmenes DIstribuidos '!C2936="Aceite","Aceite o grasas",IF('Volúmenes DIstribuidos '!C2936="Avena","Otros almidones",'Volúmenes DIstribuidos '!C2936)))</f>
        <v>Carnes rojas</v>
      </c>
      <c r="C4839" s="10" t="s">
        <v>29</v>
      </c>
      <c r="D4839" s="12">
        <f>'Volúmenes DIstribuidos '!D2936</f>
        <v>49.58</v>
      </c>
      <c r="E4839" s="12">
        <f>SUMIF('Parametros Inventario'!$A:$A,B4839,'Parametros Inventario'!$B:$B)+SUMIFS(D$2:D4839,B$2:B4839,B4839,C$2:C4839,"ENTRADA")-SUMIFS(D$2:D4839,B$2:B4839,B4839,C$2:C4839,"SALIDA")</f>
        <v>21901.757000000012</v>
      </c>
    </row>
    <row r="4840" spans="1:5" x14ac:dyDescent="0.3">
      <c r="A4840" s="9">
        <v>45758</v>
      </c>
      <c r="B4840" s="10" t="s">
        <v>15</v>
      </c>
      <c r="C4840" s="10" t="s">
        <v>28</v>
      </c>
      <c r="D4840" s="12">
        <v>167.44</v>
      </c>
      <c r="E4840" s="12">
        <f>SUMIF('Parametros Inventario'!$A:$A,B4840,'Parametros Inventario'!$B:$B)+SUMIFS(D$2:D4840,B$2:B4840,B4840,C$2:C4840,"ENTRADA")-SUMIFS(D$2:D4840,B$2:B4840,B4840,C$2:C4840,"SALIDA")</f>
        <v>25142.208999999995</v>
      </c>
    </row>
    <row r="4841" spans="1:5" x14ac:dyDescent="0.3">
      <c r="A4841" s="9">
        <v>45758</v>
      </c>
      <c r="B4841" s="10" t="s">
        <v>11</v>
      </c>
      <c r="C4841" s="10" t="s">
        <v>28</v>
      </c>
      <c r="D4841" s="12">
        <v>85.03</v>
      </c>
      <c r="E4841" s="12">
        <f>SUMIF('Parametros Inventario'!$A:$A,B4841,'Parametros Inventario'!$B:$B)+SUMIFS(D$2:D4841,B$2:B4841,B4841,C$2:C4841,"ENTRADA")-SUMIFS(D$2:D4841,B$2:B4841,B4841,C$2:C4841,"SALIDA")</f>
        <v>25925.959000000003</v>
      </c>
    </row>
    <row r="4842" spans="1:5" x14ac:dyDescent="0.3">
      <c r="A4842" s="9">
        <v>45758</v>
      </c>
      <c r="B4842" s="10" t="s">
        <v>9</v>
      </c>
      <c r="C4842" s="10" t="s">
        <v>28</v>
      </c>
      <c r="D4842" s="12">
        <v>181.86</v>
      </c>
      <c r="E4842" s="12">
        <f>SUMIF('Parametros Inventario'!$A:$A,B4842,'Parametros Inventario'!$B:$B)+SUMIFS(D$2:D4842,B$2:B4842,B4842,C$2:C4842,"ENTRADA")-SUMIFS(D$2:D4842,B$2:B4842,B4842,C$2:C4842,"SALIDA")</f>
        <v>21469.031999999992</v>
      </c>
    </row>
    <row r="4843" spans="1:5" x14ac:dyDescent="0.3">
      <c r="A4843" s="9">
        <v>45758</v>
      </c>
      <c r="B4843" s="10" t="s">
        <v>14</v>
      </c>
      <c r="C4843" s="10" t="s">
        <v>28</v>
      </c>
      <c r="D4843" s="12">
        <v>287.19</v>
      </c>
      <c r="E4843" s="12">
        <f>SUMIF('Parametros Inventario'!$A:$A,B4843,'Parametros Inventario'!$B:$B)+SUMIFS(D$2:D4843,B$2:B4843,B4843,C$2:C4843,"ENTRADA")-SUMIFS(D$2:D4843,B$2:B4843,B4843,C$2:C4843,"SALIDA")</f>
        <v>22818.126999999989</v>
      </c>
    </row>
    <row r="4844" spans="1:5" x14ac:dyDescent="0.3">
      <c r="A4844" s="9">
        <v>45758</v>
      </c>
      <c r="B4844" s="10" t="s">
        <v>12</v>
      </c>
      <c r="C4844" s="10" t="s">
        <v>28</v>
      </c>
      <c r="D4844" s="12">
        <v>167.55</v>
      </c>
      <c r="E4844" s="12">
        <f>SUMIF('Parametros Inventario'!$A:$A,B4844,'Parametros Inventario'!$B:$B)+SUMIFS(D$2:D4844,B$2:B4844,B4844,C$2:C4844,"ENTRADA")-SUMIFS(D$2:D4844,B$2:B4844,B4844,C$2:C4844,"SALIDA")</f>
        <v>22069.307000000008</v>
      </c>
    </row>
    <row r="4845" spans="1:5" x14ac:dyDescent="0.3">
      <c r="A4845" s="9">
        <v>45758</v>
      </c>
      <c r="B4845" s="10" t="s">
        <v>16</v>
      </c>
      <c r="C4845" s="10" t="s">
        <v>28</v>
      </c>
      <c r="D4845" s="12">
        <v>230.64</v>
      </c>
      <c r="E4845" s="12">
        <f>SUMIF('Parametros Inventario'!$A:$A,B4845,'Parametros Inventario'!$B:$B)+SUMIFS(D$2:D4845,B$2:B4845,B4845,C$2:C4845,"ENTRADA")-SUMIFS(D$2:D4845,B$2:B4845,B4845,C$2:C4845,"SALIDA")</f>
        <v>23208.396999999997</v>
      </c>
    </row>
    <row r="4846" spans="1:5" x14ac:dyDescent="0.3">
      <c r="A4846" s="9">
        <v>45758</v>
      </c>
      <c r="B4846" s="10" t="s">
        <v>17</v>
      </c>
      <c r="C4846" s="10" t="s">
        <v>28</v>
      </c>
      <c r="D4846" s="12">
        <v>160.99</v>
      </c>
      <c r="E4846" s="12">
        <f>SUMIF('Parametros Inventario'!$A:$A,B4846,'Parametros Inventario'!$B:$B)+SUMIFS(D$2:D4846,B$2:B4846,B4846,C$2:C4846,"ENTRADA")-SUMIFS(D$2:D4846,B$2:B4846,B4846,C$2:C4846,"SALIDA")</f>
        <v>22221.332000000002</v>
      </c>
    </row>
    <row r="4847" spans="1:5" x14ac:dyDescent="0.3">
      <c r="A4847" s="9">
        <v>45758</v>
      </c>
      <c r="B4847" s="10" t="s">
        <v>18</v>
      </c>
      <c r="C4847" s="10" t="s">
        <v>28</v>
      </c>
      <c r="D4847" s="12">
        <v>211.21</v>
      </c>
      <c r="E4847" s="12">
        <f>SUMIF('Parametros Inventario'!$A:$A,B4847,'Parametros Inventario'!$B:$B)+SUMIFS(D$2:D4847,B$2:B4847,B4847,C$2:C4847,"ENTRADA")-SUMIFS(D$2:D4847,B$2:B4847,B4847,C$2:C4847,"SALIDA")</f>
        <v>22658.266999999982</v>
      </c>
    </row>
    <row r="4848" spans="1:5" x14ac:dyDescent="0.3">
      <c r="A4848" s="9">
        <v>45758</v>
      </c>
      <c r="B4848" s="10" t="s">
        <v>10</v>
      </c>
      <c r="C4848" s="10" t="s">
        <v>28</v>
      </c>
      <c r="D4848" s="12">
        <v>53.3</v>
      </c>
      <c r="E4848" s="12">
        <f>SUMIF('Parametros Inventario'!$A:$A,B4848,'Parametros Inventario'!$B:$B)+SUMIFS(D$2:D4848,B$2:B4848,B4848,C$2:C4848,"ENTRADA")-SUMIFS(D$2:D4848,B$2:B4848,B4848,C$2:C4848,"SALIDA")</f>
        <v>24402.396000000004</v>
      </c>
    </row>
    <row r="4849" spans="1:5" x14ac:dyDescent="0.3">
      <c r="A4849" s="9">
        <v>45758</v>
      </c>
      <c r="B4849" s="10" t="s">
        <v>8</v>
      </c>
      <c r="C4849" s="10" t="s">
        <v>28</v>
      </c>
      <c r="D4849" s="12">
        <v>77.819999999999993</v>
      </c>
      <c r="E4849" s="12">
        <f>SUMIF('Parametros Inventario'!$A:$A,B4849,'Parametros Inventario'!$B:$B)+SUMIFS(D$2:D4849,B$2:B4849,B4849,C$2:C4849,"ENTRADA")-SUMIFS(D$2:D4849,B$2:B4849,B4849,C$2:C4849,"SALIDA")</f>
        <v>22914.422000000013</v>
      </c>
    </row>
    <row r="4850" spans="1:5" x14ac:dyDescent="0.3">
      <c r="A4850" s="9">
        <v>45758</v>
      </c>
      <c r="B4850" s="10" t="s">
        <v>13</v>
      </c>
      <c r="C4850" s="10" t="s">
        <v>28</v>
      </c>
      <c r="D4850" s="12">
        <v>65</v>
      </c>
      <c r="E4850" s="12">
        <f>SUMIF('Parametros Inventario'!$A:$A,B4850,'Parametros Inventario'!$B:$B)+SUMIFS(D$2:D4850,B$2:B4850,B4850,C$2:C4850,"ENTRADA")-SUMIFS(D$2:D4850,B$2:B4850,B4850,C$2:C4850,"SALIDA")</f>
        <v>22155.231999999989</v>
      </c>
    </row>
    <row r="4851" spans="1:5" x14ac:dyDescent="0.3">
      <c r="A4851" s="9">
        <v>45758</v>
      </c>
      <c r="B4851" s="10" t="s">
        <v>15</v>
      </c>
      <c r="C4851" s="10" t="s">
        <v>28</v>
      </c>
      <c r="D4851" s="12">
        <v>210.61</v>
      </c>
      <c r="E4851" s="12">
        <f>SUMIF('Parametros Inventario'!$A:$A,B4851,'Parametros Inventario'!$B:$B)+SUMIFS(D$2:D4851,B$2:B4851,B4851,C$2:C4851,"ENTRADA")-SUMIFS(D$2:D4851,B$2:B4851,B4851,C$2:C4851,"SALIDA")</f>
        <v>25352.818999999996</v>
      </c>
    </row>
    <row r="4852" spans="1:5" x14ac:dyDescent="0.3">
      <c r="A4852" s="9">
        <v>45758</v>
      </c>
      <c r="B4852" s="10" t="s">
        <v>11</v>
      </c>
      <c r="C4852" s="10" t="s">
        <v>28</v>
      </c>
      <c r="D4852" s="12">
        <v>201.04</v>
      </c>
      <c r="E4852" s="12">
        <f>SUMIF('Parametros Inventario'!$A:$A,B4852,'Parametros Inventario'!$B:$B)+SUMIFS(D$2:D4852,B$2:B4852,B4852,C$2:C4852,"ENTRADA")-SUMIFS(D$2:D4852,B$2:B4852,B4852,C$2:C4852,"SALIDA")</f>
        <v>26126.999000000011</v>
      </c>
    </row>
    <row r="4853" spans="1:5" x14ac:dyDescent="0.3">
      <c r="A4853" s="9">
        <v>45758</v>
      </c>
      <c r="B4853" s="10" t="s">
        <v>9</v>
      </c>
      <c r="C4853" s="10" t="s">
        <v>28</v>
      </c>
      <c r="D4853" s="12">
        <v>93.4</v>
      </c>
      <c r="E4853" s="12">
        <f>SUMIF('Parametros Inventario'!$A:$A,B4853,'Parametros Inventario'!$B:$B)+SUMIFS(D$2:D4853,B$2:B4853,B4853,C$2:C4853,"ENTRADA")-SUMIFS(D$2:D4853,B$2:B4853,B4853,C$2:C4853,"SALIDA")</f>
        <v>21562.431999999993</v>
      </c>
    </row>
    <row r="4854" spans="1:5" x14ac:dyDescent="0.3">
      <c r="A4854" s="9">
        <v>45758</v>
      </c>
      <c r="B4854" s="10" t="s">
        <v>14</v>
      </c>
      <c r="C4854" s="10" t="s">
        <v>28</v>
      </c>
      <c r="D4854" s="12">
        <v>90.09</v>
      </c>
      <c r="E4854" s="12">
        <f>SUMIF('Parametros Inventario'!$A:$A,B4854,'Parametros Inventario'!$B:$B)+SUMIFS(D$2:D4854,B$2:B4854,B4854,C$2:C4854,"ENTRADA")-SUMIFS(D$2:D4854,B$2:B4854,B4854,C$2:C4854,"SALIDA")</f>
        <v>22908.21699999999</v>
      </c>
    </row>
    <row r="4855" spans="1:5" x14ac:dyDescent="0.3">
      <c r="A4855" s="9">
        <v>45758</v>
      </c>
      <c r="B4855" s="10" t="s">
        <v>12</v>
      </c>
      <c r="C4855" s="10" t="s">
        <v>28</v>
      </c>
      <c r="D4855" s="12">
        <v>149.1</v>
      </c>
      <c r="E4855" s="12">
        <f>SUMIF('Parametros Inventario'!$A:$A,B4855,'Parametros Inventario'!$B:$B)+SUMIFS(D$2:D4855,B$2:B4855,B4855,C$2:C4855,"ENTRADA")-SUMIFS(D$2:D4855,B$2:B4855,B4855,C$2:C4855,"SALIDA")</f>
        <v>22218.407000000007</v>
      </c>
    </row>
    <row r="4856" spans="1:5" x14ac:dyDescent="0.3">
      <c r="A4856" s="9">
        <v>45758</v>
      </c>
      <c r="B4856" s="10" t="s">
        <v>16</v>
      </c>
      <c r="C4856" s="10" t="s">
        <v>28</v>
      </c>
      <c r="D4856" s="12">
        <v>155.91</v>
      </c>
      <c r="E4856" s="12">
        <f>SUMIF('Parametros Inventario'!$A:$A,B4856,'Parametros Inventario'!$B:$B)+SUMIFS(D$2:D4856,B$2:B4856,B4856,C$2:C4856,"ENTRADA")-SUMIFS(D$2:D4856,B$2:B4856,B4856,C$2:C4856,"SALIDA")</f>
        <v>23364.306999999997</v>
      </c>
    </row>
    <row r="4857" spans="1:5" x14ac:dyDescent="0.3">
      <c r="A4857" s="9">
        <v>45758</v>
      </c>
      <c r="B4857" s="10" t="s">
        <v>17</v>
      </c>
      <c r="C4857" s="10" t="s">
        <v>28</v>
      </c>
      <c r="D4857" s="12">
        <v>287.06</v>
      </c>
      <c r="E4857" s="12">
        <f>SUMIF('Parametros Inventario'!$A:$A,B4857,'Parametros Inventario'!$B:$B)+SUMIFS(D$2:D4857,B$2:B4857,B4857,C$2:C4857,"ENTRADA")-SUMIFS(D$2:D4857,B$2:B4857,B4857,C$2:C4857,"SALIDA")</f>
        <v>22508.392</v>
      </c>
    </row>
    <row r="4858" spans="1:5" x14ac:dyDescent="0.3">
      <c r="A4858" s="9">
        <v>45758</v>
      </c>
      <c r="B4858" s="10" t="s">
        <v>18</v>
      </c>
      <c r="C4858" s="10" t="s">
        <v>28</v>
      </c>
      <c r="D4858" s="12">
        <v>163.57</v>
      </c>
      <c r="E4858" s="12">
        <f>SUMIF('Parametros Inventario'!$A:$A,B4858,'Parametros Inventario'!$B:$B)+SUMIFS(D$2:D4858,B$2:B4858,B4858,C$2:C4858,"ENTRADA")-SUMIFS(D$2:D4858,B$2:B4858,B4858,C$2:C4858,"SALIDA")</f>
        <v>22821.836999999981</v>
      </c>
    </row>
    <row r="4859" spans="1:5" x14ac:dyDescent="0.3">
      <c r="A4859" s="9">
        <v>45758</v>
      </c>
      <c r="B4859" s="10" t="s">
        <v>10</v>
      </c>
      <c r="C4859" s="10" t="s">
        <v>28</v>
      </c>
      <c r="D4859" s="12">
        <v>227.85</v>
      </c>
      <c r="E4859" s="12">
        <f>SUMIF('Parametros Inventario'!$A:$A,B4859,'Parametros Inventario'!$B:$B)+SUMIFS(D$2:D4859,B$2:B4859,B4859,C$2:C4859,"ENTRADA")-SUMIFS(D$2:D4859,B$2:B4859,B4859,C$2:C4859,"SALIDA")</f>
        <v>24630.246000000003</v>
      </c>
    </row>
    <row r="4860" spans="1:5" x14ac:dyDescent="0.3">
      <c r="A4860" s="9">
        <f>'Volúmenes DIstribuidos '!B2937</f>
        <v>45758</v>
      </c>
      <c r="B4860" s="10" t="str">
        <f>IF(OR('Volúmenes DIstribuidos '!C2937="Azúcar",'Volúmenes DIstribuidos '!C2937="azúcar"),"Azúcar o dulce",IF('Volúmenes DIstribuidos '!C2937="Aceite","Aceite o grasas",IF('Volúmenes DIstribuidos '!C2937="Avena","Otros almidones",'Volúmenes DIstribuidos '!C2937)))</f>
        <v>Vegetales y hojas</v>
      </c>
      <c r="C4860" s="10" t="s">
        <v>29</v>
      </c>
      <c r="D4860" s="12">
        <f>'Volúmenes DIstribuidos '!D2937</f>
        <v>79.06</v>
      </c>
      <c r="E4860" s="12">
        <f>SUMIF('Parametros Inventario'!$A:$A,B4860,'Parametros Inventario'!$B:$B)+SUMIFS(D$2:D4860,B$2:B4860,B4860,C$2:C4860,"ENTRADA")-SUMIFS(D$2:D4860,B$2:B4860,B4860,C$2:C4860,"SALIDA")</f>
        <v>24551.186000000002</v>
      </c>
    </row>
    <row r="4861" spans="1:5" x14ac:dyDescent="0.3">
      <c r="A4861" s="9">
        <f>'Volúmenes DIstribuidos '!B2937</f>
        <v>45758</v>
      </c>
      <c r="B4861" s="10" t="str">
        <f>IF(OR('Volúmenes DIstribuidos '!C2938="Azúcar",'Volúmenes DIstribuidos '!C2938="azúcar"),"Azúcar o dulce",IF('Volúmenes DIstribuidos '!C2938="Aceite","Aceite o grasas",IF('Volúmenes DIstribuidos '!C2938="Avena","Otros almidones",'Volúmenes DIstribuidos '!C2938)))</f>
        <v>Otros almidones</v>
      </c>
      <c r="C4861" s="10" t="s">
        <v>29</v>
      </c>
      <c r="D4861" s="12">
        <f>'Volúmenes DIstribuidos '!D2938</f>
        <v>69.25</v>
      </c>
      <c r="E4861" s="12">
        <f>SUMIF('Parametros Inventario'!$A:$A,B4861,'Parametros Inventario'!$B:$B)+SUMIFS(D$2:D4861,B$2:B4861,B4861,C$2:C4861,"ENTRADA")-SUMIFS(D$2:D4861,B$2:B4861,B4861,C$2:C4861,"SALIDA")</f>
        <v>25283.568999999996</v>
      </c>
    </row>
    <row r="4862" spans="1:5" x14ac:dyDescent="0.3">
      <c r="A4862" s="9">
        <f>'Volúmenes DIstribuidos '!B2937</f>
        <v>45758</v>
      </c>
      <c r="B4862" s="10" t="str">
        <f>IF(OR('Volúmenes DIstribuidos '!C2939="Azúcar",'Volúmenes DIstribuidos '!C2939="azúcar"),"Azúcar o dulce",IF('Volúmenes DIstribuidos '!C2939="Aceite","Aceite o grasas",IF('Volúmenes DIstribuidos '!C2939="Avena","Otros almidones",'Volúmenes DIstribuidos '!C2939)))</f>
        <v>Panadería</v>
      </c>
      <c r="C4862" s="10" t="s">
        <v>29</v>
      </c>
      <c r="D4862" s="12">
        <f>'Volúmenes DIstribuidos '!D2939</f>
        <v>31.06</v>
      </c>
      <c r="E4862" s="12">
        <f>SUMIF('Parametros Inventario'!$A:$A,B4862,'Parametros Inventario'!$B:$B)+SUMIFS(D$2:D4862,B$2:B4862,B4862,C$2:C4862,"ENTRADA")-SUMIFS(D$2:D4862,B$2:B4862,B4862,C$2:C4862,"SALIDA")</f>
        <v>21531.371999999996</v>
      </c>
    </row>
    <row r="4863" spans="1:5" x14ac:dyDescent="0.3">
      <c r="A4863" s="9">
        <f>'Volúmenes DIstribuidos '!B2937</f>
        <v>45758</v>
      </c>
      <c r="B4863" s="10" t="str">
        <f>IF(OR('Volúmenes DIstribuidos '!C2940="Azúcar",'Volúmenes DIstribuidos '!C2940="azúcar"),"Azúcar o dulce",IF('Volúmenes DIstribuidos '!C2940="Aceite","Aceite o grasas",IF('Volúmenes DIstribuidos '!C2940="Avena","Otros almidones",'Volúmenes DIstribuidos '!C2940)))</f>
        <v>Carnes blancas</v>
      </c>
      <c r="C4863" s="10" t="s">
        <v>29</v>
      </c>
      <c r="D4863" s="12">
        <f>'Volúmenes DIstribuidos '!D2940</f>
        <v>39.799999999999997</v>
      </c>
      <c r="E4863" s="12">
        <f>SUMIF('Parametros Inventario'!$A:$A,B4863,'Parametros Inventario'!$B:$B)+SUMIFS(D$2:D4863,B$2:B4863,B4863,C$2:C4863,"ENTRADA")-SUMIFS(D$2:D4863,B$2:B4863,B4863,C$2:C4863,"SALIDA")</f>
        <v>23324.506999999998</v>
      </c>
    </row>
    <row r="4864" spans="1:5" x14ac:dyDescent="0.3">
      <c r="A4864" s="9">
        <f>'Volúmenes DIstribuidos '!B2937</f>
        <v>45758</v>
      </c>
      <c r="B4864" s="10" t="str">
        <f>IF(OR('Volúmenes DIstribuidos '!C2941="Azúcar",'Volúmenes DIstribuidos '!C2941="azúcar"),"Azúcar o dulce",IF('Volúmenes DIstribuidos '!C2941="Aceite","Aceite o grasas",IF('Volúmenes DIstribuidos '!C2941="Avena","Otros almidones",'Volúmenes DIstribuidos '!C2941)))</f>
        <v>Salsas</v>
      </c>
      <c r="C4864" s="10" t="s">
        <v>29</v>
      </c>
      <c r="D4864" s="12">
        <f>'Volúmenes DIstribuidos '!D2941</f>
        <v>30.44</v>
      </c>
      <c r="E4864" s="12">
        <f>SUMIF('Parametros Inventario'!$A:$A,B4864,'Parametros Inventario'!$B:$B)+SUMIFS(D$2:D4864,B$2:B4864,B4864,C$2:C4864,"ENTRADA")-SUMIFS(D$2:D4864,B$2:B4864,B4864,C$2:C4864,"SALIDA")</f>
        <v>22791.396999999983</v>
      </c>
    </row>
    <row r="4865" spans="1:5" x14ac:dyDescent="0.3">
      <c r="A4865" s="9">
        <f>'Volúmenes DIstribuidos '!B2937</f>
        <v>45758</v>
      </c>
      <c r="B4865" s="10" t="str">
        <f>IF(OR('Volúmenes DIstribuidos '!C2942="Azúcar",'Volúmenes DIstribuidos '!C2942="azúcar"),"Azúcar o dulce",IF('Volúmenes DIstribuidos '!C2942="Aceite","Aceite o grasas",IF('Volúmenes DIstribuidos '!C2942="Avena","Otros almidones",'Volúmenes DIstribuidos '!C2942)))</f>
        <v>Carnes blancas</v>
      </c>
      <c r="C4865" s="10" t="s">
        <v>29</v>
      </c>
      <c r="D4865" s="12">
        <f>'Volúmenes DIstribuidos '!D2942</f>
        <v>63.77</v>
      </c>
      <c r="E4865" s="12">
        <f>SUMIF('Parametros Inventario'!$A:$A,B4865,'Parametros Inventario'!$B:$B)+SUMIFS(D$2:D4865,B$2:B4865,B4865,C$2:C4865,"ENTRADA")-SUMIFS(D$2:D4865,B$2:B4865,B4865,C$2:C4865,"SALIDA")</f>
        <v>23260.736999999997</v>
      </c>
    </row>
    <row r="4866" spans="1:5" x14ac:dyDescent="0.3">
      <c r="A4866" s="9">
        <f>'Volúmenes DIstribuidos '!B2943</f>
        <v>45762</v>
      </c>
      <c r="B4866" s="10" t="str">
        <f>IF(OR('Volúmenes DIstribuidos '!C2943="Azúcar",'Volúmenes DIstribuidos '!C2943="azúcar"),"Azúcar o dulce",IF('Volúmenes DIstribuidos '!C2943="Aceite","Aceite o grasas",IF('Volúmenes DIstribuidos '!C2943="Avena","Otros almidones",'Volúmenes DIstribuidos '!C2943)))</f>
        <v>Fideo</v>
      </c>
      <c r="C4866" s="10" t="s">
        <v>29</v>
      </c>
      <c r="D4866" s="12">
        <f>'Volúmenes DIstribuidos '!D2943</f>
        <v>54.67</v>
      </c>
      <c r="E4866" s="12">
        <f>SUMIF('Parametros Inventario'!$A:$A,B4866,'Parametros Inventario'!$B:$B)+SUMIFS(D$2:D4866,B$2:B4866,B4866,C$2:C4866,"ENTRADA")-SUMIFS(D$2:D4866,B$2:B4866,B4866,C$2:C4866,"SALIDA")</f>
        <v>26072.329000000012</v>
      </c>
    </row>
    <row r="4867" spans="1:5" x14ac:dyDescent="0.3">
      <c r="A4867" s="9">
        <f>'Volúmenes DIstribuidos '!B2943</f>
        <v>45762</v>
      </c>
      <c r="B4867" s="10" t="str">
        <f>IF(OR('Volúmenes DIstribuidos '!C2944="Azúcar",'Volúmenes DIstribuidos '!C2944="azúcar"),"Azúcar o dulce",IF('Volúmenes DIstribuidos '!C2944="Aceite","Aceite o grasas",IF('Volúmenes DIstribuidos '!C2944="Avena","Otros almidones",'Volúmenes DIstribuidos '!C2944)))</f>
        <v>Otros almidones</v>
      </c>
      <c r="C4867" s="10" t="s">
        <v>29</v>
      </c>
      <c r="D4867" s="12">
        <f>'Volúmenes DIstribuidos '!D2944</f>
        <v>27.21</v>
      </c>
      <c r="E4867" s="12">
        <f>SUMIF('Parametros Inventario'!$A:$A,B4867,'Parametros Inventario'!$B:$B)+SUMIFS(D$2:D4867,B$2:B4867,B4867,C$2:C4867,"ENTRADA")-SUMIFS(D$2:D4867,B$2:B4867,B4867,C$2:C4867,"SALIDA")</f>
        <v>25256.358999999997</v>
      </c>
    </row>
    <row r="4868" spans="1:5" x14ac:dyDescent="0.3">
      <c r="A4868" s="9">
        <f>'Volúmenes DIstribuidos '!B2943</f>
        <v>45762</v>
      </c>
      <c r="B4868" s="10" t="str">
        <f>IF(OR('Volúmenes DIstribuidos '!C2945="Azúcar",'Volúmenes DIstribuidos '!C2945="azúcar"),"Azúcar o dulce",IF('Volúmenes DIstribuidos '!C2945="Aceite","Aceite o grasas",IF('Volúmenes DIstribuidos '!C2945="Avena","Otros almidones",'Volúmenes DIstribuidos '!C2945)))</f>
        <v>Aceite o grasas</v>
      </c>
      <c r="C4868" s="10" t="s">
        <v>29</v>
      </c>
      <c r="D4868" s="12">
        <f>'Volúmenes DIstribuidos '!D2945</f>
        <v>6.95</v>
      </c>
      <c r="E4868" s="12">
        <f>SUMIF('Parametros Inventario'!$A:$A,B4868,'Parametros Inventario'!$B:$B)+SUMIFS(D$2:D4868,B$2:B4868,B4868,C$2:C4868,"ENTRADA")-SUMIFS(D$2:D4868,B$2:B4868,B4868,C$2:C4868,"SALIDA")</f>
        <v>22907.472000000012</v>
      </c>
    </row>
    <row r="4869" spans="1:5" x14ac:dyDescent="0.3">
      <c r="A4869" s="9">
        <f>'Volúmenes DIstribuidos '!B2943</f>
        <v>45762</v>
      </c>
      <c r="B4869" s="10" t="str">
        <f>IF(OR('Volúmenes DIstribuidos '!C2946="Azúcar",'Volúmenes DIstribuidos '!C2946="azúcar"),"Azúcar o dulce",IF('Volúmenes DIstribuidos '!C2946="Aceite","Aceite o grasas",IF('Volúmenes DIstribuidos '!C2946="Avena","Otros almidones",'Volúmenes DIstribuidos '!C2946)))</f>
        <v>Vegetales y hojas</v>
      </c>
      <c r="C4869" s="10" t="s">
        <v>29</v>
      </c>
      <c r="D4869" s="12">
        <f>'Volúmenes DIstribuidos '!D2946</f>
        <v>21.34</v>
      </c>
      <c r="E4869" s="12">
        <f>SUMIF('Parametros Inventario'!$A:$A,B4869,'Parametros Inventario'!$B:$B)+SUMIFS(D$2:D4869,B$2:B4869,B4869,C$2:C4869,"ENTRADA")-SUMIFS(D$2:D4869,B$2:B4869,B4869,C$2:C4869,"SALIDA")</f>
        <v>24529.846000000001</v>
      </c>
    </row>
    <row r="4870" spans="1:5" x14ac:dyDescent="0.3">
      <c r="A4870" s="9">
        <f>'Volúmenes DIstribuidos '!B2943</f>
        <v>45762</v>
      </c>
      <c r="B4870" s="10" t="str">
        <f>IF(OR('Volúmenes DIstribuidos '!C2947="Azúcar",'Volúmenes DIstribuidos '!C2947="azúcar"),"Azúcar o dulce",IF('Volúmenes DIstribuidos '!C2947="Aceite","Aceite o grasas",IF('Volúmenes DIstribuidos '!C2947="Avena","Otros almidones",'Volúmenes DIstribuidos '!C2947)))</f>
        <v>Salsas</v>
      </c>
      <c r="C4870" s="10" t="s">
        <v>29</v>
      </c>
      <c r="D4870" s="12">
        <f>'Volúmenes DIstribuidos '!D2947</f>
        <v>5.194</v>
      </c>
      <c r="E4870" s="12">
        <f>SUMIF('Parametros Inventario'!$A:$A,B4870,'Parametros Inventario'!$B:$B)+SUMIFS(D$2:D4870,B$2:B4870,B4870,C$2:C4870,"ENTRADA")-SUMIFS(D$2:D4870,B$2:B4870,B4870,C$2:C4870,"SALIDA")</f>
        <v>22786.20299999998</v>
      </c>
    </row>
    <row r="4871" spans="1:5" x14ac:dyDescent="0.3">
      <c r="A4871" s="9">
        <f>'Volúmenes DIstribuidos '!B2943</f>
        <v>45762</v>
      </c>
      <c r="B4871" s="10" t="str">
        <f>IF(OR('Volúmenes DIstribuidos '!C2948="Azúcar",'Volúmenes DIstribuidos '!C2948="azúcar"),"Azúcar o dulce",IF('Volúmenes DIstribuidos '!C2948="Aceite","Aceite o grasas",IF('Volúmenes DIstribuidos '!C2948="Avena","Otros almidones",'Volúmenes DIstribuidos '!C2948)))</f>
        <v>Carnes blancas</v>
      </c>
      <c r="C4871" s="10" t="s">
        <v>29</v>
      </c>
      <c r="D4871" s="12">
        <f>'Volúmenes DIstribuidos '!D2948</f>
        <v>15.65</v>
      </c>
      <c r="E4871" s="12">
        <f>SUMIF('Parametros Inventario'!$A:$A,B4871,'Parametros Inventario'!$B:$B)+SUMIFS(D$2:D4871,B$2:B4871,B4871,C$2:C4871,"ENTRADA")-SUMIFS(D$2:D4871,B$2:B4871,B4871,C$2:C4871,"SALIDA")</f>
        <v>23245.086999999996</v>
      </c>
    </row>
    <row r="4872" spans="1:5" x14ac:dyDescent="0.3">
      <c r="A4872" s="9">
        <v>45765</v>
      </c>
      <c r="B4872" s="10" t="s">
        <v>8</v>
      </c>
      <c r="C4872" s="10" t="s">
        <v>28</v>
      </c>
      <c r="D4872" s="12">
        <v>114.51</v>
      </c>
      <c r="E4872" s="12">
        <f>SUMIF('Parametros Inventario'!$A:$A,B4872,'Parametros Inventario'!$B:$B)+SUMIFS(D$2:D4872,B$2:B4872,B4872,C$2:C4872,"ENTRADA")-SUMIFS(D$2:D4872,B$2:B4872,B4872,C$2:C4872,"SALIDA")</f>
        <v>23021.982000000015</v>
      </c>
    </row>
    <row r="4873" spans="1:5" x14ac:dyDescent="0.3">
      <c r="A4873" s="9">
        <v>45765</v>
      </c>
      <c r="B4873" s="10" t="s">
        <v>13</v>
      </c>
      <c r="C4873" s="10" t="s">
        <v>28</v>
      </c>
      <c r="D4873" s="12">
        <v>193.02</v>
      </c>
      <c r="E4873" s="12">
        <f>SUMIF('Parametros Inventario'!$A:$A,B4873,'Parametros Inventario'!$B:$B)+SUMIFS(D$2:D4873,B$2:B4873,B4873,C$2:C4873,"ENTRADA")-SUMIFS(D$2:D4873,B$2:B4873,B4873,C$2:C4873,"SALIDA")</f>
        <v>22348.251999999993</v>
      </c>
    </row>
    <row r="4874" spans="1:5" x14ac:dyDescent="0.3">
      <c r="A4874" s="9">
        <v>45765</v>
      </c>
      <c r="B4874" s="10" t="s">
        <v>15</v>
      </c>
      <c r="C4874" s="10" t="s">
        <v>28</v>
      </c>
      <c r="D4874" s="12">
        <v>126.51</v>
      </c>
      <c r="E4874" s="12">
        <f>SUMIF('Parametros Inventario'!$A:$A,B4874,'Parametros Inventario'!$B:$B)+SUMIFS(D$2:D4874,B$2:B4874,B4874,C$2:C4874,"ENTRADA")-SUMIFS(D$2:D4874,B$2:B4874,B4874,C$2:C4874,"SALIDA")</f>
        <v>25382.868999999999</v>
      </c>
    </row>
    <row r="4875" spans="1:5" x14ac:dyDescent="0.3">
      <c r="A4875" s="9">
        <v>45765</v>
      </c>
      <c r="B4875" s="10" t="s">
        <v>11</v>
      </c>
      <c r="C4875" s="10" t="s">
        <v>28</v>
      </c>
      <c r="D4875" s="12">
        <v>106.83</v>
      </c>
      <c r="E4875" s="12">
        <f>SUMIF('Parametros Inventario'!$A:$A,B4875,'Parametros Inventario'!$B:$B)+SUMIFS(D$2:D4875,B$2:B4875,B4875,C$2:C4875,"ENTRADA")-SUMIFS(D$2:D4875,B$2:B4875,B4875,C$2:C4875,"SALIDA")</f>
        <v>26179.159000000014</v>
      </c>
    </row>
    <row r="4876" spans="1:5" x14ac:dyDescent="0.3">
      <c r="A4876" s="9">
        <v>45765</v>
      </c>
      <c r="B4876" s="10" t="s">
        <v>9</v>
      </c>
      <c r="C4876" s="10" t="s">
        <v>28</v>
      </c>
      <c r="D4876" s="12">
        <v>282.86</v>
      </c>
      <c r="E4876" s="12">
        <f>SUMIF('Parametros Inventario'!$A:$A,B4876,'Parametros Inventario'!$B:$B)+SUMIFS(D$2:D4876,B$2:B4876,B4876,C$2:C4876,"ENTRADA")-SUMIFS(D$2:D4876,B$2:B4876,B4876,C$2:C4876,"SALIDA")</f>
        <v>21814.231999999996</v>
      </c>
    </row>
    <row r="4877" spans="1:5" x14ac:dyDescent="0.3">
      <c r="A4877" s="9">
        <v>45765</v>
      </c>
      <c r="B4877" s="10" t="s">
        <v>14</v>
      </c>
      <c r="C4877" s="10" t="s">
        <v>28</v>
      </c>
      <c r="D4877" s="12">
        <v>117.96</v>
      </c>
      <c r="E4877" s="12">
        <f>SUMIF('Parametros Inventario'!$A:$A,B4877,'Parametros Inventario'!$B:$B)+SUMIFS(D$2:D4877,B$2:B4877,B4877,C$2:C4877,"ENTRADA")-SUMIFS(D$2:D4877,B$2:B4877,B4877,C$2:C4877,"SALIDA")</f>
        <v>23026.176999999989</v>
      </c>
    </row>
    <row r="4878" spans="1:5" x14ac:dyDescent="0.3">
      <c r="A4878" s="9">
        <v>45765</v>
      </c>
      <c r="B4878" s="10" t="s">
        <v>12</v>
      </c>
      <c r="C4878" s="10" t="s">
        <v>28</v>
      </c>
      <c r="D4878" s="12">
        <v>72.98</v>
      </c>
      <c r="E4878" s="12">
        <f>SUMIF('Parametros Inventario'!$A:$A,B4878,'Parametros Inventario'!$B:$B)+SUMIFS(D$2:D4878,B$2:B4878,B4878,C$2:C4878,"ENTRADA")-SUMIFS(D$2:D4878,B$2:B4878,B4878,C$2:C4878,"SALIDA")</f>
        <v>22291.38700000001</v>
      </c>
    </row>
    <row r="4879" spans="1:5" x14ac:dyDescent="0.3">
      <c r="A4879" s="9">
        <v>45765</v>
      </c>
      <c r="B4879" s="10" t="s">
        <v>16</v>
      </c>
      <c r="C4879" s="10" t="s">
        <v>28</v>
      </c>
      <c r="D4879" s="12">
        <v>144.38999999999999</v>
      </c>
      <c r="E4879" s="12">
        <f>SUMIF('Parametros Inventario'!$A:$A,B4879,'Parametros Inventario'!$B:$B)+SUMIFS(D$2:D4879,B$2:B4879,B4879,C$2:C4879,"ENTRADA")-SUMIFS(D$2:D4879,B$2:B4879,B4879,C$2:C4879,"SALIDA")</f>
        <v>23389.476999999995</v>
      </c>
    </row>
    <row r="4880" spans="1:5" x14ac:dyDescent="0.3">
      <c r="A4880" s="9">
        <f>'Volúmenes DIstribuidos '!B2949</f>
        <v>45765</v>
      </c>
      <c r="B4880" s="10" t="str">
        <f>IF(OR('Volúmenes DIstribuidos '!C2949="Azúcar",'Volúmenes DIstribuidos '!C2949="azúcar"),"Azúcar o dulce",IF('Volúmenes DIstribuidos '!C2949="Aceite","Aceite o grasas",IF('Volúmenes DIstribuidos '!C2949="Avena","Otros almidones",'Volúmenes DIstribuidos '!C2949)))</f>
        <v>Menestras</v>
      </c>
      <c r="C4880" s="10" t="s">
        <v>29</v>
      </c>
      <c r="D4880" s="12">
        <f>'Volúmenes DIstribuidos '!D2949</f>
        <v>12.31</v>
      </c>
      <c r="E4880" s="12">
        <f>SUMIF('Parametros Inventario'!$A:$A,B4880,'Parametros Inventario'!$B:$B)+SUMIFS(D$2:D4880,B$2:B4880,B4880,C$2:C4880,"ENTRADA")-SUMIFS(D$2:D4880,B$2:B4880,B4880,C$2:C4880,"SALIDA")</f>
        <v>23013.866999999991</v>
      </c>
    </row>
    <row r="4881" spans="1:5" x14ac:dyDescent="0.3">
      <c r="A4881" s="9">
        <f>'Volúmenes DIstribuidos '!B2949</f>
        <v>45765</v>
      </c>
      <c r="B4881" s="10" t="str">
        <f>IF(OR('Volúmenes DIstribuidos '!C2950="Azúcar",'Volúmenes DIstribuidos '!C2950="azúcar"),"Azúcar o dulce",IF('Volúmenes DIstribuidos '!C2950="Aceite","Aceite o grasas",IF('Volúmenes DIstribuidos '!C2950="Avena","Otros almidones",'Volúmenes DIstribuidos '!C2950)))</f>
        <v>Lácteos</v>
      </c>
      <c r="C4881" s="10" t="s">
        <v>29</v>
      </c>
      <c r="D4881" s="12">
        <f>'Volúmenes DIstribuidos '!D2950</f>
        <v>15.48</v>
      </c>
      <c r="E4881" s="12">
        <f>SUMIF('Parametros Inventario'!$A:$A,B4881,'Parametros Inventario'!$B:$B)+SUMIFS(D$2:D4881,B$2:B4881,B4881,C$2:C4881,"ENTRADA")-SUMIFS(D$2:D4881,B$2:B4881,B4881,C$2:C4881,"SALIDA")</f>
        <v>22492.912000000004</v>
      </c>
    </row>
    <row r="4882" spans="1:5" x14ac:dyDescent="0.3">
      <c r="A4882" s="9">
        <f>'Volúmenes DIstribuidos '!B2949</f>
        <v>45765</v>
      </c>
      <c r="B4882" s="10" t="str">
        <f>IF(OR('Volúmenes DIstribuidos '!C2951="Azúcar",'Volúmenes DIstribuidos '!C2951="azúcar"),"Azúcar o dulce",IF('Volúmenes DIstribuidos '!C2951="Aceite","Aceite o grasas",IF('Volúmenes DIstribuidos '!C2951="Avena","Otros almidones",'Volúmenes DIstribuidos '!C2951)))</f>
        <v>Fideo</v>
      </c>
      <c r="C4882" s="10" t="s">
        <v>29</v>
      </c>
      <c r="D4882" s="12">
        <f>'Volúmenes DIstribuidos '!D2951</f>
        <v>4.3600000000000003</v>
      </c>
      <c r="E4882" s="12">
        <f>SUMIF('Parametros Inventario'!$A:$A,B4882,'Parametros Inventario'!$B:$B)+SUMIFS(D$2:D4882,B$2:B4882,B4882,C$2:C4882,"ENTRADA")-SUMIFS(D$2:D4882,B$2:B4882,B4882,C$2:C4882,"SALIDA")</f>
        <v>26174.799000000014</v>
      </c>
    </row>
    <row r="4883" spans="1:5" x14ac:dyDescent="0.3">
      <c r="A4883" s="9">
        <f>'Volúmenes DIstribuidos '!B2949</f>
        <v>45765</v>
      </c>
      <c r="B4883" s="10" t="str">
        <f>IF(OR('Volúmenes DIstribuidos '!C2952="Azúcar",'Volúmenes DIstribuidos '!C2952="azúcar"),"Azúcar o dulce",IF('Volúmenes DIstribuidos '!C2952="Aceite","Aceite o grasas",IF('Volúmenes DIstribuidos '!C2952="Avena","Otros almidones",'Volúmenes DIstribuidos '!C2952)))</f>
        <v>Aceite o grasas</v>
      </c>
      <c r="C4883" s="10" t="s">
        <v>29</v>
      </c>
      <c r="D4883" s="12">
        <f>'Volúmenes DIstribuidos '!D2952</f>
        <v>12.64</v>
      </c>
      <c r="E4883" s="12">
        <f>SUMIF('Parametros Inventario'!$A:$A,B4883,'Parametros Inventario'!$B:$B)+SUMIFS(D$2:D4883,B$2:B4883,B4883,C$2:C4883,"ENTRADA")-SUMIFS(D$2:D4883,B$2:B4883,B4883,C$2:C4883,"SALIDA")</f>
        <v>23009.342000000015</v>
      </c>
    </row>
    <row r="4884" spans="1:5" x14ac:dyDescent="0.3">
      <c r="A4884" s="9">
        <f>'Volúmenes DIstribuidos '!B2949</f>
        <v>45765</v>
      </c>
      <c r="B4884" s="10" t="str">
        <f>IF(OR('Volúmenes DIstribuidos '!C2953="Azúcar",'Volúmenes DIstribuidos '!C2953="azúcar"),"Azúcar o dulce",IF('Volúmenes DIstribuidos '!C2953="Aceite","Aceite o grasas",IF('Volúmenes DIstribuidos '!C2953="Avena","Otros almidones",'Volúmenes DIstribuidos '!C2953)))</f>
        <v>Panadería</v>
      </c>
      <c r="C4884" s="10" t="s">
        <v>29</v>
      </c>
      <c r="D4884" s="12">
        <f>'Volúmenes DIstribuidos '!D2953</f>
        <v>6.1790000000000003</v>
      </c>
      <c r="E4884" s="12">
        <f>SUMIF('Parametros Inventario'!$A:$A,B4884,'Parametros Inventario'!$B:$B)+SUMIFS(D$2:D4884,B$2:B4884,B4884,C$2:C4884,"ENTRADA")-SUMIFS(D$2:D4884,B$2:B4884,B4884,C$2:C4884,"SALIDA")</f>
        <v>21808.052999999996</v>
      </c>
    </row>
    <row r="4885" spans="1:5" x14ac:dyDescent="0.3">
      <c r="A4885" s="9">
        <f>'Volúmenes DIstribuidos '!B2949</f>
        <v>45765</v>
      </c>
      <c r="B4885" s="10" t="str">
        <f>IF(OR('Volúmenes DIstribuidos '!C2954="Azúcar",'Volúmenes DIstribuidos '!C2954="azúcar"),"Azúcar o dulce",IF('Volúmenes DIstribuidos '!C2954="Aceite","Aceite o grasas",IF('Volúmenes DIstribuidos '!C2954="Avena","Otros almidones",'Volúmenes DIstribuidos '!C2954)))</f>
        <v>Salsas</v>
      </c>
      <c r="C4885" s="10" t="s">
        <v>29</v>
      </c>
      <c r="D4885" s="12">
        <f>'Volúmenes DIstribuidos '!D2954</f>
        <v>9.9</v>
      </c>
      <c r="E4885" s="12">
        <f>SUMIF('Parametros Inventario'!$A:$A,B4885,'Parametros Inventario'!$B:$B)+SUMIFS(D$2:D4885,B$2:B4885,B4885,C$2:C4885,"ENTRADA")-SUMIFS(D$2:D4885,B$2:B4885,B4885,C$2:C4885,"SALIDA")</f>
        <v>22776.302999999982</v>
      </c>
    </row>
    <row r="4886" spans="1:5" x14ac:dyDescent="0.3">
      <c r="A4886" s="9">
        <f>'Volúmenes DIstribuidos '!B2955</f>
        <v>45769</v>
      </c>
      <c r="B4886" s="10" t="str">
        <f>IF(OR('Volúmenes DIstribuidos '!C2955="Azúcar",'Volúmenes DIstribuidos '!C2955="azúcar"),"Azúcar o dulce",IF('Volúmenes DIstribuidos '!C2955="Aceite","Aceite o grasas",IF('Volúmenes DIstribuidos '!C2955="Avena","Otros almidones",'Volúmenes DIstribuidos '!C2955)))</f>
        <v>Aceite o grasas</v>
      </c>
      <c r="C4886" s="10" t="s">
        <v>29</v>
      </c>
      <c r="D4886" s="12">
        <f>'Volúmenes DIstribuidos '!D2955</f>
        <v>8.3699999999999992</v>
      </c>
      <c r="E4886" s="12">
        <f>SUMIF('Parametros Inventario'!$A:$A,B4886,'Parametros Inventario'!$B:$B)+SUMIFS(D$2:D4886,B$2:B4886,B4886,C$2:C4886,"ENTRADA")-SUMIFS(D$2:D4886,B$2:B4886,B4886,C$2:C4886,"SALIDA")</f>
        <v>23000.972000000016</v>
      </c>
    </row>
    <row r="4887" spans="1:5" x14ac:dyDescent="0.3">
      <c r="A4887" s="9">
        <f>'Volúmenes DIstribuidos '!B2955</f>
        <v>45769</v>
      </c>
      <c r="B4887" s="10" t="str">
        <f>IF(OR('Volúmenes DIstribuidos '!C2956="Azúcar",'Volúmenes DIstribuidos '!C2956="azúcar"),"Azúcar o dulce",IF('Volúmenes DIstribuidos '!C2956="Aceite","Aceite o grasas",IF('Volúmenes DIstribuidos '!C2956="Avena","Otros almidones",'Volúmenes DIstribuidos '!C2956)))</f>
        <v>Menestras</v>
      </c>
      <c r="C4887" s="10" t="s">
        <v>29</v>
      </c>
      <c r="D4887" s="12">
        <f>'Volúmenes DIstribuidos '!D2956</f>
        <v>12.7</v>
      </c>
      <c r="E4887" s="12">
        <f>SUMIF('Parametros Inventario'!$A:$A,B4887,'Parametros Inventario'!$B:$B)+SUMIFS(D$2:D4887,B$2:B4887,B4887,C$2:C4887,"ENTRADA")-SUMIFS(D$2:D4887,B$2:B4887,B4887,C$2:C4887,"SALIDA")</f>
        <v>23001.16699999999</v>
      </c>
    </row>
    <row r="4888" spans="1:5" x14ac:dyDescent="0.3">
      <c r="A4888" s="9">
        <f>'Volúmenes DIstribuidos '!B2955</f>
        <v>45769</v>
      </c>
      <c r="B4888" s="10" t="str">
        <f>IF(OR('Volúmenes DIstribuidos '!C2957="Azúcar",'Volúmenes DIstribuidos '!C2957="azúcar"),"Azúcar o dulce",IF('Volúmenes DIstribuidos '!C2957="Aceite","Aceite o grasas",IF('Volúmenes DIstribuidos '!C2957="Avena","Otros almidones",'Volúmenes DIstribuidos '!C2957)))</f>
        <v>Lácteos</v>
      </c>
      <c r="C4888" s="10" t="s">
        <v>29</v>
      </c>
      <c r="D4888" s="12">
        <f>'Volúmenes DIstribuidos '!D2957</f>
        <v>4.04</v>
      </c>
      <c r="E4888" s="12">
        <f>SUMIF('Parametros Inventario'!$A:$A,B4888,'Parametros Inventario'!$B:$B)+SUMIFS(D$2:D4888,B$2:B4888,B4888,C$2:C4888,"ENTRADA")-SUMIFS(D$2:D4888,B$2:B4888,B4888,C$2:C4888,"SALIDA")</f>
        <v>22488.872000000003</v>
      </c>
    </row>
    <row r="4889" spans="1:5" x14ac:dyDescent="0.3">
      <c r="A4889" s="9">
        <f>'Volúmenes DIstribuidos '!B2955</f>
        <v>45769</v>
      </c>
      <c r="B4889" s="10" t="str">
        <f>IF(OR('Volúmenes DIstribuidos '!C2958="Azúcar",'Volúmenes DIstribuidos '!C2958="azúcar"),"Azúcar o dulce",IF('Volúmenes DIstribuidos '!C2958="Aceite","Aceite o grasas",IF('Volúmenes DIstribuidos '!C2958="Avena","Otros almidones",'Volúmenes DIstribuidos '!C2958)))</f>
        <v>Vegetales y hojas</v>
      </c>
      <c r="C4889" s="10" t="s">
        <v>29</v>
      </c>
      <c r="D4889" s="12">
        <f>'Volúmenes DIstribuidos '!D2958</f>
        <v>61.889000000000003</v>
      </c>
      <c r="E4889" s="12">
        <f>SUMIF('Parametros Inventario'!$A:$A,B4889,'Parametros Inventario'!$B:$B)+SUMIFS(D$2:D4889,B$2:B4889,B4889,C$2:C4889,"ENTRADA")-SUMIFS(D$2:D4889,B$2:B4889,B4889,C$2:C4889,"SALIDA")</f>
        <v>24467.957000000002</v>
      </c>
    </row>
    <row r="4890" spans="1:5" x14ac:dyDescent="0.3">
      <c r="A4890" s="9">
        <f>'Volúmenes DIstribuidos '!B2955</f>
        <v>45769</v>
      </c>
      <c r="B4890" s="10" t="str">
        <f>IF(OR('Volúmenes DIstribuidos '!C2959="Azúcar",'Volúmenes DIstribuidos '!C2959="azúcar"),"Azúcar o dulce",IF('Volúmenes DIstribuidos '!C2959="Aceite","Aceite o grasas",IF('Volúmenes DIstribuidos '!C2959="Avena","Otros almidones",'Volúmenes DIstribuidos '!C2959)))</f>
        <v>Menestras</v>
      </c>
      <c r="C4890" s="10" t="s">
        <v>29</v>
      </c>
      <c r="D4890" s="12">
        <f>'Volúmenes DIstribuidos '!D2959</f>
        <v>82.03</v>
      </c>
      <c r="E4890" s="12">
        <f>SUMIF('Parametros Inventario'!$A:$A,B4890,'Parametros Inventario'!$B:$B)+SUMIFS(D$2:D4890,B$2:B4890,B4890,C$2:C4890,"ENTRADA")-SUMIFS(D$2:D4890,B$2:B4890,B4890,C$2:C4890,"SALIDA")</f>
        <v>22919.136999999988</v>
      </c>
    </row>
    <row r="4891" spans="1:5" x14ac:dyDescent="0.3">
      <c r="A4891" s="9">
        <f>'Volúmenes DIstribuidos '!B2955</f>
        <v>45769</v>
      </c>
      <c r="B4891" s="10" t="str">
        <f>IF(OR('Volúmenes DIstribuidos '!C2960="Azúcar",'Volúmenes DIstribuidos '!C2960="azúcar"),"Azúcar o dulce",IF('Volúmenes DIstribuidos '!C2960="Aceite","Aceite o grasas",IF('Volúmenes DIstribuidos '!C2960="Avena","Otros almidones",'Volúmenes DIstribuidos '!C2960)))</f>
        <v>Otros almidones</v>
      </c>
      <c r="C4891" s="10" t="s">
        <v>29</v>
      </c>
      <c r="D4891" s="12">
        <f>'Volúmenes DIstribuidos '!D2960</f>
        <v>40.65</v>
      </c>
      <c r="E4891" s="12">
        <f>SUMIF('Parametros Inventario'!$A:$A,B4891,'Parametros Inventario'!$B:$B)+SUMIFS(D$2:D4891,B$2:B4891,B4891,C$2:C4891,"ENTRADA")-SUMIFS(D$2:D4891,B$2:B4891,B4891,C$2:C4891,"SALIDA")</f>
        <v>25342.218999999997</v>
      </c>
    </row>
    <row r="4892" spans="1:5" x14ac:dyDescent="0.3">
      <c r="A4892" s="9">
        <v>45772</v>
      </c>
      <c r="B4892" s="10" t="s">
        <v>17</v>
      </c>
      <c r="C4892" s="10" t="s">
        <v>28</v>
      </c>
      <c r="D4892" s="12">
        <v>287.77</v>
      </c>
      <c r="E4892" s="12">
        <f>SUMIF('Parametros Inventario'!$A:$A,B4892,'Parametros Inventario'!$B:$B)+SUMIFS(D$2:D4892,B$2:B4892,B4892,C$2:C4892,"ENTRADA")-SUMIFS(D$2:D4892,B$2:B4892,B4892,C$2:C4892,"SALIDA")</f>
        <v>22776.642</v>
      </c>
    </row>
    <row r="4893" spans="1:5" x14ac:dyDescent="0.3">
      <c r="A4893" s="9">
        <v>45772</v>
      </c>
      <c r="B4893" s="10" t="s">
        <v>18</v>
      </c>
      <c r="C4893" s="10" t="s">
        <v>28</v>
      </c>
      <c r="D4893" s="12">
        <v>235.78</v>
      </c>
      <c r="E4893" s="12">
        <f>SUMIF('Parametros Inventario'!$A:$A,B4893,'Parametros Inventario'!$B:$B)+SUMIFS(D$2:D4893,B$2:B4893,B4893,C$2:C4893,"ENTRADA")-SUMIFS(D$2:D4893,B$2:B4893,B4893,C$2:C4893,"SALIDA")</f>
        <v>23012.082999999981</v>
      </c>
    </row>
    <row r="4894" spans="1:5" x14ac:dyDescent="0.3">
      <c r="A4894" s="9">
        <v>45772</v>
      </c>
      <c r="B4894" s="10" t="s">
        <v>10</v>
      </c>
      <c r="C4894" s="10" t="s">
        <v>28</v>
      </c>
      <c r="D4894" s="12">
        <v>150.1</v>
      </c>
      <c r="E4894" s="12">
        <f>SUMIF('Parametros Inventario'!$A:$A,B4894,'Parametros Inventario'!$B:$B)+SUMIFS(D$2:D4894,B$2:B4894,B4894,C$2:C4894,"ENTRADA")-SUMIFS(D$2:D4894,B$2:B4894,B4894,C$2:C4894,"SALIDA")</f>
        <v>24618.057000000001</v>
      </c>
    </row>
    <row r="4895" spans="1:5" x14ac:dyDescent="0.3">
      <c r="A4895" s="9">
        <v>45772</v>
      </c>
      <c r="B4895" s="10" t="s">
        <v>8</v>
      </c>
      <c r="C4895" s="10" t="s">
        <v>28</v>
      </c>
      <c r="D4895" s="12">
        <v>64</v>
      </c>
      <c r="E4895" s="12">
        <f>SUMIF('Parametros Inventario'!$A:$A,B4895,'Parametros Inventario'!$B:$B)+SUMIFS(D$2:D4895,B$2:B4895,B4895,C$2:C4895,"ENTRADA")-SUMIFS(D$2:D4895,B$2:B4895,B4895,C$2:C4895,"SALIDA")</f>
        <v>23064.972000000016</v>
      </c>
    </row>
    <row r="4896" spans="1:5" x14ac:dyDescent="0.3">
      <c r="A4896" s="9">
        <v>45772</v>
      </c>
      <c r="B4896" s="10" t="s">
        <v>13</v>
      </c>
      <c r="C4896" s="10" t="s">
        <v>28</v>
      </c>
      <c r="D4896" s="12">
        <v>148.07</v>
      </c>
      <c r="E4896" s="12">
        <f>SUMIF('Parametros Inventario'!$A:$A,B4896,'Parametros Inventario'!$B:$B)+SUMIFS(D$2:D4896,B$2:B4896,B4896,C$2:C4896,"ENTRADA")-SUMIFS(D$2:D4896,B$2:B4896,B4896,C$2:C4896,"SALIDA")</f>
        <v>22496.321999999993</v>
      </c>
    </row>
    <row r="4897" spans="1:5" x14ac:dyDescent="0.3">
      <c r="A4897" s="9">
        <v>45772</v>
      </c>
      <c r="B4897" s="10" t="s">
        <v>15</v>
      </c>
      <c r="C4897" s="10" t="s">
        <v>28</v>
      </c>
      <c r="D4897" s="12">
        <v>255.63</v>
      </c>
      <c r="E4897" s="12">
        <f>SUMIF('Parametros Inventario'!$A:$A,B4897,'Parametros Inventario'!$B:$B)+SUMIFS(D$2:D4897,B$2:B4897,B4897,C$2:C4897,"ENTRADA")-SUMIFS(D$2:D4897,B$2:B4897,B4897,C$2:C4897,"SALIDA")</f>
        <v>25597.848999999995</v>
      </c>
    </row>
    <row r="4898" spans="1:5" x14ac:dyDescent="0.3">
      <c r="A4898" s="9">
        <v>45772</v>
      </c>
      <c r="B4898" s="10" t="s">
        <v>11</v>
      </c>
      <c r="C4898" s="10" t="s">
        <v>28</v>
      </c>
      <c r="D4898" s="12">
        <v>294</v>
      </c>
      <c r="E4898" s="12">
        <f>SUMIF('Parametros Inventario'!$A:$A,B4898,'Parametros Inventario'!$B:$B)+SUMIFS(D$2:D4898,B$2:B4898,B4898,C$2:C4898,"ENTRADA")-SUMIFS(D$2:D4898,B$2:B4898,B4898,C$2:C4898,"SALIDA")</f>
        <v>26468.799000000014</v>
      </c>
    </row>
    <row r="4899" spans="1:5" x14ac:dyDescent="0.3">
      <c r="A4899" s="9">
        <v>45772</v>
      </c>
      <c r="B4899" s="10" t="s">
        <v>9</v>
      </c>
      <c r="C4899" s="10" t="s">
        <v>28</v>
      </c>
      <c r="D4899" s="12">
        <v>201.27</v>
      </c>
      <c r="E4899" s="12">
        <f>SUMIF('Parametros Inventario'!$A:$A,B4899,'Parametros Inventario'!$B:$B)+SUMIFS(D$2:D4899,B$2:B4899,B4899,C$2:C4899,"ENTRADA")-SUMIFS(D$2:D4899,B$2:B4899,B4899,C$2:C4899,"SALIDA")</f>
        <v>22009.322999999997</v>
      </c>
    </row>
    <row r="4900" spans="1:5" x14ac:dyDescent="0.3">
      <c r="A4900" s="9">
        <v>45772</v>
      </c>
      <c r="B4900" s="10" t="s">
        <v>14</v>
      </c>
      <c r="C4900" s="10" t="s">
        <v>28</v>
      </c>
      <c r="D4900" s="12">
        <v>69.3</v>
      </c>
      <c r="E4900" s="12">
        <f>SUMIF('Parametros Inventario'!$A:$A,B4900,'Parametros Inventario'!$B:$B)+SUMIFS(D$2:D4900,B$2:B4900,B4900,C$2:C4900,"ENTRADA")-SUMIFS(D$2:D4900,B$2:B4900,B4900,C$2:C4900,"SALIDA")</f>
        <v>22988.436999999991</v>
      </c>
    </row>
    <row r="4901" spans="1:5" x14ac:dyDescent="0.3">
      <c r="A4901" s="9">
        <f>'Volúmenes DIstribuidos '!B2961</f>
        <v>45772</v>
      </c>
      <c r="B4901" s="10" t="str">
        <f>IF(OR('Volúmenes DIstribuidos '!C2961="Azúcar",'Volúmenes DIstribuidos '!C2961="azúcar"),"Azúcar o dulce",IF('Volúmenes DIstribuidos '!C2961="Aceite","Aceite o grasas",IF('Volúmenes DIstribuidos '!C2961="Avena","Otros almidones",'Volúmenes DIstribuidos '!C2961)))</f>
        <v>Carnes rojas</v>
      </c>
      <c r="C4901" s="10" t="s">
        <v>29</v>
      </c>
      <c r="D4901" s="12">
        <f>'Volúmenes DIstribuidos '!D2961</f>
        <v>13.8</v>
      </c>
      <c r="E4901" s="12">
        <f>SUMIF('Parametros Inventario'!$A:$A,B4901,'Parametros Inventario'!$B:$B)+SUMIFS(D$2:D4901,B$2:B4901,B4901,C$2:C4901,"ENTRADA")-SUMIFS(D$2:D4901,B$2:B4901,B4901,C$2:C4901,"SALIDA")</f>
        <v>22277.587000000007</v>
      </c>
    </row>
    <row r="4902" spans="1:5" x14ac:dyDescent="0.3">
      <c r="A4902" s="9">
        <f>'Volúmenes DIstribuidos '!B2961</f>
        <v>45772</v>
      </c>
      <c r="B4902" s="10" t="str">
        <f>IF(OR('Volúmenes DIstribuidos '!C2962="Azúcar",'Volúmenes DIstribuidos '!C2962="azúcar"),"Azúcar o dulce",IF('Volúmenes DIstribuidos '!C2962="Aceite","Aceite o grasas",IF('Volúmenes DIstribuidos '!C2962="Avena","Otros almidones",'Volúmenes DIstribuidos '!C2962)))</f>
        <v>Lácteos</v>
      </c>
      <c r="C4902" s="10" t="s">
        <v>29</v>
      </c>
      <c r="D4902" s="12">
        <f>'Volúmenes DIstribuidos '!D2962</f>
        <v>32.47</v>
      </c>
      <c r="E4902" s="12">
        <f>SUMIF('Parametros Inventario'!$A:$A,B4902,'Parametros Inventario'!$B:$B)+SUMIFS(D$2:D4902,B$2:B4902,B4902,C$2:C4902,"ENTRADA")-SUMIFS(D$2:D4902,B$2:B4902,B4902,C$2:C4902,"SALIDA")</f>
        <v>22744.172000000002</v>
      </c>
    </row>
    <row r="4903" spans="1:5" x14ac:dyDescent="0.3">
      <c r="A4903" s="9">
        <f>'Volúmenes DIstribuidos '!B2961</f>
        <v>45772</v>
      </c>
      <c r="B4903" s="10" t="str">
        <f>IF(OR('Volúmenes DIstribuidos '!C2963="Azúcar",'Volúmenes DIstribuidos '!C2963="azúcar"),"Azúcar o dulce",IF('Volúmenes DIstribuidos '!C2963="Aceite","Aceite o grasas",IF('Volúmenes DIstribuidos '!C2963="Avena","Otros almidones",'Volúmenes DIstribuidos '!C2963)))</f>
        <v>Aceite o grasas</v>
      </c>
      <c r="C4903" s="10" t="s">
        <v>29</v>
      </c>
      <c r="D4903" s="12">
        <f>'Volúmenes DIstribuidos '!D2963</f>
        <v>47.56</v>
      </c>
      <c r="E4903" s="12">
        <f>SUMIF('Parametros Inventario'!$A:$A,B4903,'Parametros Inventario'!$B:$B)+SUMIFS(D$2:D4903,B$2:B4903,B4903,C$2:C4903,"ENTRADA")-SUMIFS(D$2:D4903,B$2:B4903,B4903,C$2:C4903,"SALIDA")</f>
        <v>23017.412000000015</v>
      </c>
    </row>
    <row r="4904" spans="1:5" x14ac:dyDescent="0.3">
      <c r="A4904" s="9">
        <f>'Volúmenes DIstribuidos '!B2961</f>
        <v>45772</v>
      </c>
      <c r="B4904" s="10" t="str">
        <f>IF(OR('Volúmenes DIstribuidos '!C2964="Azúcar",'Volúmenes DIstribuidos '!C2964="azúcar"),"Azúcar o dulce",IF('Volúmenes DIstribuidos '!C2964="Aceite","Aceite o grasas",IF('Volúmenes DIstribuidos '!C2964="Avena","Otros almidones",'Volúmenes DIstribuidos '!C2964)))</f>
        <v>Panadería</v>
      </c>
      <c r="C4904" s="10" t="s">
        <v>29</v>
      </c>
      <c r="D4904" s="12">
        <f>'Volúmenes DIstribuidos '!D2964</f>
        <v>19.478000000000002</v>
      </c>
      <c r="E4904" s="12">
        <f>SUMIF('Parametros Inventario'!$A:$A,B4904,'Parametros Inventario'!$B:$B)+SUMIFS(D$2:D4904,B$2:B4904,B4904,C$2:C4904,"ENTRADA")-SUMIFS(D$2:D4904,B$2:B4904,B4904,C$2:C4904,"SALIDA")</f>
        <v>21989.844999999998</v>
      </c>
    </row>
    <row r="4905" spans="1:5" x14ac:dyDescent="0.3">
      <c r="A4905" s="9">
        <f>'Volúmenes DIstribuidos '!B2961</f>
        <v>45772</v>
      </c>
      <c r="B4905" s="10" t="str">
        <f>IF(OR('Volúmenes DIstribuidos '!C2965="Azúcar",'Volúmenes DIstribuidos '!C2965="azúcar"),"Azúcar o dulce",IF('Volúmenes DIstribuidos '!C2965="Aceite","Aceite o grasas",IF('Volúmenes DIstribuidos '!C2965="Avena","Otros almidones",'Volúmenes DIstribuidos '!C2965)))</f>
        <v>Otros almidones</v>
      </c>
      <c r="C4905" s="10" t="s">
        <v>29</v>
      </c>
      <c r="D4905" s="12">
        <f>'Volúmenes DIstribuidos '!D2965</f>
        <v>5.08</v>
      </c>
      <c r="E4905" s="12">
        <f>SUMIF('Parametros Inventario'!$A:$A,B4905,'Parametros Inventario'!$B:$B)+SUMIFS(D$2:D4905,B$2:B4905,B4905,C$2:C4905,"ENTRADA")-SUMIFS(D$2:D4905,B$2:B4905,B4905,C$2:C4905,"SALIDA")</f>
        <v>25592.768999999997</v>
      </c>
    </row>
    <row r="4906" spans="1:5" x14ac:dyDescent="0.3">
      <c r="A4906" s="9">
        <f>'Volúmenes DIstribuidos '!B2961</f>
        <v>45772</v>
      </c>
      <c r="B4906" s="10" t="str">
        <f>IF(OR('Volúmenes DIstribuidos '!C2966="Azúcar",'Volúmenes DIstribuidos '!C2966="azúcar"),"Azúcar o dulce",IF('Volúmenes DIstribuidos '!C2966="Aceite","Aceite o grasas",IF('Volúmenes DIstribuidos '!C2966="Avena","Otros almidones",'Volúmenes DIstribuidos '!C2966)))</f>
        <v>Aceite o grasas</v>
      </c>
      <c r="C4906" s="10" t="s">
        <v>29</v>
      </c>
      <c r="D4906" s="12">
        <f>'Volúmenes DIstribuidos '!D2966</f>
        <v>7.64</v>
      </c>
      <c r="E4906" s="12">
        <f>SUMIF('Parametros Inventario'!$A:$A,B4906,'Parametros Inventario'!$B:$B)+SUMIFS(D$2:D4906,B$2:B4906,B4906,C$2:C4906,"ENTRADA")-SUMIFS(D$2:D4906,B$2:B4906,B4906,C$2:C4906,"SALIDA")</f>
        <v>23009.772000000015</v>
      </c>
    </row>
    <row r="4907" spans="1:5" x14ac:dyDescent="0.3">
      <c r="A4907" s="9">
        <f>'Volúmenes DIstribuidos '!B2967</f>
        <v>45776</v>
      </c>
      <c r="B4907" s="10" t="str">
        <f>IF(OR('Volúmenes DIstribuidos '!C2967="Azúcar",'Volúmenes DIstribuidos '!C2967="azúcar"),"Azúcar o dulce",IF('Volúmenes DIstribuidos '!C2967="Aceite","Aceite o grasas",IF('Volúmenes DIstribuidos '!C2967="Avena","Otros almidones",'Volúmenes DIstribuidos '!C2967)))</f>
        <v>Salsas</v>
      </c>
      <c r="C4907" s="10" t="s">
        <v>29</v>
      </c>
      <c r="D4907" s="12">
        <f>'Volúmenes DIstribuidos '!D2967</f>
        <v>14.72</v>
      </c>
      <c r="E4907" s="12">
        <f>SUMIF('Parametros Inventario'!$A:$A,B4907,'Parametros Inventario'!$B:$B)+SUMIFS(D$2:D4907,B$2:B4907,B4907,C$2:C4907,"ENTRADA")-SUMIFS(D$2:D4907,B$2:B4907,B4907,C$2:C4907,"SALIDA")</f>
        <v>22997.362999999983</v>
      </c>
    </row>
    <row r="4908" spans="1:5" x14ac:dyDescent="0.3">
      <c r="A4908" s="9">
        <f>'Volúmenes DIstribuidos '!B2967</f>
        <v>45776</v>
      </c>
      <c r="B4908" s="10" t="str">
        <f>IF(OR('Volúmenes DIstribuidos '!C2968="Azúcar",'Volúmenes DIstribuidos '!C2968="azúcar"),"Azúcar o dulce",IF('Volúmenes DIstribuidos '!C2968="Aceite","Aceite o grasas",IF('Volúmenes DIstribuidos '!C2968="Avena","Otros almidones",'Volúmenes DIstribuidos '!C2968)))</f>
        <v>Lácteos</v>
      </c>
      <c r="C4908" s="10" t="s">
        <v>29</v>
      </c>
      <c r="D4908" s="12">
        <f>'Volúmenes DIstribuidos '!D2968</f>
        <v>10.68</v>
      </c>
      <c r="E4908" s="12">
        <f>SUMIF('Parametros Inventario'!$A:$A,B4908,'Parametros Inventario'!$B:$B)+SUMIFS(D$2:D4908,B$2:B4908,B4908,C$2:C4908,"ENTRADA")-SUMIFS(D$2:D4908,B$2:B4908,B4908,C$2:C4908,"SALIDA")</f>
        <v>22733.492000000002</v>
      </c>
    </row>
    <row r="4909" spans="1:5" x14ac:dyDescent="0.3">
      <c r="A4909" s="9">
        <f>'Volúmenes DIstribuidos '!B2967</f>
        <v>45776</v>
      </c>
      <c r="B4909" s="10" t="str">
        <f>IF(OR('Volúmenes DIstribuidos '!C2969="Azúcar",'Volúmenes DIstribuidos '!C2969="azúcar"),"Azúcar o dulce",IF('Volúmenes DIstribuidos '!C2969="Aceite","Aceite o grasas",IF('Volúmenes DIstribuidos '!C2969="Avena","Otros almidones",'Volúmenes DIstribuidos '!C2969)))</f>
        <v>Vegetales y hojas</v>
      </c>
      <c r="C4909" s="10" t="s">
        <v>29</v>
      </c>
      <c r="D4909" s="12">
        <f>'Volúmenes DIstribuidos '!D2969</f>
        <v>24.021999999999998</v>
      </c>
      <c r="E4909" s="12">
        <f>SUMIF('Parametros Inventario'!$A:$A,B4909,'Parametros Inventario'!$B:$B)+SUMIFS(D$2:D4909,B$2:B4909,B4909,C$2:C4909,"ENTRADA")-SUMIFS(D$2:D4909,B$2:B4909,B4909,C$2:C4909,"SALIDA")</f>
        <v>24594.035</v>
      </c>
    </row>
    <row r="4910" spans="1:5" x14ac:dyDescent="0.3">
      <c r="A4910" s="9">
        <f>'Volúmenes DIstribuidos '!B2967</f>
        <v>45776</v>
      </c>
      <c r="B4910" s="10" t="str">
        <f>IF(OR('Volúmenes DIstribuidos '!C2970="Azúcar",'Volúmenes DIstribuidos '!C2970="azúcar"),"Azúcar o dulce",IF('Volúmenes DIstribuidos '!C2970="Aceite","Aceite o grasas",IF('Volúmenes DIstribuidos '!C2970="Avena","Otros almidones",'Volúmenes DIstribuidos '!C2970)))</f>
        <v>Carnes rojas</v>
      </c>
      <c r="C4910" s="10" t="s">
        <v>29</v>
      </c>
      <c r="D4910" s="12">
        <f>'Volúmenes DIstribuidos '!D2970</f>
        <v>30.19</v>
      </c>
      <c r="E4910" s="12">
        <f>SUMIF('Parametros Inventario'!$A:$A,B4910,'Parametros Inventario'!$B:$B)+SUMIFS(D$2:D4910,B$2:B4910,B4910,C$2:C4910,"ENTRADA")-SUMIFS(D$2:D4910,B$2:B4910,B4910,C$2:C4910,"SALIDA")</f>
        <v>22247.397000000008</v>
      </c>
    </row>
    <row r="4911" spans="1:5" x14ac:dyDescent="0.3">
      <c r="A4911" s="9">
        <f>'Volúmenes DIstribuidos '!B2967</f>
        <v>45776</v>
      </c>
      <c r="B4911" s="10" t="str">
        <f>IF(OR('Volúmenes DIstribuidos '!C2971="Azúcar",'Volúmenes DIstribuidos '!C2971="azúcar"),"Azúcar o dulce",IF('Volúmenes DIstribuidos '!C2971="Aceite","Aceite o grasas",IF('Volúmenes DIstribuidos '!C2971="Avena","Otros almidones",'Volúmenes DIstribuidos '!C2971)))</f>
        <v>Menestras</v>
      </c>
      <c r="C4911" s="10" t="s">
        <v>29</v>
      </c>
      <c r="D4911" s="12">
        <f>'Volúmenes DIstribuidos '!D2971</f>
        <v>34.86</v>
      </c>
      <c r="E4911" s="12">
        <f>SUMIF('Parametros Inventario'!$A:$A,B4911,'Parametros Inventario'!$B:$B)+SUMIFS(D$2:D4911,B$2:B4911,B4911,C$2:C4911,"ENTRADA")-SUMIFS(D$2:D4911,B$2:B4911,B4911,C$2:C4911,"SALIDA")</f>
        <v>22953.57699999999</v>
      </c>
    </row>
    <row r="4912" spans="1:5" x14ac:dyDescent="0.3">
      <c r="A4912" s="9">
        <f>'Volúmenes DIstribuidos '!B2967</f>
        <v>45776</v>
      </c>
      <c r="B4912" s="10" t="str">
        <f>IF(OR('Volúmenes DIstribuidos '!C2972="Azúcar",'Volúmenes DIstribuidos '!C2972="azúcar"),"Azúcar o dulce",IF('Volúmenes DIstribuidos '!C2972="Aceite","Aceite o grasas",IF('Volúmenes DIstribuidos '!C2972="Avena","Otros almidones",'Volúmenes DIstribuidos '!C2972)))</f>
        <v>Fideo</v>
      </c>
      <c r="C4912" s="10" t="s">
        <v>29</v>
      </c>
      <c r="D4912" s="12">
        <f>'Volúmenes DIstribuidos '!D2972</f>
        <v>65.575000000000003</v>
      </c>
      <c r="E4912" s="12">
        <f>SUMIF('Parametros Inventario'!$A:$A,B4912,'Parametros Inventario'!$B:$B)+SUMIFS(D$2:D4912,B$2:B4912,B4912,C$2:C4912,"ENTRADA")-SUMIFS(D$2:D4912,B$2:B4912,B4912,C$2:C4912,"SALIDA")</f>
        <v>26403.224000000013</v>
      </c>
    </row>
    <row r="4913" spans="1:5" x14ac:dyDescent="0.3">
      <c r="A4913" s="9">
        <v>45779</v>
      </c>
      <c r="B4913" s="10" t="s">
        <v>12</v>
      </c>
      <c r="C4913" s="10" t="s">
        <v>28</v>
      </c>
      <c r="D4913" s="12">
        <v>223.11</v>
      </c>
      <c r="E4913" s="12">
        <f>SUMIF('Parametros Inventario'!$A:$A,B4913,'Parametros Inventario'!$B:$B)+SUMIFS(D$2:D4913,B$2:B4913,B4913,C$2:C4913,"ENTRADA")-SUMIFS(D$2:D4913,B$2:B4913,B4913,C$2:C4913,"SALIDA")</f>
        <v>22470.507000000009</v>
      </c>
    </row>
    <row r="4914" spans="1:5" x14ac:dyDescent="0.3">
      <c r="A4914" s="9">
        <v>45779</v>
      </c>
      <c r="B4914" s="10" t="s">
        <v>16</v>
      </c>
      <c r="C4914" s="10" t="s">
        <v>28</v>
      </c>
      <c r="D4914" s="12">
        <v>169.35</v>
      </c>
      <c r="E4914" s="12">
        <f>SUMIF('Parametros Inventario'!$A:$A,B4914,'Parametros Inventario'!$B:$B)+SUMIFS(D$2:D4914,B$2:B4914,B4914,C$2:C4914,"ENTRADA")-SUMIFS(D$2:D4914,B$2:B4914,B4914,C$2:C4914,"SALIDA")</f>
        <v>23558.826999999994</v>
      </c>
    </row>
    <row r="4915" spans="1:5" x14ac:dyDescent="0.3">
      <c r="A4915" s="9">
        <v>45779</v>
      </c>
      <c r="B4915" s="10" t="s">
        <v>17</v>
      </c>
      <c r="C4915" s="10" t="s">
        <v>28</v>
      </c>
      <c r="D4915" s="12">
        <v>213.17</v>
      </c>
      <c r="E4915" s="12">
        <f>SUMIF('Parametros Inventario'!$A:$A,B4915,'Parametros Inventario'!$B:$B)+SUMIFS(D$2:D4915,B$2:B4915,B4915,C$2:C4915,"ENTRADA")-SUMIFS(D$2:D4915,B$2:B4915,B4915,C$2:C4915,"SALIDA")</f>
        <v>22946.662</v>
      </c>
    </row>
    <row r="4916" spans="1:5" x14ac:dyDescent="0.3">
      <c r="A4916" s="9">
        <v>45779</v>
      </c>
      <c r="B4916" s="10" t="s">
        <v>18</v>
      </c>
      <c r="C4916" s="10" t="s">
        <v>28</v>
      </c>
      <c r="D4916" s="12">
        <v>151.27000000000001</v>
      </c>
      <c r="E4916" s="12">
        <f>SUMIF('Parametros Inventario'!$A:$A,B4916,'Parametros Inventario'!$B:$B)+SUMIFS(D$2:D4916,B$2:B4916,B4916,C$2:C4916,"ENTRADA")-SUMIFS(D$2:D4916,B$2:B4916,B4916,C$2:C4916,"SALIDA")</f>
        <v>23148.63299999998</v>
      </c>
    </row>
    <row r="4917" spans="1:5" x14ac:dyDescent="0.3">
      <c r="A4917" s="9">
        <v>45779</v>
      </c>
      <c r="B4917" s="10" t="s">
        <v>10</v>
      </c>
      <c r="C4917" s="10" t="s">
        <v>28</v>
      </c>
      <c r="D4917" s="12">
        <v>145.12</v>
      </c>
      <c r="E4917" s="12">
        <f>SUMIF('Parametros Inventario'!$A:$A,B4917,'Parametros Inventario'!$B:$B)+SUMIFS(D$2:D4917,B$2:B4917,B4917,C$2:C4917,"ENTRADA")-SUMIFS(D$2:D4917,B$2:B4917,B4917,C$2:C4917,"SALIDA")</f>
        <v>24739.154999999999</v>
      </c>
    </row>
    <row r="4918" spans="1:5" x14ac:dyDescent="0.3">
      <c r="A4918" s="9">
        <v>45779</v>
      </c>
      <c r="B4918" s="10" t="s">
        <v>8</v>
      </c>
      <c r="C4918" s="10" t="s">
        <v>28</v>
      </c>
      <c r="D4918" s="12">
        <v>63.67</v>
      </c>
      <c r="E4918" s="12">
        <f>SUMIF('Parametros Inventario'!$A:$A,B4918,'Parametros Inventario'!$B:$B)+SUMIFS(D$2:D4918,B$2:B4918,B4918,C$2:C4918,"ENTRADA")-SUMIFS(D$2:D4918,B$2:B4918,B4918,C$2:C4918,"SALIDA")</f>
        <v>23073.442000000014</v>
      </c>
    </row>
    <row r="4919" spans="1:5" x14ac:dyDescent="0.3">
      <c r="A4919" s="9">
        <v>45779</v>
      </c>
      <c r="B4919" s="10" t="s">
        <v>13</v>
      </c>
      <c r="C4919" s="10" t="s">
        <v>28</v>
      </c>
      <c r="D4919" s="12">
        <v>142.87</v>
      </c>
      <c r="E4919" s="12">
        <f>SUMIF('Parametros Inventario'!$A:$A,B4919,'Parametros Inventario'!$B:$B)+SUMIFS(D$2:D4919,B$2:B4919,B4919,C$2:C4919,"ENTRADA")-SUMIFS(D$2:D4919,B$2:B4919,B4919,C$2:C4919,"SALIDA")</f>
        <v>22639.191999999988</v>
      </c>
    </row>
    <row r="4920" spans="1:5" x14ac:dyDescent="0.3">
      <c r="A4920" s="9">
        <v>45779</v>
      </c>
      <c r="B4920" s="10" t="s">
        <v>15</v>
      </c>
      <c r="C4920" s="10" t="s">
        <v>28</v>
      </c>
      <c r="D4920" s="12">
        <v>156.06</v>
      </c>
      <c r="E4920" s="12">
        <f>SUMIF('Parametros Inventario'!$A:$A,B4920,'Parametros Inventario'!$B:$B)+SUMIFS(D$2:D4920,B$2:B4920,B4920,C$2:C4920,"ENTRADA")-SUMIFS(D$2:D4920,B$2:B4920,B4920,C$2:C4920,"SALIDA")</f>
        <v>25748.829000000002</v>
      </c>
    </row>
    <row r="4921" spans="1:5" x14ac:dyDescent="0.3">
      <c r="A4921" s="9">
        <v>45779</v>
      </c>
      <c r="B4921" s="10" t="s">
        <v>11</v>
      </c>
      <c r="C4921" s="10" t="s">
        <v>28</v>
      </c>
      <c r="D4921" s="12">
        <v>117.48</v>
      </c>
      <c r="E4921" s="12">
        <f>SUMIF('Parametros Inventario'!$A:$A,B4921,'Parametros Inventario'!$B:$B)+SUMIFS(D$2:D4921,B$2:B4921,B4921,C$2:C4921,"ENTRADA")-SUMIFS(D$2:D4921,B$2:B4921,B4921,C$2:C4921,"SALIDA")</f>
        <v>26520.704000000009</v>
      </c>
    </row>
    <row r="4922" spans="1:5" x14ac:dyDescent="0.3">
      <c r="A4922" s="9">
        <f>'Volúmenes DIstribuidos '!B2973</f>
        <v>45779</v>
      </c>
      <c r="B4922" s="10" t="str">
        <f>IF(OR('Volúmenes DIstribuidos '!C2973="Azúcar",'Volúmenes DIstribuidos '!C2973="azúcar"),"Azúcar o dulce",IF('Volúmenes DIstribuidos '!C2973="Aceite","Aceite o grasas",IF('Volúmenes DIstribuidos '!C2973="Avena","Otros almidones",'Volúmenes DIstribuidos '!C2973)))</f>
        <v>Lácteos</v>
      </c>
      <c r="C4922" s="10" t="s">
        <v>29</v>
      </c>
      <c r="D4922" s="12">
        <f>'Volúmenes DIstribuidos '!D2973</f>
        <v>36.869999999999997</v>
      </c>
      <c r="E4922" s="12">
        <f>SUMIF('Parametros Inventario'!$A:$A,B4922,'Parametros Inventario'!$B:$B)+SUMIFS(D$2:D4922,B$2:B4922,B4922,C$2:C4922,"ENTRADA")-SUMIFS(D$2:D4922,B$2:B4922,B4922,C$2:C4922,"SALIDA")</f>
        <v>22909.792000000001</v>
      </c>
    </row>
    <row r="4923" spans="1:5" x14ac:dyDescent="0.3">
      <c r="A4923" s="9">
        <f>'Volúmenes DIstribuidos '!B2973</f>
        <v>45779</v>
      </c>
      <c r="B4923" s="10" t="str">
        <f>IF(OR('Volúmenes DIstribuidos '!C2974="Azúcar",'Volúmenes DIstribuidos '!C2974="azúcar"),"Azúcar o dulce",IF('Volúmenes DIstribuidos '!C2974="Aceite","Aceite o grasas",IF('Volúmenes DIstribuidos '!C2974="Avena","Otros almidones",'Volúmenes DIstribuidos '!C2974)))</f>
        <v>Carnes rojas</v>
      </c>
      <c r="C4923" s="10" t="s">
        <v>29</v>
      </c>
      <c r="D4923" s="12">
        <f>'Volúmenes DIstribuidos '!D2974</f>
        <v>128.55000000000001</v>
      </c>
      <c r="E4923" s="12">
        <f>SUMIF('Parametros Inventario'!$A:$A,B4923,'Parametros Inventario'!$B:$B)+SUMIFS(D$2:D4923,B$2:B4923,B4923,C$2:C4923,"ENTRADA")-SUMIFS(D$2:D4923,B$2:B4923,B4923,C$2:C4923,"SALIDA")</f>
        <v>22341.957000000009</v>
      </c>
    </row>
    <row r="4924" spans="1:5" x14ac:dyDescent="0.3">
      <c r="A4924" s="9">
        <f>'Volúmenes DIstribuidos '!B2973</f>
        <v>45779</v>
      </c>
      <c r="B4924" s="10" t="str">
        <f>IF(OR('Volúmenes DIstribuidos '!C2975="Azúcar",'Volúmenes DIstribuidos '!C2975="azúcar"),"Azúcar o dulce",IF('Volúmenes DIstribuidos '!C2975="Aceite","Aceite o grasas",IF('Volúmenes DIstribuidos '!C2975="Avena","Otros almidones",'Volúmenes DIstribuidos '!C2975)))</f>
        <v>Fideo</v>
      </c>
      <c r="C4924" s="10" t="s">
        <v>29</v>
      </c>
      <c r="D4924" s="12">
        <f>'Volúmenes DIstribuidos '!D2975</f>
        <v>140</v>
      </c>
      <c r="E4924" s="12">
        <f>SUMIF('Parametros Inventario'!$A:$A,B4924,'Parametros Inventario'!$B:$B)+SUMIFS(D$2:D4924,B$2:B4924,B4924,C$2:C4924,"ENTRADA")-SUMIFS(D$2:D4924,B$2:B4924,B4924,C$2:C4924,"SALIDA")</f>
        <v>26380.704000000009</v>
      </c>
    </row>
    <row r="4925" spans="1:5" x14ac:dyDescent="0.3">
      <c r="A4925" s="9">
        <f>'Volúmenes DIstribuidos '!B2973</f>
        <v>45779</v>
      </c>
      <c r="B4925" s="10" t="str">
        <f>IF(OR('Volúmenes DIstribuidos '!C2976="Azúcar",'Volúmenes DIstribuidos '!C2976="azúcar"),"Azúcar o dulce",IF('Volúmenes DIstribuidos '!C2976="Aceite","Aceite o grasas",IF('Volúmenes DIstribuidos '!C2976="Avena","Otros almidones",'Volúmenes DIstribuidos '!C2976)))</f>
        <v>Azúcar o dulce</v>
      </c>
      <c r="C4925" s="10" t="s">
        <v>29</v>
      </c>
      <c r="D4925" s="12">
        <f>'Volúmenes DIstribuidos '!D2976</f>
        <v>6.5209999999999999</v>
      </c>
      <c r="E4925" s="12">
        <f>SUMIF('Parametros Inventario'!$A:$A,B4925,'Parametros Inventario'!$B:$B)+SUMIFS(D$2:D4925,B$2:B4925,B4925,C$2:C4925,"ENTRADA")-SUMIFS(D$2:D4925,B$2:B4925,B4925,C$2:C4925,"SALIDA")</f>
        <v>22632.670999999988</v>
      </c>
    </row>
    <row r="4926" spans="1:5" x14ac:dyDescent="0.3">
      <c r="A4926" s="9">
        <f>'Volúmenes DIstribuidos '!B2973</f>
        <v>45779</v>
      </c>
      <c r="B4926" s="10" t="str">
        <f>IF(OR('Volúmenes DIstribuidos '!C2977="Azúcar",'Volúmenes DIstribuidos '!C2977="azúcar"),"Azúcar o dulce",IF('Volúmenes DIstribuidos '!C2977="Aceite","Aceite o grasas",IF('Volúmenes DIstribuidos '!C2977="Avena","Otros almidones",'Volúmenes DIstribuidos '!C2977)))</f>
        <v>Carnes rojas</v>
      </c>
      <c r="C4926" s="10" t="s">
        <v>29</v>
      </c>
      <c r="D4926" s="12">
        <f>'Volúmenes DIstribuidos '!D2977</f>
        <v>12.29</v>
      </c>
      <c r="E4926" s="12">
        <f>SUMIF('Parametros Inventario'!$A:$A,B4926,'Parametros Inventario'!$B:$B)+SUMIFS(D$2:D4926,B$2:B4926,B4926,C$2:C4926,"ENTRADA")-SUMIFS(D$2:D4926,B$2:B4926,B4926,C$2:C4926,"SALIDA")</f>
        <v>22329.667000000009</v>
      </c>
    </row>
    <row r="4927" spans="1:5" x14ac:dyDescent="0.3">
      <c r="A4927" s="9">
        <f>'Volúmenes DIstribuidos '!B2973</f>
        <v>45779</v>
      </c>
      <c r="B4927" s="10" t="str">
        <f>IF(OR('Volúmenes DIstribuidos '!C2978="Azúcar",'Volúmenes DIstribuidos '!C2978="azúcar"),"Azúcar o dulce",IF('Volúmenes DIstribuidos '!C2978="Aceite","Aceite o grasas",IF('Volúmenes DIstribuidos '!C2978="Avena","Otros almidones",'Volúmenes DIstribuidos '!C2978)))</f>
        <v>Vegetales y hojas</v>
      </c>
      <c r="C4927" s="10" t="s">
        <v>29</v>
      </c>
      <c r="D4927" s="12">
        <f>'Volúmenes DIstribuidos '!D2978</f>
        <v>31.91</v>
      </c>
      <c r="E4927" s="12">
        <f>SUMIF('Parametros Inventario'!$A:$A,B4927,'Parametros Inventario'!$B:$B)+SUMIFS(D$2:D4927,B$2:B4927,B4927,C$2:C4927,"ENTRADA")-SUMIFS(D$2:D4927,B$2:B4927,B4927,C$2:C4927,"SALIDA")</f>
        <v>24707.244999999999</v>
      </c>
    </row>
    <row r="4928" spans="1:5" x14ac:dyDescent="0.3">
      <c r="A4928" s="9">
        <f>'Volúmenes DIstribuidos '!B2979</f>
        <v>45783</v>
      </c>
      <c r="B4928" s="10" t="str">
        <f>IF(OR('Volúmenes DIstribuidos '!C2979="Azúcar",'Volúmenes DIstribuidos '!C2979="azúcar"),"Azúcar o dulce",IF('Volúmenes DIstribuidos '!C2979="Aceite","Aceite o grasas",IF('Volúmenes DIstribuidos '!C2979="Avena","Otros almidones",'Volúmenes DIstribuidos '!C2979)))</f>
        <v>Otros almidones</v>
      </c>
      <c r="C4928" s="10" t="s">
        <v>29</v>
      </c>
      <c r="D4928" s="12">
        <f>'Volúmenes DIstribuidos '!D2979</f>
        <v>23.77</v>
      </c>
      <c r="E4928" s="12">
        <f>SUMIF('Parametros Inventario'!$A:$A,B4928,'Parametros Inventario'!$B:$B)+SUMIFS(D$2:D4928,B$2:B4928,B4928,C$2:C4928,"ENTRADA")-SUMIFS(D$2:D4928,B$2:B4928,B4928,C$2:C4928,"SALIDA")</f>
        <v>25725.059000000001</v>
      </c>
    </row>
    <row r="4929" spans="1:5" x14ac:dyDescent="0.3">
      <c r="A4929" s="9">
        <f>'Volúmenes DIstribuidos '!B2979</f>
        <v>45783</v>
      </c>
      <c r="B4929" s="10" t="str">
        <f>IF(OR('Volúmenes DIstribuidos '!C2980="Azúcar",'Volúmenes DIstribuidos '!C2980="azúcar"),"Azúcar o dulce",IF('Volúmenes DIstribuidos '!C2980="Aceite","Aceite o grasas",IF('Volúmenes DIstribuidos '!C2980="Avena","Otros almidones",'Volúmenes DIstribuidos '!C2980)))</f>
        <v>Panadería</v>
      </c>
      <c r="C4929" s="10" t="s">
        <v>29</v>
      </c>
      <c r="D4929" s="12">
        <f>'Volúmenes DIstribuidos '!D2980</f>
        <v>8.17</v>
      </c>
      <c r="E4929" s="12">
        <f>SUMIF('Parametros Inventario'!$A:$A,B4929,'Parametros Inventario'!$B:$B)+SUMIFS(D$2:D4929,B$2:B4929,B4929,C$2:C4929,"ENTRADA")-SUMIFS(D$2:D4929,B$2:B4929,B4929,C$2:C4929,"SALIDA")</f>
        <v>21981.674999999996</v>
      </c>
    </row>
    <row r="4930" spans="1:5" x14ac:dyDescent="0.3">
      <c r="A4930" s="9">
        <f>'Volúmenes DIstribuidos '!B2979</f>
        <v>45783</v>
      </c>
      <c r="B4930" s="10" t="str">
        <f>IF(OR('Volúmenes DIstribuidos '!C2981="Azúcar",'Volúmenes DIstribuidos '!C2981="azúcar"),"Azúcar o dulce",IF('Volúmenes DIstribuidos '!C2981="Aceite","Aceite o grasas",IF('Volúmenes DIstribuidos '!C2981="Avena","Otros almidones",'Volúmenes DIstribuidos '!C2981)))</f>
        <v>Lácteos</v>
      </c>
      <c r="C4930" s="10" t="s">
        <v>29</v>
      </c>
      <c r="D4930" s="12">
        <f>'Volúmenes DIstribuidos '!D2981</f>
        <v>69.423000000000002</v>
      </c>
      <c r="E4930" s="12">
        <f>SUMIF('Parametros Inventario'!$A:$A,B4930,'Parametros Inventario'!$B:$B)+SUMIFS(D$2:D4930,B$2:B4930,B4930,C$2:C4930,"ENTRADA")-SUMIFS(D$2:D4930,B$2:B4930,B4930,C$2:C4930,"SALIDA")</f>
        <v>22840.368999999999</v>
      </c>
    </row>
    <row r="4931" spans="1:5" x14ac:dyDescent="0.3">
      <c r="A4931" s="9">
        <f>'Volúmenes DIstribuidos '!B2979</f>
        <v>45783</v>
      </c>
      <c r="B4931" s="10" t="str">
        <f>IF(OR('Volúmenes DIstribuidos '!C2982="Azúcar",'Volúmenes DIstribuidos '!C2982="azúcar"),"Azúcar o dulce",IF('Volúmenes DIstribuidos '!C2982="Aceite","Aceite o grasas",IF('Volúmenes DIstribuidos '!C2982="Avena","Otros almidones",'Volúmenes DIstribuidos '!C2982)))</f>
        <v>Carnes rojas</v>
      </c>
      <c r="C4931" s="10" t="s">
        <v>29</v>
      </c>
      <c r="D4931" s="12">
        <f>'Volúmenes DIstribuidos '!D2982</f>
        <v>60.28</v>
      </c>
      <c r="E4931" s="12">
        <f>SUMIF('Parametros Inventario'!$A:$A,B4931,'Parametros Inventario'!$B:$B)+SUMIFS(D$2:D4931,B$2:B4931,B4931,C$2:C4931,"ENTRADA")-SUMIFS(D$2:D4931,B$2:B4931,B4931,C$2:C4931,"SALIDA")</f>
        <v>22269.38700000001</v>
      </c>
    </row>
    <row r="4932" spans="1:5" x14ac:dyDescent="0.3">
      <c r="A4932" s="9">
        <f>'Volúmenes DIstribuidos '!B2979</f>
        <v>45783</v>
      </c>
      <c r="B4932" s="10" t="str">
        <f>IF(OR('Volúmenes DIstribuidos '!C2983="Azúcar",'Volúmenes DIstribuidos '!C2983="azúcar"),"Azúcar o dulce",IF('Volúmenes DIstribuidos '!C2983="Aceite","Aceite o grasas",IF('Volúmenes DIstribuidos '!C2983="Avena","Otros almidones",'Volúmenes DIstribuidos '!C2983)))</f>
        <v>Menestras</v>
      </c>
      <c r="C4932" s="10" t="s">
        <v>29</v>
      </c>
      <c r="D4932" s="12">
        <f>'Volúmenes DIstribuidos '!D2983</f>
        <v>66.5</v>
      </c>
      <c r="E4932" s="12">
        <f>SUMIF('Parametros Inventario'!$A:$A,B4932,'Parametros Inventario'!$B:$B)+SUMIFS(D$2:D4932,B$2:B4932,B4932,C$2:C4932,"ENTRADA")-SUMIFS(D$2:D4932,B$2:B4932,B4932,C$2:C4932,"SALIDA")</f>
        <v>22887.07699999999</v>
      </c>
    </row>
    <row r="4933" spans="1:5" x14ac:dyDescent="0.3">
      <c r="A4933" s="9">
        <f>'Volúmenes DIstribuidos '!B2979</f>
        <v>45783</v>
      </c>
      <c r="B4933" s="10" t="str">
        <f>IF(OR('Volúmenes DIstribuidos '!C2984="Azúcar",'Volúmenes DIstribuidos '!C2984="azúcar"),"Azúcar o dulce",IF('Volúmenes DIstribuidos '!C2984="Aceite","Aceite o grasas",IF('Volúmenes DIstribuidos '!C2984="Avena","Otros almidones",'Volúmenes DIstribuidos '!C2984)))</f>
        <v>Carnes blancas</v>
      </c>
      <c r="C4933" s="10" t="s">
        <v>29</v>
      </c>
      <c r="D4933" s="12">
        <f>'Volúmenes DIstribuidos '!D2984</f>
        <v>34.130000000000003</v>
      </c>
      <c r="E4933" s="12">
        <f>SUMIF('Parametros Inventario'!$A:$A,B4933,'Parametros Inventario'!$B:$B)+SUMIFS(D$2:D4933,B$2:B4933,B4933,C$2:C4933,"ENTRADA")-SUMIFS(D$2:D4933,B$2:B4933,B4933,C$2:C4933,"SALIDA")</f>
        <v>23524.696999999993</v>
      </c>
    </row>
    <row r="4934" spans="1:5" x14ac:dyDescent="0.3">
      <c r="A4934" s="9">
        <v>45786</v>
      </c>
      <c r="B4934" s="10" t="s">
        <v>9</v>
      </c>
      <c r="C4934" s="10" t="s">
        <v>28</v>
      </c>
      <c r="D4934" s="12">
        <v>76.099999999999994</v>
      </c>
      <c r="E4934" s="12">
        <f>SUMIF('Parametros Inventario'!$A:$A,B4934,'Parametros Inventario'!$B:$B)+SUMIFS(D$2:D4934,B$2:B4934,B4934,C$2:C4934,"ENTRADA")-SUMIFS(D$2:D4934,B$2:B4934,B4934,C$2:C4934,"SALIDA")</f>
        <v>22057.774999999994</v>
      </c>
    </row>
    <row r="4935" spans="1:5" x14ac:dyDescent="0.3">
      <c r="A4935" s="9">
        <v>45786</v>
      </c>
      <c r="B4935" s="10" t="s">
        <v>14</v>
      </c>
      <c r="C4935" s="10" t="s">
        <v>28</v>
      </c>
      <c r="D4935" s="12">
        <v>140.68</v>
      </c>
      <c r="E4935" s="12">
        <f>SUMIF('Parametros Inventario'!$A:$A,B4935,'Parametros Inventario'!$B:$B)+SUMIFS(D$2:D4935,B$2:B4935,B4935,C$2:C4935,"ENTRADA")-SUMIFS(D$2:D4935,B$2:B4935,B4935,C$2:C4935,"SALIDA")</f>
        <v>23027.756999999991</v>
      </c>
    </row>
    <row r="4936" spans="1:5" x14ac:dyDescent="0.3">
      <c r="A4936" s="9">
        <v>45786</v>
      </c>
      <c r="B4936" s="10" t="s">
        <v>12</v>
      </c>
      <c r="C4936" s="10" t="s">
        <v>28</v>
      </c>
      <c r="D4936" s="12">
        <v>244.7</v>
      </c>
      <c r="E4936" s="12">
        <f>SUMIF('Parametros Inventario'!$A:$A,B4936,'Parametros Inventario'!$B:$B)+SUMIFS(D$2:D4936,B$2:B4936,B4936,C$2:C4936,"ENTRADA")-SUMIFS(D$2:D4936,B$2:B4936,B4936,C$2:C4936,"SALIDA")</f>
        <v>22514.08700000001</v>
      </c>
    </row>
    <row r="4937" spans="1:5" x14ac:dyDescent="0.3">
      <c r="A4937" s="9">
        <v>45786</v>
      </c>
      <c r="B4937" s="10" t="s">
        <v>16</v>
      </c>
      <c r="C4937" s="10" t="s">
        <v>28</v>
      </c>
      <c r="D4937" s="12">
        <v>133.87</v>
      </c>
      <c r="E4937" s="12">
        <f>SUMIF('Parametros Inventario'!$A:$A,B4937,'Parametros Inventario'!$B:$B)+SUMIFS(D$2:D4937,B$2:B4937,B4937,C$2:C4937,"ENTRADA")-SUMIFS(D$2:D4937,B$2:B4937,B4937,C$2:C4937,"SALIDA")</f>
        <v>23658.566999999995</v>
      </c>
    </row>
    <row r="4938" spans="1:5" x14ac:dyDescent="0.3">
      <c r="A4938" s="9">
        <v>45786</v>
      </c>
      <c r="B4938" s="10" t="s">
        <v>17</v>
      </c>
      <c r="C4938" s="10" t="s">
        <v>28</v>
      </c>
      <c r="D4938" s="12">
        <v>109.88</v>
      </c>
      <c r="E4938" s="12">
        <f>SUMIF('Parametros Inventario'!$A:$A,B4938,'Parametros Inventario'!$B:$B)+SUMIFS(D$2:D4938,B$2:B4938,B4938,C$2:C4938,"ENTRADA")-SUMIFS(D$2:D4938,B$2:B4938,B4938,C$2:C4938,"SALIDA")</f>
        <v>22950.249</v>
      </c>
    </row>
    <row r="4939" spans="1:5" x14ac:dyDescent="0.3">
      <c r="A4939" s="9">
        <v>45786</v>
      </c>
      <c r="B4939" s="10" t="s">
        <v>18</v>
      </c>
      <c r="C4939" s="10" t="s">
        <v>28</v>
      </c>
      <c r="D4939" s="12">
        <v>90.69</v>
      </c>
      <c r="E4939" s="12">
        <f>SUMIF('Parametros Inventario'!$A:$A,B4939,'Parametros Inventario'!$B:$B)+SUMIFS(D$2:D4939,B$2:B4939,B4939,C$2:C4939,"ENTRADA")-SUMIFS(D$2:D4939,B$2:B4939,B4939,C$2:C4939,"SALIDA")</f>
        <v>23239.322999999982</v>
      </c>
    </row>
    <row r="4940" spans="1:5" x14ac:dyDescent="0.3">
      <c r="A4940" s="9">
        <v>45786</v>
      </c>
      <c r="B4940" s="10" t="s">
        <v>10</v>
      </c>
      <c r="C4940" s="10" t="s">
        <v>28</v>
      </c>
      <c r="D4940" s="12">
        <v>76.62</v>
      </c>
      <c r="E4940" s="12">
        <f>SUMIF('Parametros Inventario'!$A:$A,B4940,'Parametros Inventario'!$B:$B)+SUMIFS(D$2:D4940,B$2:B4940,B4940,C$2:C4940,"ENTRADA")-SUMIFS(D$2:D4940,B$2:B4940,B4940,C$2:C4940,"SALIDA")</f>
        <v>24783.864999999998</v>
      </c>
    </row>
    <row r="4941" spans="1:5" x14ac:dyDescent="0.3">
      <c r="A4941" s="9">
        <v>45786</v>
      </c>
      <c r="B4941" s="10" t="s">
        <v>8</v>
      </c>
      <c r="C4941" s="10" t="s">
        <v>28</v>
      </c>
      <c r="D4941" s="12">
        <v>102.98</v>
      </c>
      <c r="E4941" s="12">
        <f>SUMIF('Parametros Inventario'!$A:$A,B4941,'Parametros Inventario'!$B:$B)+SUMIFS(D$2:D4941,B$2:B4941,B4941,C$2:C4941,"ENTRADA")-SUMIFS(D$2:D4941,B$2:B4941,B4941,C$2:C4941,"SALIDA")</f>
        <v>23176.42200000001</v>
      </c>
    </row>
    <row r="4942" spans="1:5" x14ac:dyDescent="0.3">
      <c r="A4942" s="9">
        <f>'Volúmenes DIstribuidos '!B2985</f>
        <v>45786</v>
      </c>
      <c r="B4942" s="10" t="str">
        <f>IF(OR('Volúmenes DIstribuidos '!C2985="Azúcar",'Volúmenes DIstribuidos '!C2985="azúcar"),"Azúcar o dulce",IF('Volúmenes DIstribuidos '!C2985="Aceite","Aceite o grasas",IF('Volúmenes DIstribuidos '!C2985="Avena","Otros almidones",'Volúmenes DIstribuidos '!C2985)))</f>
        <v>Otros almidones</v>
      </c>
      <c r="C4942" s="10" t="s">
        <v>29</v>
      </c>
      <c r="D4942" s="12">
        <f>'Volúmenes DIstribuidos '!D2985</f>
        <v>33.799999999999997</v>
      </c>
      <c r="E4942" s="12">
        <f>SUMIF('Parametros Inventario'!$A:$A,B4942,'Parametros Inventario'!$B:$B)+SUMIFS(D$2:D4942,B$2:B4942,B4942,C$2:C4942,"ENTRADA")-SUMIFS(D$2:D4942,B$2:B4942,B4942,C$2:C4942,"SALIDA")</f>
        <v>25691.259000000002</v>
      </c>
    </row>
    <row r="4943" spans="1:5" x14ac:dyDescent="0.3">
      <c r="A4943" s="9">
        <f>'Volúmenes DIstribuidos '!B2985</f>
        <v>45786</v>
      </c>
      <c r="B4943" s="10" t="str">
        <f>IF(OR('Volúmenes DIstribuidos '!C2986="Azúcar",'Volúmenes DIstribuidos '!C2986="azúcar"),"Azúcar o dulce",IF('Volúmenes DIstribuidos '!C2986="Aceite","Aceite o grasas",IF('Volúmenes DIstribuidos '!C2986="Avena","Otros almidones",'Volúmenes DIstribuidos '!C2986)))</f>
        <v>Aceite o grasas</v>
      </c>
      <c r="C4943" s="10" t="s">
        <v>29</v>
      </c>
      <c r="D4943" s="12">
        <f>'Volúmenes DIstribuidos '!D2986</f>
        <v>14.513999999999999</v>
      </c>
      <c r="E4943" s="12">
        <f>SUMIF('Parametros Inventario'!$A:$A,B4943,'Parametros Inventario'!$B:$B)+SUMIFS(D$2:D4943,B$2:B4943,B4943,C$2:C4943,"ENTRADA")-SUMIFS(D$2:D4943,B$2:B4943,B4943,C$2:C4943,"SALIDA")</f>
        <v>23161.90800000001</v>
      </c>
    </row>
    <row r="4944" spans="1:5" x14ac:dyDescent="0.3">
      <c r="A4944" s="9">
        <f>'Volúmenes DIstribuidos '!B2985</f>
        <v>45786</v>
      </c>
      <c r="B4944" s="10" t="str">
        <f>IF(OR('Volúmenes DIstribuidos '!C2987="Azúcar",'Volúmenes DIstribuidos '!C2987="azúcar"),"Azúcar o dulce",IF('Volúmenes DIstribuidos '!C2987="Aceite","Aceite o grasas",IF('Volúmenes DIstribuidos '!C2987="Avena","Otros almidones",'Volúmenes DIstribuidos '!C2987)))</f>
        <v>Carnes rojas</v>
      </c>
      <c r="C4944" s="10" t="s">
        <v>29</v>
      </c>
      <c r="D4944" s="12">
        <f>'Volúmenes DIstribuidos '!D2987</f>
        <v>10.8</v>
      </c>
      <c r="E4944" s="12">
        <f>SUMIF('Parametros Inventario'!$A:$A,B4944,'Parametros Inventario'!$B:$B)+SUMIFS(D$2:D4944,B$2:B4944,B4944,C$2:C4944,"ENTRADA")-SUMIFS(D$2:D4944,B$2:B4944,B4944,C$2:C4944,"SALIDA")</f>
        <v>22503.287000000011</v>
      </c>
    </row>
    <row r="4945" spans="1:5" x14ac:dyDescent="0.3">
      <c r="A4945" s="9">
        <f>'Volúmenes DIstribuidos '!B2985</f>
        <v>45786</v>
      </c>
      <c r="B4945" s="10" t="str">
        <f>IF(OR('Volúmenes DIstribuidos '!C2988="Azúcar",'Volúmenes DIstribuidos '!C2988="azúcar"),"Azúcar o dulce",IF('Volúmenes DIstribuidos '!C2988="Aceite","Aceite o grasas",IF('Volúmenes DIstribuidos '!C2988="Avena","Otros almidones",'Volúmenes DIstribuidos '!C2988)))</f>
        <v>Carnes blancas</v>
      </c>
      <c r="C4945" s="10" t="s">
        <v>29</v>
      </c>
      <c r="D4945" s="12">
        <f>'Volúmenes DIstribuidos '!D2988</f>
        <v>43.26</v>
      </c>
      <c r="E4945" s="12">
        <f>SUMIF('Parametros Inventario'!$A:$A,B4945,'Parametros Inventario'!$B:$B)+SUMIFS(D$2:D4945,B$2:B4945,B4945,C$2:C4945,"ENTRADA")-SUMIFS(D$2:D4945,B$2:B4945,B4945,C$2:C4945,"SALIDA")</f>
        <v>23615.306999999993</v>
      </c>
    </row>
    <row r="4946" spans="1:5" x14ac:dyDescent="0.3">
      <c r="A4946" s="9">
        <f>'Volúmenes DIstribuidos '!B2985</f>
        <v>45786</v>
      </c>
      <c r="B4946" s="10" t="str">
        <f>IF(OR('Volúmenes DIstribuidos '!C2989="Azúcar",'Volúmenes DIstribuidos '!C2989="azúcar"),"Azúcar o dulce",IF('Volúmenes DIstribuidos '!C2989="Aceite","Aceite o grasas",IF('Volúmenes DIstribuidos '!C2989="Avena","Otros almidones",'Volúmenes DIstribuidos '!C2989)))</f>
        <v>Fideo</v>
      </c>
      <c r="C4946" s="10" t="s">
        <v>29</v>
      </c>
      <c r="D4946" s="12">
        <f>'Volúmenes DIstribuidos '!D2989</f>
        <v>23.4</v>
      </c>
      <c r="E4946" s="12">
        <f>SUMIF('Parametros Inventario'!$A:$A,B4946,'Parametros Inventario'!$B:$B)+SUMIFS(D$2:D4946,B$2:B4946,B4946,C$2:C4946,"ENTRADA")-SUMIFS(D$2:D4946,B$2:B4946,B4946,C$2:C4946,"SALIDA")</f>
        <v>26357.304000000011</v>
      </c>
    </row>
    <row r="4947" spans="1:5" x14ac:dyDescent="0.3">
      <c r="A4947" s="9">
        <f>'Volúmenes DIstribuidos '!B2985</f>
        <v>45786</v>
      </c>
      <c r="B4947" s="10" t="str">
        <f>IF(OR('Volúmenes DIstribuidos '!C2990="Azúcar",'Volúmenes DIstribuidos '!C2990="azúcar"),"Azúcar o dulce",IF('Volúmenes DIstribuidos '!C2990="Aceite","Aceite o grasas",IF('Volúmenes DIstribuidos '!C2990="Avena","Otros almidones",'Volúmenes DIstribuidos '!C2990)))</f>
        <v>Otros almidones</v>
      </c>
      <c r="C4947" s="10" t="s">
        <v>29</v>
      </c>
      <c r="D4947" s="12">
        <f>'Volúmenes DIstribuidos '!D2990</f>
        <v>6.69</v>
      </c>
      <c r="E4947" s="12">
        <f>SUMIF('Parametros Inventario'!$A:$A,B4947,'Parametros Inventario'!$B:$B)+SUMIFS(D$2:D4947,B$2:B4947,B4947,C$2:C4947,"ENTRADA")-SUMIFS(D$2:D4947,B$2:B4947,B4947,C$2:C4947,"SALIDA")</f>
        <v>25684.569000000003</v>
      </c>
    </row>
    <row r="4948" spans="1:5" x14ac:dyDescent="0.3">
      <c r="A4948" s="9">
        <f>'Volúmenes DIstribuidos '!B2991</f>
        <v>45790</v>
      </c>
      <c r="B4948" s="10" t="str">
        <f>IF(OR('Volúmenes DIstribuidos '!C2991="Azúcar",'Volúmenes DIstribuidos '!C2991="azúcar"),"Azúcar o dulce",IF('Volúmenes DIstribuidos '!C2991="Aceite","Aceite o grasas",IF('Volúmenes DIstribuidos '!C2991="Avena","Otros almidones",'Volúmenes DIstribuidos '!C2991)))</f>
        <v>Salsas</v>
      </c>
      <c r="C4948" s="10" t="s">
        <v>29</v>
      </c>
      <c r="D4948" s="12">
        <f>'Volúmenes DIstribuidos '!D2991</f>
        <v>11.59</v>
      </c>
      <c r="E4948" s="12">
        <f>SUMIF('Parametros Inventario'!$A:$A,B4948,'Parametros Inventario'!$B:$B)+SUMIFS(D$2:D4948,B$2:B4948,B4948,C$2:C4948,"ENTRADA")-SUMIFS(D$2:D4948,B$2:B4948,B4948,C$2:C4948,"SALIDA")</f>
        <v>23227.732999999978</v>
      </c>
    </row>
    <row r="4949" spans="1:5" x14ac:dyDescent="0.3">
      <c r="A4949" s="9">
        <f>'Volúmenes DIstribuidos '!B2991</f>
        <v>45790</v>
      </c>
      <c r="B4949" s="10" t="str">
        <f>IF(OR('Volúmenes DIstribuidos '!C2992="Azúcar",'Volúmenes DIstribuidos '!C2992="azúcar"),"Azúcar o dulce",IF('Volúmenes DIstribuidos '!C2992="Aceite","Aceite o grasas",IF('Volúmenes DIstribuidos '!C2992="Avena","Otros almidones",'Volúmenes DIstribuidos '!C2992)))</f>
        <v>Lácteos</v>
      </c>
      <c r="C4949" s="10" t="s">
        <v>29</v>
      </c>
      <c r="D4949" s="12">
        <f>'Volúmenes DIstribuidos '!D2992</f>
        <v>8.8460000000000001</v>
      </c>
      <c r="E4949" s="12">
        <f>SUMIF('Parametros Inventario'!$A:$A,B4949,'Parametros Inventario'!$B:$B)+SUMIFS(D$2:D4949,B$2:B4949,B4949,C$2:C4949,"ENTRADA")-SUMIFS(D$2:D4949,B$2:B4949,B4949,C$2:C4949,"SALIDA")</f>
        <v>22941.402999999998</v>
      </c>
    </row>
    <row r="4950" spans="1:5" x14ac:dyDescent="0.3">
      <c r="A4950" s="9">
        <f>'Volúmenes DIstribuidos '!B2991</f>
        <v>45790</v>
      </c>
      <c r="B4950" s="10" t="str">
        <f>IF(OR('Volúmenes DIstribuidos '!C2993="Azúcar",'Volúmenes DIstribuidos '!C2993="azúcar"),"Azúcar o dulce",IF('Volúmenes DIstribuidos '!C2993="Aceite","Aceite o grasas",IF('Volúmenes DIstribuidos '!C2993="Avena","Otros almidones",'Volúmenes DIstribuidos '!C2993)))</f>
        <v>Salsas</v>
      </c>
      <c r="C4950" s="10" t="s">
        <v>29</v>
      </c>
      <c r="D4950" s="12">
        <f>'Volúmenes DIstribuidos '!D2993</f>
        <v>16.37</v>
      </c>
      <c r="E4950" s="12">
        <f>SUMIF('Parametros Inventario'!$A:$A,B4950,'Parametros Inventario'!$B:$B)+SUMIFS(D$2:D4950,B$2:B4950,B4950,C$2:C4950,"ENTRADA")-SUMIFS(D$2:D4950,B$2:B4950,B4950,C$2:C4950,"SALIDA")</f>
        <v>23211.362999999979</v>
      </c>
    </row>
    <row r="4951" spans="1:5" x14ac:dyDescent="0.3">
      <c r="A4951" s="9">
        <f>'Volúmenes DIstribuidos '!B2991</f>
        <v>45790</v>
      </c>
      <c r="B4951" s="10" t="str">
        <f>IF(OR('Volúmenes DIstribuidos '!C2994="Azúcar",'Volúmenes DIstribuidos '!C2994="azúcar"),"Azúcar o dulce",IF('Volúmenes DIstribuidos '!C2994="Aceite","Aceite o grasas",IF('Volúmenes DIstribuidos '!C2994="Avena","Otros almidones",'Volúmenes DIstribuidos '!C2994)))</f>
        <v>Carnes blancas</v>
      </c>
      <c r="C4951" s="10" t="s">
        <v>29</v>
      </c>
      <c r="D4951" s="12">
        <f>'Volúmenes DIstribuidos '!D2994</f>
        <v>5.28</v>
      </c>
      <c r="E4951" s="12">
        <f>SUMIF('Parametros Inventario'!$A:$A,B4951,'Parametros Inventario'!$B:$B)+SUMIFS(D$2:D4951,B$2:B4951,B4951,C$2:C4951,"ENTRADA")-SUMIFS(D$2:D4951,B$2:B4951,B4951,C$2:C4951,"SALIDA")</f>
        <v>23610.026999999995</v>
      </c>
    </row>
    <row r="4952" spans="1:5" x14ac:dyDescent="0.3">
      <c r="A4952" s="9">
        <f>'Volúmenes DIstribuidos '!B2991</f>
        <v>45790</v>
      </c>
      <c r="B4952" s="10" t="str">
        <f>IF(OR('Volúmenes DIstribuidos '!C2995="Azúcar",'Volúmenes DIstribuidos '!C2995="azúcar"),"Azúcar o dulce",IF('Volúmenes DIstribuidos '!C2995="Aceite","Aceite o grasas",IF('Volúmenes DIstribuidos '!C2995="Avena","Otros almidones",'Volúmenes DIstribuidos '!C2995)))</f>
        <v>Lácteos</v>
      </c>
      <c r="C4952" s="10" t="s">
        <v>29</v>
      </c>
      <c r="D4952" s="12">
        <f>'Volúmenes DIstribuidos '!D2995</f>
        <v>46.936</v>
      </c>
      <c r="E4952" s="12">
        <f>SUMIF('Parametros Inventario'!$A:$A,B4952,'Parametros Inventario'!$B:$B)+SUMIFS(D$2:D4952,B$2:B4952,B4952,C$2:C4952,"ENTRADA")-SUMIFS(D$2:D4952,B$2:B4952,B4952,C$2:C4952,"SALIDA")</f>
        <v>22894.467000000001</v>
      </c>
    </row>
    <row r="4953" spans="1:5" x14ac:dyDescent="0.3">
      <c r="A4953" s="9">
        <f>'Volúmenes DIstribuidos '!B2991</f>
        <v>45790</v>
      </c>
      <c r="B4953" s="10" t="str">
        <f>IF(OR('Volúmenes DIstribuidos '!C2996="Azúcar",'Volúmenes DIstribuidos '!C2996="azúcar"),"Azúcar o dulce",IF('Volúmenes DIstribuidos '!C2996="Aceite","Aceite o grasas",IF('Volúmenes DIstribuidos '!C2996="Avena","Otros almidones",'Volúmenes DIstribuidos '!C2996)))</f>
        <v>Fideo</v>
      </c>
      <c r="C4953" s="10" t="s">
        <v>29</v>
      </c>
      <c r="D4953" s="12">
        <f>'Volúmenes DIstribuidos '!D2996</f>
        <v>16.010000000000002</v>
      </c>
      <c r="E4953" s="12">
        <f>SUMIF('Parametros Inventario'!$A:$A,B4953,'Parametros Inventario'!$B:$B)+SUMIFS(D$2:D4953,B$2:B4953,B4953,C$2:C4953,"ENTRADA")-SUMIFS(D$2:D4953,B$2:B4953,B4953,C$2:C4953,"SALIDA")</f>
        <v>26341.294000000009</v>
      </c>
    </row>
    <row r="4954" spans="1:5" x14ac:dyDescent="0.3">
      <c r="A4954" s="9">
        <f>'Volúmenes DIstribuidos '!B2997</f>
        <v>45793</v>
      </c>
      <c r="B4954" s="10" t="str">
        <f>IF(OR('Volúmenes DIstribuidos '!C2997="Azúcar",'Volúmenes DIstribuidos '!C2997="azúcar"),"Azúcar o dulce",IF('Volúmenes DIstribuidos '!C2997="Aceite","Aceite o grasas",IF('Volúmenes DIstribuidos '!C2997="Avena","Otros almidones",'Volúmenes DIstribuidos '!C2997)))</f>
        <v>Carnes blancas</v>
      </c>
      <c r="C4954" s="10" t="s">
        <v>29</v>
      </c>
      <c r="D4954" s="12">
        <f>'Volúmenes DIstribuidos '!D2997</f>
        <v>12.07</v>
      </c>
      <c r="E4954" s="12">
        <f>SUMIF('Parametros Inventario'!$A:$A,B4954,'Parametros Inventario'!$B:$B)+SUMIFS(D$2:D4954,B$2:B4954,B4954,C$2:C4954,"ENTRADA")-SUMIFS(D$2:D4954,B$2:B4954,B4954,C$2:C4954,"SALIDA")</f>
        <v>23597.956999999995</v>
      </c>
    </row>
    <row r="4955" spans="1:5" x14ac:dyDescent="0.3">
      <c r="A4955" s="9">
        <f>'Volúmenes DIstribuidos '!B2997</f>
        <v>45793</v>
      </c>
      <c r="B4955" s="10" t="str">
        <f>IF(OR('Volúmenes DIstribuidos '!C2998="Azúcar",'Volúmenes DIstribuidos '!C2998="azúcar"),"Azúcar o dulce",IF('Volúmenes DIstribuidos '!C2998="Aceite","Aceite o grasas",IF('Volúmenes DIstribuidos '!C2998="Avena","Otros almidones",'Volúmenes DIstribuidos '!C2998)))</f>
        <v>Carnes rojas</v>
      </c>
      <c r="C4955" s="10" t="s">
        <v>29</v>
      </c>
      <c r="D4955" s="12">
        <f>'Volúmenes DIstribuidos '!D2998</f>
        <v>10.14</v>
      </c>
      <c r="E4955" s="12">
        <f>SUMIF('Parametros Inventario'!$A:$A,B4955,'Parametros Inventario'!$B:$B)+SUMIFS(D$2:D4955,B$2:B4955,B4955,C$2:C4955,"ENTRADA")-SUMIFS(D$2:D4955,B$2:B4955,B4955,C$2:C4955,"SALIDA")</f>
        <v>22493.147000000008</v>
      </c>
    </row>
    <row r="4956" spans="1:5" x14ac:dyDescent="0.3">
      <c r="A4956" s="9">
        <f>'Volúmenes DIstribuidos '!B2997</f>
        <v>45793</v>
      </c>
      <c r="B4956" s="10" t="str">
        <f>IF(OR('Volúmenes DIstribuidos '!C2999="Azúcar",'Volúmenes DIstribuidos '!C2999="azúcar"),"Azúcar o dulce",IF('Volúmenes DIstribuidos '!C2999="Aceite","Aceite o grasas",IF('Volúmenes DIstribuidos '!C2999="Avena","Otros almidones",'Volúmenes DIstribuidos '!C2999)))</f>
        <v>Aceite o grasas</v>
      </c>
      <c r="C4956" s="10" t="s">
        <v>29</v>
      </c>
      <c r="D4956" s="12">
        <f>'Volúmenes DIstribuidos '!D2999</f>
        <v>14.34</v>
      </c>
      <c r="E4956" s="12">
        <f>SUMIF('Parametros Inventario'!$A:$A,B4956,'Parametros Inventario'!$B:$B)+SUMIFS(D$2:D4956,B$2:B4956,B4956,C$2:C4956,"ENTRADA")-SUMIFS(D$2:D4956,B$2:B4956,B4956,C$2:C4956,"SALIDA")</f>
        <v>23147.56800000001</v>
      </c>
    </row>
    <row r="4957" spans="1:5" x14ac:dyDescent="0.3">
      <c r="A4957" s="9">
        <f>'Volúmenes DIstribuidos '!B2997</f>
        <v>45793</v>
      </c>
      <c r="B4957" s="10" t="str">
        <f>IF(OR('Volúmenes DIstribuidos '!C3000="Azúcar",'Volúmenes DIstribuidos '!C3000="azúcar"),"Azúcar o dulce",IF('Volúmenes DIstribuidos '!C3000="Aceite","Aceite o grasas",IF('Volúmenes DIstribuidos '!C3000="Avena","Otros almidones",'Volúmenes DIstribuidos '!C3000)))</f>
        <v>Otros almidones</v>
      </c>
      <c r="C4957" s="10" t="s">
        <v>29</v>
      </c>
      <c r="D4957" s="12">
        <f>'Volúmenes DIstribuidos '!D3000</f>
        <v>15.65</v>
      </c>
      <c r="E4957" s="12">
        <f>SUMIF('Parametros Inventario'!$A:$A,B4957,'Parametros Inventario'!$B:$B)+SUMIFS(D$2:D4957,B$2:B4957,B4957,C$2:C4957,"ENTRADA")-SUMIFS(D$2:D4957,B$2:B4957,B4957,C$2:C4957,"SALIDA")</f>
        <v>25668.919000000002</v>
      </c>
    </row>
    <row r="4958" spans="1:5" x14ac:dyDescent="0.3">
      <c r="A4958" s="9">
        <f>'Volúmenes DIstribuidos '!B2997</f>
        <v>45793</v>
      </c>
      <c r="B4958" s="10" t="str">
        <f>IF(OR('Volúmenes DIstribuidos '!C3001="Azúcar",'Volúmenes DIstribuidos '!C3001="azúcar"),"Azúcar o dulce",IF('Volúmenes DIstribuidos '!C3001="Aceite","Aceite o grasas",IF('Volúmenes DIstribuidos '!C3001="Avena","Otros almidones",'Volúmenes DIstribuidos '!C3001)))</f>
        <v>Menestras</v>
      </c>
      <c r="C4958" s="10" t="s">
        <v>29</v>
      </c>
      <c r="D4958" s="12">
        <f>'Volúmenes DIstribuidos '!D3001</f>
        <v>62.945</v>
      </c>
      <c r="E4958" s="12">
        <f>SUMIF('Parametros Inventario'!$A:$A,B4958,'Parametros Inventario'!$B:$B)+SUMIFS(D$2:D4958,B$2:B4958,B4958,C$2:C4958,"ENTRADA")-SUMIFS(D$2:D4958,B$2:B4958,B4958,C$2:C4958,"SALIDA")</f>
        <v>22964.811999999991</v>
      </c>
    </row>
    <row r="4959" spans="1:5" x14ac:dyDescent="0.3">
      <c r="A4959" s="9">
        <f>'Volúmenes DIstribuidos '!B2997</f>
        <v>45793</v>
      </c>
      <c r="B4959" s="10" t="str">
        <f>IF(OR('Volúmenes DIstribuidos '!C3002="Azúcar",'Volúmenes DIstribuidos '!C3002="azúcar"),"Azúcar o dulce",IF('Volúmenes DIstribuidos '!C3002="Aceite","Aceite o grasas",IF('Volúmenes DIstribuidos '!C3002="Avena","Otros almidones",'Volúmenes DIstribuidos '!C3002)))</f>
        <v>Azúcar o dulce</v>
      </c>
      <c r="C4959" s="10" t="s">
        <v>29</v>
      </c>
      <c r="D4959" s="12">
        <f>'Volúmenes DIstribuidos '!D3002</f>
        <v>39.270000000000003</v>
      </c>
      <c r="E4959" s="12">
        <f>SUMIF('Parametros Inventario'!$A:$A,B4959,'Parametros Inventario'!$B:$B)+SUMIFS(D$2:D4959,B$2:B4959,B4959,C$2:C4959,"ENTRADA")-SUMIFS(D$2:D4959,B$2:B4959,B4959,C$2:C4959,"SALIDA")</f>
        <v>22593.400999999991</v>
      </c>
    </row>
    <row r="4960" spans="1:5" x14ac:dyDescent="0.3">
      <c r="A4960" s="9">
        <v>45797</v>
      </c>
      <c r="B4960" s="10" t="s">
        <v>13</v>
      </c>
      <c r="C4960" s="10" t="s">
        <v>28</v>
      </c>
      <c r="D4960" s="12">
        <v>52.74</v>
      </c>
      <c r="E4960" s="12">
        <f>SUMIF('Parametros Inventario'!$A:$A,B4960,'Parametros Inventario'!$B:$B)+SUMIFS(D$2:D4960,B$2:B4960,B4960,C$2:C4960,"ENTRADA")-SUMIFS(D$2:D4960,B$2:B4960,B4960,C$2:C4960,"SALIDA")</f>
        <v>22646.140999999989</v>
      </c>
    </row>
    <row r="4961" spans="1:5" x14ac:dyDescent="0.3">
      <c r="A4961" s="9">
        <v>45797</v>
      </c>
      <c r="B4961" s="10" t="s">
        <v>15</v>
      </c>
      <c r="C4961" s="10" t="s">
        <v>28</v>
      </c>
      <c r="D4961" s="12">
        <v>277.42</v>
      </c>
      <c r="E4961" s="12">
        <f>SUMIF('Parametros Inventario'!$A:$A,B4961,'Parametros Inventario'!$B:$B)+SUMIFS(D$2:D4961,B$2:B4961,B4961,C$2:C4961,"ENTRADA")-SUMIFS(D$2:D4961,B$2:B4961,B4961,C$2:C4961,"SALIDA")</f>
        <v>25946.339</v>
      </c>
    </row>
    <row r="4962" spans="1:5" x14ac:dyDescent="0.3">
      <c r="A4962" s="9">
        <v>45797</v>
      </c>
      <c r="B4962" s="10" t="s">
        <v>11</v>
      </c>
      <c r="C4962" s="10" t="s">
        <v>28</v>
      </c>
      <c r="D4962" s="12">
        <v>96.94</v>
      </c>
      <c r="E4962" s="12">
        <f>SUMIF('Parametros Inventario'!$A:$A,B4962,'Parametros Inventario'!$B:$B)+SUMIFS(D$2:D4962,B$2:B4962,B4962,C$2:C4962,"ENTRADA")-SUMIFS(D$2:D4962,B$2:B4962,B4962,C$2:C4962,"SALIDA")</f>
        <v>26438.234000000011</v>
      </c>
    </row>
    <row r="4963" spans="1:5" x14ac:dyDescent="0.3">
      <c r="A4963" s="9">
        <v>45797</v>
      </c>
      <c r="B4963" s="10" t="s">
        <v>9</v>
      </c>
      <c r="C4963" s="10" t="s">
        <v>28</v>
      </c>
      <c r="D4963" s="12">
        <v>100.43</v>
      </c>
      <c r="E4963" s="12">
        <f>SUMIF('Parametros Inventario'!$A:$A,B4963,'Parametros Inventario'!$B:$B)+SUMIFS(D$2:D4963,B$2:B4963,B4963,C$2:C4963,"ENTRADA")-SUMIFS(D$2:D4963,B$2:B4963,B4963,C$2:C4963,"SALIDA")</f>
        <v>22158.204999999994</v>
      </c>
    </row>
    <row r="4964" spans="1:5" x14ac:dyDescent="0.3">
      <c r="A4964" s="9">
        <v>45797</v>
      </c>
      <c r="B4964" s="10" t="s">
        <v>14</v>
      </c>
      <c r="C4964" s="10" t="s">
        <v>28</v>
      </c>
      <c r="D4964" s="12">
        <v>282.3</v>
      </c>
      <c r="E4964" s="12">
        <f>SUMIF('Parametros Inventario'!$A:$A,B4964,'Parametros Inventario'!$B:$B)+SUMIFS(D$2:D4964,B$2:B4964,B4964,C$2:C4964,"ENTRADA")-SUMIFS(D$2:D4964,B$2:B4964,B4964,C$2:C4964,"SALIDA")</f>
        <v>23247.111999999986</v>
      </c>
    </row>
    <row r="4965" spans="1:5" x14ac:dyDescent="0.3">
      <c r="A4965" s="9">
        <v>45797</v>
      </c>
      <c r="B4965" s="10" t="s">
        <v>12</v>
      </c>
      <c r="C4965" s="10" t="s">
        <v>28</v>
      </c>
      <c r="D4965" s="12">
        <v>110.08</v>
      </c>
      <c r="E4965" s="12">
        <f>SUMIF('Parametros Inventario'!$A:$A,B4965,'Parametros Inventario'!$B:$B)+SUMIFS(D$2:D4965,B$2:B4965,B4965,C$2:C4965,"ENTRADA")-SUMIFS(D$2:D4965,B$2:B4965,B4965,C$2:C4965,"SALIDA")</f>
        <v>22603.22700000001</v>
      </c>
    </row>
    <row r="4966" spans="1:5" x14ac:dyDescent="0.3">
      <c r="A4966" s="9">
        <v>45797</v>
      </c>
      <c r="B4966" s="10" t="s">
        <v>16</v>
      </c>
      <c r="C4966" s="10" t="s">
        <v>28</v>
      </c>
      <c r="D4966" s="12">
        <v>71.260000000000005</v>
      </c>
      <c r="E4966" s="12">
        <f>SUMIF('Parametros Inventario'!$A:$A,B4966,'Parametros Inventario'!$B:$B)+SUMIFS(D$2:D4966,B$2:B4966,B4966,C$2:C4966,"ENTRADA")-SUMIFS(D$2:D4966,B$2:B4966,B4966,C$2:C4966,"SALIDA")</f>
        <v>23669.216999999993</v>
      </c>
    </row>
    <row r="4967" spans="1:5" x14ac:dyDescent="0.3">
      <c r="A4967" s="9">
        <v>45797</v>
      </c>
      <c r="B4967" s="10" t="s">
        <v>17</v>
      </c>
      <c r="C4967" s="10" t="s">
        <v>28</v>
      </c>
      <c r="D4967" s="12">
        <v>192.53</v>
      </c>
      <c r="E4967" s="12">
        <f>SUMIF('Parametros Inventario'!$A:$A,B4967,'Parametros Inventario'!$B:$B)+SUMIFS(D$2:D4967,B$2:B4967,B4967,C$2:C4967,"ENTRADA")-SUMIFS(D$2:D4967,B$2:B4967,B4967,C$2:C4967,"SALIDA")</f>
        <v>23086.996999999999</v>
      </c>
    </row>
    <row r="4968" spans="1:5" x14ac:dyDescent="0.3">
      <c r="A4968" s="9">
        <v>45797</v>
      </c>
      <c r="B4968" s="10" t="s">
        <v>18</v>
      </c>
      <c r="C4968" s="10" t="s">
        <v>28</v>
      </c>
      <c r="D4968" s="12">
        <v>61.22</v>
      </c>
      <c r="E4968" s="12">
        <f>SUMIF('Parametros Inventario'!$A:$A,B4968,'Parametros Inventario'!$B:$B)+SUMIFS(D$2:D4968,B$2:B4968,B4968,C$2:C4968,"ENTRADA")-SUMIFS(D$2:D4968,B$2:B4968,B4968,C$2:C4968,"SALIDA")</f>
        <v>23272.582999999981</v>
      </c>
    </row>
    <row r="4969" spans="1:5" x14ac:dyDescent="0.3">
      <c r="A4969" s="9">
        <v>45797</v>
      </c>
      <c r="B4969" s="10" t="s">
        <v>10</v>
      </c>
      <c r="C4969" s="10" t="s">
        <v>28</v>
      </c>
      <c r="D4969" s="12">
        <v>296.62</v>
      </c>
      <c r="E4969" s="12">
        <f>SUMIF('Parametros Inventario'!$A:$A,B4969,'Parametros Inventario'!$B:$B)+SUMIFS(D$2:D4969,B$2:B4969,B4969,C$2:C4969,"ENTRADA")-SUMIFS(D$2:D4969,B$2:B4969,B4969,C$2:C4969,"SALIDA")</f>
        <v>25080.484999999997</v>
      </c>
    </row>
    <row r="4970" spans="1:5" x14ac:dyDescent="0.3">
      <c r="A4970" s="9">
        <f>'Volúmenes DIstribuidos '!B3003</f>
        <v>45797</v>
      </c>
      <c r="B4970" s="10" t="str">
        <f>IF(OR('Volúmenes DIstribuidos '!C3003="Azúcar",'Volúmenes DIstribuidos '!C3003="azúcar"),"Azúcar o dulce",IF('Volúmenes DIstribuidos '!C3003="Aceite","Aceite o grasas",IF('Volúmenes DIstribuidos '!C3003="Avena","Otros almidones",'Volúmenes DIstribuidos '!C3003)))</f>
        <v>Menestras</v>
      </c>
      <c r="C4970" s="10" t="s">
        <v>29</v>
      </c>
      <c r="D4970" s="12">
        <f>'Volúmenes DIstribuidos '!D3003</f>
        <v>17.260000000000002</v>
      </c>
      <c r="E4970" s="12">
        <f>SUMIF('Parametros Inventario'!$A:$A,B4970,'Parametros Inventario'!$B:$B)+SUMIFS(D$2:D4970,B$2:B4970,B4970,C$2:C4970,"ENTRADA")-SUMIFS(D$2:D4970,B$2:B4970,B4970,C$2:C4970,"SALIDA")</f>
        <v>23229.851999999988</v>
      </c>
    </row>
    <row r="4971" spans="1:5" x14ac:dyDescent="0.3">
      <c r="A4971" s="9">
        <f>'Volúmenes DIstribuidos '!B3003</f>
        <v>45797</v>
      </c>
      <c r="B4971" s="10" t="str">
        <f>IF(OR('Volúmenes DIstribuidos '!C3004="Azúcar",'Volúmenes DIstribuidos '!C3004="azúcar"),"Azúcar o dulce",IF('Volúmenes DIstribuidos '!C3004="Aceite","Aceite o grasas",IF('Volúmenes DIstribuidos '!C3004="Avena","Otros almidones",'Volúmenes DIstribuidos '!C3004)))</f>
        <v>Panadería</v>
      </c>
      <c r="C4971" s="10" t="s">
        <v>29</v>
      </c>
      <c r="D4971" s="12">
        <f>'Volúmenes DIstribuidos '!D3004</f>
        <v>37.905000000000001</v>
      </c>
      <c r="E4971" s="12">
        <f>SUMIF('Parametros Inventario'!$A:$A,B4971,'Parametros Inventario'!$B:$B)+SUMIFS(D$2:D4971,B$2:B4971,B4971,C$2:C4971,"ENTRADA")-SUMIFS(D$2:D4971,B$2:B4971,B4971,C$2:C4971,"SALIDA")</f>
        <v>22120.299999999996</v>
      </c>
    </row>
    <row r="4972" spans="1:5" x14ac:dyDescent="0.3">
      <c r="A4972" s="9">
        <f>'Volúmenes DIstribuidos '!B3003</f>
        <v>45797</v>
      </c>
      <c r="B4972" s="10" t="str">
        <f>IF(OR('Volúmenes DIstribuidos '!C3005="Azúcar",'Volúmenes DIstribuidos '!C3005="azúcar"),"Azúcar o dulce",IF('Volúmenes DIstribuidos '!C3005="Aceite","Aceite o grasas",IF('Volúmenes DIstribuidos '!C3005="Avena","Otros almidones",'Volúmenes DIstribuidos '!C3005)))</f>
        <v>Panadería</v>
      </c>
      <c r="C4972" s="10" t="s">
        <v>29</v>
      </c>
      <c r="D4972" s="12">
        <f>'Volúmenes DIstribuidos '!D3005</f>
        <v>127.95</v>
      </c>
      <c r="E4972" s="12">
        <f>SUMIF('Parametros Inventario'!$A:$A,B4972,'Parametros Inventario'!$B:$B)+SUMIFS(D$2:D4972,B$2:B4972,B4972,C$2:C4972,"ENTRADA")-SUMIFS(D$2:D4972,B$2:B4972,B4972,C$2:C4972,"SALIDA")</f>
        <v>21992.349999999995</v>
      </c>
    </row>
    <row r="4973" spans="1:5" x14ac:dyDescent="0.3">
      <c r="A4973" s="9">
        <f>'Volúmenes DIstribuidos '!B3003</f>
        <v>45797</v>
      </c>
      <c r="B4973" s="10" t="str">
        <f>IF(OR('Volúmenes DIstribuidos '!C3006="Azúcar",'Volúmenes DIstribuidos '!C3006="azúcar"),"Azúcar o dulce",IF('Volúmenes DIstribuidos '!C3006="Aceite","Aceite o grasas",IF('Volúmenes DIstribuidos '!C3006="Avena","Otros almidones",'Volúmenes DIstribuidos '!C3006)))</f>
        <v>Fideo</v>
      </c>
      <c r="C4973" s="10" t="s">
        <v>29</v>
      </c>
      <c r="D4973" s="12">
        <f>'Volúmenes DIstribuidos '!D3006</f>
        <v>78.81</v>
      </c>
      <c r="E4973" s="12">
        <f>SUMIF('Parametros Inventario'!$A:$A,B4973,'Parametros Inventario'!$B:$B)+SUMIFS(D$2:D4973,B$2:B4973,B4973,C$2:C4973,"ENTRADA")-SUMIFS(D$2:D4973,B$2:B4973,B4973,C$2:C4973,"SALIDA")</f>
        <v>26359.42400000001</v>
      </c>
    </row>
    <row r="4974" spans="1:5" x14ac:dyDescent="0.3">
      <c r="A4974" s="9">
        <f>'Volúmenes DIstribuidos '!B3003</f>
        <v>45797</v>
      </c>
      <c r="B4974" s="10" t="str">
        <f>IF(OR('Volúmenes DIstribuidos '!C3007="Azúcar",'Volúmenes DIstribuidos '!C3007="azúcar"),"Azúcar o dulce",IF('Volúmenes DIstribuidos '!C3007="Aceite","Aceite o grasas",IF('Volúmenes DIstribuidos '!C3007="Avena","Otros almidones",'Volúmenes DIstribuidos '!C3007)))</f>
        <v>Otros almidones</v>
      </c>
      <c r="C4974" s="10" t="s">
        <v>29</v>
      </c>
      <c r="D4974" s="12">
        <f>'Volúmenes DIstribuidos '!D3007</f>
        <v>16.510000000000002</v>
      </c>
      <c r="E4974" s="12">
        <f>SUMIF('Parametros Inventario'!$A:$A,B4974,'Parametros Inventario'!$B:$B)+SUMIFS(D$2:D4974,B$2:B4974,B4974,C$2:C4974,"ENTRADA")-SUMIFS(D$2:D4974,B$2:B4974,B4974,C$2:C4974,"SALIDA")</f>
        <v>25929.828999999998</v>
      </c>
    </row>
    <row r="4975" spans="1:5" x14ac:dyDescent="0.3">
      <c r="A4975" s="9">
        <f>'Volúmenes DIstribuidos '!B3003</f>
        <v>45797</v>
      </c>
      <c r="B4975" s="10" t="str">
        <f>IF(OR('Volúmenes DIstribuidos '!C3008="Azúcar",'Volúmenes DIstribuidos '!C3008="azúcar"),"Azúcar o dulce",IF('Volúmenes DIstribuidos '!C3008="Aceite","Aceite o grasas",IF('Volúmenes DIstribuidos '!C3008="Avena","Otros almidones",'Volúmenes DIstribuidos '!C3008)))</f>
        <v>Lácteos</v>
      </c>
      <c r="C4975" s="10" t="s">
        <v>29</v>
      </c>
      <c r="D4975" s="12">
        <f>'Volúmenes DIstribuidos '!D3008</f>
        <v>27.126999999999999</v>
      </c>
      <c r="E4975" s="12">
        <f>SUMIF('Parametros Inventario'!$A:$A,B4975,'Parametros Inventario'!$B:$B)+SUMIFS(D$2:D4975,B$2:B4975,B4975,C$2:C4975,"ENTRADA")-SUMIFS(D$2:D4975,B$2:B4975,B4975,C$2:C4975,"SALIDA")</f>
        <v>23059.87</v>
      </c>
    </row>
    <row r="4976" spans="1:5" x14ac:dyDescent="0.3">
      <c r="A4976" s="9">
        <v>45800</v>
      </c>
      <c r="B4976" s="10" t="s">
        <v>8</v>
      </c>
      <c r="C4976" s="10" t="s">
        <v>28</v>
      </c>
      <c r="D4976" s="12">
        <v>170.95</v>
      </c>
      <c r="E4976" s="12">
        <f>SUMIF('Parametros Inventario'!$A:$A,B4976,'Parametros Inventario'!$B:$B)+SUMIFS(D$2:D4976,B$2:B4976,B4976,C$2:C4976,"ENTRADA")-SUMIFS(D$2:D4976,B$2:B4976,B4976,C$2:C4976,"SALIDA")</f>
        <v>23318.518000000007</v>
      </c>
    </row>
    <row r="4977" spans="1:5" x14ac:dyDescent="0.3">
      <c r="A4977" s="9">
        <v>45800</v>
      </c>
      <c r="B4977" s="10" t="s">
        <v>13</v>
      </c>
      <c r="C4977" s="10" t="s">
        <v>28</v>
      </c>
      <c r="D4977" s="12">
        <v>62.01</v>
      </c>
      <c r="E4977" s="12">
        <f>SUMIF('Parametros Inventario'!$A:$A,B4977,'Parametros Inventario'!$B:$B)+SUMIFS(D$2:D4977,B$2:B4977,B4977,C$2:C4977,"ENTRADA")-SUMIFS(D$2:D4977,B$2:B4977,B4977,C$2:C4977,"SALIDA")</f>
        <v>22708.150999999991</v>
      </c>
    </row>
    <row r="4978" spans="1:5" x14ac:dyDescent="0.3">
      <c r="A4978" s="9">
        <v>45800</v>
      </c>
      <c r="B4978" s="10" t="s">
        <v>15</v>
      </c>
      <c r="C4978" s="10" t="s">
        <v>28</v>
      </c>
      <c r="D4978" s="12">
        <v>73.3</v>
      </c>
      <c r="E4978" s="12">
        <f>SUMIF('Parametros Inventario'!$A:$A,B4978,'Parametros Inventario'!$B:$B)+SUMIFS(D$2:D4978,B$2:B4978,B4978,C$2:C4978,"ENTRADA")-SUMIFS(D$2:D4978,B$2:B4978,B4978,C$2:C4978,"SALIDA")</f>
        <v>26003.129000000001</v>
      </c>
    </row>
    <row r="4979" spans="1:5" x14ac:dyDescent="0.3">
      <c r="A4979" s="9">
        <v>45800</v>
      </c>
      <c r="B4979" s="10" t="s">
        <v>11</v>
      </c>
      <c r="C4979" s="10" t="s">
        <v>28</v>
      </c>
      <c r="D4979" s="12">
        <v>127.15</v>
      </c>
      <c r="E4979" s="12">
        <f>SUMIF('Parametros Inventario'!$A:$A,B4979,'Parametros Inventario'!$B:$B)+SUMIFS(D$2:D4979,B$2:B4979,B4979,C$2:C4979,"ENTRADA")-SUMIFS(D$2:D4979,B$2:B4979,B4979,C$2:C4979,"SALIDA")</f>
        <v>26486.574000000004</v>
      </c>
    </row>
    <row r="4980" spans="1:5" x14ac:dyDescent="0.3">
      <c r="A4980" s="9">
        <v>45800</v>
      </c>
      <c r="B4980" s="10" t="s">
        <v>9</v>
      </c>
      <c r="C4980" s="10" t="s">
        <v>28</v>
      </c>
      <c r="D4980" s="12">
        <v>295.14</v>
      </c>
      <c r="E4980" s="12">
        <f>SUMIF('Parametros Inventario'!$A:$A,B4980,'Parametros Inventario'!$B:$B)+SUMIFS(D$2:D4980,B$2:B4980,B4980,C$2:C4980,"ENTRADA")-SUMIFS(D$2:D4980,B$2:B4980,B4980,C$2:C4980,"SALIDA")</f>
        <v>22287.489999999994</v>
      </c>
    </row>
    <row r="4981" spans="1:5" x14ac:dyDescent="0.3">
      <c r="A4981" s="9">
        <v>45800</v>
      </c>
      <c r="B4981" s="10" t="s">
        <v>14</v>
      </c>
      <c r="C4981" s="10" t="s">
        <v>28</v>
      </c>
      <c r="D4981" s="12">
        <v>237.92</v>
      </c>
      <c r="E4981" s="12">
        <f>SUMIF('Parametros Inventario'!$A:$A,B4981,'Parametros Inventario'!$B:$B)+SUMIFS(D$2:D4981,B$2:B4981,B4981,C$2:C4981,"ENTRADA")-SUMIFS(D$2:D4981,B$2:B4981,B4981,C$2:C4981,"SALIDA")</f>
        <v>23467.771999999986</v>
      </c>
    </row>
    <row r="4982" spans="1:5" x14ac:dyDescent="0.3">
      <c r="A4982" s="9">
        <v>45800</v>
      </c>
      <c r="B4982" s="10" t="s">
        <v>12</v>
      </c>
      <c r="C4982" s="10" t="s">
        <v>28</v>
      </c>
      <c r="D4982" s="12">
        <v>289.68</v>
      </c>
      <c r="E4982" s="12">
        <f>SUMIF('Parametros Inventario'!$A:$A,B4982,'Parametros Inventario'!$B:$B)+SUMIFS(D$2:D4982,B$2:B4982,B4982,C$2:C4982,"ENTRADA")-SUMIFS(D$2:D4982,B$2:B4982,B4982,C$2:C4982,"SALIDA")</f>
        <v>22892.90700000001</v>
      </c>
    </row>
    <row r="4983" spans="1:5" x14ac:dyDescent="0.3">
      <c r="A4983" s="9">
        <v>45800</v>
      </c>
      <c r="B4983" s="10" t="s">
        <v>16</v>
      </c>
      <c r="C4983" s="10" t="s">
        <v>28</v>
      </c>
      <c r="D4983" s="12">
        <v>175.05</v>
      </c>
      <c r="E4983" s="12">
        <f>SUMIF('Parametros Inventario'!$A:$A,B4983,'Parametros Inventario'!$B:$B)+SUMIFS(D$2:D4983,B$2:B4983,B4983,C$2:C4983,"ENTRADA")-SUMIFS(D$2:D4983,B$2:B4983,B4983,C$2:C4983,"SALIDA")</f>
        <v>23844.266999999993</v>
      </c>
    </row>
    <row r="4984" spans="1:5" x14ac:dyDescent="0.3">
      <c r="A4984" s="9">
        <f>'Volúmenes DIstribuidos '!B3009</f>
        <v>45800</v>
      </c>
      <c r="B4984" s="10" t="str">
        <f>IF(OR('Volúmenes DIstribuidos '!C3009="Azúcar",'Volúmenes DIstribuidos '!C3009="azúcar"),"Azúcar o dulce",IF('Volúmenes DIstribuidos '!C3009="Aceite","Aceite o grasas",IF('Volúmenes DIstribuidos '!C3009="Avena","Otros almidones",'Volúmenes DIstribuidos '!C3009)))</f>
        <v>Lácteos</v>
      </c>
      <c r="C4984" s="10" t="s">
        <v>29</v>
      </c>
      <c r="D4984" s="12">
        <f>'Volúmenes DIstribuidos '!D3009</f>
        <v>12.44</v>
      </c>
      <c r="E4984" s="12">
        <f>SUMIF('Parametros Inventario'!$A:$A,B4984,'Parametros Inventario'!$B:$B)+SUMIFS(D$2:D4984,B$2:B4984,B4984,C$2:C4984,"ENTRADA")-SUMIFS(D$2:D4984,B$2:B4984,B4984,C$2:C4984,"SALIDA")</f>
        <v>23047.43</v>
      </c>
    </row>
    <row r="4985" spans="1:5" x14ac:dyDescent="0.3">
      <c r="A4985" s="9">
        <f>'Volúmenes DIstribuidos '!B3009</f>
        <v>45800</v>
      </c>
      <c r="B4985" s="10" t="str">
        <f>IF(OR('Volúmenes DIstribuidos '!C3010="Azúcar",'Volúmenes DIstribuidos '!C3010="azúcar"),"Azúcar o dulce",IF('Volúmenes DIstribuidos '!C3010="Aceite","Aceite o grasas",IF('Volúmenes DIstribuidos '!C3010="Avena","Otros almidones",'Volúmenes DIstribuidos '!C3010)))</f>
        <v>Panadería</v>
      </c>
      <c r="C4985" s="10" t="s">
        <v>29</v>
      </c>
      <c r="D4985" s="12">
        <f>'Volúmenes DIstribuidos '!D3010</f>
        <v>45.53</v>
      </c>
      <c r="E4985" s="12">
        <f>SUMIF('Parametros Inventario'!$A:$A,B4985,'Parametros Inventario'!$B:$B)+SUMIFS(D$2:D4985,B$2:B4985,B4985,C$2:C4985,"ENTRADA")-SUMIFS(D$2:D4985,B$2:B4985,B4985,C$2:C4985,"SALIDA")</f>
        <v>22241.959999999992</v>
      </c>
    </row>
    <row r="4986" spans="1:5" x14ac:dyDescent="0.3">
      <c r="A4986" s="9">
        <f>'Volúmenes DIstribuidos '!B3009</f>
        <v>45800</v>
      </c>
      <c r="B4986" s="10" t="str">
        <f>IF(OR('Volúmenes DIstribuidos '!C3011="Azúcar",'Volúmenes DIstribuidos '!C3011="azúcar"),"Azúcar o dulce",IF('Volúmenes DIstribuidos '!C3011="Aceite","Aceite o grasas",IF('Volúmenes DIstribuidos '!C3011="Avena","Otros almidones",'Volúmenes DIstribuidos '!C3011)))</f>
        <v>Otros almidones</v>
      </c>
      <c r="C4986" s="10" t="s">
        <v>29</v>
      </c>
      <c r="D4986" s="12">
        <f>'Volúmenes DIstribuidos '!D3011</f>
        <v>12.989000000000001</v>
      </c>
      <c r="E4986" s="12">
        <f>SUMIF('Parametros Inventario'!$A:$A,B4986,'Parametros Inventario'!$B:$B)+SUMIFS(D$2:D4986,B$2:B4986,B4986,C$2:C4986,"ENTRADA")-SUMIFS(D$2:D4986,B$2:B4986,B4986,C$2:C4986,"SALIDA")</f>
        <v>25990.140000000003</v>
      </c>
    </row>
    <row r="4987" spans="1:5" x14ac:dyDescent="0.3">
      <c r="A4987" s="9">
        <f>'Volúmenes DIstribuidos '!B3009</f>
        <v>45800</v>
      </c>
      <c r="B4987" s="10" t="str">
        <f>IF(OR('Volúmenes DIstribuidos '!C3012="Azúcar",'Volúmenes DIstribuidos '!C3012="azúcar"),"Azúcar o dulce",IF('Volúmenes DIstribuidos '!C3012="Aceite","Aceite o grasas",IF('Volúmenes DIstribuidos '!C3012="Avena","Otros almidones",'Volúmenes DIstribuidos '!C3012)))</f>
        <v>Vegetales y hojas</v>
      </c>
      <c r="C4987" s="10" t="s">
        <v>29</v>
      </c>
      <c r="D4987" s="12">
        <f>'Volúmenes DIstribuidos '!D3012</f>
        <v>25.17</v>
      </c>
      <c r="E4987" s="12">
        <f>SUMIF('Parametros Inventario'!$A:$A,B4987,'Parametros Inventario'!$B:$B)+SUMIFS(D$2:D4987,B$2:B4987,B4987,C$2:C4987,"ENTRADA")-SUMIFS(D$2:D4987,B$2:B4987,B4987,C$2:C4987,"SALIDA")</f>
        <v>25055.314999999999</v>
      </c>
    </row>
    <row r="4988" spans="1:5" x14ac:dyDescent="0.3">
      <c r="A4988" s="9">
        <f>'Volúmenes DIstribuidos '!B3009</f>
        <v>45800</v>
      </c>
      <c r="B4988" s="10" t="str">
        <f>IF(OR('Volúmenes DIstribuidos '!C3013="Azúcar",'Volúmenes DIstribuidos '!C3013="azúcar"),"Azúcar o dulce",IF('Volúmenes DIstribuidos '!C3013="Aceite","Aceite o grasas",IF('Volúmenes DIstribuidos '!C3013="Avena","Otros almidones",'Volúmenes DIstribuidos '!C3013)))</f>
        <v>Menestras</v>
      </c>
      <c r="C4988" s="10" t="s">
        <v>29</v>
      </c>
      <c r="D4988" s="12">
        <f>'Volúmenes DIstribuidos '!D3013</f>
        <v>112.1</v>
      </c>
      <c r="E4988" s="12">
        <f>SUMIF('Parametros Inventario'!$A:$A,B4988,'Parametros Inventario'!$B:$B)+SUMIFS(D$2:D4988,B$2:B4988,B4988,C$2:C4988,"ENTRADA")-SUMIFS(D$2:D4988,B$2:B4988,B4988,C$2:C4988,"SALIDA")</f>
        <v>23355.671999999984</v>
      </c>
    </row>
    <row r="4989" spans="1:5" x14ac:dyDescent="0.3">
      <c r="A4989" s="9">
        <f>'Volúmenes DIstribuidos '!B3009</f>
        <v>45800</v>
      </c>
      <c r="B4989" s="10" t="str">
        <f>IF(OR('Volúmenes DIstribuidos '!C3014="Azúcar",'Volúmenes DIstribuidos '!C3014="azúcar"),"Azúcar o dulce",IF('Volúmenes DIstribuidos '!C3014="Aceite","Aceite o grasas",IF('Volúmenes DIstribuidos '!C3014="Avena","Otros almidones",'Volúmenes DIstribuidos '!C3014)))</f>
        <v>Azúcar o dulce</v>
      </c>
      <c r="C4989" s="10" t="s">
        <v>29</v>
      </c>
      <c r="D4989" s="12">
        <f>'Volúmenes DIstribuidos '!D3014</f>
        <v>23.146999999999998</v>
      </c>
      <c r="E4989" s="12">
        <f>SUMIF('Parametros Inventario'!$A:$A,B4989,'Parametros Inventario'!$B:$B)+SUMIFS(D$2:D4989,B$2:B4989,B4989,C$2:C4989,"ENTRADA")-SUMIFS(D$2:D4989,B$2:B4989,B4989,C$2:C4989,"SALIDA")</f>
        <v>22685.003999999986</v>
      </c>
    </row>
    <row r="4990" spans="1:5" x14ac:dyDescent="0.3">
      <c r="A4990" s="9">
        <f>'Volúmenes DIstribuidos '!B3015</f>
        <v>45804</v>
      </c>
      <c r="B4990" s="10" t="str">
        <f>IF(OR('Volúmenes DIstribuidos '!C3015="Azúcar",'Volúmenes DIstribuidos '!C3015="azúcar"),"Azúcar o dulce",IF('Volúmenes DIstribuidos '!C3015="Aceite","Aceite o grasas",IF('Volúmenes DIstribuidos '!C3015="Avena","Otros almidones",'Volúmenes DIstribuidos '!C3015)))</f>
        <v>Otros almidones</v>
      </c>
      <c r="C4990" s="10" t="s">
        <v>29</v>
      </c>
      <c r="D4990" s="12">
        <f>'Volúmenes DIstribuidos '!D3015</f>
        <v>9.2100000000000009</v>
      </c>
      <c r="E4990" s="12">
        <f>SUMIF('Parametros Inventario'!$A:$A,B4990,'Parametros Inventario'!$B:$B)+SUMIFS(D$2:D4990,B$2:B4990,B4990,C$2:C4990,"ENTRADA")-SUMIFS(D$2:D4990,B$2:B4990,B4990,C$2:C4990,"SALIDA")</f>
        <v>25980.930000000004</v>
      </c>
    </row>
    <row r="4991" spans="1:5" x14ac:dyDescent="0.3">
      <c r="A4991" s="9">
        <f>'Volúmenes DIstribuidos '!B3015</f>
        <v>45804</v>
      </c>
      <c r="B4991" s="10" t="str">
        <f>IF(OR('Volúmenes DIstribuidos '!C3016="Azúcar",'Volúmenes DIstribuidos '!C3016="azúcar"),"Azúcar o dulce",IF('Volúmenes DIstribuidos '!C3016="Aceite","Aceite o grasas",IF('Volúmenes DIstribuidos '!C3016="Avena","Otros almidones",'Volúmenes DIstribuidos '!C3016)))</f>
        <v>Aceite o grasas</v>
      </c>
      <c r="C4991" s="10" t="s">
        <v>29</v>
      </c>
      <c r="D4991" s="12">
        <f>'Volúmenes DIstribuidos '!D3016</f>
        <v>5.44</v>
      </c>
      <c r="E4991" s="12">
        <f>SUMIF('Parametros Inventario'!$A:$A,B4991,'Parametros Inventario'!$B:$B)+SUMIFS(D$2:D4991,B$2:B4991,B4991,C$2:C4991,"ENTRADA")-SUMIFS(D$2:D4991,B$2:B4991,B4991,C$2:C4991,"SALIDA")</f>
        <v>23313.078000000009</v>
      </c>
    </row>
    <row r="4992" spans="1:5" x14ac:dyDescent="0.3">
      <c r="A4992" s="9">
        <f>'Volúmenes DIstribuidos '!B3015</f>
        <v>45804</v>
      </c>
      <c r="B4992" s="10" t="str">
        <f>IF(OR('Volúmenes DIstribuidos '!C3017="Azúcar",'Volúmenes DIstribuidos '!C3017="azúcar"),"Azúcar o dulce",IF('Volúmenes DIstribuidos '!C3017="Aceite","Aceite o grasas",IF('Volúmenes DIstribuidos '!C3017="Avena","Otros almidones",'Volúmenes DIstribuidos '!C3017)))</f>
        <v>Menestras</v>
      </c>
      <c r="C4992" s="10" t="s">
        <v>29</v>
      </c>
      <c r="D4992" s="12">
        <f>'Volúmenes DIstribuidos '!D3017</f>
        <v>7.91</v>
      </c>
      <c r="E4992" s="12">
        <f>SUMIF('Parametros Inventario'!$A:$A,B4992,'Parametros Inventario'!$B:$B)+SUMIFS(D$2:D4992,B$2:B4992,B4992,C$2:C4992,"ENTRADA")-SUMIFS(D$2:D4992,B$2:B4992,B4992,C$2:C4992,"SALIDA")</f>
        <v>23347.761999999988</v>
      </c>
    </row>
    <row r="4993" spans="1:5" x14ac:dyDescent="0.3">
      <c r="A4993" s="9">
        <f>'Volúmenes DIstribuidos '!B3015</f>
        <v>45804</v>
      </c>
      <c r="B4993" s="10" t="str">
        <f>IF(OR('Volúmenes DIstribuidos '!C3018="Azúcar",'Volúmenes DIstribuidos '!C3018="azúcar"),"Azúcar o dulce",IF('Volúmenes DIstribuidos '!C3018="Aceite","Aceite o grasas",IF('Volúmenes DIstribuidos '!C3018="Avena","Otros almidones",'Volúmenes DIstribuidos '!C3018)))</f>
        <v>Panadería</v>
      </c>
      <c r="C4993" s="10" t="s">
        <v>29</v>
      </c>
      <c r="D4993" s="12">
        <f>'Volúmenes DIstribuidos '!D3018</f>
        <v>46.155999999999999</v>
      </c>
      <c r="E4993" s="12">
        <f>SUMIF('Parametros Inventario'!$A:$A,B4993,'Parametros Inventario'!$B:$B)+SUMIFS(D$2:D4993,B$2:B4993,B4993,C$2:C4993,"ENTRADA")-SUMIFS(D$2:D4993,B$2:B4993,B4993,C$2:C4993,"SALIDA")</f>
        <v>22195.803999999993</v>
      </c>
    </row>
    <row r="4994" spans="1:5" x14ac:dyDescent="0.3">
      <c r="A4994" s="9">
        <f>'Volúmenes DIstribuidos '!B3015</f>
        <v>45804</v>
      </c>
      <c r="B4994" s="10" t="str">
        <f>IF(OR('Volúmenes DIstribuidos '!C3019="Azúcar",'Volúmenes DIstribuidos '!C3019="azúcar"),"Azúcar o dulce",IF('Volúmenes DIstribuidos '!C3019="Aceite","Aceite o grasas",IF('Volúmenes DIstribuidos '!C3019="Avena","Otros almidones",'Volúmenes DIstribuidos '!C3019)))</f>
        <v>Menestras</v>
      </c>
      <c r="C4994" s="10" t="s">
        <v>29</v>
      </c>
      <c r="D4994" s="12">
        <f>'Volúmenes DIstribuidos '!D3019</f>
        <v>28.08</v>
      </c>
      <c r="E4994" s="12">
        <f>SUMIF('Parametros Inventario'!$A:$A,B4994,'Parametros Inventario'!$B:$B)+SUMIFS(D$2:D4994,B$2:B4994,B4994,C$2:C4994,"ENTRADA")-SUMIFS(D$2:D4994,B$2:B4994,B4994,C$2:C4994,"SALIDA")</f>
        <v>23319.681999999986</v>
      </c>
    </row>
    <row r="4995" spans="1:5" x14ac:dyDescent="0.3">
      <c r="A4995" s="9">
        <f>'Volúmenes DIstribuidos '!B3015</f>
        <v>45804</v>
      </c>
      <c r="B4995" s="10" t="str">
        <f>IF(OR('Volúmenes DIstribuidos '!C3020="Azúcar",'Volúmenes DIstribuidos '!C3020="azúcar"),"Azúcar o dulce",IF('Volúmenes DIstribuidos '!C3020="Aceite","Aceite o grasas",IF('Volúmenes DIstribuidos '!C3020="Avena","Otros almidones",'Volúmenes DIstribuidos '!C3020)))</f>
        <v>Carnes blancas</v>
      </c>
      <c r="C4995" s="10" t="s">
        <v>29</v>
      </c>
      <c r="D4995" s="12">
        <f>'Volúmenes DIstribuidos '!D3020</f>
        <v>33.51</v>
      </c>
      <c r="E4995" s="12">
        <f>SUMIF('Parametros Inventario'!$A:$A,B4995,'Parametros Inventario'!$B:$B)+SUMIFS(D$2:D4995,B$2:B4995,B4995,C$2:C4995,"ENTRADA")-SUMIFS(D$2:D4995,B$2:B4995,B4995,C$2:C4995,"SALIDA")</f>
        <v>23810.756999999991</v>
      </c>
    </row>
    <row r="4996" spans="1:5" x14ac:dyDescent="0.3">
      <c r="A4996" s="9">
        <v>45807</v>
      </c>
      <c r="B4996" s="10" t="s">
        <v>17</v>
      </c>
      <c r="C4996" s="10" t="s">
        <v>28</v>
      </c>
      <c r="D4996" s="12">
        <v>128.62</v>
      </c>
      <c r="E4996" s="12">
        <f>SUMIF('Parametros Inventario'!$A:$A,B4996,'Parametros Inventario'!$B:$B)+SUMIFS(D$2:D4996,B$2:B4996,B4996,C$2:C4996,"ENTRADA")-SUMIFS(D$2:D4996,B$2:B4996,B4996,C$2:C4996,"SALIDA")</f>
        <v>23176.049999999996</v>
      </c>
    </row>
    <row r="4997" spans="1:5" x14ac:dyDescent="0.3">
      <c r="A4997" s="9">
        <v>45807</v>
      </c>
      <c r="B4997" s="10" t="s">
        <v>18</v>
      </c>
      <c r="C4997" s="10" t="s">
        <v>28</v>
      </c>
      <c r="D4997" s="12">
        <v>147.66</v>
      </c>
      <c r="E4997" s="12">
        <f>SUMIF('Parametros Inventario'!$A:$A,B4997,'Parametros Inventario'!$B:$B)+SUMIFS(D$2:D4997,B$2:B4997,B4997,C$2:C4997,"ENTRADA")-SUMIFS(D$2:D4997,B$2:B4997,B4997,C$2:C4997,"SALIDA")</f>
        <v>23420.24299999998</v>
      </c>
    </row>
    <row r="4998" spans="1:5" x14ac:dyDescent="0.3">
      <c r="A4998" s="9">
        <v>45807</v>
      </c>
      <c r="B4998" s="10" t="s">
        <v>10</v>
      </c>
      <c r="C4998" s="10" t="s">
        <v>28</v>
      </c>
      <c r="D4998" s="12">
        <v>138.96</v>
      </c>
      <c r="E4998" s="12">
        <f>SUMIF('Parametros Inventario'!$A:$A,B4998,'Parametros Inventario'!$B:$B)+SUMIFS(D$2:D4998,B$2:B4998,B4998,C$2:C4998,"ENTRADA")-SUMIFS(D$2:D4998,B$2:B4998,B4998,C$2:C4998,"SALIDA")</f>
        <v>25194.274999999998</v>
      </c>
    </row>
    <row r="4999" spans="1:5" x14ac:dyDescent="0.3">
      <c r="A4999" s="9">
        <v>45807</v>
      </c>
      <c r="B4999" s="10" t="s">
        <v>8</v>
      </c>
      <c r="C4999" s="10" t="s">
        <v>28</v>
      </c>
      <c r="D4999" s="12">
        <v>82.38</v>
      </c>
      <c r="E4999" s="12">
        <f>SUMIF('Parametros Inventario'!$A:$A,B4999,'Parametros Inventario'!$B:$B)+SUMIFS(D$2:D4999,B$2:B4999,B4999,C$2:C4999,"ENTRADA")-SUMIFS(D$2:D4999,B$2:B4999,B4999,C$2:C4999,"SALIDA")</f>
        <v>23395.458000000013</v>
      </c>
    </row>
    <row r="5000" spans="1:5" x14ac:dyDescent="0.3">
      <c r="A5000" s="9">
        <v>45807</v>
      </c>
      <c r="B5000" s="10" t="s">
        <v>13</v>
      </c>
      <c r="C5000" s="10" t="s">
        <v>28</v>
      </c>
      <c r="D5000" s="12">
        <v>218.67</v>
      </c>
      <c r="E5000" s="12">
        <f>SUMIF('Parametros Inventario'!$A:$A,B5000,'Parametros Inventario'!$B:$B)+SUMIFS(D$2:D5000,B$2:B5000,B5000,C$2:C5000,"ENTRADA")-SUMIFS(D$2:D5000,B$2:B5000,B5000,C$2:C5000,"SALIDA")</f>
        <v>22903.673999999985</v>
      </c>
    </row>
    <row r="5001" spans="1:5" x14ac:dyDescent="0.3">
      <c r="A5001" s="9">
        <v>45807</v>
      </c>
      <c r="B5001" s="10" t="s">
        <v>15</v>
      </c>
      <c r="C5001" s="10" t="s">
        <v>28</v>
      </c>
      <c r="D5001" s="12">
        <v>132.83000000000001</v>
      </c>
      <c r="E5001" s="12">
        <f>SUMIF('Parametros Inventario'!$A:$A,B5001,'Parametros Inventario'!$B:$B)+SUMIFS(D$2:D5001,B$2:B5001,B5001,C$2:C5001,"ENTRADA")-SUMIFS(D$2:D5001,B$2:B5001,B5001,C$2:C5001,"SALIDA")</f>
        <v>26113.760000000006</v>
      </c>
    </row>
    <row r="5002" spans="1:5" x14ac:dyDescent="0.3">
      <c r="A5002" s="9">
        <v>45807</v>
      </c>
      <c r="B5002" s="10" t="s">
        <v>11</v>
      </c>
      <c r="C5002" s="10" t="s">
        <v>28</v>
      </c>
      <c r="D5002" s="12">
        <v>274.13</v>
      </c>
      <c r="E5002" s="12">
        <f>SUMIF('Parametros Inventario'!$A:$A,B5002,'Parametros Inventario'!$B:$B)+SUMIFS(D$2:D5002,B$2:B5002,B5002,C$2:C5002,"ENTRADA")-SUMIFS(D$2:D5002,B$2:B5002,B5002,C$2:C5002,"SALIDA")</f>
        <v>26760.704000000009</v>
      </c>
    </row>
    <row r="5003" spans="1:5" x14ac:dyDescent="0.3">
      <c r="A5003" s="9">
        <v>45807</v>
      </c>
      <c r="B5003" s="10" t="s">
        <v>9</v>
      </c>
      <c r="C5003" s="10" t="s">
        <v>28</v>
      </c>
      <c r="D5003" s="12">
        <v>175.89</v>
      </c>
      <c r="E5003" s="12">
        <f>SUMIF('Parametros Inventario'!$A:$A,B5003,'Parametros Inventario'!$B:$B)+SUMIFS(D$2:D5003,B$2:B5003,B5003,C$2:C5003,"ENTRADA")-SUMIFS(D$2:D5003,B$2:B5003,B5003,C$2:C5003,"SALIDA")</f>
        <v>22371.693999999992</v>
      </c>
    </row>
    <row r="5004" spans="1:5" x14ac:dyDescent="0.3">
      <c r="A5004" s="9">
        <f>'Volúmenes DIstribuidos '!B3021</f>
        <v>45807</v>
      </c>
      <c r="B5004" s="10" t="str">
        <f>IF(OR('Volúmenes DIstribuidos '!C3021="Azúcar",'Volúmenes DIstribuidos '!C3021="azúcar"),"Azúcar o dulce",IF('Volúmenes DIstribuidos '!C3021="Aceite","Aceite o grasas",IF('Volúmenes DIstribuidos '!C3021="Avena","Otros almidones",'Volúmenes DIstribuidos '!C3021)))</f>
        <v>Fideo</v>
      </c>
      <c r="C5004" s="10" t="s">
        <v>29</v>
      </c>
      <c r="D5004" s="12">
        <f>'Volúmenes DIstribuidos '!D3021</f>
        <v>39.75</v>
      </c>
      <c r="E5004" s="12">
        <f>SUMIF('Parametros Inventario'!$A:$A,B5004,'Parametros Inventario'!$B:$B)+SUMIFS(D$2:D5004,B$2:B5004,B5004,C$2:C5004,"ENTRADA")-SUMIFS(D$2:D5004,B$2:B5004,B5004,C$2:C5004,"SALIDA")</f>
        <v>26720.954000000009</v>
      </c>
    </row>
    <row r="5005" spans="1:5" x14ac:dyDescent="0.3">
      <c r="A5005" s="9">
        <f>'Volúmenes DIstribuidos '!B3021</f>
        <v>45807</v>
      </c>
      <c r="B5005" s="10" t="str">
        <f>IF(OR('Volúmenes DIstribuidos '!C3022="Azúcar",'Volúmenes DIstribuidos '!C3022="azúcar"),"Azúcar o dulce",IF('Volúmenes DIstribuidos '!C3022="Aceite","Aceite o grasas",IF('Volúmenes DIstribuidos '!C3022="Avena","Otros almidones",'Volúmenes DIstribuidos '!C3022)))</f>
        <v>Panadería</v>
      </c>
      <c r="C5005" s="10" t="s">
        <v>29</v>
      </c>
      <c r="D5005" s="12">
        <f>'Volúmenes DIstribuidos '!D3022</f>
        <v>10.050000000000001</v>
      </c>
      <c r="E5005" s="12">
        <f>SUMIF('Parametros Inventario'!$A:$A,B5005,'Parametros Inventario'!$B:$B)+SUMIFS(D$2:D5005,B$2:B5005,B5005,C$2:C5005,"ENTRADA")-SUMIFS(D$2:D5005,B$2:B5005,B5005,C$2:C5005,"SALIDA")</f>
        <v>22361.643999999993</v>
      </c>
    </row>
    <row r="5006" spans="1:5" x14ac:dyDescent="0.3">
      <c r="A5006" s="9">
        <f>'Volúmenes DIstribuidos '!B3021</f>
        <v>45807</v>
      </c>
      <c r="B5006" s="10" t="str">
        <f>IF(OR('Volúmenes DIstribuidos '!C3023="Azúcar",'Volúmenes DIstribuidos '!C3023="azúcar"),"Azúcar o dulce",IF('Volúmenes DIstribuidos '!C3023="Aceite","Aceite o grasas",IF('Volúmenes DIstribuidos '!C3023="Avena","Otros almidones",'Volúmenes DIstribuidos '!C3023)))</f>
        <v>Carnes rojas</v>
      </c>
      <c r="C5006" s="10" t="s">
        <v>29</v>
      </c>
      <c r="D5006" s="12">
        <f>'Volúmenes DIstribuidos '!D3023</f>
        <v>19.315999999999999</v>
      </c>
      <c r="E5006" s="12">
        <f>SUMIF('Parametros Inventario'!$A:$A,B5006,'Parametros Inventario'!$B:$B)+SUMIFS(D$2:D5006,B$2:B5006,B5006,C$2:C5006,"ENTRADA")-SUMIFS(D$2:D5006,B$2:B5006,B5006,C$2:C5006,"SALIDA")</f>
        <v>22873.591000000011</v>
      </c>
    </row>
    <row r="5007" spans="1:5" x14ac:dyDescent="0.3">
      <c r="A5007" s="9">
        <f>'Volúmenes DIstribuidos '!B3021</f>
        <v>45807</v>
      </c>
      <c r="B5007" s="10" t="str">
        <f>IF(OR('Volúmenes DIstribuidos '!C3024="Azúcar",'Volúmenes DIstribuidos '!C3024="azúcar"),"Azúcar o dulce",IF('Volúmenes DIstribuidos '!C3024="Aceite","Aceite o grasas",IF('Volúmenes DIstribuidos '!C3024="Avena","Otros almidones",'Volúmenes DIstribuidos '!C3024)))</f>
        <v>Panadería</v>
      </c>
      <c r="C5007" s="10" t="s">
        <v>29</v>
      </c>
      <c r="D5007" s="12">
        <f>'Volúmenes DIstribuidos '!D3024</f>
        <v>13.95</v>
      </c>
      <c r="E5007" s="12">
        <f>SUMIF('Parametros Inventario'!$A:$A,B5007,'Parametros Inventario'!$B:$B)+SUMIFS(D$2:D5007,B$2:B5007,B5007,C$2:C5007,"ENTRADA")-SUMIFS(D$2:D5007,B$2:B5007,B5007,C$2:C5007,"SALIDA")</f>
        <v>22347.693999999992</v>
      </c>
    </row>
    <row r="5008" spans="1:5" x14ac:dyDescent="0.3">
      <c r="A5008" s="9">
        <f>'Volúmenes DIstribuidos '!B3021</f>
        <v>45807</v>
      </c>
      <c r="B5008" s="10" t="str">
        <f>IF(OR('Volúmenes DIstribuidos '!C3025="Azúcar",'Volúmenes DIstribuidos '!C3025="azúcar"),"Azúcar o dulce",IF('Volúmenes DIstribuidos '!C3025="Aceite","Aceite o grasas",IF('Volúmenes DIstribuidos '!C3025="Avena","Otros almidones",'Volúmenes DIstribuidos '!C3025)))</f>
        <v>Fideo</v>
      </c>
      <c r="C5008" s="10" t="s">
        <v>29</v>
      </c>
      <c r="D5008" s="12">
        <f>'Volúmenes DIstribuidos '!D3025</f>
        <v>4.6399999999999997</v>
      </c>
      <c r="E5008" s="12">
        <f>SUMIF('Parametros Inventario'!$A:$A,B5008,'Parametros Inventario'!$B:$B)+SUMIFS(D$2:D5008,B$2:B5008,B5008,C$2:C5008,"ENTRADA")-SUMIFS(D$2:D5008,B$2:B5008,B5008,C$2:C5008,"SALIDA")</f>
        <v>26716.314000000009</v>
      </c>
    </row>
    <row r="5009" spans="1:5" x14ac:dyDescent="0.3">
      <c r="A5009" s="9">
        <f>'Volúmenes DIstribuidos '!B3021</f>
        <v>45807</v>
      </c>
      <c r="B5009" s="10" t="str">
        <f>IF(OR('Volúmenes DIstribuidos '!C3026="Azúcar",'Volúmenes DIstribuidos '!C3026="azúcar"),"Azúcar o dulce",IF('Volúmenes DIstribuidos '!C3026="Aceite","Aceite o grasas",IF('Volúmenes DIstribuidos '!C3026="Avena","Otros almidones",'Volúmenes DIstribuidos '!C3026)))</f>
        <v>Vegetales y hojas</v>
      </c>
      <c r="C5009" s="10" t="s">
        <v>29</v>
      </c>
      <c r="D5009" s="12">
        <f>'Volúmenes DIstribuidos '!D3026</f>
        <v>22.6</v>
      </c>
      <c r="E5009" s="12">
        <f>SUMIF('Parametros Inventario'!$A:$A,B5009,'Parametros Inventario'!$B:$B)+SUMIFS(D$2:D5009,B$2:B5009,B5009,C$2:C5009,"ENTRADA")-SUMIFS(D$2:D5009,B$2:B5009,B5009,C$2:C5009,"SALIDA")</f>
        <v>25171.674999999996</v>
      </c>
    </row>
    <row r="5010" spans="1:5" x14ac:dyDescent="0.3">
      <c r="A5010" s="9">
        <f>'Volúmenes DIstribuidos '!B3027</f>
        <v>45811</v>
      </c>
      <c r="B5010" s="10" t="str">
        <f>IF(OR('Volúmenes DIstribuidos '!C3027="Azúcar",'Volúmenes DIstribuidos '!C3027="azúcar"),"Azúcar o dulce",IF('Volúmenes DIstribuidos '!C3027="Aceite","Aceite o grasas",IF('Volúmenes DIstribuidos '!C3027="Avena","Otros almidones",'Volúmenes DIstribuidos '!C3027)))</f>
        <v>Azúcar o dulce</v>
      </c>
      <c r="C5010" s="10" t="s">
        <v>29</v>
      </c>
      <c r="D5010" s="12">
        <f>'Volúmenes DIstribuidos '!D3027</f>
        <v>13.55</v>
      </c>
      <c r="E5010" s="12">
        <f>SUMIF('Parametros Inventario'!$A:$A,B5010,'Parametros Inventario'!$B:$B)+SUMIFS(D$2:D5010,B$2:B5010,B5010,C$2:C5010,"ENTRADA")-SUMIFS(D$2:D5010,B$2:B5010,B5010,C$2:C5010,"SALIDA")</f>
        <v>22890.123999999989</v>
      </c>
    </row>
    <row r="5011" spans="1:5" x14ac:dyDescent="0.3">
      <c r="A5011" s="9">
        <f>'Volúmenes DIstribuidos '!B3027</f>
        <v>45811</v>
      </c>
      <c r="B5011" s="10" t="str">
        <f>IF(OR('Volúmenes DIstribuidos '!C3028="Azúcar",'Volúmenes DIstribuidos '!C3028="azúcar"),"Azúcar o dulce",IF('Volúmenes DIstribuidos '!C3028="Aceite","Aceite o grasas",IF('Volúmenes DIstribuidos '!C3028="Avena","Otros almidones",'Volúmenes DIstribuidos '!C3028)))</f>
        <v>Carnes blancas</v>
      </c>
      <c r="C5011" s="10" t="s">
        <v>29</v>
      </c>
      <c r="D5011" s="12">
        <f>'Volúmenes DIstribuidos '!D3028</f>
        <v>34.904000000000003</v>
      </c>
      <c r="E5011" s="12">
        <f>SUMIF('Parametros Inventario'!$A:$A,B5011,'Parametros Inventario'!$B:$B)+SUMIFS(D$2:D5011,B$2:B5011,B5011,C$2:C5011,"ENTRADA")-SUMIFS(D$2:D5011,B$2:B5011,B5011,C$2:C5011,"SALIDA")</f>
        <v>23775.852999999992</v>
      </c>
    </row>
    <row r="5012" spans="1:5" x14ac:dyDescent="0.3">
      <c r="A5012" s="9">
        <f>'Volúmenes DIstribuidos '!B3027</f>
        <v>45811</v>
      </c>
      <c r="B5012" s="10" t="str">
        <f>IF(OR('Volúmenes DIstribuidos '!C3029="Azúcar",'Volúmenes DIstribuidos '!C3029="azúcar"),"Azúcar o dulce",IF('Volúmenes DIstribuidos '!C3029="Aceite","Aceite o grasas",IF('Volúmenes DIstribuidos '!C3029="Avena","Otros almidones",'Volúmenes DIstribuidos '!C3029)))</f>
        <v>Carnes rojas</v>
      </c>
      <c r="C5012" s="10" t="s">
        <v>29</v>
      </c>
      <c r="D5012" s="12">
        <f>'Volúmenes DIstribuidos '!D3029</f>
        <v>22.78</v>
      </c>
      <c r="E5012" s="12">
        <f>SUMIF('Parametros Inventario'!$A:$A,B5012,'Parametros Inventario'!$B:$B)+SUMIFS(D$2:D5012,B$2:B5012,B5012,C$2:C5012,"ENTRADA")-SUMIFS(D$2:D5012,B$2:B5012,B5012,C$2:C5012,"SALIDA")</f>
        <v>22850.811000000012</v>
      </c>
    </row>
    <row r="5013" spans="1:5" x14ac:dyDescent="0.3">
      <c r="A5013" s="9">
        <f>'Volúmenes DIstribuidos '!B3027</f>
        <v>45811</v>
      </c>
      <c r="B5013" s="10" t="str">
        <f>IF(OR('Volúmenes DIstribuidos '!C3030="Azúcar",'Volúmenes DIstribuidos '!C3030="azúcar"),"Azúcar o dulce",IF('Volúmenes DIstribuidos '!C3030="Aceite","Aceite o grasas",IF('Volúmenes DIstribuidos '!C3030="Avena","Otros almidones",'Volúmenes DIstribuidos '!C3030)))</f>
        <v>Salsas</v>
      </c>
      <c r="C5013" s="10" t="s">
        <v>29</v>
      </c>
      <c r="D5013" s="12">
        <f>'Volúmenes DIstribuidos '!D3030</f>
        <v>70.53</v>
      </c>
      <c r="E5013" s="12">
        <f>SUMIF('Parametros Inventario'!$A:$A,B5013,'Parametros Inventario'!$B:$B)+SUMIFS(D$2:D5013,B$2:B5013,B5013,C$2:C5013,"ENTRADA")-SUMIFS(D$2:D5013,B$2:B5013,B5013,C$2:C5013,"SALIDA")</f>
        <v>23349.712999999982</v>
      </c>
    </row>
    <row r="5014" spans="1:5" x14ac:dyDescent="0.3">
      <c r="A5014" s="9">
        <f>'Volúmenes DIstribuidos '!B3027</f>
        <v>45811</v>
      </c>
      <c r="B5014" s="10" t="str">
        <f>IF(OR('Volúmenes DIstribuidos '!C3031="Azúcar",'Volúmenes DIstribuidos '!C3031="azúcar"),"Azúcar o dulce",IF('Volúmenes DIstribuidos '!C3031="Aceite","Aceite o grasas",IF('Volúmenes DIstribuidos '!C3031="Avena","Otros almidones",'Volúmenes DIstribuidos '!C3031)))</f>
        <v>Otros almidones</v>
      </c>
      <c r="C5014" s="10" t="s">
        <v>29</v>
      </c>
      <c r="D5014" s="12">
        <f>'Volúmenes DIstribuidos '!D3031</f>
        <v>70.11</v>
      </c>
      <c r="E5014" s="12">
        <f>SUMIF('Parametros Inventario'!$A:$A,B5014,'Parametros Inventario'!$B:$B)+SUMIFS(D$2:D5014,B$2:B5014,B5014,C$2:C5014,"ENTRADA")-SUMIFS(D$2:D5014,B$2:B5014,B5014,C$2:C5014,"SALIDA")</f>
        <v>26043.650000000005</v>
      </c>
    </row>
    <row r="5015" spans="1:5" x14ac:dyDescent="0.3">
      <c r="A5015" s="9">
        <f>'Volúmenes DIstribuidos '!B3027</f>
        <v>45811</v>
      </c>
      <c r="B5015" s="10" t="str">
        <f>IF(OR('Volúmenes DIstribuidos '!C3032="Azúcar",'Volúmenes DIstribuidos '!C3032="azúcar"),"Azúcar o dulce",IF('Volúmenes DIstribuidos '!C3032="Aceite","Aceite o grasas",IF('Volúmenes DIstribuidos '!C3032="Avena","Otros almidones",'Volúmenes DIstribuidos '!C3032)))</f>
        <v>Fideo</v>
      </c>
      <c r="C5015" s="10" t="s">
        <v>29</v>
      </c>
      <c r="D5015" s="12">
        <f>'Volúmenes DIstribuidos '!D3032</f>
        <v>11.779</v>
      </c>
      <c r="E5015" s="12">
        <f>SUMIF('Parametros Inventario'!$A:$A,B5015,'Parametros Inventario'!$B:$B)+SUMIFS(D$2:D5015,B$2:B5015,B5015,C$2:C5015,"ENTRADA")-SUMIFS(D$2:D5015,B$2:B5015,B5015,C$2:C5015,"SALIDA")</f>
        <v>26704.535000000011</v>
      </c>
    </row>
    <row r="5016" spans="1:5" x14ac:dyDescent="0.3">
      <c r="A5016" s="9">
        <v>45814</v>
      </c>
      <c r="B5016" s="10" t="s">
        <v>14</v>
      </c>
      <c r="C5016" s="10" t="s">
        <v>28</v>
      </c>
      <c r="D5016" s="12">
        <v>175.54</v>
      </c>
      <c r="E5016" s="12">
        <f>SUMIF('Parametros Inventario'!$A:$A,B5016,'Parametros Inventario'!$B:$B)+SUMIFS(D$2:D5016,B$2:B5016,B5016,C$2:C5016,"ENTRADA")-SUMIFS(D$2:D5016,B$2:B5016,B5016,C$2:C5016,"SALIDA")</f>
        <v>23495.221999999987</v>
      </c>
    </row>
    <row r="5017" spans="1:5" x14ac:dyDescent="0.3">
      <c r="A5017" s="9">
        <v>45814</v>
      </c>
      <c r="B5017" s="10" t="s">
        <v>12</v>
      </c>
      <c r="C5017" s="10" t="s">
        <v>28</v>
      </c>
      <c r="D5017" s="12">
        <v>243.77</v>
      </c>
      <c r="E5017" s="12">
        <f>SUMIF('Parametros Inventario'!$A:$A,B5017,'Parametros Inventario'!$B:$B)+SUMIFS(D$2:D5017,B$2:B5017,B5017,C$2:C5017,"ENTRADA")-SUMIFS(D$2:D5017,B$2:B5017,B5017,C$2:C5017,"SALIDA")</f>
        <v>23094.581000000013</v>
      </c>
    </row>
    <row r="5018" spans="1:5" x14ac:dyDescent="0.3">
      <c r="A5018" s="9">
        <v>45814</v>
      </c>
      <c r="B5018" s="10" t="s">
        <v>16</v>
      </c>
      <c r="C5018" s="10" t="s">
        <v>28</v>
      </c>
      <c r="D5018" s="12">
        <v>55.92</v>
      </c>
      <c r="E5018" s="12">
        <f>SUMIF('Parametros Inventario'!$A:$A,B5018,'Parametros Inventario'!$B:$B)+SUMIFS(D$2:D5018,B$2:B5018,B5018,C$2:C5018,"ENTRADA")-SUMIFS(D$2:D5018,B$2:B5018,B5018,C$2:C5018,"SALIDA")</f>
        <v>23831.77299999999</v>
      </c>
    </row>
    <row r="5019" spans="1:5" x14ac:dyDescent="0.3">
      <c r="A5019" s="9">
        <v>45814</v>
      </c>
      <c r="B5019" s="10" t="s">
        <v>17</v>
      </c>
      <c r="C5019" s="10" t="s">
        <v>28</v>
      </c>
      <c r="D5019" s="12">
        <v>249.02</v>
      </c>
      <c r="E5019" s="12">
        <f>SUMIF('Parametros Inventario'!$A:$A,B5019,'Parametros Inventario'!$B:$B)+SUMIFS(D$2:D5019,B$2:B5019,B5019,C$2:C5019,"ENTRADA")-SUMIFS(D$2:D5019,B$2:B5019,B5019,C$2:C5019,"SALIDA")</f>
        <v>23425.07</v>
      </c>
    </row>
    <row r="5020" spans="1:5" x14ac:dyDescent="0.3">
      <c r="A5020" s="9">
        <v>45814</v>
      </c>
      <c r="B5020" s="10" t="s">
        <v>18</v>
      </c>
      <c r="C5020" s="10" t="s">
        <v>28</v>
      </c>
      <c r="D5020" s="12">
        <v>169.24</v>
      </c>
      <c r="E5020" s="12">
        <f>SUMIF('Parametros Inventario'!$A:$A,B5020,'Parametros Inventario'!$B:$B)+SUMIFS(D$2:D5020,B$2:B5020,B5020,C$2:C5020,"ENTRADA")-SUMIFS(D$2:D5020,B$2:B5020,B5020,C$2:C5020,"SALIDA")</f>
        <v>23518.95299999998</v>
      </c>
    </row>
    <row r="5021" spans="1:5" x14ac:dyDescent="0.3">
      <c r="A5021" s="9">
        <v>45814</v>
      </c>
      <c r="B5021" s="10" t="s">
        <v>10</v>
      </c>
      <c r="C5021" s="10" t="s">
        <v>28</v>
      </c>
      <c r="D5021" s="12">
        <v>267.2</v>
      </c>
      <c r="E5021" s="12">
        <f>SUMIF('Parametros Inventario'!$A:$A,B5021,'Parametros Inventario'!$B:$B)+SUMIFS(D$2:D5021,B$2:B5021,B5021,C$2:C5021,"ENTRADA")-SUMIFS(D$2:D5021,B$2:B5021,B5021,C$2:C5021,"SALIDA")</f>
        <v>25438.874999999993</v>
      </c>
    </row>
    <row r="5022" spans="1:5" x14ac:dyDescent="0.3">
      <c r="A5022" s="9">
        <v>45814</v>
      </c>
      <c r="B5022" s="10" t="s">
        <v>8</v>
      </c>
      <c r="C5022" s="10" t="s">
        <v>28</v>
      </c>
      <c r="D5022" s="12">
        <v>59.35</v>
      </c>
      <c r="E5022" s="12">
        <f>SUMIF('Parametros Inventario'!$A:$A,B5022,'Parametros Inventario'!$B:$B)+SUMIFS(D$2:D5022,B$2:B5022,B5022,C$2:C5022,"ENTRADA")-SUMIFS(D$2:D5022,B$2:B5022,B5022,C$2:C5022,"SALIDA")</f>
        <v>23454.808000000012</v>
      </c>
    </row>
    <row r="5023" spans="1:5" x14ac:dyDescent="0.3">
      <c r="A5023" s="9">
        <f>'Volúmenes DIstribuidos '!B3033</f>
        <v>45814</v>
      </c>
      <c r="B5023" s="10" t="str">
        <f>IF(OR('Volúmenes DIstribuidos '!C3033="Azúcar",'Volúmenes DIstribuidos '!C3033="azúcar"),"Azúcar o dulce",IF('Volúmenes DIstribuidos '!C3033="Aceite","Aceite o grasas",IF('Volúmenes DIstribuidos '!C3033="Avena","Otros almidones",'Volúmenes DIstribuidos '!C3033)))</f>
        <v>Salsas</v>
      </c>
      <c r="C5023" s="10" t="s">
        <v>29</v>
      </c>
      <c r="D5023" s="12">
        <f>'Volúmenes DIstribuidos '!D3033</f>
        <v>28.81</v>
      </c>
      <c r="E5023" s="12">
        <f>SUMIF('Parametros Inventario'!$A:$A,B5023,'Parametros Inventario'!$B:$B)+SUMIFS(D$2:D5023,B$2:B5023,B5023,C$2:C5023,"ENTRADA")-SUMIFS(D$2:D5023,B$2:B5023,B5023,C$2:C5023,"SALIDA")</f>
        <v>23490.142999999982</v>
      </c>
    </row>
    <row r="5024" spans="1:5" x14ac:dyDescent="0.3">
      <c r="A5024" s="9">
        <f>'Volúmenes DIstribuidos '!B3033</f>
        <v>45814</v>
      </c>
      <c r="B5024" s="10" t="str">
        <f>IF(OR('Volúmenes DIstribuidos '!C3034="Azúcar",'Volúmenes DIstribuidos '!C3034="azúcar"),"Azúcar o dulce",IF('Volúmenes DIstribuidos '!C3034="Aceite","Aceite o grasas",IF('Volúmenes DIstribuidos '!C3034="Avena","Otros almidones",'Volúmenes DIstribuidos '!C3034)))</f>
        <v>Carnes rojas</v>
      </c>
      <c r="C5024" s="10" t="s">
        <v>29</v>
      </c>
      <c r="D5024" s="12">
        <f>'Volúmenes DIstribuidos '!D3034</f>
        <v>50.1</v>
      </c>
      <c r="E5024" s="12">
        <f>SUMIF('Parametros Inventario'!$A:$A,B5024,'Parametros Inventario'!$B:$B)+SUMIFS(D$2:D5024,B$2:B5024,B5024,C$2:C5024,"ENTRADA")-SUMIFS(D$2:D5024,B$2:B5024,B5024,C$2:C5024,"SALIDA")</f>
        <v>23044.481000000011</v>
      </c>
    </row>
    <row r="5025" spans="1:5" x14ac:dyDescent="0.3">
      <c r="A5025" s="9">
        <f>'Volúmenes DIstribuidos '!B3033</f>
        <v>45814</v>
      </c>
      <c r="B5025" s="10" t="str">
        <f>IF(OR('Volúmenes DIstribuidos '!C3035="Azúcar",'Volúmenes DIstribuidos '!C3035="azúcar"),"Azúcar o dulce",IF('Volúmenes DIstribuidos '!C3035="Aceite","Aceite o grasas",IF('Volúmenes DIstribuidos '!C3035="Avena","Otros almidones",'Volúmenes DIstribuidos '!C3035)))</f>
        <v>Otros almidones</v>
      </c>
      <c r="C5025" s="10" t="s">
        <v>29</v>
      </c>
      <c r="D5025" s="12">
        <f>'Volúmenes DIstribuidos '!D3035</f>
        <v>37.155000000000001</v>
      </c>
      <c r="E5025" s="12">
        <f>SUMIF('Parametros Inventario'!$A:$A,B5025,'Parametros Inventario'!$B:$B)+SUMIFS(D$2:D5025,B$2:B5025,B5025,C$2:C5025,"ENTRADA")-SUMIFS(D$2:D5025,B$2:B5025,B5025,C$2:C5025,"SALIDA")</f>
        <v>26006.495000000003</v>
      </c>
    </row>
    <row r="5026" spans="1:5" x14ac:dyDescent="0.3">
      <c r="A5026" s="9">
        <f>'Volúmenes DIstribuidos '!B3033</f>
        <v>45814</v>
      </c>
      <c r="B5026" s="10" t="str">
        <f>IF(OR('Volúmenes DIstribuidos '!C3036="Azúcar",'Volúmenes DIstribuidos '!C3036="azúcar"),"Azúcar o dulce",IF('Volúmenes DIstribuidos '!C3036="Aceite","Aceite o grasas",IF('Volúmenes DIstribuidos '!C3036="Avena","Otros almidones",'Volúmenes DIstribuidos '!C3036)))</f>
        <v>Lácteos</v>
      </c>
      <c r="C5026" s="10" t="s">
        <v>29</v>
      </c>
      <c r="D5026" s="12">
        <f>'Volúmenes DIstribuidos '!D3036</f>
        <v>22.31</v>
      </c>
      <c r="E5026" s="12">
        <f>SUMIF('Parametros Inventario'!$A:$A,B5026,'Parametros Inventario'!$B:$B)+SUMIFS(D$2:D5026,B$2:B5026,B5026,C$2:C5026,"ENTRADA")-SUMIFS(D$2:D5026,B$2:B5026,B5026,C$2:C5026,"SALIDA")</f>
        <v>23402.76</v>
      </c>
    </row>
    <row r="5027" spans="1:5" x14ac:dyDescent="0.3">
      <c r="A5027" s="9">
        <f>'Volúmenes DIstribuidos '!B3033</f>
        <v>45814</v>
      </c>
      <c r="B5027" s="10" t="str">
        <f>IF(OR('Volúmenes DIstribuidos '!C3037="Azúcar",'Volúmenes DIstribuidos '!C3037="azúcar"),"Azúcar o dulce",IF('Volúmenes DIstribuidos '!C3037="Aceite","Aceite o grasas",IF('Volúmenes DIstribuidos '!C3037="Avena","Otros almidones",'Volúmenes DIstribuidos '!C3037)))</f>
        <v>Vegetales y hojas</v>
      </c>
      <c r="C5027" s="10" t="s">
        <v>29</v>
      </c>
      <c r="D5027" s="12">
        <f>'Volúmenes DIstribuidos '!D3037</f>
        <v>58.86</v>
      </c>
      <c r="E5027" s="12">
        <f>SUMIF('Parametros Inventario'!$A:$A,B5027,'Parametros Inventario'!$B:$B)+SUMIFS(D$2:D5027,B$2:B5027,B5027,C$2:C5027,"ENTRADA")-SUMIFS(D$2:D5027,B$2:B5027,B5027,C$2:C5027,"SALIDA")</f>
        <v>25380.014999999992</v>
      </c>
    </row>
    <row r="5028" spans="1:5" x14ac:dyDescent="0.3">
      <c r="A5028" s="9">
        <f>'Volúmenes DIstribuidos '!B3033</f>
        <v>45814</v>
      </c>
      <c r="B5028" s="10" t="str">
        <f>IF(OR('Volúmenes DIstribuidos '!C3038="Azúcar",'Volúmenes DIstribuidos '!C3038="azúcar"),"Azúcar o dulce",IF('Volúmenes DIstribuidos '!C3038="Aceite","Aceite o grasas",IF('Volúmenes DIstribuidos '!C3038="Avena","Otros almidones",'Volúmenes DIstribuidos '!C3038)))</f>
        <v>Azúcar o dulce</v>
      </c>
      <c r="C5028" s="10" t="s">
        <v>29</v>
      </c>
      <c r="D5028" s="12">
        <f>'Volúmenes DIstribuidos '!D3038</f>
        <v>49.92</v>
      </c>
      <c r="E5028" s="12">
        <f>SUMIF('Parametros Inventario'!$A:$A,B5028,'Parametros Inventario'!$B:$B)+SUMIFS(D$2:D5028,B$2:B5028,B5028,C$2:C5028,"ENTRADA")-SUMIFS(D$2:D5028,B$2:B5028,B5028,C$2:C5028,"SALIDA")</f>
        <v>22840.203999999987</v>
      </c>
    </row>
    <row r="5029" spans="1:5" x14ac:dyDescent="0.3">
      <c r="A5029" s="9">
        <v>45818</v>
      </c>
      <c r="B5029" s="10" t="s">
        <v>13</v>
      </c>
      <c r="C5029" s="10" t="s">
        <v>28</v>
      </c>
      <c r="D5029" s="12">
        <v>90.31</v>
      </c>
      <c r="E5029" s="12">
        <f>SUMIF('Parametros Inventario'!$A:$A,B5029,'Parametros Inventario'!$B:$B)+SUMIFS(D$2:D5029,B$2:B5029,B5029,C$2:C5029,"ENTRADA")-SUMIFS(D$2:D5029,B$2:B5029,B5029,C$2:C5029,"SALIDA")</f>
        <v>22930.513999999988</v>
      </c>
    </row>
    <row r="5030" spans="1:5" x14ac:dyDescent="0.3">
      <c r="A5030" s="9">
        <v>45818</v>
      </c>
      <c r="B5030" s="10" t="s">
        <v>15</v>
      </c>
      <c r="C5030" s="10" t="s">
        <v>28</v>
      </c>
      <c r="D5030" s="12">
        <v>220.59</v>
      </c>
      <c r="E5030" s="12">
        <f>SUMIF('Parametros Inventario'!$A:$A,B5030,'Parametros Inventario'!$B:$B)+SUMIFS(D$2:D5030,B$2:B5030,B5030,C$2:C5030,"ENTRADA")-SUMIFS(D$2:D5030,B$2:B5030,B5030,C$2:C5030,"SALIDA")</f>
        <v>26227.084999999999</v>
      </c>
    </row>
    <row r="5031" spans="1:5" x14ac:dyDescent="0.3">
      <c r="A5031" s="9">
        <v>45818</v>
      </c>
      <c r="B5031" s="10" t="s">
        <v>11</v>
      </c>
      <c r="C5031" s="10" t="s">
        <v>28</v>
      </c>
      <c r="D5031" s="12">
        <v>69.69</v>
      </c>
      <c r="E5031" s="12">
        <f>SUMIF('Parametros Inventario'!$A:$A,B5031,'Parametros Inventario'!$B:$B)+SUMIFS(D$2:D5031,B$2:B5031,B5031,C$2:C5031,"ENTRADA")-SUMIFS(D$2:D5031,B$2:B5031,B5031,C$2:C5031,"SALIDA")</f>
        <v>26774.225000000013</v>
      </c>
    </row>
    <row r="5032" spans="1:5" x14ac:dyDescent="0.3">
      <c r="A5032" s="9">
        <v>45818</v>
      </c>
      <c r="B5032" s="10" t="s">
        <v>9</v>
      </c>
      <c r="C5032" s="10" t="s">
        <v>28</v>
      </c>
      <c r="D5032" s="12">
        <v>206.49</v>
      </c>
      <c r="E5032" s="12">
        <f>SUMIF('Parametros Inventario'!$A:$A,B5032,'Parametros Inventario'!$B:$B)+SUMIFS(D$2:D5032,B$2:B5032,B5032,C$2:C5032,"ENTRADA")-SUMIFS(D$2:D5032,B$2:B5032,B5032,C$2:C5032,"SALIDA")</f>
        <v>22554.183999999994</v>
      </c>
    </row>
    <row r="5033" spans="1:5" x14ac:dyDescent="0.3">
      <c r="A5033" s="9">
        <v>45818</v>
      </c>
      <c r="B5033" s="10" t="s">
        <v>14</v>
      </c>
      <c r="C5033" s="10" t="s">
        <v>28</v>
      </c>
      <c r="D5033" s="12">
        <v>288.2</v>
      </c>
      <c r="E5033" s="12">
        <f>SUMIF('Parametros Inventario'!$A:$A,B5033,'Parametros Inventario'!$B:$B)+SUMIFS(D$2:D5033,B$2:B5033,B5033,C$2:C5033,"ENTRADA")-SUMIFS(D$2:D5033,B$2:B5033,B5033,C$2:C5033,"SALIDA")</f>
        <v>23783.421999999988</v>
      </c>
    </row>
    <row r="5034" spans="1:5" x14ac:dyDescent="0.3">
      <c r="A5034" s="9">
        <v>45818</v>
      </c>
      <c r="B5034" s="10" t="s">
        <v>12</v>
      </c>
      <c r="C5034" s="10" t="s">
        <v>28</v>
      </c>
      <c r="D5034" s="12">
        <v>107.89</v>
      </c>
      <c r="E5034" s="12">
        <f>SUMIF('Parametros Inventario'!$A:$A,B5034,'Parametros Inventario'!$B:$B)+SUMIFS(D$2:D5034,B$2:B5034,B5034,C$2:C5034,"ENTRADA")-SUMIFS(D$2:D5034,B$2:B5034,B5034,C$2:C5034,"SALIDA")</f>
        <v>23152.37100000001</v>
      </c>
    </row>
    <row r="5035" spans="1:5" x14ac:dyDescent="0.3">
      <c r="A5035" s="9">
        <v>45818</v>
      </c>
      <c r="B5035" s="10" t="s">
        <v>16</v>
      </c>
      <c r="C5035" s="10" t="s">
        <v>28</v>
      </c>
      <c r="D5035" s="12">
        <v>103.91</v>
      </c>
      <c r="E5035" s="12">
        <f>SUMIF('Parametros Inventario'!$A:$A,B5035,'Parametros Inventario'!$B:$B)+SUMIFS(D$2:D5035,B$2:B5035,B5035,C$2:C5035,"ENTRADA")-SUMIFS(D$2:D5035,B$2:B5035,B5035,C$2:C5035,"SALIDA")</f>
        <v>23935.68299999999</v>
      </c>
    </row>
    <row r="5036" spans="1:5" x14ac:dyDescent="0.3">
      <c r="A5036" s="9">
        <v>45818</v>
      </c>
      <c r="B5036" s="10" t="s">
        <v>17</v>
      </c>
      <c r="C5036" s="10" t="s">
        <v>28</v>
      </c>
      <c r="D5036" s="12">
        <v>220.36</v>
      </c>
      <c r="E5036" s="12">
        <f>SUMIF('Parametros Inventario'!$A:$A,B5036,'Parametros Inventario'!$B:$B)+SUMIFS(D$2:D5036,B$2:B5036,B5036,C$2:C5036,"ENTRADA")-SUMIFS(D$2:D5036,B$2:B5036,B5036,C$2:C5036,"SALIDA")</f>
        <v>23623.119999999999</v>
      </c>
    </row>
    <row r="5037" spans="1:5" x14ac:dyDescent="0.3">
      <c r="A5037" s="9">
        <v>45818</v>
      </c>
      <c r="B5037" s="10" t="s">
        <v>18</v>
      </c>
      <c r="C5037" s="10" t="s">
        <v>28</v>
      </c>
      <c r="D5037" s="12">
        <v>85.22</v>
      </c>
      <c r="E5037" s="12">
        <f>SUMIF('Parametros Inventario'!$A:$A,B5037,'Parametros Inventario'!$B:$B)+SUMIFS(D$2:D5037,B$2:B5037,B5037,C$2:C5037,"ENTRADA")-SUMIFS(D$2:D5037,B$2:B5037,B5037,C$2:C5037,"SALIDA")</f>
        <v>23575.362999999983</v>
      </c>
    </row>
    <row r="5038" spans="1:5" x14ac:dyDescent="0.3">
      <c r="A5038" s="9">
        <v>45818</v>
      </c>
      <c r="B5038" s="10" t="s">
        <v>10</v>
      </c>
      <c r="C5038" s="10" t="s">
        <v>28</v>
      </c>
      <c r="D5038" s="12">
        <v>229.64</v>
      </c>
      <c r="E5038" s="12">
        <f>SUMIF('Parametros Inventario'!$A:$A,B5038,'Parametros Inventario'!$B:$B)+SUMIFS(D$2:D5038,B$2:B5038,B5038,C$2:C5038,"ENTRADA")-SUMIFS(D$2:D5038,B$2:B5038,B5038,C$2:C5038,"SALIDA")</f>
        <v>25609.654999999992</v>
      </c>
    </row>
    <row r="5039" spans="1:5" x14ac:dyDescent="0.3">
      <c r="A5039" s="9">
        <v>45818</v>
      </c>
      <c r="B5039" s="10" t="s">
        <v>8</v>
      </c>
      <c r="C5039" s="10" t="s">
        <v>28</v>
      </c>
      <c r="D5039" s="12">
        <v>298.35000000000002</v>
      </c>
      <c r="E5039" s="12">
        <f>SUMIF('Parametros Inventario'!$A:$A,B5039,'Parametros Inventario'!$B:$B)+SUMIFS(D$2:D5039,B$2:B5039,B5039,C$2:C5039,"ENTRADA")-SUMIFS(D$2:D5039,B$2:B5039,B5039,C$2:C5039,"SALIDA")</f>
        <v>23753.15800000001</v>
      </c>
    </row>
    <row r="5040" spans="1:5" x14ac:dyDescent="0.3">
      <c r="A5040" s="9">
        <f>'Volúmenes DIstribuidos '!B3039</f>
        <v>45818</v>
      </c>
      <c r="B5040" s="10" t="str">
        <f>IF(OR('Volúmenes DIstribuidos '!C3039="Azúcar",'Volúmenes DIstribuidos '!C3039="azúcar"),"Azúcar o dulce",IF('Volúmenes DIstribuidos '!C3039="Aceite","Aceite o grasas",IF('Volúmenes DIstribuidos '!C3039="Avena","Otros almidones",'Volúmenes DIstribuidos '!C3039)))</f>
        <v>Otros almidones</v>
      </c>
      <c r="C5040" s="10" t="s">
        <v>29</v>
      </c>
      <c r="D5040" s="12">
        <f>'Volúmenes DIstribuidos '!D3039</f>
        <v>118.34</v>
      </c>
      <c r="E5040" s="12">
        <f>SUMIF('Parametros Inventario'!$A:$A,B5040,'Parametros Inventario'!$B:$B)+SUMIFS(D$2:D5040,B$2:B5040,B5040,C$2:C5040,"ENTRADA")-SUMIFS(D$2:D5040,B$2:B5040,B5040,C$2:C5040,"SALIDA")</f>
        <v>26108.745000000003</v>
      </c>
    </row>
    <row r="5041" spans="1:5" x14ac:dyDescent="0.3">
      <c r="A5041" s="9">
        <f>'Volúmenes DIstribuidos '!B3039</f>
        <v>45818</v>
      </c>
      <c r="B5041" s="10" t="str">
        <f>IF(OR('Volúmenes DIstribuidos '!C3040="Azúcar",'Volúmenes DIstribuidos '!C3040="azúcar"),"Azúcar o dulce",IF('Volúmenes DIstribuidos '!C3040="Aceite","Aceite o grasas",IF('Volúmenes DIstribuidos '!C3040="Avena","Otros almidones",'Volúmenes DIstribuidos '!C3040)))</f>
        <v>Fideo</v>
      </c>
      <c r="C5041" s="10" t="s">
        <v>29</v>
      </c>
      <c r="D5041" s="12">
        <f>'Volúmenes DIstribuidos '!D3040</f>
        <v>12.262</v>
      </c>
      <c r="E5041" s="12">
        <f>SUMIF('Parametros Inventario'!$A:$A,B5041,'Parametros Inventario'!$B:$B)+SUMIFS(D$2:D5041,B$2:B5041,B5041,C$2:C5041,"ENTRADA")-SUMIFS(D$2:D5041,B$2:B5041,B5041,C$2:C5041,"SALIDA")</f>
        <v>26761.963000000011</v>
      </c>
    </row>
    <row r="5042" spans="1:5" x14ac:dyDescent="0.3">
      <c r="A5042" s="9">
        <f>'Volúmenes DIstribuidos '!B3039</f>
        <v>45818</v>
      </c>
      <c r="B5042" s="10" t="str">
        <f>IF(OR('Volúmenes DIstribuidos '!C3041="Azúcar",'Volúmenes DIstribuidos '!C3041="azúcar"),"Azúcar o dulce",IF('Volúmenes DIstribuidos '!C3041="Aceite","Aceite o grasas",IF('Volúmenes DIstribuidos '!C3041="Avena","Otros almidones",'Volúmenes DIstribuidos '!C3041)))</f>
        <v>Aceite o grasas</v>
      </c>
      <c r="C5042" s="10" t="s">
        <v>29</v>
      </c>
      <c r="D5042" s="12">
        <f>'Volúmenes DIstribuidos '!D3041</f>
        <v>8.7799999999999994</v>
      </c>
      <c r="E5042" s="12">
        <f>SUMIF('Parametros Inventario'!$A:$A,B5042,'Parametros Inventario'!$B:$B)+SUMIFS(D$2:D5042,B$2:B5042,B5042,C$2:C5042,"ENTRADA")-SUMIFS(D$2:D5042,B$2:B5042,B5042,C$2:C5042,"SALIDA")</f>
        <v>23744.378000000008</v>
      </c>
    </row>
    <row r="5043" spans="1:5" x14ac:dyDescent="0.3">
      <c r="A5043" s="9">
        <f>'Volúmenes DIstribuidos '!B3039</f>
        <v>45818</v>
      </c>
      <c r="B5043" s="10" t="str">
        <f>IF(OR('Volúmenes DIstribuidos '!C3042="Azúcar",'Volúmenes DIstribuidos '!C3042="azúcar"),"Azúcar o dulce",IF('Volúmenes DIstribuidos '!C3042="Aceite","Aceite o grasas",IF('Volúmenes DIstribuidos '!C3042="Avena","Otros almidones",'Volúmenes DIstribuidos '!C3042)))</f>
        <v>Panadería</v>
      </c>
      <c r="C5043" s="10" t="s">
        <v>29</v>
      </c>
      <c r="D5043" s="12">
        <f>'Volúmenes DIstribuidos '!D3042</f>
        <v>3.02</v>
      </c>
      <c r="E5043" s="12">
        <f>SUMIF('Parametros Inventario'!$A:$A,B5043,'Parametros Inventario'!$B:$B)+SUMIFS(D$2:D5043,B$2:B5043,B5043,C$2:C5043,"ENTRADA")-SUMIFS(D$2:D5043,B$2:B5043,B5043,C$2:C5043,"SALIDA")</f>
        <v>22551.163999999993</v>
      </c>
    </row>
    <row r="5044" spans="1:5" x14ac:dyDescent="0.3">
      <c r="A5044" s="9">
        <f>'Volúmenes DIstribuidos '!B3039</f>
        <v>45818</v>
      </c>
      <c r="B5044" s="10" t="str">
        <f>IF(OR('Volúmenes DIstribuidos '!C3043="Azúcar",'Volúmenes DIstribuidos '!C3043="azúcar"),"Azúcar o dulce",IF('Volúmenes DIstribuidos '!C3043="Aceite","Aceite o grasas",IF('Volúmenes DIstribuidos '!C3043="Avena","Otros almidones",'Volúmenes DIstribuidos '!C3043)))</f>
        <v>Salsas</v>
      </c>
      <c r="C5044" s="10" t="s">
        <v>29</v>
      </c>
      <c r="D5044" s="12">
        <f>'Volúmenes DIstribuidos '!D3043</f>
        <v>15.35</v>
      </c>
      <c r="E5044" s="12">
        <f>SUMIF('Parametros Inventario'!$A:$A,B5044,'Parametros Inventario'!$B:$B)+SUMIFS(D$2:D5044,B$2:B5044,B5044,C$2:C5044,"ENTRADA")-SUMIFS(D$2:D5044,B$2:B5044,B5044,C$2:C5044,"SALIDA")</f>
        <v>23560.012999999984</v>
      </c>
    </row>
    <row r="5045" spans="1:5" x14ac:dyDescent="0.3">
      <c r="A5045" s="9">
        <f>'Volúmenes DIstribuidos '!B3039</f>
        <v>45818</v>
      </c>
      <c r="B5045" s="10" t="str">
        <f>IF(OR('Volúmenes DIstribuidos '!C3044="Azúcar",'Volúmenes DIstribuidos '!C3044="azúcar"),"Azúcar o dulce",IF('Volúmenes DIstribuidos '!C3044="Aceite","Aceite o grasas",IF('Volúmenes DIstribuidos '!C3044="Avena","Otros almidones",'Volúmenes DIstribuidos '!C3044)))</f>
        <v>Carnes blancas</v>
      </c>
      <c r="C5045" s="10" t="s">
        <v>29</v>
      </c>
      <c r="D5045" s="12">
        <f>'Volúmenes DIstribuidos '!D3044</f>
        <v>29.03</v>
      </c>
      <c r="E5045" s="12">
        <f>SUMIF('Parametros Inventario'!$A:$A,B5045,'Parametros Inventario'!$B:$B)+SUMIFS(D$2:D5045,B$2:B5045,B5045,C$2:C5045,"ENTRADA")-SUMIFS(D$2:D5045,B$2:B5045,B5045,C$2:C5045,"SALIDA")</f>
        <v>23906.652999999991</v>
      </c>
    </row>
    <row r="5046" spans="1:5" x14ac:dyDescent="0.3">
      <c r="A5046" s="9">
        <v>45821</v>
      </c>
      <c r="B5046" s="10" t="s">
        <v>13</v>
      </c>
      <c r="C5046" s="10" t="s">
        <v>28</v>
      </c>
      <c r="D5046" s="12">
        <v>175.4</v>
      </c>
      <c r="E5046" s="12">
        <f>SUMIF('Parametros Inventario'!$A:$A,B5046,'Parametros Inventario'!$B:$B)+SUMIFS(D$2:D5046,B$2:B5046,B5046,C$2:C5046,"ENTRADA")-SUMIFS(D$2:D5046,B$2:B5046,B5046,C$2:C5046,"SALIDA")</f>
        <v>23105.91399999999</v>
      </c>
    </row>
    <row r="5047" spans="1:5" x14ac:dyDescent="0.3">
      <c r="A5047" s="9">
        <v>45821</v>
      </c>
      <c r="B5047" s="10" t="s">
        <v>15</v>
      </c>
      <c r="C5047" s="10" t="s">
        <v>28</v>
      </c>
      <c r="D5047" s="12">
        <v>298.07</v>
      </c>
      <c r="E5047" s="12">
        <f>SUMIF('Parametros Inventario'!$A:$A,B5047,'Parametros Inventario'!$B:$B)+SUMIFS(D$2:D5047,B$2:B5047,B5047,C$2:C5047,"ENTRADA")-SUMIFS(D$2:D5047,B$2:B5047,B5047,C$2:C5047,"SALIDA")</f>
        <v>26406.815000000002</v>
      </c>
    </row>
    <row r="5048" spans="1:5" x14ac:dyDescent="0.3">
      <c r="A5048" s="9">
        <v>45821</v>
      </c>
      <c r="B5048" s="10" t="s">
        <v>11</v>
      </c>
      <c r="C5048" s="10" t="s">
        <v>28</v>
      </c>
      <c r="D5048" s="12">
        <v>202.18</v>
      </c>
      <c r="E5048" s="12">
        <f>SUMIF('Parametros Inventario'!$A:$A,B5048,'Parametros Inventario'!$B:$B)+SUMIFS(D$2:D5048,B$2:B5048,B5048,C$2:C5048,"ENTRADA")-SUMIFS(D$2:D5048,B$2:B5048,B5048,C$2:C5048,"SALIDA")</f>
        <v>26964.143000000004</v>
      </c>
    </row>
    <row r="5049" spans="1:5" x14ac:dyDescent="0.3">
      <c r="A5049" s="9">
        <v>45821</v>
      </c>
      <c r="B5049" s="10" t="s">
        <v>9</v>
      </c>
      <c r="C5049" s="10" t="s">
        <v>28</v>
      </c>
      <c r="D5049" s="12">
        <v>180.82</v>
      </c>
      <c r="E5049" s="12">
        <f>SUMIF('Parametros Inventario'!$A:$A,B5049,'Parametros Inventario'!$B:$B)+SUMIFS(D$2:D5049,B$2:B5049,B5049,C$2:C5049,"ENTRADA")-SUMIFS(D$2:D5049,B$2:B5049,B5049,C$2:C5049,"SALIDA")</f>
        <v>22731.983999999993</v>
      </c>
    </row>
    <row r="5050" spans="1:5" x14ac:dyDescent="0.3">
      <c r="A5050" s="9">
        <v>45821</v>
      </c>
      <c r="B5050" s="10" t="s">
        <v>14</v>
      </c>
      <c r="C5050" s="10" t="s">
        <v>28</v>
      </c>
      <c r="D5050" s="12">
        <v>242.16</v>
      </c>
      <c r="E5050" s="12">
        <f>SUMIF('Parametros Inventario'!$A:$A,B5050,'Parametros Inventario'!$B:$B)+SUMIFS(D$2:D5050,B$2:B5050,B5050,C$2:C5050,"ENTRADA")-SUMIFS(D$2:D5050,B$2:B5050,B5050,C$2:C5050,"SALIDA")</f>
        <v>24025.581999999988</v>
      </c>
    </row>
    <row r="5051" spans="1:5" x14ac:dyDescent="0.3">
      <c r="A5051" s="9">
        <v>45821</v>
      </c>
      <c r="B5051" s="10" t="s">
        <v>12</v>
      </c>
      <c r="C5051" s="10" t="s">
        <v>28</v>
      </c>
      <c r="D5051" s="12">
        <v>161.87</v>
      </c>
      <c r="E5051" s="12">
        <f>SUMIF('Parametros Inventario'!$A:$A,B5051,'Parametros Inventario'!$B:$B)+SUMIFS(D$2:D5051,B$2:B5051,B5051,C$2:C5051,"ENTRADA")-SUMIFS(D$2:D5051,B$2:B5051,B5051,C$2:C5051,"SALIDA")</f>
        <v>23314.241000000009</v>
      </c>
    </row>
    <row r="5052" spans="1:5" x14ac:dyDescent="0.3">
      <c r="A5052" s="9">
        <v>45821</v>
      </c>
      <c r="B5052" s="10" t="s">
        <v>16</v>
      </c>
      <c r="C5052" s="10" t="s">
        <v>28</v>
      </c>
      <c r="D5052" s="12">
        <v>82.8</v>
      </c>
      <c r="E5052" s="12">
        <f>SUMIF('Parametros Inventario'!$A:$A,B5052,'Parametros Inventario'!$B:$B)+SUMIFS(D$2:D5052,B$2:B5052,B5052,C$2:C5052,"ENTRADA")-SUMIFS(D$2:D5052,B$2:B5052,B5052,C$2:C5052,"SALIDA")</f>
        <v>23989.452999999987</v>
      </c>
    </row>
    <row r="5053" spans="1:5" x14ac:dyDescent="0.3">
      <c r="A5053" s="9">
        <v>45821</v>
      </c>
      <c r="B5053" s="10" t="s">
        <v>17</v>
      </c>
      <c r="C5053" s="10" t="s">
        <v>28</v>
      </c>
      <c r="D5053" s="12">
        <v>122.71</v>
      </c>
      <c r="E5053" s="12">
        <f>SUMIF('Parametros Inventario'!$A:$A,B5053,'Parametros Inventario'!$B:$B)+SUMIFS(D$2:D5053,B$2:B5053,B5053,C$2:C5053,"ENTRADA")-SUMIFS(D$2:D5053,B$2:B5053,B5053,C$2:C5053,"SALIDA")</f>
        <v>23745.829999999998</v>
      </c>
    </row>
    <row r="5054" spans="1:5" x14ac:dyDescent="0.3">
      <c r="A5054" s="9">
        <v>45821</v>
      </c>
      <c r="B5054" s="10" t="s">
        <v>18</v>
      </c>
      <c r="C5054" s="10" t="s">
        <v>28</v>
      </c>
      <c r="D5054" s="12">
        <v>205.87</v>
      </c>
      <c r="E5054" s="12">
        <f>SUMIF('Parametros Inventario'!$A:$A,B5054,'Parametros Inventario'!$B:$B)+SUMIFS(D$2:D5054,B$2:B5054,B5054,C$2:C5054,"ENTRADA")-SUMIFS(D$2:D5054,B$2:B5054,B5054,C$2:C5054,"SALIDA")</f>
        <v>23765.88299999998</v>
      </c>
    </row>
    <row r="5055" spans="1:5" x14ac:dyDescent="0.3">
      <c r="A5055" s="9">
        <v>45821</v>
      </c>
      <c r="B5055" s="10" t="s">
        <v>10</v>
      </c>
      <c r="C5055" s="10" t="s">
        <v>28</v>
      </c>
      <c r="D5055" s="12">
        <v>285.04000000000002</v>
      </c>
      <c r="E5055" s="12">
        <f>SUMIF('Parametros Inventario'!$A:$A,B5055,'Parametros Inventario'!$B:$B)+SUMIFS(D$2:D5055,B$2:B5055,B5055,C$2:C5055,"ENTRADA")-SUMIFS(D$2:D5055,B$2:B5055,B5055,C$2:C5055,"SALIDA")</f>
        <v>25894.694999999992</v>
      </c>
    </row>
    <row r="5056" spans="1:5" x14ac:dyDescent="0.3">
      <c r="A5056" s="9">
        <f>'Volúmenes DIstribuidos '!B3045</f>
        <v>45821</v>
      </c>
      <c r="B5056" s="10" t="str">
        <f>IF(OR('Volúmenes DIstribuidos '!C3045="Azúcar",'Volúmenes DIstribuidos '!C3045="azúcar"),"Azúcar o dulce",IF('Volúmenes DIstribuidos '!C3045="Aceite","Aceite o grasas",IF('Volúmenes DIstribuidos '!C3045="Avena","Otros almidones",'Volúmenes DIstribuidos '!C3045)))</f>
        <v>Fideo</v>
      </c>
      <c r="C5056" s="10" t="s">
        <v>29</v>
      </c>
      <c r="D5056" s="12">
        <f>'Volúmenes DIstribuidos '!D3045</f>
        <v>9.2899999999999991</v>
      </c>
      <c r="E5056" s="12">
        <f>SUMIF('Parametros Inventario'!$A:$A,B5056,'Parametros Inventario'!$B:$B)+SUMIFS(D$2:D5056,B$2:B5056,B5056,C$2:C5056,"ENTRADA")-SUMIFS(D$2:D5056,B$2:B5056,B5056,C$2:C5056,"SALIDA")</f>
        <v>26954.853000000003</v>
      </c>
    </row>
    <row r="5057" spans="1:5" x14ac:dyDescent="0.3">
      <c r="A5057" s="9">
        <f>'Volúmenes DIstribuidos '!B3045</f>
        <v>45821</v>
      </c>
      <c r="B5057" s="10" t="str">
        <f>IF(OR('Volúmenes DIstribuidos '!C3046="Azúcar",'Volúmenes DIstribuidos '!C3046="azúcar"),"Azúcar o dulce",IF('Volúmenes DIstribuidos '!C3046="Aceite","Aceite o grasas",IF('Volúmenes DIstribuidos '!C3046="Avena","Otros almidones",'Volúmenes DIstribuidos '!C3046)))</f>
        <v>Vegetales y hojas</v>
      </c>
      <c r="C5057" s="10" t="s">
        <v>29</v>
      </c>
      <c r="D5057" s="12">
        <f>'Volúmenes DIstribuidos '!D3046</f>
        <v>10.510999999999999</v>
      </c>
      <c r="E5057" s="12">
        <f>SUMIF('Parametros Inventario'!$A:$A,B5057,'Parametros Inventario'!$B:$B)+SUMIFS(D$2:D5057,B$2:B5057,B5057,C$2:C5057,"ENTRADA")-SUMIFS(D$2:D5057,B$2:B5057,B5057,C$2:C5057,"SALIDA")</f>
        <v>25884.183999999994</v>
      </c>
    </row>
    <row r="5058" spans="1:5" x14ac:dyDescent="0.3">
      <c r="A5058" s="9">
        <f>'Volúmenes DIstribuidos '!B3045</f>
        <v>45821</v>
      </c>
      <c r="B5058" s="10" t="str">
        <f>IF(OR('Volúmenes DIstribuidos '!C3047="Azúcar",'Volúmenes DIstribuidos '!C3047="azúcar"),"Azúcar o dulce",IF('Volúmenes DIstribuidos '!C3047="Aceite","Aceite o grasas",IF('Volúmenes DIstribuidos '!C3047="Avena","Otros almidones",'Volúmenes DIstribuidos '!C3047)))</f>
        <v>Fideo</v>
      </c>
      <c r="C5058" s="10" t="s">
        <v>29</v>
      </c>
      <c r="D5058" s="12">
        <f>'Volúmenes DIstribuidos '!D3047</f>
        <v>21.03</v>
      </c>
      <c r="E5058" s="12">
        <f>SUMIF('Parametros Inventario'!$A:$A,B5058,'Parametros Inventario'!$B:$B)+SUMIFS(D$2:D5058,B$2:B5058,B5058,C$2:C5058,"ENTRADA")-SUMIFS(D$2:D5058,B$2:B5058,B5058,C$2:C5058,"SALIDA")</f>
        <v>26933.823000000004</v>
      </c>
    </row>
    <row r="5059" spans="1:5" x14ac:dyDescent="0.3">
      <c r="A5059" s="9">
        <f>'Volúmenes DIstribuidos '!B3045</f>
        <v>45821</v>
      </c>
      <c r="B5059" s="10" t="str">
        <f>IF(OR('Volúmenes DIstribuidos '!C3048="Azúcar",'Volúmenes DIstribuidos '!C3048="azúcar"),"Azúcar o dulce",IF('Volúmenes DIstribuidos '!C3048="Aceite","Aceite o grasas",IF('Volúmenes DIstribuidos '!C3048="Avena","Otros almidones",'Volúmenes DIstribuidos '!C3048)))</f>
        <v>Otros almidones</v>
      </c>
      <c r="C5059" s="10" t="s">
        <v>29</v>
      </c>
      <c r="D5059" s="12">
        <f>'Volúmenes DIstribuidos '!D3048</f>
        <v>5.31</v>
      </c>
      <c r="E5059" s="12">
        <f>SUMIF('Parametros Inventario'!$A:$A,B5059,'Parametros Inventario'!$B:$B)+SUMIFS(D$2:D5059,B$2:B5059,B5059,C$2:C5059,"ENTRADA")-SUMIFS(D$2:D5059,B$2:B5059,B5059,C$2:C5059,"SALIDA")</f>
        <v>26401.505000000001</v>
      </c>
    </row>
    <row r="5060" spans="1:5" x14ac:dyDescent="0.3">
      <c r="A5060" s="9">
        <f>'Volúmenes DIstribuidos '!B3045</f>
        <v>45821</v>
      </c>
      <c r="B5060" s="10" t="str">
        <f>IF(OR('Volúmenes DIstribuidos '!C3049="Azúcar",'Volúmenes DIstribuidos '!C3049="azúcar"),"Azúcar o dulce",IF('Volúmenes DIstribuidos '!C3049="Aceite","Aceite o grasas",IF('Volúmenes DIstribuidos '!C3049="Avena","Otros almidones",'Volúmenes DIstribuidos '!C3049)))</f>
        <v>Lácteos</v>
      </c>
      <c r="C5060" s="10" t="s">
        <v>29</v>
      </c>
      <c r="D5060" s="12">
        <f>'Volúmenes DIstribuidos '!D3049</f>
        <v>5.46</v>
      </c>
      <c r="E5060" s="12">
        <f>SUMIF('Parametros Inventario'!$A:$A,B5060,'Parametros Inventario'!$B:$B)+SUMIFS(D$2:D5060,B$2:B5060,B5060,C$2:C5060,"ENTRADA")-SUMIFS(D$2:D5060,B$2:B5060,B5060,C$2:C5060,"SALIDA")</f>
        <v>23740.37</v>
      </c>
    </row>
    <row r="5061" spans="1:5" x14ac:dyDescent="0.3">
      <c r="A5061" s="9">
        <f>'Volúmenes DIstribuidos '!B3045</f>
        <v>45821</v>
      </c>
      <c r="B5061" s="10" t="str">
        <f>IF(OR('Volúmenes DIstribuidos '!C3050="Azúcar",'Volúmenes DIstribuidos '!C3050="azúcar"),"Azúcar o dulce",IF('Volúmenes DIstribuidos '!C3050="Aceite","Aceite o grasas",IF('Volúmenes DIstribuidos '!C3050="Avena","Otros almidones",'Volúmenes DIstribuidos '!C3050)))</f>
        <v>Salsas</v>
      </c>
      <c r="C5061" s="10" t="s">
        <v>29</v>
      </c>
      <c r="D5061" s="12">
        <f>'Volúmenes DIstribuidos '!D3050</f>
        <v>13.38</v>
      </c>
      <c r="E5061" s="12">
        <f>SUMIF('Parametros Inventario'!$A:$A,B5061,'Parametros Inventario'!$B:$B)+SUMIFS(D$2:D5061,B$2:B5061,B5061,C$2:C5061,"ENTRADA")-SUMIFS(D$2:D5061,B$2:B5061,B5061,C$2:C5061,"SALIDA")</f>
        <v>23752.502999999982</v>
      </c>
    </row>
    <row r="5062" spans="1:5" x14ac:dyDescent="0.3">
      <c r="A5062" s="9">
        <f>'Volúmenes DIstribuidos '!B3051</f>
        <v>45825</v>
      </c>
      <c r="B5062" s="10" t="str">
        <f>IF(OR('Volúmenes DIstribuidos '!C3051="Azúcar",'Volúmenes DIstribuidos '!C3051="azúcar"),"Azúcar o dulce",IF('Volúmenes DIstribuidos '!C3051="Aceite","Aceite o grasas",IF('Volúmenes DIstribuidos '!C3051="Avena","Otros almidones",'Volúmenes DIstribuidos '!C3051)))</f>
        <v>Carnes rojas</v>
      </c>
      <c r="C5062" s="10" t="s">
        <v>29</v>
      </c>
      <c r="D5062" s="12">
        <f>'Volúmenes DIstribuidos '!D3051</f>
        <v>17.2</v>
      </c>
      <c r="E5062" s="12">
        <f>SUMIF('Parametros Inventario'!$A:$A,B5062,'Parametros Inventario'!$B:$B)+SUMIFS(D$2:D5062,B$2:B5062,B5062,C$2:C5062,"ENTRADA")-SUMIFS(D$2:D5062,B$2:B5062,B5062,C$2:C5062,"SALIDA")</f>
        <v>23297.041000000012</v>
      </c>
    </row>
    <row r="5063" spans="1:5" x14ac:dyDescent="0.3">
      <c r="A5063" s="9">
        <f>'Volúmenes DIstribuidos '!B3051</f>
        <v>45825</v>
      </c>
      <c r="B5063" s="10" t="str">
        <f>IF(OR('Volúmenes DIstribuidos '!C3052="Azúcar",'Volúmenes DIstribuidos '!C3052="azúcar"),"Azúcar o dulce",IF('Volúmenes DIstribuidos '!C3052="Aceite","Aceite o grasas",IF('Volúmenes DIstribuidos '!C3052="Avena","Otros almidones",'Volúmenes DIstribuidos '!C3052)))</f>
        <v>Carnes blancas</v>
      </c>
      <c r="C5063" s="10" t="s">
        <v>29</v>
      </c>
      <c r="D5063" s="12">
        <f>'Volúmenes DIstribuidos '!D3052</f>
        <v>12.587999999999999</v>
      </c>
      <c r="E5063" s="12">
        <f>SUMIF('Parametros Inventario'!$A:$A,B5063,'Parametros Inventario'!$B:$B)+SUMIFS(D$2:D5063,B$2:B5063,B5063,C$2:C5063,"ENTRADA")-SUMIFS(D$2:D5063,B$2:B5063,B5063,C$2:C5063,"SALIDA")</f>
        <v>23976.864999999991</v>
      </c>
    </row>
    <row r="5064" spans="1:5" x14ac:dyDescent="0.3">
      <c r="A5064" s="9">
        <f>'Volúmenes DIstribuidos '!B3051</f>
        <v>45825</v>
      </c>
      <c r="B5064" s="10" t="str">
        <f>IF(OR('Volúmenes DIstribuidos '!C3053="Azúcar",'Volúmenes DIstribuidos '!C3053="azúcar"),"Azúcar o dulce",IF('Volúmenes DIstribuidos '!C3053="Aceite","Aceite o grasas",IF('Volúmenes DIstribuidos '!C3053="Avena","Otros almidones",'Volúmenes DIstribuidos '!C3053)))</f>
        <v>Fideo</v>
      </c>
      <c r="C5064" s="10" t="s">
        <v>29</v>
      </c>
      <c r="D5064" s="12">
        <f>'Volúmenes DIstribuidos '!D3053</f>
        <v>5.66</v>
      </c>
      <c r="E5064" s="12">
        <f>SUMIF('Parametros Inventario'!$A:$A,B5064,'Parametros Inventario'!$B:$B)+SUMIFS(D$2:D5064,B$2:B5064,B5064,C$2:C5064,"ENTRADA")-SUMIFS(D$2:D5064,B$2:B5064,B5064,C$2:C5064,"SALIDA")</f>
        <v>26928.163000000004</v>
      </c>
    </row>
    <row r="5065" spans="1:5" x14ac:dyDescent="0.3">
      <c r="A5065" s="9">
        <f>'Volúmenes DIstribuidos '!B3051</f>
        <v>45825</v>
      </c>
      <c r="B5065" s="10" t="str">
        <f>IF(OR('Volúmenes DIstribuidos '!C3054="Azúcar",'Volúmenes DIstribuidos '!C3054="azúcar"),"Azúcar o dulce",IF('Volúmenes DIstribuidos '!C3054="Aceite","Aceite o grasas",IF('Volúmenes DIstribuidos '!C3054="Avena","Otros almidones",'Volúmenes DIstribuidos '!C3054)))</f>
        <v>Carnes blancas</v>
      </c>
      <c r="C5065" s="10" t="s">
        <v>29</v>
      </c>
      <c r="D5065" s="12">
        <f>'Volúmenes DIstribuidos '!D3054</f>
        <v>17.57</v>
      </c>
      <c r="E5065" s="12">
        <f>SUMIF('Parametros Inventario'!$A:$A,B5065,'Parametros Inventario'!$B:$B)+SUMIFS(D$2:D5065,B$2:B5065,B5065,C$2:C5065,"ENTRADA")-SUMIFS(D$2:D5065,B$2:B5065,B5065,C$2:C5065,"SALIDA")</f>
        <v>23959.294999999991</v>
      </c>
    </row>
    <row r="5066" spans="1:5" x14ac:dyDescent="0.3">
      <c r="A5066" s="9">
        <f>'Volúmenes DIstribuidos '!B3051</f>
        <v>45825</v>
      </c>
      <c r="B5066" s="10" t="str">
        <f>IF(OR('Volúmenes DIstribuidos '!C3055="Azúcar",'Volúmenes DIstribuidos '!C3055="azúcar"),"Azúcar o dulce",IF('Volúmenes DIstribuidos '!C3055="Aceite","Aceite o grasas",IF('Volúmenes DIstribuidos '!C3055="Avena","Otros almidones",'Volúmenes DIstribuidos '!C3055)))</f>
        <v>Menestras</v>
      </c>
      <c r="C5066" s="10" t="s">
        <v>29</v>
      </c>
      <c r="D5066" s="12">
        <f>'Volúmenes DIstribuidos '!D3055</f>
        <v>11.98</v>
      </c>
      <c r="E5066" s="12">
        <f>SUMIF('Parametros Inventario'!$A:$A,B5066,'Parametros Inventario'!$B:$B)+SUMIFS(D$2:D5066,B$2:B5066,B5066,C$2:C5066,"ENTRADA")-SUMIFS(D$2:D5066,B$2:B5066,B5066,C$2:C5066,"SALIDA")</f>
        <v>24013.601999999988</v>
      </c>
    </row>
    <row r="5067" spans="1:5" x14ac:dyDescent="0.3">
      <c r="A5067" s="9">
        <f>'Volúmenes DIstribuidos '!B3051</f>
        <v>45825</v>
      </c>
      <c r="B5067" s="10" t="str">
        <f>IF(OR('Volúmenes DIstribuidos '!C3056="Azúcar",'Volúmenes DIstribuidos '!C3056="azúcar"),"Azúcar o dulce",IF('Volúmenes DIstribuidos '!C3056="Aceite","Aceite o grasas",IF('Volúmenes DIstribuidos '!C3056="Avena","Otros almidones",'Volúmenes DIstribuidos '!C3056)))</f>
        <v>Lácteos</v>
      </c>
      <c r="C5067" s="10" t="s">
        <v>29</v>
      </c>
      <c r="D5067" s="12">
        <f>'Volúmenes DIstribuidos '!D3056</f>
        <v>26.356000000000002</v>
      </c>
      <c r="E5067" s="12">
        <f>SUMIF('Parametros Inventario'!$A:$A,B5067,'Parametros Inventario'!$B:$B)+SUMIFS(D$2:D5067,B$2:B5067,B5067,C$2:C5067,"ENTRADA")-SUMIFS(D$2:D5067,B$2:B5067,B5067,C$2:C5067,"SALIDA")</f>
        <v>23714.013999999999</v>
      </c>
    </row>
    <row r="5068" spans="1:5" x14ac:dyDescent="0.3">
      <c r="A5068" s="9">
        <v>45828</v>
      </c>
      <c r="B5068" s="10" t="s">
        <v>8</v>
      </c>
      <c r="C5068" s="10" t="s">
        <v>28</v>
      </c>
      <c r="D5068" s="12">
        <v>60</v>
      </c>
      <c r="E5068" s="12">
        <f>SUMIF('Parametros Inventario'!$A:$A,B5068,'Parametros Inventario'!$B:$B)+SUMIFS(D$2:D5068,B$2:B5068,B5068,C$2:C5068,"ENTRADA")-SUMIFS(D$2:D5068,B$2:B5068,B5068,C$2:C5068,"SALIDA")</f>
        <v>23804.378000000008</v>
      </c>
    </row>
    <row r="5069" spans="1:5" x14ac:dyDescent="0.3">
      <c r="A5069" s="9">
        <v>45828</v>
      </c>
      <c r="B5069" s="10" t="s">
        <v>13</v>
      </c>
      <c r="C5069" s="10" t="s">
        <v>28</v>
      </c>
      <c r="D5069" s="12">
        <v>228.19</v>
      </c>
      <c r="E5069" s="12">
        <f>SUMIF('Parametros Inventario'!$A:$A,B5069,'Parametros Inventario'!$B:$B)+SUMIFS(D$2:D5069,B$2:B5069,B5069,C$2:C5069,"ENTRADA")-SUMIFS(D$2:D5069,B$2:B5069,B5069,C$2:C5069,"SALIDA")</f>
        <v>23334.103999999988</v>
      </c>
    </row>
    <row r="5070" spans="1:5" x14ac:dyDescent="0.3">
      <c r="A5070" s="9">
        <v>45828</v>
      </c>
      <c r="B5070" s="10" t="s">
        <v>15</v>
      </c>
      <c r="C5070" s="10" t="s">
        <v>28</v>
      </c>
      <c r="D5070" s="12">
        <v>220.72</v>
      </c>
      <c r="E5070" s="12">
        <f>SUMIF('Parametros Inventario'!$A:$A,B5070,'Parametros Inventario'!$B:$B)+SUMIFS(D$2:D5070,B$2:B5070,B5070,C$2:C5070,"ENTRADA")-SUMIFS(D$2:D5070,B$2:B5070,B5070,C$2:C5070,"SALIDA")</f>
        <v>26622.225000000002</v>
      </c>
    </row>
    <row r="5071" spans="1:5" x14ac:dyDescent="0.3">
      <c r="A5071" s="9">
        <f>'Volúmenes DIstribuidos '!B3057</f>
        <v>45828</v>
      </c>
      <c r="B5071" s="10" t="str">
        <f>IF(OR('Volúmenes DIstribuidos '!C3057="Azúcar",'Volúmenes DIstribuidos '!C3057="azúcar"),"Azúcar o dulce",IF('Volúmenes DIstribuidos '!C3057="Aceite","Aceite o grasas",IF('Volúmenes DIstribuidos '!C3057="Avena","Otros almidones",'Volúmenes DIstribuidos '!C3057)))</f>
        <v>Menestras</v>
      </c>
      <c r="C5071" s="10" t="s">
        <v>29</v>
      </c>
      <c r="D5071" s="12">
        <f>'Volúmenes DIstribuidos '!D3057</f>
        <v>17.02</v>
      </c>
      <c r="E5071" s="12">
        <f>SUMIF('Parametros Inventario'!$A:$A,B5071,'Parametros Inventario'!$B:$B)+SUMIFS(D$2:D5071,B$2:B5071,B5071,C$2:C5071,"ENTRADA")-SUMIFS(D$2:D5071,B$2:B5071,B5071,C$2:C5071,"SALIDA")</f>
        <v>23996.581999999988</v>
      </c>
    </row>
    <row r="5072" spans="1:5" x14ac:dyDescent="0.3">
      <c r="A5072" s="9">
        <f>'Volúmenes DIstribuidos '!B3057</f>
        <v>45828</v>
      </c>
      <c r="B5072" s="10" t="str">
        <f>IF(OR('Volúmenes DIstribuidos '!C3058="Azúcar",'Volúmenes DIstribuidos '!C3058="azúcar"),"Azúcar o dulce",IF('Volúmenes DIstribuidos '!C3058="Aceite","Aceite o grasas",IF('Volúmenes DIstribuidos '!C3058="Avena","Otros almidones",'Volúmenes DIstribuidos '!C3058)))</f>
        <v>Lácteos</v>
      </c>
      <c r="C5072" s="10" t="s">
        <v>29</v>
      </c>
      <c r="D5072" s="12">
        <f>'Volúmenes DIstribuidos '!D3058</f>
        <v>15.14</v>
      </c>
      <c r="E5072" s="12">
        <f>SUMIF('Parametros Inventario'!$A:$A,B5072,'Parametros Inventario'!$B:$B)+SUMIFS(D$2:D5072,B$2:B5072,B5072,C$2:C5072,"ENTRADA")-SUMIFS(D$2:D5072,B$2:B5072,B5072,C$2:C5072,"SALIDA")</f>
        <v>23698.874</v>
      </c>
    </row>
    <row r="5073" spans="1:5" x14ac:dyDescent="0.3">
      <c r="A5073" s="9">
        <f>'Volúmenes DIstribuidos '!B3057</f>
        <v>45828</v>
      </c>
      <c r="B5073" s="10" t="str">
        <f>IF(OR('Volúmenes DIstribuidos '!C3059="Azúcar",'Volúmenes DIstribuidos '!C3059="azúcar"),"Azúcar o dulce",IF('Volúmenes DIstribuidos '!C3059="Aceite","Aceite o grasas",IF('Volúmenes DIstribuidos '!C3059="Avena","Otros almidones",'Volúmenes DIstribuidos '!C3059)))</f>
        <v>Carnes blancas</v>
      </c>
      <c r="C5073" s="10" t="s">
        <v>29</v>
      </c>
      <c r="D5073" s="12">
        <f>'Volúmenes DIstribuidos '!D3059</f>
        <v>9.81</v>
      </c>
      <c r="E5073" s="12">
        <f>SUMIF('Parametros Inventario'!$A:$A,B5073,'Parametros Inventario'!$B:$B)+SUMIFS(D$2:D5073,B$2:B5073,B5073,C$2:C5073,"ENTRADA")-SUMIFS(D$2:D5073,B$2:B5073,B5073,C$2:C5073,"SALIDA")</f>
        <v>23949.48499999999</v>
      </c>
    </row>
    <row r="5074" spans="1:5" x14ac:dyDescent="0.3">
      <c r="A5074" s="9">
        <f>'Volúmenes DIstribuidos '!B3057</f>
        <v>45828</v>
      </c>
      <c r="B5074" s="10" t="str">
        <f>IF(OR('Volúmenes DIstribuidos '!C3060="Azúcar",'Volúmenes DIstribuidos '!C3060="azúcar"),"Azúcar o dulce",IF('Volúmenes DIstribuidos '!C3060="Aceite","Aceite o grasas",IF('Volúmenes DIstribuidos '!C3060="Avena","Otros almidones",'Volúmenes DIstribuidos '!C3060)))</f>
        <v>Salsas</v>
      </c>
      <c r="C5074" s="10" t="s">
        <v>29</v>
      </c>
      <c r="D5074" s="12">
        <f>'Volúmenes DIstribuidos '!D3060</f>
        <v>8.4600000000000009</v>
      </c>
      <c r="E5074" s="12">
        <f>SUMIF('Parametros Inventario'!$A:$A,B5074,'Parametros Inventario'!$B:$B)+SUMIFS(D$2:D5074,B$2:B5074,B5074,C$2:C5074,"ENTRADA")-SUMIFS(D$2:D5074,B$2:B5074,B5074,C$2:C5074,"SALIDA")</f>
        <v>23744.042999999983</v>
      </c>
    </row>
    <row r="5075" spans="1:5" x14ac:dyDescent="0.3">
      <c r="A5075" s="9">
        <f>'Volúmenes DIstribuidos '!B3057</f>
        <v>45828</v>
      </c>
      <c r="B5075" s="10" t="str">
        <f>IF(OR('Volúmenes DIstribuidos '!C3061="Azúcar",'Volúmenes DIstribuidos '!C3061="azúcar"),"Azúcar o dulce",IF('Volúmenes DIstribuidos '!C3061="Aceite","Aceite o grasas",IF('Volúmenes DIstribuidos '!C3061="Avena","Otros almidones",'Volúmenes DIstribuidos '!C3061)))</f>
        <v>Vegetales y hojas</v>
      </c>
      <c r="C5075" s="10" t="s">
        <v>29</v>
      </c>
      <c r="D5075" s="12">
        <f>'Volúmenes DIstribuidos '!D3061</f>
        <v>11.414</v>
      </c>
      <c r="E5075" s="12">
        <f>SUMIF('Parametros Inventario'!$A:$A,B5075,'Parametros Inventario'!$B:$B)+SUMIFS(D$2:D5075,B$2:B5075,B5075,C$2:C5075,"ENTRADA")-SUMIFS(D$2:D5075,B$2:B5075,B5075,C$2:C5075,"SALIDA")</f>
        <v>25872.769999999993</v>
      </c>
    </row>
    <row r="5076" spans="1:5" x14ac:dyDescent="0.3">
      <c r="A5076" s="9">
        <f>'Volúmenes DIstribuidos '!B3057</f>
        <v>45828</v>
      </c>
      <c r="B5076" s="10" t="str">
        <f>IF(OR('Volúmenes DIstribuidos '!C3062="Azúcar",'Volúmenes DIstribuidos '!C3062="azúcar"),"Azúcar o dulce",IF('Volúmenes DIstribuidos '!C3062="Aceite","Aceite o grasas",IF('Volúmenes DIstribuidos '!C3062="Avena","Otros almidones",'Volúmenes DIstribuidos '!C3062)))</f>
        <v>Lácteos</v>
      </c>
      <c r="C5076" s="10" t="s">
        <v>29</v>
      </c>
      <c r="D5076" s="12">
        <f>'Volúmenes DIstribuidos '!D3062</f>
        <v>21.05</v>
      </c>
      <c r="E5076" s="12">
        <f>SUMIF('Parametros Inventario'!$A:$A,B5076,'Parametros Inventario'!$B:$B)+SUMIFS(D$2:D5076,B$2:B5076,B5076,C$2:C5076,"ENTRADA")-SUMIFS(D$2:D5076,B$2:B5076,B5076,C$2:C5076,"SALIDA")</f>
        <v>23677.824000000001</v>
      </c>
    </row>
    <row r="5077" spans="1:5" x14ac:dyDescent="0.3">
      <c r="A5077" s="9">
        <f>'Volúmenes DIstribuidos '!B3063</f>
        <v>45832</v>
      </c>
      <c r="B5077" s="10" t="str">
        <f>IF(OR('Volúmenes DIstribuidos '!C3063="Azúcar",'Volúmenes DIstribuidos '!C3063="azúcar"),"Azúcar o dulce",IF('Volúmenes DIstribuidos '!C3063="Aceite","Aceite o grasas",IF('Volúmenes DIstribuidos '!C3063="Avena","Otros almidones",'Volúmenes DIstribuidos '!C3063)))</f>
        <v>Salsas</v>
      </c>
      <c r="C5077" s="10" t="s">
        <v>29</v>
      </c>
      <c r="D5077" s="12">
        <f>'Volúmenes DIstribuidos '!D3063</f>
        <v>6.15</v>
      </c>
      <c r="E5077" s="12">
        <f>SUMIF('Parametros Inventario'!$A:$A,B5077,'Parametros Inventario'!$B:$B)+SUMIFS(D$2:D5077,B$2:B5077,B5077,C$2:C5077,"ENTRADA")-SUMIFS(D$2:D5077,B$2:B5077,B5077,C$2:C5077,"SALIDA")</f>
        <v>23737.892999999982</v>
      </c>
    </row>
    <row r="5078" spans="1:5" x14ac:dyDescent="0.3">
      <c r="A5078" s="9">
        <f>'Volúmenes DIstribuidos '!B3063</f>
        <v>45832</v>
      </c>
      <c r="B5078" s="10" t="str">
        <f>IF(OR('Volúmenes DIstribuidos '!C3064="Azúcar",'Volúmenes DIstribuidos '!C3064="azúcar"),"Azúcar o dulce",IF('Volúmenes DIstribuidos '!C3064="Aceite","Aceite o grasas",IF('Volúmenes DIstribuidos '!C3064="Avena","Otros almidones",'Volúmenes DIstribuidos '!C3064)))</f>
        <v>Aceite o grasas</v>
      </c>
      <c r="C5078" s="10" t="s">
        <v>29</v>
      </c>
      <c r="D5078" s="12">
        <f>'Volúmenes DIstribuidos '!D3064</f>
        <v>43.46</v>
      </c>
      <c r="E5078" s="12">
        <f>SUMIF('Parametros Inventario'!$A:$A,B5078,'Parametros Inventario'!$B:$B)+SUMIFS(D$2:D5078,B$2:B5078,B5078,C$2:C5078,"ENTRADA")-SUMIFS(D$2:D5078,B$2:B5078,B5078,C$2:C5078,"SALIDA")</f>
        <v>23760.918000000009</v>
      </c>
    </row>
    <row r="5079" spans="1:5" x14ac:dyDescent="0.3">
      <c r="A5079" s="9">
        <f>'Volúmenes DIstribuidos '!B3063</f>
        <v>45832</v>
      </c>
      <c r="B5079" s="10" t="str">
        <f>IF(OR('Volúmenes DIstribuidos '!C3065="Azúcar",'Volúmenes DIstribuidos '!C3065="azúcar"),"Azúcar o dulce",IF('Volúmenes DIstribuidos '!C3065="Aceite","Aceite o grasas",IF('Volúmenes DIstribuidos '!C3065="Avena","Otros almidones",'Volúmenes DIstribuidos '!C3065)))</f>
        <v>Panadería</v>
      </c>
      <c r="C5079" s="10" t="s">
        <v>29</v>
      </c>
      <c r="D5079" s="12">
        <f>'Volúmenes DIstribuidos '!D3065</f>
        <v>33.46</v>
      </c>
      <c r="E5079" s="12">
        <f>SUMIF('Parametros Inventario'!$A:$A,B5079,'Parametros Inventario'!$B:$B)+SUMIFS(D$2:D5079,B$2:B5079,B5079,C$2:C5079,"ENTRADA")-SUMIFS(D$2:D5079,B$2:B5079,B5079,C$2:C5079,"SALIDA")</f>
        <v>22698.523999999994</v>
      </c>
    </row>
    <row r="5080" spans="1:5" x14ac:dyDescent="0.3">
      <c r="A5080" s="9">
        <f>'Volúmenes DIstribuidos '!B3063</f>
        <v>45832</v>
      </c>
      <c r="B5080" s="10" t="str">
        <f>IF(OR('Volúmenes DIstribuidos '!C3066="Azúcar",'Volúmenes DIstribuidos '!C3066="azúcar"),"Azúcar o dulce",IF('Volúmenes DIstribuidos '!C3066="Aceite","Aceite o grasas",IF('Volúmenes DIstribuidos '!C3066="Avena","Otros almidones",'Volúmenes DIstribuidos '!C3066)))</f>
        <v>Carnes rojas</v>
      </c>
      <c r="C5080" s="10" t="s">
        <v>29</v>
      </c>
      <c r="D5080" s="12">
        <f>'Volúmenes DIstribuidos '!D3066</f>
        <v>36.668999999999997</v>
      </c>
      <c r="E5080" s="12">
        <f>SUMIF('Parametros Inventario'!$A:$A,B5080,'Parametros Inventario'!$B:$B)+SUMIFS(D$2:D5080,B$2:B5080,B5080,C$2:C5080,"ENTRADA")-SUMIFS(D$2:D5080,B$2:B5080,B5080,C$2:C5080,"SALIDA")</f>
        <v>23260.37200000001</v>
      </c>
    </row>
    <row r="5081" spans="1:5" x14ac:dyDescent="0.3">
      <c r="A5081" s="9">
        <f>'Volúmenes DIstribuidos '!B3063</f>
        <v>45832</v>
      </c>
      <c r="B5081" s="10" t="str">
        <f>IF(OR('Volúmenes DIstribuidos '!C3067="Azúcar",'Volúmenes DIstribuidos '!C3067="azúcar"),"Azúcar o dulce",IF('Volúmenes DIstribuidos '!C3067="Aceite","Aceite o grasas",IF('Volúmenes DIstribuidos '!C3067="Avena","Otros almidones",'Volúmenes DIstribuidos '!C3067)))</f>
        <v>Lácteos</v>
      </c>
      <c r="C5081" s="10" t="s">
        <v>29</v>
      </c>
      <c r="D5081" s="12">
        <f>'Volúmenes DIstribuidos '!D3067</f>
        <v>25.88</v>
      </c>
      <c r="E5081" s="12">
        <f>SUMIF('Parametros Inventario'!$A:$A,B5081,'Parametros Inventario'!$B:$B)+SUMIFS(D$2:D5081,B$2:B5081,B5081,C$2:C5081,"ENTRADA")-SUMIFS(D$2:D5081,B$2:B5081,B5081,C$2:C5081,"SALIDA")</f>
        <v>23651.944000000003</v>
      </c>
    </row>
    <row r="5082" spans="1:5" x14ac:dyDescent="0.3">
      <c r="A5082" s="9">
        <f>'Volúmenes DIstribuidos '!B3063</f>
        <v>45832</v>
      </c>
      <c r="B5082" s="10" t="str">
        <f>IF(OR('Volúmenes DIstribuidos '!C3068="Azúcar",'Volúmenes DIstribuidos '!C3068="azúcar"),"Azúcar o dulce",IF('Volúmenes DIstribuidos '!C3068="Aceite","Aceite o grasas",IF('Volúmenes DIstribuidos '!C3068="Avena","Otros almidones",'Volúmenes DIstribuidos '!C3068)))</f>
        <v>Carnes blancas</v>
      </c>
      <c r="C5082" s="10" t="s">
        <v>29</v>
      </c>
      <c r="D5082" s="12">
        <f>'Volúmenes DIstribuidos '!D3068</f>
        <v>39.72</v>
      </c>
      <c r="E5082" s="12">
        <f>SUMIF('Parametros Inventario'!$A:$A,B5082,'Parametros Inventario'!$B:$B)+SUMIFS(D$2:D5082,B$2:B5082,B5082,C$2:C5082,"ENTRADA")-SUMIFS(D$2:D5082,B$2:B5082,B5082,C$2:C5082,"SALIDA")</f>
        <v>23909.764999999989</v>
      </c>
    </row>
    <row r="5083" spans="1:5" x14ac:dyDescent="0.3">
      <c r="A5083" s="9">
        <f>'Volúmenes DIstribuidos '!B3069</f>
        <v>45835</v>
      </c>
      <c r="B5083" s="10" t="str">
        <f>IF(OR('Volúmenes DIstribuidos '!C3069="Azúcar",'Volúmenes DIstribuidos '!C3069="azúcar"),"Azúcar o dulce",IF('Volúmenes DIstribuidos '!C3069="Aceite","Aceite o grasas",IF('Volúmenes DIstribuidos '!C3069="Avena","Otros almidones",'Volúmenes DIstribuidos '!C3069)))</f>
        <v>Carnes rojas</v>
      </c>
      <c r="C5083" s="10" t="s">
        <v>29</v>
      </c>
      <c r="D5083" s="12">
        <f>'Volúmenes DIstribuidos '!D3069</f>
        <v>129.30000000000001</v>
      </c>
      <c r="E5083" s="12">
        <f>SUMIF('Parametros Inventario'!$A:$A,B5083,'Parametros Inventario'!$B:$B)+SUMIFS(D$2:D5083,B$2:B5083,B5083,C$2:C5083,"ENTRADA")-SUMIFS(D$2:D5083,B$2:B5083,B5083,C$2:C5083,"SALIDA")</f>
        <v>23131.072000000011</v>
      </c>
    </row>
    <row r="5084" spans="1:5" x14ac:dyDescent="0.3">
      <c r="A5084" s="9">
        <f>'Volúmenes DIstribuidos '!B3069</f>
        <v>45835</v>
      </c>
      <c r="B5084" s="10" t="str">
        <f>IF(OR('Volúmenes DIstribuidos '!C3070="Azúcar",'Volúmenes DIstribuidos '!C3070="azúcar"),"Azúcar o dulce",IF('Volúmenes DIstribuidos '!C3070="Aceite","Aceite o grasas",IF('Volúmenes DIstribuidos '!C3070="Avena","Otros almidones",'Volúmenes DIstribuidos '!C3070)))</f>
        <v>Fideo</v>
      </c>
      <c r="C5084" s="10" t="s">
        <v>29</v>
      </c>
      <c r="D5084" s="12">
        <f>'Volúmenes DIstribuidos '!D3070</f>
        <v>10.016</v>
      </c>
      <c r="E5084" s="12">
        <f>SUMIF('Parametros Inventario'!$A:$A,B5084,'Parametros Inventario'!$B:$B)+SUMIFS(D$2:D5084,B$2:B5084,B5084,C$2:C5084,"ENTRADA")-SUMIFS(D$2:D5084,B$2:B5084,B5084,C$2:C5084,"SALIDA")</f>
        <v>26918.147000000004</v>
      </c>
    </row>
    <row r="5085" spans="1:5" x14ac:dyDescent="0.3">
      <c r="A5085" s="9">
        <f>'Volúmenes DIstribuidos '!B3069</f>
        <v>45835</v>
      </c>
      <c r="B5085" s="10" t="str">
        <f>IF(OR('Volúmenes DIstribuidos '!C3071="Azúcar",'Volúmenes DIstribuidos '!C3071="azúcar"),"Azúcar o dulce",IF('Volúmenes DIstribuidos '!C3071="Aceite","Aceite o grasas",IF('Volúmenes DIstribuidos '!C3071="Avena","Otros almidones",'Volúmenes DIstribuidos '!C3071)))</f>
        <v>Aceite o grasas</v>
      </c>
      <c r="C5085" s="10" t="s">
        <v>29</v>
      </c>
      <c r="D5085" s="12">
        <f>'Volúmenes DIstribuidos '!D3071</f>
        <v>9.39</v>
      </c>
      <c r="E5085" s="12">
        <f>SUMIF('Parametros Inventario'!$A:$A,B5085,'Parametros Inventario'!$B:$B)+SUMIFS(D$2:D5085,B$2:B5085,B5085,C$2:C5085,"ENTRADA")-SUMIFS(D$2:D5085,B$2:B5085,B5085,C$2:C5085,"SALIDA")</f>
        <v>23751.528000000009</v>
      </c>
    </row>
    <row r="5086" spans="1:5" x14ac:dyDescent="0.3">
      <c r="A5086" s="9">
        <f>'Volúmenes DIstribuidos '!B3069</f>
        <v>45835</v>
      </c>
      <c r="B5086" s="10" t="str">
        <f>IF(OR('Volúmenes DIstribuidos '!C3072="Azúcar",'Volúmenes DIstribuidos '!C3072="azúcar"),"Azúcar o dulce",IF('Volúmenes DIstribuidos '!C3072="Aceite","Aceite o grasas",IF('Volúmenes DIstribuidos '!C3072="Avena","Otros almidones",'Volúmenes DIstribuidos '!C3072)))</f>
        <v>Lácteos</v>
      </c>
      <c r="C5086" s="10" t="s">
        <v>29</v>
      </c>
      <c r="D5086" s="12">
        <f>'Volúmenes DIstribuidos '!D3072</f>
        <v>10.23</v>
      </c>
      <c r="E5086" s="12">
        <f>SUMIF('Parametros Inventario'!$A:$A,B5086,'Parametros Inventario'!$B:$B)+SUMIFS(D$2:D5086,B$2:B5086,B5086,C$2:C5086,"ENTRADA")-SUMIFS(D$2:D5086,B$2:B5086,B5086,C$2:C5086,"SALIDA")</f>
        <v>23641.714</v>
      </c>
    </row>
    <row r="5087" spans="1:5" x14ac:dyDescent="0.3">
      <c r="A5087" s="9">
        <f>'Volúmenes DIstribuidos '!B3069</f>
        <v>45835</v>
      </c>
      <c r="B5087" s="10" t="str">
        <f>IF(OR('Volúmenes DIstribuidos '!C3073="Azúcar",'Volúmenes DIstribuidos '!C3073="azúcar"),"Azúcar o dulce",IF('Volúmenes DIstribuidos '!C3073="Aceite","Aceite o grasas",IF('Volúmenes DIstribuidos '!C3073="Avena","Otros almidones",'Volúmenes DIstribuidos '!C3073)))</f>
        <v>Panadería</v>
      </c>
      <c r="C5087" s="10" t="s">
        <v>29</v>
      </c>
      <c r="D5087" s="12">
        <f>'Volúmenes DIstribuidos '!D3073</f>
        <v>10.15</v>
      </c>
      <c r="E5087" s="12">
        <f>SUMIF('Parametros Inventario'!$A:$A,B5087,'Parametros Inventario'!$B:$B)+SUMIFS(D$2:D5087,B$2:B5087,B5087,C$2:C5087,"ENTRADA")-SUMIFS(D$2:D5087,B$2:B5087,B5087,C$2:C5087,"SALIDA")</f>
        <v>22688.373999999996</v>
      </c>
    </row>
    <row r="5088" spans="1:5" x14ac:dyDescent="0.3">
      <c r="A5088" s="9">
        <f>'Volúmenes DIstribuidos '!B3069</f>
        <v>45835</v>
      </c>
      <c r="B5088" s="10" t="str">
        <f>IF(OR('Volúmenes DIstribuidos '!C3074="Azúcar",'Volúmenes DIstribuidos '!C3074="azúcar"),"Azúcar o dulce",IF('Volúmenes DIstribuidos '!C3074="Aceite","Aceite o grasas",IF('Volúmenes DIstribuidos '!C3074="Avena","Otros almidones",'Volúmenes DIstribuidos '!C3074)))</f>
        <v>Menestras</v>
      </c>
      <c r="C5088" s="10" t="s">
        <v>29</v>
      </c>
      <c r="D5088" s="12">
        <f>'Volúmenes DIstribuidos '!D3074</f>
        <v>15.61</v>
      </c>
      <c r="E5088" s="12">
        <f>SUMIF('Parametros Inventario'!$A:$A,B5088,'Parametros Inventario'!$B:$B)+SUMIFS(D$2:D5088,B$2:B5088,B5088,C$2:C5088,"ENTRADA")-SUMIFS(D$2:D5088,B$2:B5088,B5088,C$2:C5088,"SALIDA")</f>
        <v>23980.971999999987</v>
      </c>
    </row>
    <row r="5089" spans="1:5" x14ac:dyDescent="0.3">
      <c r="A5089" s="9">
        <f>'Volúmenes DIstribuidos '!B3075</f>
        <v>45839</v>
      </c>
      <c r="B5089" s="10" t="str">
        <f>IF(OR('Volúmenes DIstribuidos '!C3075="Azúcar",'Volúmenes DIstribuidos '!C3075="azúcar"),"Azúcar o dulce",IF('Volúmenes DIstribuidos '!C3075="Aceite","Aceite o grasas",IF('Volúmenes DIstribuidos '!C3075="Avena","Otros almidones",'Volúmenes DIstribuidos '!C3075)))</f>
        <v>Carnes rojas</v>
      </c>
      <c r="C5089" s="10" t="s">
        <v>29</v>
      </c>
      <c r="D5089" s="12">
        <f>'Volúmenes DIstribuidos '!D3075</f>
        <v>6.6</v>
      </c>
      <c r="E5089" s="12">
        <f>SUMIF('Parametros Inventario'!$A:$A,B5089,'Parametros Inventario'!$B:$B)+SUMIFS(D$2:D5089,B$2:B5089,B5089,C$2:C5089,"ENTRADA")-SUMIFS(D$2:D5089,B$2:B5089,B5089,C$2:C5089,"SALIDA")</f>
        <v>23124.472000000009</v>
      </c>
    </row>
    <row r="5090" spans="1:5" x14ac:dyDescent="0.3">
      <c r="A5090" s="9">
        <f>'Volúmenes DIstribuidos '!B3075</f>
        <v>45839</v>
      </c>
      <c r="B5090" s="10" t="str">
        <f>IF(OR('Volúmenes DIstribuidos '!C3076="Azúcar",'Volúmenes DIstribuidos '!C3076="azúcar"),"Azúcar o dulce",IF('Volúmenes DIstribuidos '!C3076="Aceite","Aceite o grasas",IF('Volúmenes DIstribuidos '!C3076="Avena","Otros almidones",'Volúmenes DIstribuidos '!C3076)))</f>
        <v>Salsas</v>
      </c>
      <c r="C5090" s="10" t="s">
        <v>29</v>
      </c>
      <c r="D5090" s="12">
        <f>'Volúmenes DIstribuidos '!D3076</f>
        <v>34.768000000000001</v>
      </c>
      <c r="E5090" s="12">
        <f>SUMIF('Parametros Inventario'!$A:$A,B5090,'Parametros Inventario'!$B:$B)+SUMIFS(D$2:D5090,B$2:B5090,B5090,C$2:C5090,"ENTRADA")-SUMIFS(D$2:D5090,B$2:B5090,B5090,C$2:C5090,"SALIDA")</f>
        <v>23703.124999999985</v>
      </c>
    </row>
    <row r="5091" spans="1:5" x14ac:dyDescent="0.3">
      <c r="A5091" s="9">
        <f>'Volúmenes DIstribuidos '!B3075</f>
        <v>45839</v>
      </c>
      <c r="B5091" s="10" t="str">
        <f>IF(OR('Volúmenes DIstribuidos '!C3077="Azúcar",'Volúmenes DIstribuidos '!C3077="azúcar"),"Azúcar o dulce",IF('Volúmenes DIstribuidos '!C3077="Aceite","Aceite o grasas",IF('Volúmenes DIstribuidos '!C3077="Avena","Otros almidones",'Volúmenes DIstribuidos '!C3077)))</f>
        <v>Azúcar o dulce</v>
      </c>
      <c r="C5091" s="10" t="s">
        <v>29</v>
      </c>
      <c r="D5091" s="12">
        <f>'Volúmenes DIstribuidos '!D3077</f>
        <v>7.46</v>
      </c>
      <c r="E5091" s="12">
        <f>SUMIF('Parametros Inventario'!$A:$A,B5091,'Parametros Inventario'!$B:$B)+SUMIFS(D$2:D5091,B$2:B5091,B5091,C$2:C5091,"ENTRADA")-SUMIFS(D$2:D5091,B$2:B5091,B5091,C$2:C5091,"SALIDA")</f>
        <v>23326.643999999989</v>
      </c>
    </row>
    <row r="5092" spans="1:5" x14ac:dyDescent="0.3">
      <c r="A5092" s="9">
        <f>'Volúmenes DIstribuidos '!B3075</f>
        <v>45839</v>
      </c>
      <c r="B5092" s="10" t="str">
        <f>IF(OR('Volúmenes DIstribuidos '!C3078="Azúcar",'Volúmenes DIstribuidos '!C3078="azúcar"),"Azúcar o dulce",IF('Volúmenes DIstribuidos '!C3078="Aceite","Aceite o grasas",IF('Volúmenes DIstribuidos '!C3078="Avena","Otros almidones",'Volúmenes DIstribuidos '!C3078)))</f>
        <v>Lácteos</v>
      </c>
      <c r="C5092" s="10" t="s">
        <v>29</v>
      </c>
      <c r="D5092" s="12">
        <f>'Volúmenes DIstribuidos '!D3078</f>
        <v>5.32</v>
      </c>
      <c r="E5092" s="12">
        <f>SUMIF('Parametros Inventario'!$A:$A,B5092,'Parametros Inventario'!$B:$B)+SUMIFS(D$2:D5092,B$2:B5092,B5092,C$2:C5092,"ENTRADA")-SUMIFS(D$2:D5092,B$2:B5092,B5092,C$2:C5092,"SALIDA")</f>
        <v>23636.394</v>
      </c>
    </row>
    <row r="5093" spans="1:5" x14ac:dyDescent="0.3">
      <c r="A5093" s="9">
        <f>'Volúmenes DIstribuidos '!B3075</f>
        <v>45839</v>
      </c>
      <c r="B5093" s="10" t="str">
        <f>IF(OR('Volúmenes DIstribuidos '!C3079="Azúcar",'Volúmenes DIstribuidos '!C3079="azúcar"),"Azúcar o dulce",IF('Volúmenes DIstribuidos '!C3079="Aceite","Aceite o grasas",IF('Volúmenes DIstribuidos '!C3079="Avena","Otros almidones",'Volúmenes DIstribuidos '!C3079)))</f>
        <v>Salsas</v>
      </c>
      <c r="C5093" s="10" t="s">
        <v>29</v>
      </c>
      <c r="D5093" s="12">
        <f>'Volúmenes DIstribuidos '!D3079</f>
        <v>25.495999999999999</v>
      </c>
      <c r="E5093" s="12">
        <f>SUMIF('Parametros Inventario'!$A:$A,B5093,'Parametros Inventario'!$B:$B)+SUMIFS(D$2:D5093,B$2:B5093,B5093,C$2:C5093,"ENTRADA")-SUMIFS(D$2:D5093,B$2:B5093,B5093,C$2:C5093,"SALIDA")</f>
        <v>23677.628999999986</v>
      </c>
    </row>
    <row r="5094" spans="1:5" x14ac:dyDescent="0.3">
      <c r="A5094" s="9">
        <f>'Volúmenes DIstribuidos '!B3075</f>
        <v>45839</v>
      </c>
      <c r="B5094" s="10" t="str">
        <f>IF(OR('Volúmenes DIstribuidos '!C3080="Azúcar",'Volúmenes DIstribuidos '!C3080="azúcar"),"Azúcar o dulce",IF('Volúmenes DIstribuidos '!C3080="Aceite","Aceite o grasas",IF('Volúmenes DIstribuidos '!C3080="Avena","Otros almidones",'Volúmenes DIstribuidos '!C3080)))</f>
        <v>Lácteos</v>
      </c>
      <c r="C5094" s="10" t="s">
        <v>29</v>
      </c>
      <c r="D5094" s="12">
        <f>'Volúmenes DIstribuidos '!D3080</f>
        <v>43.01</v>
      </c>
      <c r="E5094" s="12">
        <f>SUMIF('Parametros Inventario'!$A:$A,B5094,'Parametros Inventario'!$B:$B)+SUMIFS(D$2:D5094,B$2:B5094,B5094,C$2:C5094,"ENTRADA")-SUMIFS(D$2:D5094,B$2:B5094,B5094,C$2:C5094,"SALIDA")</f>
        <v>23593.384000000002</v>
      </c>
    </row>
    <row r="5095" spans="1:5" x14ac:dyDescent="0.3">
      <c r="A5095" s="9">
        <v>45842</v>
      </c>
      <c r="B5095" s="10" t="s">
        <v>11</v>
      </c>
      <c r="C5095" s="10" t="s">
        <v>28</v>
      </c>
      <c r="D5095" s="12">
        <v>109.78</v>
      </c>
      <c r="E5095" s="12">
        <f>SUMIF('Parametros Inventario'!$A:$A,B5095,'Parametros Inventario'!$B:$B)+SUMIFS(D$2:D5095,B$2:B5095,B5095,C$2:C5095,"ENTRADA")-SUMIFS(D$2:D5095,B$2:B5095,B5095,C$2:C5095,"SALIDA")</f>
        <v>27027.927000000003</v>
      </c>
    </row>
    <row r="5096" spans="1:5" x14ac:dyDescent="0.3">
      <c r="A5096" s="9">
        <v>45842</v>
      </c>
      <c r="B5096" s="10" t="s">
        <v>9</v>
      </c>
      <c r="C5096" s="10" t="s">
        <v>28</v>
      </c>
      <c r="D5096" s="12">
        <v>299.25</v>
      </c>
      <c r="E5096" s="12">
        <f>SUMIF('Parametros Inventario'!$A:$A,B5096,'Parametros Inventario'!$B:$B)+SUMIFS(D$2:D5096,B$2:B5096,B5096,C$2:C5096,"ENTRADA")-SUMIFS(D$2:D5096,B$2:B5096,B5096,C$2:C5096,"SALIDA")</f>
        <v>22987.623999999996</v>
      </c>
    </row>
    <row r="5097" spans="1:5" x14ac:dyDescent="0.3">
      <c r="A5097" s="9">
        <v>45842</v>
      </c>
      <c r="B5097" s="10" t="s">
        <v>14</v>
      </c>
      <c r="C5097" s="10" t="s">
        <v>28</v>
      </c>
      <c r="D5097" s="12">
        <v>201.72</v>
      </c>
      <c r="E5097" s="12">
        <f>SUMIF('Parametros Inventario'!$A:$A,B5097,'Parametros Inventario'!$B:$B)+SUMIFS(D$2:D5097,B$2:B5097,B5097,C$2:C5097,"ENTRADA")-SUMIFS(D$2:D5097,B$2:B5097,B5097,C$2:C5097,"SALIDA")</f>
        <v>24182.691999999992</v>
      </c>
    </row>
    <row r="5098" spans="1:5" x14ac:dyDescent="0.3">
      <c r="A5098" s="9">
        <v>45842</v>
      </c>
      <c r="B5098" s="10" t="s">
        <v>12</v>
      </c>
      <c r="C5098" s="10" t="s">
        <v>28</v>
      </c>
      <c r="D5098" s="12">
        <v>289.5</v>
      </c>
      <c r="E5098" s="12">
        <f>SUMIF('Parametros Inventario'!$A:$A,B5098,'Parametros Inventario'!$B:$B)+SUMIFS(D$2:D5098,B$2:B5098,B5098,C$2:C5098,"ENTRADA")-SUMIFS(D$2:D5098,B$2:B5098,B5098,C$2:C5098,"SALIDA")</f>
        <v>23413.972000000009</v>
      </c>
    </row>
    <row r="5099" spans="1:5" x14ac:dyDescent="0.3">
      <c r="A5099" s="9">
        <v>45842</v>
      </c>
      <c r="B5099" s="10" t="s">
        <v>16</v>
      </c>
      <c r="C5099" s="10" t="s">
        <v>28</v>
      </c>
      <c r="D5099" s="12">
        <v>191.73</v>
      </c>
      <c r="E5099" s="12">
        <f>SUMIF('Parametros Inventario'!$A:$A,B5099,'Parametros Inventario'!$B:$B)+SUMIFS(D$2:D5099,B$2:B5099,B5099,C$2:C5099,"ENTRADA")-SUMIFS(D$2:D5099,B$2:B5099,B5099,C$2:C5099,"SALIDA")</f>
        <v>24101.494999999988</v>
      </c>
    </row>
    <row r="5100" spans="1:5" x14ac:dyDescent="0.3">
      <c r="A5100" s="9">
        <v>45842</v>
      </c>
      <c r="B5100" s="10" t="s">
        <v>17</v>
      </c>
      <c r="C5100" s="10" t="s">
        <v>28</v>
      </c>
      <c r="D5100" s="12">
        <v>298.60000000000002</v>
      </c>
      <c r="E5100" s="12">
        <f>SUMIF('Parametros Inventario'!$A:$A,B5100,'Parametros Inventario'!$B:$B)+SUMIFS(D$2:D5100,B$2:B5100,B5100,C$2:C5100,"ENTRADA")-SUMIFS(D$2:D5100,B$2:B5100,B5100,C$2:C5100,"SALIDA")</f>
        <v>23891.984</v>
      </c>
    </row>
    <row r="5101" spans="1:5" x14ac:dyDescent="0.3">
      <c r="A5101" s="9">
        <v>45842</v>
      </c>
      <c r="B5101" s="10" t="s">
        <v>18</v>
      </c>
      <c r="C5101" s="10" t="s">
        <v>28</v>
      </c>
      <c r="D5101" s="12">
        <v>74.349999999999994</v>
      </c>
      <c r="E5101" s="12">
        <f>SUMIF('Parametros Inventario'!$A:$A,B5101,'Parametros Inventario'!$B:$B)+SUMIFS(D$2:D5101,B$2:B5101,B5101,C$2:C5101,"ENTRADA")-SUMIFS(D$2:D5101,B$2:B5101,B5101,C$2:C5101,"SALIDA")</f>
        <v>23751.978999999985</v>
      </c>
    </row>
    <row r="5102" spans="1:5" x14ac:dyDescent="0.3">
      <c r="A5102" s="9">
        <v>45842</v>
      </c>
      <c r="B5102" s="10" t="s">
        <v>10</v>
      </c>
      <c r="C5102" s="10" t="s">
        <v>28</v>
      </c>
      <c r="D5102" s="12">
        <v>53.74</v>
      </c>
      <c r="E5102" s="12">
        <f>SUMIF('Parametros Inventario'!$A:$A,B5102,'Parametros Inventario'!$B:$B)+SUMIFS(D$2:D5102,B$2:B5102,B5102,C$2:C5102,"ENTRADA")-SUMIFS(D$2:D5102,B$2:B5102,B5102,C$2:C5102,"SALIDA")</f>
        <v>25926.509999999991</v>
      </c>
    </row>
    <row r="5103" spans="1:5" x14ac:dyDescent="0.3">
      <c r="A5103" s="9">
        <v>45842</v>
      </c>
      <c r="B5103" s="10" t="s">
        <v>8</v>
      </c>
      <c r="C5103" s="10" t="s">
        <v>28</v>
      </c>
      <c r="D5103" s="12">
        <v>241.58</v>
      </c>
      <c r="E5103" s="12">
        <f>SUMIF('Parametros Inventario'!$A:$A,B5103,'Parametros Inventario'!$B:$B)+SUMIFS(D$2:D5103,B$2:B5103,B5103,C$2:C5103,"ENTRADA")-SUMIFS(D$2:D5103,B$2:B5103,B5103,C$2:C5103,"SALIDA")</f>
        <v>23993.108000000011</v>
      </c>
    </row>
    <row r="5104" spans="1:5" x14ac:dyDescent="0.3">
      <c r="A5104" s="9">
        <v>45842</v>
      </c>
      <c r="B5104" s="10" t="s">
        <v>13</v>
      </c>
      <c r="C5104" s="10" t="s">
        <v>28</v>
      </c>
      <c r="D5104" s="12">
        <v>127.39</v>
      </c>
      <c r="E5104" s="12">
        <f>SUMIF('Parametros Inventario'!$A:$A,B5104,'Parametros Inventario'!$B:$B)+SUMIFS(D$2:D5104,B$2:B5104,B5104,C$2:C5104,"ENTRADA")-SUMIFS(D$2:D5104,B$2:B5104,B5104,C$2:C5104,"SALIDA")</f>
        <v>23454.033999999989</v>
      </c>
    </row>
    <row r="5105" spans="1:5" x14ac:dyDescent="0.3">
      <c r="A5105" s="9">
        <v>45842</v>
      </c>
      <c r="B5105" s="10" t="s">
        <v>15</v>
      </c>
      <c r="C5105" s="10" t="s">
        <v>28</v>
      </c>
      <c r="D5105" s="12">
        <v>266.88</v>
      </c>
      <c r="E5105" s="12">
        <f>SUMIF('Parametros Inventario'!$A:$A,B5105,'Parametros Inventario'!$B:$B)+SUMIFS(D$2:D5105,B$2:B5105,B5105,C$2:C5105,"ENTRADA")-SUMIFS(D$2:D5105,B$2:B5105,B5105,C$2:C5105,"SALIDA")</f>
        <v>26889.105</v>
      </c>
    </row>
    <row r="5106" spans="1:5" x14ac:dyDescent="0.3">
      <c r="A5106" s="9">
        <v>45842</v>
      </c>
      <c r="B5106" s="10" t="s">
        <v>11</v>
      </c>
      <c r="C5106" s="10" t="s">
        <v>28</v>
      </c>
      <c r="D5106" s="12">
        <v>249.35</v>
      </c>
      <c r="E5106" s="12">
        <f>SUMIF('Parametros Inventario'!$A:$A,B5106,'Parametros Inventario'!$B:$B)+SUMIFS(D$2:D5106,B$2:B5106,B5106,C$2:C5106,"ENTRADA")-SUMIFS(D$2:D5106,B$2:B5106,B5106,C$2:C5106,"SALIDA")</f>
        <v>27277.277000000002</v>
      </c>
    </row>
    <row r="5107" spans="1:5" x14ac:dyDescent="0.3">
      <c r="A5107" s="9">
        <v>45842</v>
      </c>
      <c r="B5107" s="10" t="s">
        <v>9</v>
      </c>
      <c r="C5107" s="10" t="s">
        <v>28</v>
      </c>
      <c r="D5107" s="12">
        <v>273.77999999999997</v>
      </c>
      <c r="E5107" s="12">
        <f>SUMIF('Parametros Inventario'!$A:$A,B5107,'Parametros Inventario'!$B:$B)+SUMIFS(D$2:D5107,B$2:B5107,B5107,C$2:C5107,"ENTRADA")-SUMIFS(D$2:D5107,B$2:B5107,B5107,C$2:C5107,"SALIDA")</f>
        <v>23261.403999999995</v>
      </c>
    </row>
    <row r="5108" spans="1:5" x14ac:dyDescent="0.3">
      <c r="A5108" s="9">
        <v>45842</v>
      </c>
      <c r="B5108" s="10" t="s">
        <v>14</v>
      </c>
      <c r="C5108" s="10" t="s">
        <v>28</v>
      </c>
      <c r="D5108" s="12">
        <v>174.73</v>
      </c>
      <c r="E5108" s="12">
        <f>SUMIF('Parametros Inventario'!$A:$A,B5108,'Parametros Inventario'!$B:$B)+SUMIFS(D$2:D5108,B$2:B5108,B5108,C$2:C5108,"ENTRADA")-SUMIFS(D$2:D5108,B$2:B5108,B5108,C$2:C5108,"SALIDA")</f>
        <v>24357.421999999988</v>
      </c>
    </row>
    <row r="5109" spans="1:5" x14ac:dyDescent="0.3">
      <c r="A5109" s="9">
        <v>45842</v>
      </c>
      <c r="B5109" s="10" t="s">
        <v>12</v>
      </c>
      <c r="C5109" s="10" t="s">
        <v>28</v>
      </c>
      <c r="D5109" s="12">
        <v>163.69999999999999</v>
      </c>
      <c r="E5109" s="12">
        <f>SUMIF('Parametros Inventario'!$A:$A,B5109,'Parametros Inventario'!$B:$B)+SUMIFS(D$2:D5109,B$2:B5109,B5109,C$2:C5109,"ENTRADA")-SUMIFS(D$2:D5109,B$2:B5109,B5109,C$2:C5109,"SALIDA")</f>
        <v>23577.67200000001</v>
      </c>
    </row>
    <row r="5110" spans="1:5" x14ac:dyDescent="0.3">
      <c r="A5110" s="9">
        <v>45842</v>
      </c>
      <c r="B5110" s="10" t="s">
        <v>16</v>
      </c>
      <c r="C5110" s="10" t="s">
        <v>28</v>
      </c>
      <c r="D5110" s="12">
        <v>92.43</v>
      </c>
      <c r="E5110" s="12">
        <f>SUMIF('Parametros Inventario'!$A:$A,B5110,'Parametros Inventario'!$B:$B)+SUMIFS(D$2:D5110,B$2:B5110,B5110,C$2:C5110,"ENTRADA")-SUMIFS(D$2:D5110,B$2:B5110,B5110,C$2:C5110,"SALIDA")</f>
        <v>24193.924999999988</v>
      </c>
    </row>
    <row r="5111" spans="1:5" x14ac:dyDescent="0.3">
      <c r="A5111" s="9">
        <v>45842</v>
      </c>
      <c r="B5111" s="10" t="s">
        <v>17</v>
      </c>
      <c r="C5111" s="10" t="s">
        <v>28</v>
      </c>
      <c r="D5111" s="12">
        <v>123.9</v>
      </c>
      <c r="E5111" s="12">
        <f>SUMIF('Parametros Inventario'!$A:$A,B5111,'Parametros Inventario'!$B:$B)+SUMIFS(D$2:D5111,B$2:B5111,B5111,C$2:C5111,"ENTRADA")-SUMIFS(D$2:D5111,B$2:B5111,B5111,C$2:C5111,"SALIDA")</f>
        <v>24015.884000000002</v>
      </c>
    </row>
    <row r="5112" spans="1:5" x14ac:dyDescent="0.3">
      <c r="A5112" s="9">
        <f>'Volúmenes DIstribuidos '!B3081</f>
        <v>45842</v>
      </c>
      <c r="B5112" s="10" t="str">
        <f>IF(OR('Volúmenes DIstribuidos '!C3081="Azúcar",'Volúmenes DIstribuidos '!C3081="azúcar"),"Azúcar o dulce",IF('Volúmenes DIstribuidos '!C3081="Aceite","Aceite o grasas",IF('Volúmenes DIstribuidos '!C3081="Avena","Otros almidones",'Volúmenes DIstribuidos '!C3081)))</f>
        <v>Vegetales y hojas</v>
      </c>
      <c r="C5112" s="10" t="s">
        <v>29</v>
      </c>
      <c r="D5112" s="12">
        <f>'Volúmenes DIstribuidos '!D3081</f>
        <v>40.700000000000003</v>
      </c>
      <c r="E5112" s="12">
        <f>SUMIF('Parametros Inventario'!$A:$A,B5112,'Parametros Inventario'!$B:$B)+SUMIFS(D$2:D5112,B$2:B5112,B5112,C$2:C5112,"ENTRADA")-SUMIFS(D$2:D5112,B$2:B5112,B5112,C$2:C5112,"SALIDA")</f>
        <v>25885.80999999999</v>
      </c>
    </row>
    <row r="5113" spans="1:5" x14ac:dyDescent="0.3">
      <c r="A5113" s="9">
        <f>'Volúmenes DIstribuidos '!B3081</f>
        <v>45842</v>
      </c>
      <c r="B5113" s="10" t="str">
        <f>IF(OR('Volúmenes DIstribuidos '!C3082="Azúcar",'Volúmenes DIstribuidos '!C3082="azúcar"),"Azúcar o dulce",IF('Volúmenes DIstribuidos '!C3082="Aceite","Aceite o grasas",IF('Volúmenes DIstribuidos '!C3082="Avena","Otros almidones",'Volúmenes DIstribuidos '!C3082)))</f>
        <v>Menestras</v>
      </c>
      <c r="C5113" s="10" t="s">
        <v>29</v>
      </c>
      <c r="D5113" s="12">
        <f>'Volúmenes DIstribuidos '!D3082</f>
        <v>200</v>
      </c>
      <c r="E5113" s="12">
        <f>SUMIF('Parametros Inventario'!$A:$A,B5113,'Parametros Inventario'!$B:$B)+SUMIFS(D$2:D5113,B$2:B5113,B5113,C$2:C5113,"ENTRADA")-SUMIFS(D$2:D5113,B$2:B5113,B5113,C$2:C5113,"SALIDA")</f>
        <v>24157.421999999988</v>
      </c>
    </row>
    <row r="5114" spans="1:5" x14ac:dyDescent="0.3">
      <c r="A5114" s="9">
        <f>'Volúmenes DIstribuidos '!B3081</f>
        <v>45842</v>
      </c>
      <c r="B5114" s="10" t="str">
        <f>IF(OR('Volúmenes DIstribuidos '!C3083="Azúcar",'Volúmenes DIstribuidos '!C3083="azúcar"),"Azúcar o dulce",IF('Volúmenes DIstribuidos '!C3083="Aceite","Aceite o grasas",IF('Volúmenes DIstribuidos '!C3083="Avena","Otros almidones",'Volúmenes DIstribuidos '!C3083)))</f>
        <v>Fideo</v>
      </c>
      <c r="C5114" s="10" t="s">
        <v>29</v>
      </c>
      <c r="D5114" s="12">
        <f>'Volúmenes DIstribuidos '!D3083</f>
        <v>12.404</v>
      </c>
      <c r="E5114" s="12">
        <f>SUMIF('Parametros Inventario'!$A:$A,B5114,'Parametros Inventario'!$B:$B)+SUMIFS(D$2:D5114,B$2:B5114,B5114,C$2:C5114,"ENTRADA")-SUMIFS(D$2:D5114,B$2:B5114,B5114,C$2:C5114,"SALIDA")</f>
        <v>27264.873000000003</v>
      </c>
    </row>
    <row r="5115" spans="1:5" x14ac:dyDescent="0.3">
      <c r="A5115" s="9">
        <f>'Volúmenes DIstribuidos '!B3081</f>
        <v>45842</v>
      </c>
      <c r="B5115" s="10" t="str">
        <f>IF(OR('Volúmenes DIstribuidos '!C3084="Azúcar",'Volúmenes DIstribuidos '!C3084="azúcar"),"Azúcar o dulce",IF('Volúmenes DIstribuidos '!C3084="Aceite","Aceite o grasas",IF('Volúmenes DIstribuidos '!C3084="Avena","Otros almidones",'Volúmenes DIstribuidos '!C3084)))</f>
        <v>Lácteos</v>
      </c>
      <c r="C5115" s="10" t="s">
        <v>29</v>
      </c>
      <c r="D5115" s="12">
        <f>'Volúmenes DIstribuidos '!D3084</f>
        <v>11.04</v>
      </c>
      <c r="E5115" s="12">
        <f>SUMIF('Parametros Inventario'!$A:$A,B5115,'Parametros Inventario'!$B:$B)+SUMIFS(D$2:D5115,B$2:B5115,B5115,C$2:C5115,"ENTRADA")-SUMIFS(D$2:D5115,B$2:B5115,B5115,C$2:C5115,"SALIDA")</f>
        <v>24004.844000000001</v>
      </c>
    </row>
    <row r="5116" spans="1:5" x14ac:dyDescent="0.3">
      <c r="A5116" s="9">
        <f>'Volúmenes DIstribuidos '!B3081</f>
        <v>45842</v>
      </c>
      <c r="B5116" s="10" t="str">
        <f>IF(OR('Volúmenes DIstribuidos '!C3085="Azúcar",'Volúmenes DIstribuidos '!C3085="azúcar"),"Azúcar o dulce",IF('Volúmenes DIstribuidos '!C3085="Aceite","Aceite o grasas",IF('Volúmenes DIstribuidos '!C3085="Avena","Otros almidones",'Volúmenes DIstribuidos '!C3085)))</f>
        <v>Vegetales y hojas</v>
      </c>
      <c r="C5116" s="10" t="s">
        <v>29</v>
      </c>
      <c r="D5116" s="12">
        <f>'Volúmenes DIstribuidos '!D3085</f>
        <v>7.57</v>
      </c>
      <c r="E5116" s="12">
        <f>SUMIF('Parametros Inventario'!$A:$A,B5116,'Parametros Inventario'!$B:$B)+SUMIFS(D$2:D5116,B$2:B5116,B5116,C$2:C5116,"ENTRADA")-SUMIFS(D$2:D5116,B$2:B5116,B5116,C$2:C5116,"SALIDA")</f>
        <v>25878.239999999991</v>
      </c>
    </row>
    <row r="5117" spans="1:5" x14ac:dyDescent="0.3">
      <c r="A5117" s="9">
        <f>'Volúmenes DIstribuidos '!B3081</f>
        <v>45842</v>
      </c>
      <c r="B5117" s="10" t="str">
        <f>IF(OR('Volúmenes DIstribuidos '!C3086="Azúcar",'Volúmenes DIstribuidos '!C3086="azúcar"),"Azúcar o dulce",IF('Volúmenes DIstribuidos '!C3086="Aceite","Aceite o grasas",IF('Volúmenes DIstribuidos '!C3086="Avena","Otros almidones",'Volúmenes DIstribuidos '!C3086)))</f>
        <v>Aceite o grasas</v>
      </c>
      <c r="C5117" s="10" t="s">
        <v>29</v>
      </c>
      <c r="D5117" s="12">
        <f>'Volúmenes DIstribuidos '!D3086</f>
        <v>5.44</v>
      </c>
      <c r="E5117" s="12">
        <f>SUMIF('Parametros Inventario'!$A:$A,B5117,'Parametros Inventario'!$B:$B)+SUMIFS(D$2:D5117,B$2:B5117,B5117,C$2:C5117,"ENTRADA")-SUMIFS(D$2:D5117,B$2:B5117,B5117,C$2:C5117,"SALIDA")</f>
        <v>23987.668000000012</v>
      </c>
    </row>
    <row r="5118" spans="1:5" x14ac:dyDescent="0.3">
      <c r="A5118" s="9">
        <f>'Volúmenes DIstribuidos '!B3087</f>
        <v>45846</v>
      </c>
      <c r="B5118" s="10" t="str">
        <f>IF(OR('Volúmenes DIstribuidos '!C3087="Azúcar",'Volúmenes DIstribuidos '!C3087="azúcar"),"Azúcar o dulce",IF('Volúmenes DIstribuidos '!C3087="Aceite","Aceite o grasas",IF('Volúmenes DIstribuidos '!C3087="Avena","Otros almidones",'Volúmenes DIstribuidos '!C3087)))</f>
        <v>Salsas</v>
      </c>
      <c r="C5118" s="10" t="s">
        <v>29</v>
      </c>
      <c r="D5118" s="12">
        <f>'Volúmenes DIstribuidos '!D3087</f>
        <v>14.89</v>
      </c>
      <c r="E5118" s="12">
        <f>SUMIF('Parametros Inventario'!$A:$A,B5118,'Parametros Inventario'!$B:$B)+SUMIFS(D$2:D5118,B$2:B5118,B5118,C$2:C5118,"ENTRADA")-SUMIFS(D$2:D5118,B$2:B5118,B5118,C$2:C5118,"SALIDA")</f>
        <v>23737.088999999985</v>
      </c>
    </row>
    <row r="5119" spans="1:5" x14ac:dyDescent="0.3">
      <c r="A5119" s="9">
        <f>'Volúmenes DIstribuidos '!B3087</f>
        <v>45846</v>
      </c>
      <c r="B5119" s="10" t="str">
        <f>IF(OR('Volúmenes DIstribuidos '!C3088="Azúcar",'Volúmenes DIstribuidos '!C3088="azúcar"),"Azúcar o dulce",IF('Volúmenes DIstribuidos '!C3088="Aceite","Aceite o grasas",IF('Volúmenes DIstribuidos '!C3088="Avena","Otros almidones",'Volúmenes DIstribuidos '!C3088)))</f>
        <v>Panadería</v>
      </c>
      <c r="C5119" s="10" t="s">
        <v>29</v>
      </c>
      <c r="D5119" s="12">
        <f>'Volúmenes DIstribuidos '!D3088</f>
        <v>19.559999999999999</v>
      </c>
      <c r="E5119" s="12">
        <f>SUMIF('Parametros Inventario'!$A:$A,B5119,'Parametros Inventario'!$B:$B)+SUMIFS(D$2:D5119,B$2:B5119,B5119,C$2:C5119,"ENTRADA")-SUMIFS(D$2:D5119,B$2:B5119,B5119,C$2:C5119,"SALIDA")</f>
        <v>23241.843999999994</v>
      </c>
    </row>
    <row r="5120" spans="1:5" x14ac:dyDescent="0.3">
      <c r="A5120" s="9">
        <f>'Volúmenes DIstribuidos '!B3087</f>
        <v>45846</v>
      </c>
      <c r="B5120" s="10" t="str">
        <f>IF(OR('Volúmenes DIstribuidos '!C3089="Azúcar",'Volúmenes DIstribuidos '!C3089="azúcar"),"Azúcar o dulce",IF('Volúmenes DIstribuidos '!C3089="Aceite","Aceite o grasas",IF('Volúmenes DIstribuidos '!C3089="Avena","Otros almidones",'Volúmenes DIstribuidos '!C3089)))</f>
        <v>Menestras</v>
      </c>
      <c r="C5120" s="10" t="s">
        <v>29</v>
      </c>
      <c r="D5120" s="12">
        <f>'Volúmenes DIstribuidos '!D3089</f>
        <v>31.501000000000001</v>
      </c>
      <c r="E5120" s="12">
        <f>SUMIF('Parametros Inventario'!$A:$A,B5120,'Parametros Inventario'!$B:$B)+SUMIFS(D$2:D5120,B$2:B5120,B5120,C$2:C5120,"ENTRADA")-SUMIFS(D$2:D5120,B$2:B5120,B5120,C$2:C5120,"SALIDA")</f>
        <v>24125.920999999988</v>
      </c>
    </row>
    <row r="5121" spans="1:5" x14ac:dyDescent="0.3">
      <c r="A5121" s="9">
        <f>'Volúmenes DIstribuidos '!B3087</f>
        <v>45846</v>
      </c>
      <c r="B5121" s="10" t="str">
        <f>IF(OR('Volúmenes DIstribuidos '!C3090="Azúcar",'Volúmenes DIstribuidos '!C3090="azúcar"),"Azúcar o dulce",IF('Volúmenes DIstribuidos '!C3090="Aceite","Aceite o grasas",IF('Volúmenes DIstribuidos '!C3090="Avena","Otros almidones",'Volúmenes DIstribuidos '!C3090)))</f>
        <v>Vegetales y hojas</v>
      </c>
      <c r="C5121" s="10" t="s">
        <v>29</v>
      </c>
      <c r="D5121" s="12">
        <f>'Volúmenes DIstribuidos '!D3090</f>
        <v>15.67</v>
      </c>
      <c r="E5121" s="12">
        <f>SUMIF('Parametros Inventario'!$A:$A,B5121,'Parametros Inventario'!$B:$B)+SUMIFS(D$2:D5121,B$2:B5121,B5121,C$2:C5121,"ENTRADA")-SUMIFS(D$2:D5121,B$2:B5121,B5121,C$2:C5121,"SALIDA")</f>
        <v>25862.569999999992</v>
      </c>
    </row>
    <row r="5122" spans="1:5" x14ac:dyDescent="0.3">
      <c r="A5122" s="9">
        <f>'Volúmenes DIstribuidos '!B3087</f>
        <v>45846</v>
      </c>
      <c r="B5122" s="10" t="str">
        <f>IF(OR('Volúmenes DIstribuidos '!C3091="Azúcar",'Volúmenes DIstribuidos '!C3091="azúcar"),"Azúcar o dulce",IF('Volúmenes DIstribuidos '!C3091="Aceite","Aceite o grasas",IF('Volúmenes DIstribuidos '!C3091="Avena","Otros almidones",'Volúmenes DIstribuidos '!C3091)))</f>
        <v>Carnes rojas</v>
      </c>
      <c r="C5122" s="10" t="s">
        <v>29</v>
      </c>
      <c r="D5122" s="12">
        <f>'Volúmenes DIstribuidos '!D3091</f>
        <v>105.14</v>
      </c>
      <c r="E5122" s="12">
        <f>SUMIF('Parametros Inventario'!$A:$A,B5122,'Parametros Inventario'!$B:$B)+SUMIFS(D$2:D5122,B$2:B5122,B5122,C$2:C5122,"ENTRADA")-SUMIFS(D$2:D5122,B$2:B5122,B5122,C$2:C5122,"SALIDA")</f>
        <v>23472.53200000001</v>
      </c>
    </row>
    <row r="5123" spans="1:5" x14ac:dyDescent="0.3">
      <c r="A5123" s="9">
        <f>'Volúmenes DIstribuidos '!B3087</f>
        <v>45846</v>
      </c>
      <c r="B5123" s="10" t="str">
        <f>IF(OR('Volúmenes DIstribuidos '!C3092="Azúcar",'Volúmenes DIstribuidos '!C3092="azúcar"),"Azúcar o dulce",IF('Volúmenes DIstribuidos '!C3092="Aceite","Aceite o grasas",IF('Volúmenes DIstribuidos '!C3092="Avena","Otros almidones",'Volúmenes DIstribuidos '!C3092)))</f>
        <v>Azúcar o dulce</v>
      </c>
      <c r="C5123" s="10" t="s">
        <v>29</v>
      </c>
      <c r="D5123" s="12">
        <f>'Volúmenes DIstribuidos '!D3092</f>
        <v>17.399999999999999</v>
      </c>
      <c r="E5123" s="12">
        <f>SUMIF('Parametros Inventario'!$A:$A,B5123,'Parametros Inventario'!$B:$B)+SUMIFS(D$2:D5123,B$2:B5123,B5123,C$2:C5123,"ENTRADA")-SUMIFS(D$2:D5123,B$2:B5123,B5123,C$2:C5123,"SALIDA")</f>
        <v>23436.633999999991</v>
      </c>
    </row>
    <row r="5124" spans="1:5" x14ac:dyDescent="0.3">
      <c r="A5124" s="9">
        <v>45849</v>
      </c>
      <c r="B5124" s="10" t="s">
        <v>18</v>
      </c>
      <c r="C5124" s="10" t="s">
        <v>28</v>
      </c>
      <c r="D5124" s="12">
        <v>67.040000000000006</v>
      </c>
      <c r="E5124" s="12">
        <f>SUMIF('Parametros Inventario'!$A:$A,B5124,'Parametros Inventario'!$B:$B)+SUMIFS(D$2:D5124,B$2:B5124,B5124,C$2:C5124,"ENTRADA")-SUMIFS(D$2:D5124,B$2:B5124,B5124,C$2:C5124,"SALIDA")</f>
        <v>23804.128999999986</v>
      </c>
    </row>
    <row r="5125" spans="1:5" x14ac:dyDescent="0.3">
      <c r="A5125" s="9">
        <v>45849</v>
      </c>
      <c r="B5125" s="10" t="s">
        <v>10</v>
      </c>
      <c r="C5125" s="10" t="s">
        <v>28</v>
      </c>
      <c r="D5125" s="12">
        <v>194.13</v>
      </c>
      <c r="E5125" s="12">
        <f>SUMIF('Parametros Inventario'!$A:$A,B5125,'Parametros Inventario'!$B:$B)+SUMIFS(D$2:D5125,B$2:B5125,B5125,C$2:C5125,"ENTRADA")-SUMIFS(D$2:D5125,B$2:B5125,B5125,C$2:C5125,"SALIDA")</f>
        <v>26056.69999999999</v>
      </c>
    </row>
    <row r="5126" spans="1:5" x14ac:dyDescent="0.3">
      <c r="A5126" s="9">
        <v>45849</v>
      </c>
      <c r="B5126" s="10" t="s">
        <v>8</v>
      </c>
      <c r="C5126" s="10" t="s">
        <v>28</v>
      </c>
      <c r="D5126" s="12">
        <v>138.34</v>
      </c>
      <c r="E5126" s="12">
        <f>SUMIF('Parametros Inventario'!$A:$A,B5126,'Parametros Inventario'!$B:$B)+SUMIFS(D$2:D5126,B$2:B5126,B5126,C$2:C5126,"ENTRADA")-SUMIFS(D$2:D5126,B$2:B5126,B5126,C$2:C5126,"SALIDA")</f>
        <v>24126.008000000009</v>
      </c>
    </row>
    <row r="5127" spans="1:5" x14ac:dyDescent="0.3">
      <c r="A5127" s="9">
        <f>'Volúmenes DIstribuidos '!B3093</f>
        <v>45849</v>
      </c>
      <c r="B5127" s="10" t="str">
        <f>IF(OR('Volúmenes DIstribuidos '!C3093="Azúcar",'Volúmenes DIstribuidos '!C3093="azúcar"),"Azúcar o dulce",IF('Volúmenes DIstribuidos '!C3093="Aceite","Aceite o grasas",IF('Volúmenes DIstribuidos '!C3093="Avena","Otros almidones",'Volúmenes DIstribuidos '!C3093)))</f>
        <v>Salsas</v>
      </c>
      <c r="C5127" s="10" t="s">
        <v>29</v>
      </c>
      <c r="D5127" s="12">
        <f>'Volúmenes DIstribuidos '!D3093</f>
        <v>54.84</v>
      </c>
      <c r="E5127" s="12">
        <f>SUMIF('Parametros Inventario'!$A:$A,B5127,'Parametros Inventario'!$B:$B)+SUMIFS(D$2:D5127,B$2:B5127,B5127,C$2:C5127,"ENTRADA")-SUMIFS(D$2:D5127,B$2:B5127,B5127,C$2:C5127,"SALIDA")</f>
        <v>23749.288999999982</v>
      </c>
    </row>
    <row r="5128" spans="1:5" x14ac:dyDescent="0.3">
      <c r="A5128" s="9">
        <f>'Volúmenes DIstribuidos '!B3093</f>
        <v>45849</v>
      </c>
      <c r="B5128" s="10" t="str">
        <f>IF(OR('Volúmenes DIstribuidos '!C3094="Azúcar",'Volúmenes DIstribuidos '!C3094="azúcar"),"Azúcar o dulce",IF('Volúmenes DIstribuidos '!C3094="Aceite","Aceite o grasas",IF('Volúmenes DIstribuidos '!C3094="Avena","Otros almidones",'Volúmenes DIstribuidos '!C3094)))</f>
        <v>Menestras</v>
      </c>
      <c r="C5128" s="10" t="s">
        <v>29</v>
      </c>
      <c r="D5128" s="12">
        <f>'Volúmenes DIstribuidos '!D3094</f>
        <v>58.26</v>
      </c>
      <c r="E5128" s="12">
        <f>SUMIF('Parametros Inventario'!$A:$A,B5128,'Parametros Inventario'!$B:$B)+SUMIFS(D$2:D5128,B$2:B5128,B5128,C$2:C5128,"ENTRADA")-SUMIFS(D$2:D5128,B$2:B5128,B5128,C$2:C5128,"SALIDA")</f>
        <v>24067.660999999986</v>
      </c>
    </row>
    <row r="5129" spans="1:5" x14ac:dyDescent="0.3">
      <c r="A5129" s="9">
        <f>'Volúmenes DIstribuidos '!B3093</f>
        <v>45849</v>
      </c>
      <c r="B5129" s="10" t="str">
        <f>IF(OR('Volúmenes DIstribuidos '!C3095="Azúcar",'Volúmenes DIstribuidos '!C3095="azúcar"),"Azúcar o dulce",IF('Volúmenes DIstribuidos '!C3095="Aceite","Aceite o grasas",IF('Volúmenes DIstribuidos '!C3095="Avena","Otros almidones",'Volúmenes DIstribuidos '!C3095)))</f>
        <v>Azúcar o dulce</v>
      </c>
      <c r="C5129" s="10" t="s">
        <v>29</v>
      </c>
      <c r="D5129" s="12">
        <f>'Volúmenes DIstribuidos '!D3095</f>
        <v>29.82</v>
      </c>
      <c r="E5129" s="12">
        <f>SUMIF('Parametros Inventario'!$A:$A,B5129,'Parametros Inventario'!$B:$B)+SUMIFS(D$2:D5129,B$2:B5129,B5129,C$2:C5129,"ENTRADA")-SUMIFS(D$2:D5129,B$2:B5129,B5129,C$2:C5129,"SALIDA")</f>
        <v>23406.813999999991</v>
      </c>
    </row>
    <row r="5130" spans="1:5" x14ac:dyDescent="0.3">
      <c r="A5130" s="9">
        <f>'Volúmenes DIstribuidos '!B3093</f>
        <v>45849</v>
      </c>
      <c r="B5130" s="10" t="str">
        <f>IF(OR('Volúmenes DIstribuidos '!C3096="Azúcar",'Volúmenes DIstribuidos '!C3096="azúcar"),"Azúcar o dulce",IF('Volúmenes DIstribuidos '!C3096="Aceite","Aceite o grasas",IF('Volúmenes DIstribuidos '!C3096="Avena","Otros almidones",'Volúmenes DIstribuidos '!C3096)))</f>
        <v>Lácteos</v>
      </c>
      <c r="C5130" s="10" t="s">
        <v>29</v>
      </c>
      <c r="D5130" s="12">
        <f>'Volúmenes DIstribuidos '!D3096</f>
        <v>52.95</v>
      </c>
      <c r="E5130" s="12">
        <f>SUMIF('Parametros Inventario'!$A:$A,B5130,'Parametros Inventario'!$B:$B)+SUMIFS(D$2:D5130,B$2:B5130,B5130,C$2:C5130,"ENTRADA")-SUMIFS(D$2:D5130,B$2:B5130,B5130,C$2:C5130,"SALIDA")</f>
        <v>23951.894</v>
      </c>
    </row>
    <row r="5131" spans="1:5" x14ac:dyDescent="0.3">
      <c r="A5131" s="9">
        <f>'Volúmenes DIstribuidos '!B3093</f>
        <v>45849</v>
      </c>
      <c r="B5131" s="10" t="str">
        <f>IF(OR('Volúmenes DIstribuidos '!C3097="Azúcar",'Volúmenes DIstribuidos '!C3097="azúcar"),"Azúcar o dulce",IF('Volúmenes DIstribuidos '!C3097="Aceite","Aceite o grasas",IF('Volúmenes DIstribuidos '!C3097="Avena","Otros almidones",'Volúmenes DIstribuidos '!C3097)))</f>
        <v>Fideo</v>
      </c>
      <c r="C5131" s="10" t="s">
        <v>29</v>
      </c>
      <c r="D5131" s="12">
        <f>'Volúmenes DIstribuidos '!D3097</f>
        <v>6.13</v>
      </c>
      <c r="E5131" s="12">
        <f>SUMIF('Parametros Inventario'!$A:$A,B5131,'Parametros Inventario'!$B:$B)+SUMIFS(D$2:D5131,B$2:B5131,B5131,C$2:C5131,"ENTRADA")-SUMIFS(D$2:D5131,B$2:B5131,B5131,C$2:C5131,"SALIDA")</f>
        <v>27258.743000000002</v>
      </c>
    </row>
    <row r="5132" spans="1:5" x14ac:dyDescent="0.3">
      <c r="A5132" s="9">
        <f>'Volúmenes DIstribuidos '!B3093</f>
        <v>45849</v>
      </c>
      <c r="B5132" s="10" t="str">
        <f>IF(OR('Volúmenes DIstribuidos '!C3098="Azúcar",'Volúmenes DIstribuidos '!C3098="azúcar"),"Azúcar o dulce",IF('Volúmenes DIstribuidos '!C3098="Aceite","Aceite o grasas",IF('Volúmenes DIstribuidos '!C3098="Avena","Otros almidones",'Volúmenes DIstribuidos '!C3098)))</f>
        <v>Aceite o grasas</v>
      </c>
      <c r="C5132" s="10" t="s">
        <v>29</v>
      </c>
      <c r="D5132" s="12">
        <f>'Volúmenes DIstribuidos '!D3098</f>
        <v>19.77</v>
      </c>
      <c r="E5132" s="12">
        <f>SUMIF('Parametros Inventario'!$A:$A,B5132,'Parametros Inventario'!$B:$B)+SUMIFS(D$2:D5132,B$2:B5132,B5132,C$2:C5132,"ENTRADA")-SUMIFS(D$2:D5132,B$2:B5132,B5132,C$2:C5132,"SALIDA")</f>
        <v>24106.238000000005</v>
      </c>
    </row>
    <row r="5133" spans="1:5" x14ac:dyDescent="0.3">
      <c r="A5133" s="9">
        <v>45853</v>
      </c>
      <c r="B5133" s="10" t="s">
        <v>13</v>
      </c>
      <c r="C5133" s="10" t="s">
        <v>28</v>
      </c>
      <c r="D5133" s="12">
        <v>67.78</v>
      </c>
      <c r="E5133" s="12">
        <f>SUMIF('Parametros Inventario'!$A:$A,B5133,'Parametros Inventario'!$B:$B)+SUMIFS(D$2:D5133,B$2:B5133,B5133,C$2:C5133,"ENTRADA")-SUMIFS(D$2:D5133,B$2:B5133,B5133,C$2:C5133,"SALIDA")</f>
        <v>23474.59399999999</v>
      </c>
    </row>
    <row r="5134" spans="1:5" x14ac:dyDescent="0.3">
      <c r="A5134" s="9">
        <v>45853</v>
      </c>
      <c r="B5134" s="10" t="s">
        <v>15</v>
      </c>
      <c r="C5134" s="10" t="s">
        <v>28</v>
      </c>
      <c r="D5134" s="12">
        <v>227.66</v>
      </c>
      <c r="E5134" s="12">
        <f>SUMIF('Parametros Inventario'!$A:$A,B5134,'Parametros Inventario'!$B:$B)+SUMIFS(D$2:D5134,B$2:B5134,B5134,C$2:C5134,"ENTRADA")-SUMIFS(D$2:D5134,B$2:B5134,B5134,C$2:C5134,"SALIDA")</f>
        <v>27116.765000000003</v>
      </c>
    </row>
    <row r="5135" spans="1:5" x14ac:dyDescent="0.3">
      <c r="A5135" s="9">
        <v>45853</v>
      </c>
      <c r="B5135" s="10" t="s">
        <v>11</v>
      </c>
      <c r="C5135" s="10" t="s">
        <v>28</v>
      </c>
      <c r="D5135" s="12">
        <v>165.19</v>
      </c>
      <c r="E5135" s="12">
        <f>SUMIF('Parametros Inventario'!$A:$A,B5135,'Parametros Inventario'!$B:$B)+SUMIFS(D$2:D5135,B$2:B5135,B5135,C$2:C5135,"ENTRADA")-SUMIFS(D$2:D5135,B$2:B5135,B5135,C$2:C5135,"SALIDA")</f>
        <v>27423.933000000005</v>
      </c>
    </row>
    <row r="5136" spans="1:5" x14ac:dyDescent="0.3">
      <c r="A5136" s="9">
        <v>45853</v>
      </c>
      <c r="B5136" s="10" t="s">
        <v>9</v>
      </c>
      <c r="C5136" s="10" t="s">
        <v>28</v>
      </c>
      <c r="D5136" s="12">
        <v>296.54000000000002</v>
      </c>
      <c r="E5136" s="12">
        <f>SUMIF('Parametros Inventario'!$A:$A,B5136,'Parametros Inventario'!$B:$B)+SUMIFS(D$2:D5136,B$2:B5136,B5136,C$2:C5136,"ENTRADA")-SUMIFS(D$2:D5136,B$2:B5136,B5136,C$2:C5136,"SALIDA")</f>
        <v>23538.383999999991</v>
      </c>
    </row>
    <row r="5137" spans="1:5" x14ac:dyDescent="0.3">
      <c r="A5137" s="9">
        <v>45853</v>
      </c>
      <c r="B5137" s="10" t="s">
        <v>14</v>
      </c>
      <c r="C5137" s="10" t="s">
        <v>28</v>
      </c>
      <c r="D5137" s="12">
        <v>294.62</v>
      </c>
      <c r="E5137" s="12">
        <f>SUMIF('Parametros Inventario'!$A:$A,B5137,'Parametros Inventario'!$B:$B)+SUMIFS(D$2:D5137,B$2:B5137,B5137,C$2:C5137,"ENTRADA")-SUMIFS(D$2:D5137,B$2:B5137,B5137,C$2:C5137,"SALIDA")</f>
        <v>24362.280999999981</v>
      </c>
    </row>
    <row r="5138" spans="1:5" x14ac:dyDescent="0.3">
      <c r="A5138" s="9">
        <v>45853</v>
      </c>
      <c r="B5138" s="10" t="s">
        <v>12</v>
      </c>
      <c r="C5138" s="10" t="s">
        <v>28</v>
      </c>
      <c r="D5138" s="12">
        <v>240.79</v>
      </c>
      <c r="E5138" s="12">
        <f>SUMIF('Parametros Inventario'!$A:$A,B5138,'Parametros Inventario'!$B:$B)+SUMIFS(D$2:D5138,B$2:B5138,B5138,C$2:C5138,"ENTRADA")-SUMIFS(D$2:D5138,B$2:B5138,B5138,C$2:C5138,"SALIDA")</f>
        <v>23713.322000000011</v>
      </c>
    </row>
    <row r="5139" spans="1:5" x14ac:dyDescent="0.3">
      <c r="A5139" s="9">
        <v>45853</v>
      </c>
      <c r="B5139" s="10" t="s">
        <v>16</v>
      </c>
      <c r="C5139" s="10" t="s">
        <v>28</v>
      </c>
      <c r="D5139" s="12">
        <v>160.51</v>
      </c>
      <c r="E5139" s="12">
        <f>SUMIF('Parametros Inventario'!$A:$A,B5139,'Parametros Inventario'!$B:$B)+SUMIFS(D$2:D5139,B$2:B5139,B5139,C$2:C5139,"ENTRADA")-SUMIFS(D$2:D5139,B$2:B5139,B5139,C$2:C5139,"SALIDA")</f>
        <v>24354.434999999987</v>
      </c>
    </row>
    <row r="5140" spans="1:5" x14ac:dyDescent="0.3">
      <c r="A5140" s="9">
        <v>45853</v>
      </c>
      <c r="B5140" s="10" t="s">
        <v>17</v>
      </c>
      <c r="C5140" s="10" t="s">
        <v>28</v>
      </c>
      <c r="D5140" s="12">
        <v>281.04000000000002</v>
      </c>
      <c r="E5140" s="12">
        <f>SUMIF('Parametros Inventario'!$A:$A,B5140,'Parametros Inventario'!$B:$B)+SUMIFS(D$2:D5140,B$2:B5140,B5140,C$2:C5140,"ENTRADA")-SUMIFS(D$2:D5140,B$2:B5140,B5140,C$2:C5140,"SALIDA")</f>
        <v>24232.934000000001</v>
      </c>
    </row>
    <row r="5141" spans="1:5" x14ac:dyDescent="0.3">
      <c r="A5141" s="9">
        <v>45853</v>
      </c>
      <c r="B5141" s="10" t="s">
        <v>18</v>
      </c>
      <c r="C5141" s="10" t="s">
        <v>28</v>
      </c>
      <c r="D5141" s="12">
        <v>284.95999999999998</v>
      </c>
      <c r="E5141" s="12">
        <f>SUMIF('Parametros Inventario'!$A:$A,B5141,'Parametros Inventario'!$B:$B)+SUMIFS(D$2:D5141,B$2:B5141,B5141,C$2:C5141,"ENTRADA")-SUMIFS(D$2:D5141,B$2:B5141,B5141,C$2:C5141,"SALIDA")</f>
        <v>24034.248999999982</v>
      </c>
    </row>
    <row r="5142" spans="1:5" x14ac:dyDescent="0.3">
      <c r="A5142" s="9">
        <v>45853</v>
      </c>
      <c r="B5142" s="10" t="s">
        <v>10</v>
      </c>
      <c r="C5142" s="10" t="s">
        <v>28</v>
      </c>
      <c r="D5142" s="12">
        <v>292.92</v>
      </c>
      <c r="E5142" s="12">
        <f>SUMIF('Parametros Inventario'!$A:$A,B5142,'Parametros Inventario'!$B:$B)+SUMIFS(D$2:D5142,B$2:B5142,B5142,C$2:C5142,"ENTRADA")-SUMIFS(D$2:D5142,B$2:B5142,B5142,C$2:C5142,"SALIDA")</f>
        <v>26349.619999999988</v>
      </c>
    </row>
    <row r="5143" spans="1:5" x14ac:dyDescent="0.3">
      <c r="A5143" s="9">
        <f>'Volúmenes DIstribuidos '!B3099</f>
        <v>45853</v>
      </c>
      <c r="B5143" s="10" t="str">
        <f>IF(OR('Volúmenes DIstribuidos '!C3099="Azúcar",'Volúmenes DIstribuidos '!C3099="azúcar"),"Azúcar o dulce",IF('Volúmenes DIstribuidos '!C3099="Aceite","Aceite o grasas",IF('Volúmenes DIstribuidos '!C3099="Avena","Otros almidones",'Volúmenes DIstribuidos '!C3099)))</f>
        <v>Panadería</v>
      </c>
      <c r="C5143" s="10" t="s">
        <v>29</v>
      </c>
      <c r="D5143" s="12">
        <f>'Volúmenes DIstribuidos '!D3099</f>
        <v>43.107999999999997</v>
      </c>
      <c r="E5143" s="12">
        <f>SUMIF('Parametros Inventario'!$A:$A,B5143,'Parametros Inventario'!$B:$B)+SUMIFS(D$2:D5143,B$2:B5143,B5143,C$2:C5143,"ENTRADA")-SUMIFS(D$2:D5143,B$2:B5143,B5143,C$2:C5143,"SALIDA")</f>
        <v>23495.275999999991</v>
      </c>
    </row>
    <row r="5144" spans="1:5" x14ac:dyDescent="0.3">
      <c r="A5144" s="9">
        <f>'Volúmenes DIstribuidos '!B3099</f>
        <v>45853</v>
      </c>
      <c r="B5144" s="10" t="str">
        <f>IF(OR('Volúmenes DIstribuidos '!C3100="Azúcar",'Volúmenes DIstribuidos '!C3100="azúcar"),"Azúcar o dulce",IF('Volúmenes DIstribuidos '!C3100="Aceite","Aceite o grasas",IF('Volúmenes DIstribuidos '!C3100="Avena","Otros almidones",'Volúmenes DIstribuidos '!C3100)))</f>
        <v>Panadería</v>
      </c>
      <c r="C5144" s="10" t="s">
        <v>29</v>
      </c>
      <c r="D5144" s="12">
        <f>'Volúmenes DIstribuidos '!D3100</f>
        <v>23.49</v>
      </c>
      <c r="E5144" s="12">
        <f>SUMIF('Parametros Inventario'!$A:$A,B5144,'Parametros Inventario'!$B:$B)+SUMIFS(D$2:D5144,B$2:B5144,B5144,C$2:C5144,"ENTRADA")-SUMIFS(D$2:D5144,B$2:B5144,B5144,C$2:C5144,"SALIDA")</f>
        <v>23471.785999999993</v>
      </c>
    </row>
    <row r="5145" spans="1:5" x14ac:dyDescent="0.3">
      <c r="A5145" s="9">
        <f>'Volúmenes DIstribuidos '!B3099</f>
        <v>45853</v>
      </c>
      <c r="B5145" s="10" t="str">
        <f>IF(OR('Volúmenes DIstribuidos '!C3101="Azúcar",'Volúmenes DIstribuidos '!C3101="azúcar"),"Azúcar o dulce",IF('Volúmenes DIstribuidos '!C3101="Aceite","Aceite o grasas",IF('Volúmenes DIstribuidos '!C3101="Avena","Otros almidones",'Volúmenes DIstribuidos '!C3101)))</f>
        <v>Otros almidones</v>
      </c>
      <c r="C5145" s="10" t="s">
        <v>29</v>
      </c>
      <c r="D5145" s="12">
        <f>'Volúmenes DIstribuidos '!D3101</f>
        <v>15.1</v>
      </c>
      <c r="E5145" s="12">
        <f>SUMIF('Parametros Inventario'!$A:$A,B5145,'Parametros Inventario'!$B:$B)+SUMIFS(D$2:D5145,B$2:B5145,B5145,C$2:C5145,"ENTRADA")-SUMIFS(D$2:D5145,B$2:B5145,B5145,C$2:C5145,"SALIDA")</f>
        <v>27101.665000000001</v>
      </c>
    </row>
    <row r="5146" spans="1:5" x14ac:dyDescent="0.3">
      <c r="A5146" s="9">
        <f>'Volúmenes DIstribuidos '!B3099</f>
        <v>45853</v>
      </c>
      <c r="B5146" s="10" t="str">
        <f>IF(OR('Volúmenes DIstribuidos '!C3102="Azúcar",'Volúmenes DIstribuidos '!C3102="azúcar"),"Azúcar o dulce",IF('Volúmenes DIstribuidos '!C3102="Aceite","Aceite o grasas",IF('Volúmenes DIstribuidos '!C3102="Avena","Otros almidones",'Volúmenes DIstribuidos '!C3102)))</f>
        <v>Carnes rojas</v>
      </c>
      <c r="C5146" s="10" t="s">
        <v>29</v>
      </c>
      <c r="D5146" s="12">
        <f>'Volúmenes DIstribuidos '!D3102</f>
        <v>9.8919999999999995</v>
      </c>
      <c r="E5146" s="12">
        <f>SUMIF('Parametros Inventario'!$A:$A,B5146,'Parametros Inventario'!$B:$B)+SUMIFS(D$2:D5146,B$2:B5146,B5146,C$2:C5146,"ENTRADA")-SUMIFS(D$2:D5146,B$2:B5146,B5146,C$2:C5146,"SALIDA")</f>
        <v>23703.430000000011</v>
      </c>
    </row>
    <row r="5147" spans="1:5" x14ac:dyDescent="0.3">
      <c r="A5147" s="9">
        <f>'Volúmenes DIstribuidos '!B3099</f>
        <v>45853</v>
      </c>
      <c r="B5147" s="10" t="str">
        <f>IF(OR('Volúmenes DIstribuidos '!C3103="Azúcar",'Volúmenes DIstribuidos '!C3103="azúcar"),"Azúcar o dulce",IF('Volúmenes DIstribuidos '!C3103="Aceite","Aceite o grasas",IF('Volúmenes DIstribuidos '!C3103="Avena","Otros almidones",'Volúmenes DIstribuidos '!C3103)))</f>
        <v>Salsas</v>
      </c>
      <c r="C5147" s="10" t="s">
        <v>29</v>
      </c>
      <c r="D5147" s="12">
        <f>'Volúmenes DIstribuidos '!D3103</f>
        <v>26.79</v>
      </c>
      <c r="E5147" s="12">
        <f>SUMIF('Parametros Inventario'!$A:$A,B5147,'Parametros Inventario'!$B:$B)+SUMIFS(D$2:D5147,B$2:B5147,B5147,C$2:C5147,"ENTRADA")-SUMIFS(D$2:D5147,B$2:B5147,B5147,C$2:C5147,"SALIDA")</f>
        <v>24007.458999999981</v>
      </c>
    </row>
    <row r="5148" spans="1:5" x14ac:dyDescent="0.3">
      <c r="A5148" s="9">
        <f>'Volúmenes DIstribuidos '!B3099</f>
        <v>45853</v>
      </c>
      <c r="B5148" s="10" t="str">
        <f>IF(OR('Volúmenes DIstribuidos '!C3104="Azúcar",'Volúmenes DIstribuidos '!C3104="azúcar"),"Azúcar o dulce",IF('Volúmenes DIstribuidos '!C3104="Aceite","Aceite o grasas",IF('Volúmenes DIstribuidos '!C3104="Avena","Otros almidones",'Volúmenes DIstribuidos '!C3104)))</f>
        <v>Carnes blancas</v>
      </c>
      <c r="C5148" s="10" t="s">
        <v>29</v>
      </c>
      <c r="D5148" s="12">
        <f>'Volúmenes DIstribuidos '!D3104</f>
        <v>16.760000000000002</v>
      </c>
      <c r="E5148" s="12">
        <f>SUMIF('Parametros Inventario'!$A:$A,B5148,'Parametros Inventario'!$B:$B)+SUMIFS(D$2:D5148,B$2:B5148,B5148,C$2:C5148,"ENTRADA")-SUMIFS(D$2:D5148,B$2:B5148,B5148,C$2:C5148,"SALIDA")</f>
        <v>24337.674999999988</v>
      </c>
    </row>
    <row r="5149" spans="1:5" x14ac:dyDescent="0.3">
      <c r="A5149" s="9">
        <v>45856</v>
      </c>
      <c r="B5149" s="10" t="s">
        <v>8</v>
      </c>
      <c r="C5149" s="10" t="s">
        <v>28</v>
      </c>
      <c r="D5149" s="12">
        <v>172.06</v>
      </c>
      <c r="E5149" s="12">
        <f>SUMIF('Parametros Inventario'!$A:$A,B5149,'Parametros Inventario'!$B:$B)+SUMIFS(D$2:D5149,B$2:B5149,B5149,C$2:C5149,"ENTRADA")-SUMIFS(D$2:D5149,B$2:B5149,B5149,C$2:C5149,"SALIDA")</f>
        <v>24278.298000000003</v>
      </c>
    </row>
    <row r="5150" spans="1:5" x14ac:dyDescent="0.3">
      <c r="A5150" s="9">
        <v>45856</v>
      </c>
      <c r="B5150" s="10" t="s">
        <v>13</v>
      </c>
      <c r="C5150" s="10" t="s">
        <v>28</v>
      </c>
      <c r="D5150" s="12">
        <v>140.87</v>
      </c>
      <c r="E5150" s="12">
        <f>SUMIF('Parametros Inventario'!$A:$A,B5150,'Parametros Inventario'!$B:$B)+SUMIFS(D$2:D5150,B$2:B5150,B5150,C$2:C5150,"ENTRADA")-SUMIFS(D$2:D5150,B$2:B5150,B5150,C$2:C5150,"SALIDA")</f>
        <v>23615.463999999985</v>
      </c>
    </row>
    <row r="5151" spans="1:5" x14ac:dyDescent="0.3">
      <c r="A5151" s="9">
        <v>45856</v>
      </c>
      <c r="B5151" s="10" t="s">
        <v>15</v>
      </c>
      <c r="C5151" s="10" t="s">
        <v>28</v>
      </c>
      <c r="D5151" s="12">
        <v>121.66</v>
      </c>
      <c r="E5151" s="12">
        <f>SUMIF('Parametros Inventario'!$A:$A,B5151,'Parametros Inventario'!$B:$B)+SUMIFS(D$2:D5151,B$2:B5151,B5151,C$2:C5151,"ENTRADA")-SUMIFS(D$2:D5151,B$2:B5151,B5151,C$2:C5151,"SALIDA")</f>
        <v>27223.325000000004</v>
      </c>
    </row>
    <row r="5152" spans="1:5" x14ac:dyDescent="0.3">
      <c r="A5152" s="9">
        <v>45856</v>
      </c>
      <c r="B5152" s="10" t="s">
        <v>11</v>
      </c>
      <c r="C5152" s="10" t="s">
        <v>28</v>
      </c>
      <c r="D5152" s="12">
        <v>152.26</v>
      </c>
      <c r="E5152" s="12">
        <f>SUMIF('Parametros Inventario'!$A:$A,B5152,'Parametros Inventario'!$B:$B)+SUMIFS(D$2:D5152,B$2:B5152,B5152,C$2:C5152,"ENTRADA")-SUMIFS(D$2:D5152,B$2:B5152,B5152,C$2:C5152,"SALIDA")</f>
        <v>27576.193000000007</v>
      </c>
    </row>
    <row r="5153" spans="1:5" x14ac:dyDescent="0.3">
      <c r="A5153" s="9">
        <v>45856</v>
      </c>
      <c r="B5153" s="10" t="s">
        <v>9</v>
      </c>
      <c r="C5153" s="10" t="s">
        <v>28</v>
      </c>
      <c r="D5153" s="12">
        <v>204.92</v>
      </c>
      <c r="E5153" s="12">
        <f>SUMIF('Parametros Inventario'!$A:$A,B5153,'Parametros Inventario'!$B:$B)+SUMIFS(D$2:D5153,B$2:B5153,B5153,C$2:C5153,"ENTRADA")-SUMIFS(D$2:D5153,B$2:B5153,B5153,C$2:C5153,"SALIDA")</f>
        <v>23676.705999999991</v>
      </c>
    </row>
    <row r="5154" spans="1:5" x14ac:dyDescent="0.3">
      <c r="A5154" s="9">
        <f>'Volúmenes DIstribuidos '!B3105</f>
        <v>45856</v>
      </c>
      <c r="B5154" s="10" t="str">
        <f>IF(OR('Volúmenes DIstribuidos '!C3105="Azúcar",'Volúmenes DIstribuidos '!C3105="azúcar"),"Azúcar o dulce",IF('Volúmenes DIstribuidos '!C3105="Aceite","Aceite o grasas",IF('Volúmenes DIstribuidos '!C3105="Avena","Otros almidones",'Volúmenes DIstribuidos '!C3105)))</f>
        <v>Vegetales y hojas</v>
      </c>
      <c r="C5154" s="10" t="s">
        <v>29</v>
      </c>
      <c r="D5154" s="12">
        <f>'Volúmenes DIstribuidos '!D3105</f>
        <v>24.72</v>
      </c>
      <c r="E5154" s="12">
        <f>SUMIF('Parametros Inventario'!$A:$A,B5154,'Parametros Inventario'!$B:$B)+SUMIFS(D$2:D5154,B$2:B5154,B5154,C$2:C5154,"ENTRADA")-SUMIFS(D$2:D5154,B$2:B5154,B5154,C$2:C5154,"SALIDA")</f>
        <v>26324.899999999987</v>
      </c>
    </row>
    <row r="5155" spans="1:5" x14ac:dyDescent="0.3">
      <c r="A5155" s="9">
        <f>'Volúmenes DIstribuidos '!B3105</f>
        <v>45856</v>
      </c>
      <c r="B5155" s="10" t="str">
        <f>IF(OR('Volúmenes DIstribuidos '!C3106="Azúcar",'Volúmenes DIstribuidos '!C3106="azúcar"),"Azúcar o dulce",IF('Volúmenes DIstribuidos '!C3106="Aceite","Aceite o grasas",IF('Volúmenes DIstribuidos '!C3106="Avena","Otros almidones",'Volúmenes DIstribuidos '!C3106)))</f>
        <v>Aceite o grasas</v>
      </c>
      <c r="C5155" s="10" t="s">
        <v>29</v>
      </c>
      <c r="D5155" s="12">
        <f>'Volúmenes DIstribuidos '!D3106</f>
        <v>50.22</v>
      </c>
      <c r="E5155" s="12">
        <f>SUMIF('Parametros Inventario'!$A:$A,B5155,'Parametros Inventario'!$B:$B)+SUMIFS(D$2:D5155,B$2:B5155,B5155,C$2:C5155,"ENTRADA")-SUMIFS(D$2:D5155,B$2:B5155,B5155,C$2:C5155,"SALIDA")</f>
        <v>24228.078000000005</v>
      </c>
    </row>
    <row r="5156" spans="1:5" x14ac:dyDescent="0.3">
      <c r="A5156" s="9">
        <f>'Volúmenes DIstribuidos '!B3105</f>
        <v>45856</v>
      </c>
      <c r="B5156" s="10" t="str">
        <f>IF(OR('Volúmenes DIstribuidos '!C3107="Azúcar",'Volúmenes DIstribuidos '!C3107="azúcar"),"Azúcar o dulce",IF('Volúmenes DIstribuidos '!C3107="Aceite","Aceite o grasas",IF('Volúmenes DIstribuidos '!C3107="Avena","Otros almidones",'Volúmenes DIstribuidos '!C3107)))</f>
        <v>Fideo</v>
      </c>
      <c r="C5156" s="10" t="s">
        <v>29</v>
      </c>
      <c r="D5156" s="12">
        <f>'Volúmenes DIstribuidos '!D3107</f>
        <v>39.520000000000003</v>
      </c>
      <c r="E5156" s="12">
        <f>SUMIF('Parametros Inventario'!$A:$A,B5156,'Parametros Inventario'!$B:$B)+SUMIFS(D$2:D5156,B$2:B5156,B5156,C$2:C5156,"ENTRADA")-SUMIFS(D$2:D5156,B$2:B5156,B5156,C$2:C5156,"SALIDA")</f>
        <v>27536.673000000006</v>
      </c>
    </row>
    <row r="5157" spans="1:5" x14ac:dyDescent="0.3">
      <c r="A5157" s="9">
        <f>'Volúmenes DIstribuidos '!B3105</f>
        <v>45856</v>
      </c>
      <c r="B5157" s="10" t="str">
        <f>IF(OR('Volúmenes DIstribuidos '!C3108="Azúcar",'Volúmenes DIstribuidos '!C3108="azúcar"),"Azúcar o dulce",IF('Volúmenes DIstribuidos '!C3108="Aceite","Aceite o grasas",IF('Volúmenes DIstribuidos '!C3108="Avena","Otros almidones",'Volúmenes DIstribuidos '!C3108)))</f>
        <v>Azúcar o dulce</v>
      </c>
      <c r="C5157" s="10" t="s">
        <v>29</v>
      </c>
      <c r="D5157" s="12">
        <f>'Volúmenes DIstribuidos '!D3108</f>
        <v>4.173</v>
      </c>
      <c r="E5157" s="12">
        <f>SUMIF('Parametros Inventario'!$A:$A,B5157,'Parametros Inventario'!$B:$B)+SUMIFS(D$2:D5157,B$2:B5157,B5157,C$2:C5157,"ENTRADA")-SUMIFS(D$2:D5157,B$2:B5157,B5157,C$2:C5157,"SALIDA")</f>
        <v>23611.290999999987</v>
      </c>
    </row>
    <row r="5158" spans="1:5" x14ac:dyDescent="0.3">
      <c r="A5158" s="9">
        <f>'Volúmenes DIstribuidos '!B3105</f>
        <v>45856</v>
      </c>
      <c r="B5158" s="10" t="str">
        <f>IF(OR('Volúmenes DIstribuidos '!C3109="Azúcar",'Volúmenes DIstribuidos '!C3109="azúcar"),"Azúcar o dulce",IF('Volúmenes DIstribuidos '!C3109="Aceite","Aceite o grasas",IF('Volúmenes DIstribuidos '!C3109="Avena","Otros almidones",'Volúmenes DIstribuidos '!C3109)))</f>
        <v>Vegetales y hojas</v>
      </c>
      <c r="C5158" s="10" t="s">
        <v>29</v>
      </c>
      <c r="D5158" s="12">
        <f>'Volúmenes DIstribuidos '!D3109</f>
        <v>28.47</v>
      </c>
      <c r="E5158" s="12">
        <f>SUMIF('Parametros Inventario'!$A:$A,B5158,'Parametros Inventario'!$B:$B)+SUMIFS(D$2:D5158,B$2:B5158,B5158,C$2:C5158,"ENTRADA")-SUMIFS(D$2:D5158,B$2:B5158,B5158,C$2:C5158,"SALIDA")</f>
        <v>26296.429999999986</v>
      </c>
    </row>
    <row r="5159" spans="1:5" x14ac:dyDescent="0.3">
      <c r="A5159" s="9">
        <f>'Volúmenes DIstribuidos '!B3105</f>
        <v>45856</v>
      </c>
      <c r="B5159" s="10" t="str">
        <f>IF(OR('Volúmenes DIstribuidos '!C3110="Azúcar",'Volúmenes DIstribuidos '!C3110="azúcar"),"Azúcar o dulce",IF('Volúmenes DIstribuidos '!C3110="Aceite","Aceite o grasas",IF('Volúmenes DIstribuidos '!C3110="Avena","Otros almidones",'Volúmenes DIstribuidos '!C3110)))</f>
        <v>Otros almidones</v>
      </c>
      <c r="C5159" s="10" t="s">
        <v>29</v>
      </c>
      <c r="D5159" s="12">
        <f>'Volúmenes DIstribuidos '!D3110</f>
        <v>22.02</v>
      </c>
      <c r="E5159" s="12">
        <f>SUMIF('Parametros Inventario'!$A:$A,B5159,'Parametros Inventario'!$B:$B)+SUMIFS(D$2:D5159,B$2:B5159,B5159,C$2:C5159,"ENTRADA")-SUMIFS(D$2:D5159,B$2:B5159,B5159,C$2:C5159,"SALIDA")</f>
        <v>27201.305000000008</v>
      </c>
    </row>
    <row r="5160" spans="1:5" x14ac:dyDescent="0.3">
      <c r="A5160" s="9">
        <f>'Volúmenes DIstribuidos '!B3111</f>
        <v>45860</v>
      </c>
      <c r="B5160" s="10" t="str">
        <f>IF(OR('Volúmenes DIstribuidos '!C3111="Azúcar",'Volúmenes DIstribuidos '!C3111="azúcar"),"Azúcar o dulce",IF('Volúmenes DIstribuidos '!C3111="Aceite","Aceite o grasas",IF('Volúmenes DIstribuidos '!C3111="Avena","Otros almidones",'Volúmenes DIstribuidos '!C3111)))</f>
        <v>Panadería</v>
      </c>
      <c r="C5160" s="10" t="s">
        <v>29</v>
      </c>
      <c r="D5160" s="12">
        <f>'Volúmenes DIstribuidos '!D3111</f>
        <v>7.5</v>
      </c>
      <c r="E5160" s="12">
        <f>SUMIF('Parametros Inventario'!$A:$A,B5160,'Parametros Inventario'!$B:$B)+SUMIFS(D$2:D5160,B$2:B5160,B5160,C$2:C5160,"ENTRADA")-SUMIFS(D$2:D5160,B$2:B5160,B5160,C$2:C5160,"SALIDA")</f>
        <v>23669.205999999991</v>
      </c>
    </row>
    <row r="5161" spans="1:5" x14ac:dyDescent="0.3">
      <c r="A5161" s="9">
        <f>'Volúmenes DIstribuidos '!B3111</f>
        <v>45860</v>
      </c>
      <c r="B5161" s="10" t="str">
        <f>IF(OR('Volúmenes DIstribuidos '!C3112="Azúcar",'Volúmenes DIstribuidos '!C3112="azúcar"),"Azúcar o dulce",IF('Volúmenes DIstribuidos '!C3112="Aceite","Aceite o grasas",IF('Volúmenes DIstribuidos '!C3112="Avena","Otros almidones",'Volúmenes DIstribuidos '!C3112)))</f>
        <v>Carnes rojas</v>
      </c>
      <c r="C5161" s="10" t="s">
        <v>29</v>
      </c>
      <c r="D5161" s="12">
        <f>'Volúmenes DIstribuidos '!D3112</f>
        <v>5.7</v>
      </c>
      <c r="E5161" s="12">
        <f>SUMIF('Parametros Inventario'!$A:$A,B5161,'Parametros Inventario'!$B:$B)+SUMIFS(D$2:D5161,B$2:B5161,B5161,C$2:C5161,"ENTRADA")-SUMIFS(D$2:D5161,B$2:B5161,B5161,C$2:C5161,"SALIDA")</f>
        <v>23697.73000000001</v>
      </c>
    </row>
    <row r="5162" spans="1:5" x14ac:dyDescent="0.3">
      <c r="A5162" s="9">
        <f>'Volúmenes DIstribuidos '!B3111</f>
        <v>45860</v>
      </c>
      <c r="B5162" s="10" t="str">
        <f>IF(OR('Volúmenes DIstribuidos '!C3113="Azúcar",'Volúmenes DIstribuidos '!C3113="azúcar"),"Azúcar o dulce",IF('Volúmenes DIstribuidos '!C3113="Aceite","Aceite o grasas",IF('Volúmenes DIstribuidos '!C3113="Avena","Otros almidones",'Volúmenes DIstribuidos '!C3113)))</f>
        <v>Salsas</v>
      </c>
      <c r="C5162" s="10" t="s">
        <v>29</v>
      </c>
      <c r="D5162" s="12">
        <f>'Volúmenes DIstribuidos '!D3113</f>
        <v>23.45</v>
      </c>
      <c r="E5162" s="12">
        <f>SUMIF('Parametros Inventario'!$A:$A,B5162,'Parametros Inventario'!$B:$B)+SUMIFS(D$2:D5162,B$2:B5162,B5162,C$2:C5162,"ENTRADA")-SUMIFS(D$2:D5162,B$2:B5162,B5162,C$2:C5162,"SALIDA")</f>
        <v>23984.008999999984</v>
      </c>
    </row>
    <row r="5163" spans="1:5" x14ac:dyDescent="0.3">
      <c r="A5163" s="9">
        <f>'Volúmenes DIstribuidos '!B3111</f>
        <v>45860</v>
      </c>
      <c r="B5163" s="10" t="str">
        <f>IF(OR('Volúmenes DIstribuidos '!C3114="Azúcar",'Volúmenes DIstribuidos '!C3114="azúcar"),"Azúcar o dulce",IF('Volúmenes DIstribuidos '!C3114="Aceite","Aceite o grasas",IF('Volúmenes DIstribuidos '!C3114="Avena","Otros almidones",'Volúmenes DIstribuidos '!C3114)))</f>
        <v>Menestras</v>
      </c>
      <c r="C5163" s="10" t="s">
        <v>29</v>
      </c>
      <c r="D5163" s="12">
        <f>'Volúmenes DIstribuidos '!D3114</f>
        <v>41.829000000000001</v>
      </c>
      <c r="E5163" s="12">
        <f>SUMIF('Parametros Inventario'!$A:$A,B5163,'Parametros Inventario'!$B:$B)+SUMIFS(D$2:D5163,B$2:B5163,B5163,C$2:C5163,"ENTRADA")-SUMIFS(D$2:D5163,B$2:B5163,B5163,C$2:C5163,"SALIDA")</f>
        <v>24320.451999999983</v>
      </c>
    </row>
    <row r="5164" spans="1:5" x14ac:dyDescent="0.3">
      <c r="A5164" s="9">
        <f>'Volúmenes DIstribuidos '!B3111</f>
        <v>45860</v>
      </c>
      <c r="B5164" s="10" t="str">
        <f>IF(OR('Volúmenes DIstribuidos '!C3115="Azúcar",'Volúmenes DIstribuidos '!C3115="azúcar"),"Azúcar o dulce",IF('Volúmenes DIstribuidos '!C3115="Aceite","Aceite o grasas",IF('Volúmenes DIstribuidos '!C3115="Avena","Otros almidones",'Volúmenes DIstribuidos '!C3115)))</f>
        <v>Panadería</v>
      </c>
      <c r="C5164" s="10" t="s">
        <v>29</v>
      </c>
      <c r="D5164" s="12">
        <f>'Volúmenes DIstribuidos '!D3115</f>
        <v>15.05</v>
      </c>
      <c r="E5164" s="12">
        <f>SUMIF('Parametros Inventario'!$A:$A,B5164,'Parametros Inventario'!$B:$B)+SUMIFS(D$2:D5164,B$2:B5164,B5164,C$2:C5164,"ENTRADA")-SUMIFS(D$2:D5164,B$2:B5164,B5164,C$2:C5164,"SALIDA")</f>
        <v>23654.155999999988</v>
      </c>
    </row>
    <row r="5165" spans="1:5" x14ac:dyDescent="0.3">
      <c r="A5165" s="9">
        <f>'Volúmenes DIstribuidos '!B3111</f>
        <v>45860</v>
      </c>
      <c r="B5165" s="10" t="str">
        <f>IF(OR('Volúmenes DIstribuidos '!C3116="Azúcar",'Volúmenes DIstribuidos '!C3116="azúcar"),"Azúcar o dulce",IF('Volúmenes DIstribuidos '!C3116="Aceite","Aceite o grasas",IF('Volúmenes DIstribuidos '!C3116="Avena","Otros almidones",'Volúmenes DIstribuidos '!C3116)))</f>
        <v>Vegetales y hojas</v>
      </c>
      <c r="C5165" s="10" t="s">
        <v>29</v>
      </c>
      <c r="D5165" s="12">
        <f>'Volúmenes DIstribuidos '!D3116</f>
        <v>16</v>
      </c>
      <c r="E5165" s="12">
        <f>SUMIF('Parametros Inventario'!$A:$A,B5165,'Parametros Inventario'!$B:$B)+SUMIFS(D$2:D5165,B$2:B5165,B5165,C$2:C5165,"ENTRADA")-SUMIFS(D$2:D5165,B$2:B5165,B5165,C$2:C5165,"SALIDA")</f>
        <v>26280.429999999986</v>
      </c>
    </row>
    <row r="5166" spans="1:5" x14ac:dyDescent="0.3">
      <c r="A5166" s="9">
        <v>45863</v>
      </c>
      <c r="B5166" s="10" t="s">
        <v>14</v>
      </c>
      <c r="C5166" s="10" t="s">
        <v>28</v>
      </c>
      <c r="D5166" s="12">
        <v>220.15</v>
      </c>
      <c r="E5166" s="12">
        <f>SUMIF('Parametros Inventario'!$A:$A,B5166,'Parametros Inventario'!$B:$B)+SUMIFS(D$2:D5166,B$2:B5166,B5166,C$2:C5166,"ENTRADA")-SUMIFS(D$2:D5166,B$2:B5166,B5166,C$2:C5166,"SALIDA")</f>
        <v>24540.601999999984</v>
      </c>
    </row>
    <row r="5167" spans="1:5" x14ac:dyDescent="0.3">
      <c r="A5167" s="9">
        <v>45863</v>
      </c>
      <c r="B5167" s="10" t="s">
        <v>12</v>
      </c>
      <c r="C5167" s="10" t="s">
        <v>28</v>
      </c>
      <c r="D5167" s="12">
        <v>160.21</v>
      </c>
      <c r="E5167" s="12">
        <f>SUMIF('Parametros Inventario'!$A:$A,B5167,'Parametros Inventario'!$B:$B)+SUMIFS(D$2:D5167,B$2:B5167,B5167,C$2:C5167,"ENTRADA")-SUMIFS(D$2:D5167,B$2:B5167,B5167,C$2:C5167,"SALIDA")</f>
        <v>23857.94000000001</v>
      </c>
    </row>
    <row r="5168" spans="1:5" x14ac:dyDescent="0.3">
      <c r="A5168" s="9">
        <v>45863</v>
      </c>
      <c r="B5168" s="10" t="s">
        <v>16</v>
      </c>
      <c r="C5168" s="10" t="s">
        <v>28</v>
      </c>
      <c r="D5168" s="12">
        <v>178.12</v>
      </c>
      <c r="E5168" s="12">
        <f>SUMIF('Parametros Inventario'!$A:$A,B5168,'Parametros Inventario'!$B:$B)+SUMIFS(D$2:D5168,B$2:B5168,B5168,C$2:C5168,"ENTRADA")-SUMIFS(D$2:D5168,B$2:B5168,B5168,C$2:C5168,"SALIDA")</f>
        <v>24515.794999999984</v>
      </c>
    </row>
    <row r="5169" spans="1:5" x14ac:dyDescent="0.3">
      <c r="A5169" s="9">
        <v>45863</v>
      </c>
      <c r="B5169" s="10" t="s">
        <v>17</v>
      </c>
      <c r="C5169" s="10" t="s">
        <v>28</v>
      </c>
      <c r="D5169" s="12">
        <v>206.16</v>
      </c>
      <c r="E5169" s="12">
        <f>SUMIF('Parametros Inventario'!$A:$A,B5169,'Parametros Inventario'!$B:$B)+SUMIFS(D$2:D5169,B$2:B5169,B5169,C$2:C5169,"ENTRADA")-SUMIFS(D$2:D5169,B$2:B5169,B5169,C$2:C5169,"SALIDA")</f>
        <v>24439.094000000005</v>
      </c>
    </row>
    <row r="5170" spans="1:5" x14ac:dyDescent="0.3">
      <c r="A5170" s="9">
        <v>45863</v>
      </c>
      <c r="B5170" s="10" t="s">
        <v>18</v>
      </c>
      <c r="C5170" s="10" t="s">
        <v>28</v>
      </c>
      <c r="D5170" s="12">
        <v>128.41</v>
      </c>
      <c r="E5170" s="12">
        <f>SUMIF('Parametros Inventario'!$A:$A,B5170,'Parametros Inventario'!$B:$B)+SUMIFS(D$2:D5170,B$2:B5170,B5170,C$2:C5170,"ENTRADA")-SUMIFS(D$2:D5170,B$2:B5170,B5170,C$2:C5170,"SALIDA")</f>
        <v>24112.41899999998</v>
      </c>
    </row>
    <row r="5171" spans="1:5" x14ac:dyDescent="0.3">
      <c r="A5171" s="9">
        <v>45863</v>
      </c>
      <c r="B5171" s="10" t="s">
        <v>10</v>
      </c>
      <c r="C5171" s="10" t="s">
        <v>28</v>
      </c>
      <c r="D5171" s="12">
        <v>70.87</v>
      </c>
      <c r="E5171" s="12">
        <f>SUMIF('Parametros Inventario'!$A:$A,B5171,'Parametros Inventario'!$B:$B)+SUMIFS(D$2:D5171,B$2:B5171,B5171,C$2:C5171,"ENTRADA")-SUMIFS(D$2:D5171,B$2:B5171,B5171,C$2:C5171,"SALIDA")</f>
        <v>26351.299999999988</v>
      </c>
    </row>
    <row r="5172" spans="1:5" x14ac:dyDescent="0.3">
      <c r="A5172" s="9">
        <v>45863</v>
      </c>
      <c r="B5172" s="10" t="s">
        <v>8</v>
      </c>
      <c r="C5172" s="10" t="s">
        <v>28</v>
      </c>
      <c r="D5172" s="12">
        <v>153.30000000000001</v>
      </c>
      <c r="E5172" s="12">
        <f>SUMIF('Parametros Inventario'!$A:$A,B5172,'Parametros Inventario'!$B:$B)+SUMIFS(D$2:D5172,B$2:B5172,B5172,C$2:C5172,"ENTRADA")-SUMIFS(D$2:D5172,B$2:B5172,B5172,C$2:C5172,"SALIDA")</f>
        <v>24381.378000000008</v>
      </c>
    </row>
    <row r="5173" spans="1:5" x14ac:dyDescent="0.3">
      <c r="A5173" s="9">
        <f>'Volúmenes DIstribuidos '!B3117</f>
        <v>45863</v>
      </c>
      <c r="B5173" s="10" t="str">
        <f>IF(OR('Volúmenes DIstribuidos '!C3117="Azúcar",'Volúmenes DIstribuidos '!C3117="azúcar"),"Azúcar o dulce",IF('Volúmenes DIstribuidos '!C3117="Aceite","Aceite o grasas",IF('Volúmenes DIstribuidos '!C3117="Avena","Otros almidones",'Volúmenes DIstribuidos '!C3117)))</f>
        <v>Menestras</v>
      </c>
      <c r="C5173" s="10" t="s">
        <v>29</v>
      </c>
      <c r="D5173" s="12">
        <f>'Volúmenes DIstribuidos '!D3117</f>
        <v>7.8239999999999998</v>
      </c>
      <c r="E5173" s="12">
        <f>SUMIF('Parametros Inventario'!$A:$A,B5173,'Parametros Inventario'!$B:$B)+SUMIFS(D$2:D5173,B$2:B5173,B5173,C$2:C5173,"ENTRADA")-SUMIFS(D$2:D5173,B$2:B5173,B5173,C$2:C5173,"SALIDA")</f>
        <v>24532.777999999984</v>
      </c>
    </row>
    <row r="5174" spans="1:5" x14ac:dyDescent="0.3">
      <c r="A5174" s="9">
        <f>'Volúmenes DIstribuidos '!B3117</f>
        <v>45863</v>
      </c>
      <c r="B5174" s="10" t="str">
        <f>IF(OR('Volúmenes DIstribuidos '!C3118="Azúcar",'Volúmenes DIstribuidos '!C3118="azúcar"),"Azúcar o dulce",IF('Volúmenes DIstribuidos '!C3118="Aceite","Aceite o grasas",IF('Volúmenes DIstribuidos '!C3118="Avena","Otros almidones",'Volúmenes DIstribuidos '!C3118)))</f>
        <v>Vegetales y hojas</v>
      </c>
      <c r="C5174" s="10" t="s">
        <v>29</v>
      </c>
      <c r="D5174" s="12">
        <f>'Volúmenes DIstribuidos '!D3118</f>
        <v>10.1</v>
      </c>
      <c r="E5174" s="12">
        <f>SUMIF('Parametros Inventario'!$A:$A,B5174,'Parametros Inventario'!$B:$B)+SUMIFS(D$2:D5174,B$2:B5174,B5174,C$2:C5174,"ENTRADA")-SUMIFS(D$2:D5174,B$2:B5174,B5174,C$2:C5174,"SALIDA")</f>
        <v>26341.19999999999</v>
      </c>
    </row>
    <row r="5175" spans="1:5" x14ac:dyDescent="0.3">
      <c r="A5175" s="9">
        <f>'Volúmenes DIstribuidos '!B3117</f>
        <v>45863</v>
      </c>
      <c r="B5175" s="10" t="str">
        <f>IF(OR('Volúmenes DIstribuidos '!C3119="Azúcar",'Volúmenes DIstribuidos '!C3119="azúcar"),"Azúcar o dulce",IF('Volúmenes DIstribuidos '!C3119="Aceite","Aceite o grasas",IF('Volúmenes DIstribuidos '!C3119="Avena","Otros almidones",'Volúmenes DIstribuidos '!C3119)))</f>
        <v>Aceite o grasas</v>
      </c>
      <c r="C5175" s="10" t="s">
        <v>29</v>
      </c>
      <c r="D5175" s="12">
        <f>'Volúmenes DIstribuidos '!D3119</f>
        <v>15.56</v>
      </c>
      <c r="E5175" s="12">
        <f>SUMIF('Parametros Inventario'!$A:$A,B5175,'Parametros Inventario'!$B:$B)+SUMIFS(D$2:D5175,B$2:B5175,B5175,C$2:C5175,"ENTRADA")-SUMIFS(D$2:D5175,B$2:B5175,B5175,C$2:C5175,"SALIDA")</f>
        <v>24365.818000000007</v>
      </c>
    </row>
    <row r="5176" spans="1:5" x14ac:dyDescent="0.3">
      <c r="A5176" s="9">
        <f>'Volúmenes DIstribuidos '!B3117</f>
        <v>45863</v>
      </c>
      <c r="B5176" s="10" t="str">
        <f>IF(OR('Volúmenes DIstribuidos '!C3120="Azúcar",'Volúmenes DIstribuidos '!C3120="azúcar"),"Azúcar o dulce",IF('Volúmenes DIstribuidos '!C3120="Aceite","Aceite o grasas",IF('Volúmenes DIstribuidos '!C3120="Avena","Otros almidones",'Volúmenes DIstribuidos '!C3120)))</f>
        <v>Otros almidones</v>
      </c>
      <c r="C5176" s="10" t="s">
        <v>29</v>
      </c>
      <c r="D5176" s="12">
        <f>'Volúmenes DIstribuidos '!D3120</f>
        <v>8.1</v>
      </c>
      <c r="E5176" s="12">
        <f>SUMIF('Parametros Inventario'!$A:$A,B5176,'Parametros Inventario'!$B:$B)+SUMIFS(D$2:D5176,B$2:B5176,B5176,C$2:C5176,"ENTRADA")-SUMIFS(D$2:D5176,B$2:B5176,B5176,C$2:C5176,"SALIDA")</f>
        <v>27193.205000000005</v>
      </c>
    </row>
    <row r="5177" spans="1:5" x14ac:dyDescent="0.3">
      <c r="A5177" s="9">
        <f>'Volúmenes DIstribuidos '!B3117</f>
        <v>45863</v>
      </c>
      <c r="B5177" s="10" t="str">
        <f>IF(OR('Volúmenes DIstribuidos '!C3121="Azúcar",'Volúmenes DIstribuidos '!C3121="azúcar"),"Azúcar o dulce",IF('Volúmenes DIstribuidos '!C3121="Aceite","Aceite o grasas",IF('Volúmenes DIstribuidos '!C3121="Avena","Otros almidones",'Volúmenes DIstribuidos '!C3121)))</f>
        <v>Salsas</v>
      </c>
      <c r="C5177" s="10" t="s">
        <v>29</v>
      </c>
      <c r="D5177" s="12">
        <f>'Volúmenes DIstribuidos '!D3121</f>
        <v>24.257999999999999</v>
      </c>
      <c r="E5177" s="12">
        <f>SUMIF('Parametros Inventario'!$A:$A,B5177,'Parametros Inventario'!$B:$B)+SUMIFS(D$2:D5177,B$2:B5177,B5177,C$2:C5177,"ENTRADA")-SUMIFS(D$2:D5177,B$2:B5177,B5177,C$2:C5177,"SALIDA")</f>
        <v>24088.160999999982</v>
      </c>
    </row>
    <row r="5178" spans="1:5" x14ac:dyDescent="0.3">
      <c r="A5178" s="9">
        <f>'Volúmenes DIstribuidos '!B3117</f>
        <v>45863</v>
      </c>
      <c r="B5178" s="10" t="str">
        <f>IF(OR('Volúmenes DIstribuidos '!C3122="Azúcar",'Volúmenes DIstribuidos '!C3122="azúcar"),"Azúcar o dulce",IF('Volúmenes DIstribuidos '!C3122="Aceite","Aceite o grasas",IF('Volúmenes DIstribuidos '!C3122="Avena","Otros almidones",'Volúmenes DIstribuidos '!C3122)))</f>
        <v>Salsas</v>
      </c>
      <c r="C5178" s="10" t="s">
        <v>29</v>
      </c>
      <c r="D5178" s="12">
        <f>'Volúmenes DIstribuidos '!D3122</f>
        <v>43.25</v>
      </c>
      <c r="E5178" s="12">
        <f>SUMIF('Parametros Inventario'!$A:$A,B5178,'Parametros Inventario'!$B:$B)+SUMIFS(D$2:D5178,B$2:B5178,B5178,C$2:C5178,"ENTRADA")-SUMIFS(D$2:D5178,B$2:B5178,B5178,C$2:C5178,"SALIDA")</f>
        <v>24044.910999999982</v>
      </c>
    </row>
    <row r="5179" spans="1:5" x14ac:dyDescent="0.3">
      <c r="A5179" s="9">
        <f>'Volúmenes DIstribuidos '!B3123</f>
        <v>45867</v>
      </c>
      <c r="B5179" s="10" t="str">
        <f>IF(OR('Volúmenes DIstribuidos '!C3123="Azúcar",'Volúmenes DIstribuidos '!C3123="azúcar"),"Azúcar o dulce",IF('Volúmenes DIstribuidos '!C3123="Aceite","Aceite o grasas",IF('Volúmenes DIstribuidos '!C3123="Avena","Otros almidones",'Volúmenes DIstribuidos '!C3123)))</f>
        <v>Carnes rojas</v>
      </c>
      <c r="C5179" s="10" t="s">
        <v>29</v>
      </c>
      <c r="D5179" s="12">
        <f>'Volúmenes DIstribuidos '!D3123</f>
        <v>53.99</v>
      </c>
      <c r="E5179" s="12">
        <f>SUMIF('Parametros Inventario'!$A:$A,B5179,'Parametros Inventario'!$B:$B)+SUMIFS(D$2:D5179,B$2:B5179,B5179,C$2:C5179,"ENTRADA")-SUMIFS(D$2:D5179,B$2:B5179,B5179,C$2:C5179,"SALIDA")</f>
        <v>23803.950000000012</v>
      </c>
    </row>
    <row r="5180" spans="1:5" x14ac:dyDescent="0.3">
      <c r="A5180" s="9">
        <f>'Volúmenes DIstribuidos '!B3123</f>
        <v>45867</v>
      </c>
      <c r="B5180" s="10" t="str">
        <f>IF(OR('Volúmenes DIstribuidos '!C3124="Azúcar",'Volúmenes DIstribuidos '!C3124="azúcar"),"Azúcar o dulce",IF('Volúmenes DIstribuidos '!C3124="Aceite","Aceite o grasas",IF('Volúmenes DIstribuidos '!C3124="Avena","Otros almidones",'Volúmenes DIstribuidos '!C3124)))</f>
        <v>Otros almidones</v>
      </c>
      <c r="C5180" s="10" t="s">
        <v>29</v>
      </c>
      <c r="D5180" s="12">
        <f>'Volúmenes DIstribuidos '!D3124</f>
        <v>59.81</v>
      </c>
      <c r="E5180" s="12">
        <f>SUMIF('Parametros Inventario'!$A:$A,B5180,'Parametros Inventario'!$B:$B)+SUMIFS(D$2:D5180,B$2:B5180,B5180,C$2:C5180,"ENTRADA")-SUMIFS(D$2:D5180,B$2:B5180,B5180,C$2:C5180,"SALIDA")</f>
        <v>27133.395000000004</v>
      </c>
    </row>
    <row r="5181" spans="1:5" x14ac:dyDescent="0.3">
      <c r="A5181" s="9">
        <f>'Volúmenes DIstribuidos '!B3123</f>
        <v>45867</v>
      </c>
      <c r="B5181" s="10" t="str">
        <f>IF(OR('Volúmenes DIstribuidos '!C3125="Azúcar",'Volúmenes DIstribuidos '!C3125="azúcar"),"Azúcar o dulce",IF('Volúmenes DIstribuidos '!C3125="Aceite","Aceite o grasas",IF('Volúmenes DIstribuidos '!C3125="Avena","Otros almidones",'Volúmenes DIstribuidos '!C3125)))</f>
        <v>Menestras</v>
      </c>
      <c r="C5181" s="10" t="s">
        <v>29</v>
      </c>
      <c r="D5181" s="12">
        <f>'Volúmenes DIstribuidos '!D3125</f>
        <v>20.103000000000002</v>
      </c>
      <c r="E5181" s="12">
        <f>SUMIF('Parametros Inventario'!$A:$A,B5181,'Parametros Inventario'!$B:$B)+SUMIFS(D$2:D5181,B$2:B5181,B5181,C$2:C5181,"ENTRADA")-SUMIFS(D$2:D5181,B$2:B5181,B5181,C$2:C5181,"SALIDA")</f>
        <v>24512.674999999985</v>
      </c>
    </row>
    <row r="5182" spans="1:5" x14ac:dyDescent="0.3">
      <c r="A5182" s="9">
        <f>'Volúmenes DIstribuidos '!B3123</f>
        <v>45867</v>
      </c>
      <c r="B5182" s="10" t="str">
        <f>IF(OR('Volúmenes DIstribuidos '!C3126="Azúcar",'Volúmenes DIstribuidos '!C3126="azúcar"),"Azúcar o dulce",IF('Volúmenes DIstribuidos '!C3126="Aceite","Aceite o grasas",IF('Volúmenes DIstribuidos '!C3126="Avena","Otros almidones",'Volúmenes DIstribuidos '!C3126)))</f>
        <v>Carnes rojas</v>
      </c>
      <c r="C5182" s="10" t="s">
        <v>29</v>
      </c>
      <c r="D5182" s="12">
        <f>'Volúmenes DIstribuidos '!D3126</f>
        <v>23.13</v>
      </c>
      <c r="E5182" s="12">
        <f>SUMIF('Parametros Inventario'!$A:$A,B5182,'Parametros Inventario'!$B:$B)+SUMIFS(D$2:D5182,B$2:B5182,B5182,C$2:C5182,"ENTRADA")-SUMIFS(D$2:D5182,B$2:B5182,B5182,C$2:C5182,"SALIDA")</f>
        <v>23780.820000000011</v>
      </c>
    </row>
    <row r="5183" spans="1:5" x14ac:dyDescent="0.3">
      <c r="A5183" s="9">
        <f>'Volúmenes DIstribuidos '!B3123</f>
        <v>45867</v>
      </c>
      <c r="B5183" s="10" t="str">
        <f>IF(OR('Volúmenes DIstribuidos '!C3127="Azúcar",'Volúmenes DIstribuidos '!C3127="azúcar"),"Azúcar o dulce",IF('Volúmenes DIstribuidos '!C3127="Aceite","Aceite o grasas",IF('Volúmenes DIstribuidos '!C3127="Avena","Otros almidones",'Volúmenes DIstribuidos '!C3127)))</f>
        <v>Menestras</v>
      </c>
      <c r="C5183" s="10" t="s">
        <v>29</v>
      </c>
      <c r="D5183" s="12">
        <f>'Volúmenes DIstribuidos '!D3127</f>
        <v>8.06</v>
      </c>
      <c r="E5183" s="12">
        <f>SUMIF('Parametros Inventario'!$A:$A,B5183,'Parametros Inventario'!$B:$B)+SUMIFS(D$2:D5183,B$2:B5183,B5183,C$2:C5183,"ENTRADA")-SUMIFS(D$2:D5183,B$2:B5183,B5183,C$2:C5183,"SALIDA")</f>
        <v>24504.614999999983</v>
      </c>
    </row>
    <row r="5184" spans="1:5" x14ac:dyDescent="0.3">
      <c r="A5184" s="9">
        <f>'Volúmenes DIstribuidos '!B3123</f>
        <v>45867</v>
      </c>
      <c r="B5184" s="10" t="str">
        <f>IF(OR('Volúmenes DIstribuidos '!C3128="Azúcar",'Volúmenes DIstribuidos '!C3128="azúcar"),"Azúcar o dulce",IF('Volúmenes DIstribuidos '!C3128="Aceite","Aceite o grasas",IF('Volúmenes DIstribuidos '!C3128="Avena","Otros almidones",'Volúmenes DIstribuidos '!C3128)))</f>
        <v>Vegetales y hojas</v>
      </c>
      <c r="C5184" s="10" t="s">
        <v>29</v>
      </c>
      <c r="D5184" s="12">
        <f>'Volúmenes DIstribuidos '!D3128</f>
        <v>23.32</v>
      </c>
      <c r="E5184" s="12">
        <f>SUMIF('Parametros Inventario'!$A:$A,B5184,'Parametros Inventario'!$B:$B)+SUMIFS(D$2:D5184,B$2:B5184,B5184,C$2:C5184,"ENTRADA")-SUMIFS(D$2:D5184,B$2:B5184,B5184,C$2:C5184,"SALIDA")</f>
        <v>26317.87999999999</v>
      </c>
    </row>
    <row r="5185" spans="1:5" x14ac:dyDescent="0.3">
      <c r="A5185" s="9">
        <v>45870</v>
      </c>
      <c r="B5185" s="10" t="s">
        <v>13</v>
      </c>
      <c r="C5185" s="10" t="s">
        <v>28</v>
      </c>
      <c r="D5185" s="12">
        <v>162.52000000000001</v>
      </c>
      <c r="E5185" s="12">
        <f>SUMIF('Parametros Inventario'!$A:$A,B5185,'Parametros Inventario'!$B:$B)+SUMIFS(D$2:D5185,B$2:B5185,B5185,C$2:C5185,"ENTRADA")-SUMIFS(D$2:D5185,B$2:B5185,B5185,C$2:C5185,"SALIDA")</f>
        <v>23773.810999999987</v>
      </c>
    </row>
    <row r="5186" spans="1:5" x14ac:dyDescent="0.3">
      <c r="A5186" s="9">
        <v>45870</v>
      </c>
      <c r="B5186" s="10" t="s">
        <v>15</v>
      </c>
      <c r="C5186" s="10" t="s">
        <v>28</v>
      </c>
      <c r="D5186" s="12">
        <v>269.35000000000002</v>
      </c>
      <c r="E5186" s="12">
        <f>SUMIF('Parametros Inventario'!$A:$A,B5186,'Parametros Inventario'!$B:$B)+SUMIFS(D$2:D5186,B$2:B5186,B5186,C$2:C5186,"ENTRADA")-SUMIFS(D$2:D5186,B$2:B5186,B5186,C$2:C5186,"SALIDA")</f>
        <v>27402.745000000003</v>
      </c>
    </row>
    <row r="5187" spans="1:5" x14ac:dyDescent="0.3">
      <c r="A5187" s="9">
        <v>45870</v>
      </c>
      <c r="B5187" s="10" t="s">
        <v>11</v>
      </c>
      <c r="C5187" s="10" t="s">
        <v>28</v>
      </c>
      <c r="D5187" s="12">
        <v>297.81</v>
      </c>
      <c r="E5187" s="12">
        <f>SUMIF('Parametros Inventario'!$A:$A,B5187,'Parametros Inventario'!$B:$B)+SUMIFS(D$2:D5187,B$2:B5187,B5187,C$2:C5187,"ENTRADA")-SUMIFS(D$2:D5187,B$2:B5187,B5187,C$2:C5187,"SALIDA")</f>
        <v>27834.483000000004</v>
      </c>
    </row>
    <row r="5188" spans="1:5" x14ac:dyDescent="0.3">
      <c r="A5188" s="9">
        <v>45870</v>
      </c>
      <c r="B5188" s="10" t="s">
        <v>9</v>
      </c>
      <c r="C5188" s="10" t="s">
        <v>28</v>
      </c>
      <c r="D5188" s="12">
        <v>60.67</v>
      </c>
      <c r="E5188" s="12">
        <f>SUMIF('Parametros Inventario'!$A:$A,B5188,'Parametros Inventario'!$B:$B)+SUMIFS(D$2:D5188,B$2:B5188,B5188,C$2:C5188,"ENTRADA")-SUMIFS(D$2:D5188,B$2:B5188,B5188,C$2:C5188,"SALIDA")</f>
        <v>23714.825999999986</v>
      </c>
    </row>
    <row r="5189" spans="1:5" x14ac:dyDescent="0.3">
      <c r="A5189" s="9">
        <v>45870</v>
      </c>
      <c r="B5189" s="10" t="s">
        <v>14</v>
      </c>
      <c r="C5189" s="10" t="s">
        <v>28</v>
      </c>
      <c r="D5189" s="12">
        <v>294.36</v>
      </c>
      <c r="E5189" s="12">
        <f>SUMIF('Parametros Inventario'!$A:$A,B5189,'Parametros Inventario'!$B:$B)+SUMIFS(D$2:D5189,B$2:B5189,B5189,C$2:C5189,"ENTRADA")-SUMIFS(D$2:D5189,B$2:B5189,B5189,C$2:C5189,"SALIDA")</f>
        <v>24798.974999999984</v>
      </c>
    </row>
    <row r="5190" spans="1:5" x14ac:dyDescent="0.3">
      <c r="A5190" s="9">
        <v>45870</v>
      </c>
      <c r="B5190" s="10" t="s">
        <v>12</v>
      </c>
      <c r="C5190" s="10" t="s">
        <v>28</v>
      </c>
      <c r="D5190" s="12">
        <v>64.260000000000005</v>
      </c>
      <c r="E5190" s="12">
        <f>SUMIF('Parametros Inventario'!$A:$A,B5190,'Parametros Inventario'!$B:$B)+SUMIFS(D$2:D5190,B$2:B5190,B5190,C$2:C5190,"ENTRADA")-SUMIFS(D$2:D5190,B$2:B5190,B5190,C$2:C5190,"SALIDA")</f>
        <v>23845.080000000009</v>
      </c>
    </row>
    <row r="5191" spans="1:5" x14ac:dyDescent="0.3">
      <c r="A5191" s="9">
        <v>45870</v>
      </c>
      <c r="B5191" s="10" t="s">
        <v>16</v>
      </c>
      <c r="C5191" s="10" t="s">
        <v>28</v>
      </c>
      <c r="D5191" s="12">
        <v>247.65</v>
      </c>
      <c r="E5191" s="12">
        <f>SUMIF('Parametros Inventario'!$A:$A,B5191,'Parametros Inventario'!$B:$B)+SUMIFS(D$2:D5191,B$2:B5191,B5191,C$2:C5191,"ENTRADA")-SUMIFS(D$2:D5191,B$2:B5191,B5191,C$2:C5191,"SALIDA")</f>
        <v>24763.444999999992</v>
      </c>
    </row>
    <row r="5192" spans="1:5" x14ac:dyDescent="0.3">
      <c r="A5192" s="9">
        <v>45870</v>
      </c>
      <c r="B5192" s="10" t="s">
        <v>17</v>
      </c>
      <c r="C5192" s="10" t="s">
        <v>28</v>
      </c>
      <c r="D5192" s="12">
        <v>224.94</v>
      </c>
      <c r="E5192" s="12">
        <f>SUMIF('Parametros Inventario'!$A:$A,B5192,'Parametros Inventario'!$B:$B)+SUMIFS(D$2:D5192,B$2:B5192,B5192,C$2:C5192,"ENTRADA")-SUMIFS(D$2:D5192,B$2:B5192,B5192,C$2:C5192,"SALIDA")</f>
        <v>24664.034000000007</v>
      </c>
    </row>
    <row r="5193" spans="1:5" x14ac:dyDescent="0.3">
      <c r="A5193" s="9">
        <v>45870</v>
      </c>
      <c r="B5193" s="10" t="s">
        <v>18</v>
      </c>
      <c r="C5193" s="10" t="s">
        <v>28</v>
      </c>
      <c r="D5193" s="12">
        <v>190.2</v>
      </c>
      <c r="E5193" s="12">
        <f>SUMIF('Parametros Inventario'!$A:$A,B5193,'Parametros Inventario'!$B:$B)+SUMIFS(D$2:D5193,B$2:B5193,B5193,C$2:C5193,"ENTRADA")-SUMIFS(D$2:D5193,B$2:B5193,B5193,C$2:C5193,"SALIDA")</f>
        <v>24235.110999999979</v>
      </c>
    </row>
    <row r="5194" spans="1:5" x14ac:dyDescent="0.3">
      <c r="A5194" s="9">
        <v>45870</v>
      </c>
      <c r="B5194" s="10" t="s">
        <v>10</v>
      </c>
      <c r="C5194" s="10" t="s">
        <v>28</v>
      </c>
      <c r="D5194" s="12">
        <v>88.64</v>
      </c>
      <c r="E5194" s="12">
        <f>SUMIF('Parametros Inventario'!$A:$A,B5194,'Parametros Inventario'!$B:$B)+SUMIFS(D$2:D5194,B$2:B5194,B5194,C$2:C5194,"ENTRADA")-SUMIFS(D$2:D5194,B$2:B5194,B5194,C$2:C5194,"SALIDA")</f>
        <v>26406.51999999999</v>
      </c>
    </row>
    <row r="5195" spans="1:5" x14ac:dyDescent="0.3">
      <c r="A5195" s="9">
        <v>45870</v>
      </c>
      <c r="B5195" s="10" t="s">
        <v>8</v>
      </c>
      <c r="C5195" s="10" t="s">
        <v>28</v>
      </c>
      <c r="D5195" s="12">
        <v>76.319999999999993</v>
      </c>
      <c r="E5195" s="12">
        <f>SUMIF('Parametros Inventario'!$A:$A,B5195,'Parametros Inventario'!$B:$B)+SUMIFS(D$2:D5195,B$2:B5195,B5195,C$2:C5195,"ENTRADA")-SUMIFS(D$2:D5195,B$2:B5195,B5195,C$2:C5195,"SALIDA")</f>
        <v>24442.138000000006</v>
      </c>
    </row>
    <row r="5196" spans="1:5" x14ac:dyDescent="0.3">
      <c r="A5196" s="9">
        <f>'Volúmenes DIstribuidos '!B3129</f>
        <v>45870</v>
      </c>
      <c r="B5196" s="10" t="str">
        <f>IF(OR('Volúmenes DIstribuidos '!C3129="Azúcar",'Volúmenes DIstribuidos '!C3129="azúcar"),"Azúcar o dulce",IF('Volúmenes DIstribuidos '!C3129="Aceite","Aceite o grasas",IF('Volúmenes DIstribuidos '!C3129="Avena","Otros almidones",'Volúmenes DIstribuidos '!C3129)))</f>
        <v>Salsas</v>
      </c>
      <c r="C5196" s="10" t="s">
        <v>29</v>
      </c>
      <c r="D5196" s="12">
        <f>'Volúmenes DIstribuidos '!D3129</f>
        <v>46.94</v>
      </c>
      <c r="E5196" s="12">
        <f>SUMIF('Parametros Inventario'!$A:$A,B5196,'Parametros Inventario'!$B:$B)+SUMIFS(D$2:D5196,B$2:B5196,B5196,C$2:C5196,"ENTRADA")-SUMIFS(D$2:D5196,B$2:B5196,B5196,C$2:C5196,"SALIDA")</f>
        <v>24188.17099999998</v>
      </c>
    </row>
    <row r="5197" spans="1:5" x14ac:dyDescent="0.3">
      <c r="A5197" s="9">
        <f>'Volúmenes DIstribuidos '!B3129</f>
        <v>45870</v>
      </c>
      <c r="B5197" s="10" t="str">
        <f>IF(OR('Volúmenes DIstribuidos '!C3130="Azúcar",'Volúmenes DIstribuidos '!C3130="azúcar"),"Azúcar o dulce",IF('Volúmenes DIstribuidos '!C3130="Aceite","Aceite o grasas",IF('Volúmenes DIstribuidos '!C3130="Avena","Otros almidones",'Volúmenes DIstribuidos '!C3130)))</f>
        <v>Carnes blancas</v>
      </c>
      <c r="C5197" s="10" t="s">
        <v>29</v>
      </c>
      <c r="D5197" s="12">
        <f>'Volúmenes DIstribuidos '!D3130</f>
        <v>24.81</v>
      </c>
      <c r="E5197" s="12">
        <f>SUMIF('Parametros Inventario'!$A:$A,B5197,'Parametros Inventario'!$B:$B)+SUMIFS(D$2:D5197,B$2:B5197,B5197,C$2:C5197,"ENTRADA")-SUMIFS(D$2:D5197,B$2:B5197,B5197,C$2:C5197,"SALIDA")</f>
        <v>24738.634999999991</v>
      </c>
    </row>
    <row r="5198" spans="1:5" x14ac:dyDescent="0.3">
      <c r="A5198" s="9">
        <f>'Volúmenes DIstribuidos '!B3129</f>
        <v>45870</v>
      </c>
      <c r="B5198" s="10" t="str">
        <f>IF(OR('Volúmenes DIstribuidos '!C3131="Azúcar",'Volúmenes DIstribuidos '!C3131="azúcar"),"Azúcar o dulce",IF('Volúmenes DIstribuidos '!C3131="Aceite","Aceite o grasas",IF('Volúmenes DIstribuidos '!C3131="Avena","Otros almidones",'Volúmenes DIstribuidos '!C3131)))</f>
        <v>Aceite o grasas</v>
      </c>
      <c r="C5198" s="10" t="s">
        <v>29</v>
      </c>
      <c r="D5198" s="12">
        <f>'Volúmenes DIstribuidos '!D3131</f>
        <v>54.648000000000003</v>
      </c>
      <c r="E5198" s="12">
        <f>SUMIF('Parametros Inventario'!$A:$A,B5198,'Parametros Inventario'!$B:$B)+SUMIFS(D$2:D5198,B$2:B5198,B5198,C$2:C5198,"ENTRADA")-SUMIFS(D$2:D5198,B$2:B5198,B5198,C$2:C5198,"SALIDA")</f>
        <v>24387.490000000009</v>
      </c>
    </row>
    <row r="5199" spans="1:5" x14ac:dyDescent="0.3">
      <c r="A5199" s="9">
        <f>'Volúmenes DIstribuidos '!B3129</f>
        <v>45870</v>
      </c>
      <c r="B5199" s="10" t="str">
        <f>IF(OR('Volúmenes DIstribuidos '!C3132="Azúcar",'Volúmenes DIstribuidos '!C3132="azúcar"),"Azúcar o dulce",IF('Volúmenes DIstribuidos '!C3132="Aceite","Aceite o grasas",IF('Volúmenes DIstribuidos '!C3132="Avena","Otros almidones",'Volúmenes DIstribuidos '!C3132)))</f>
        <v>Panadería</v>
      </c>
      <c r="C5199" s="10" t="s">
        <v>29</v>
      </c>
      <c r="D5199" s="12">
        <f>'Volúmenes DIstribuidos '!D3132</f>
        <v>37.380000000000003</v>
      </c>
      <c r="E5199" s="12">
        <f>SUMIF('Parametros Inventario'!$A:$A,B5199,'Parametros Inventario'!$B:$B)+SUMIFS(D$2:D5199,B$2:B5199,B5199,C$2:C5199,"ENTRADA")-SUMIFS(D$2:D5199,B$2:B5199,B5199,C$2:C5199,"SALIDA")</f>
        <v>23677.445999999989</v>
      </c>
    </row>
    <row r="5200" spans="1:5" x14ac:dyDescent="0.3">
      <c r="A5200" s="9">
        <f>'Volúmenes DIstribuidos '!B3129</f>
        <v>45870</v>
      </c>
      <c r="B5200" s="10" t="str">
        <f>IF(OR('Volúmenes DIstribuidos '!C3133="Azúcar",'Volúmenes DIstribuidos '!C3133="azúcar"),"Azúcar o dulce",IF('Volúmenes DIstribuidos '!C3133="Aceite","Aceite o grasas",IF('Volúmenes DIstribuidos '!C3133="Avena","Otros almidones",'Volúmenes DIstribuidos '!C3133)))</f>
        <v>Carnes rojas</v>
      </c>
      <c r="C5200" s="10" t="s">
        <v>29</v>
      </c>
      <c r="D5200" s="12">
        <f>'Volúmenes DIstribuidos '!D3133</f>
        <v>23.17</v>
      </c>
      <c r="E5200" s="12">
        <f>SUMIF('Parametros Inventario'!$A:$A,B5200,'Parametros Inventario'!$B:$B)+SUMIFS(D$2:D5200,B$2:B5200,B5200,C$2:C5200,"ENTRADA")-SUMIFS(D$2:D5200,B$2:B5200,B5200,C$2:C5200,"SALIDA")</f>
        <v>23821.910000000011</v>
      </c>
    </row>
    <row r="5201" spans="1:5" x14ac:dyDescent="0.3">
      <c r="A5201" s="9">
        <f>'Volúmenes DIstribuidos '!B3129</f>
        <v>45870</v>
      </c>
      <c r="B5201" s="10" t="str">
        <f>IF(OR('Volúmenes DIstribuidos '!C3134="Azúcar",'Volúmenes DIstribuidos '!C3134="azúcar"),"Azúcar o dulce",IF('Volúmenes DIstribuidos '!C3134="Aceite","Aceite o grasas",IF('Volúmenes DIstribuidos '!C3134="Avena","Otros almidones",'Volúmenes DIstribuidos '!C3134)))</f>
        <v>Vegetales y hojas</v>
      </c>
      <c r="C5201" s="10" t="s">
        <v>29</v>
      </c>
      <c r="D5201" s="12">
        <f>'Volúmenes DIstribuidos '!D3134</f>
        <v>24.02</v>
      </c>
      <c r="E5201" s="12">
        <f>SUMIF('Parametros Inventario'!$A:$A,B5201,'Parametros Inventario'!$B:$B)+SUMIFS(D$2:D5201,B$2:B5201,B5201,C$2:C5201,"ENTRADA")-SUMIFS(D$2:D5201,B$2:B5201,B5201,C$2:C5201,"SALIDA")</f>
        <v>26382.499999999989</v>
      </c>
    </row>
    <row r="5202" spans="1:5" x14ac:dyDescent="0.3">
      <c r="A5202" s="9">
        <f>'Volúmenes DIstribuidos '!B3135</f>
        <v>45874</v>
      </c>
      <c r="B5202" s="10" t="str">
        <f>IF(OR('Volúmenes DIstribuidos '!C3135="Azúcar",'Volúmenes DIstribuidos '!C3135="azúcar"),"Azúcar o dulce",IF('Volúmenes DIstribuidos '!C3135="Aceite","Aceite o grasas",IF('Volúmenes DIstribuidos '!C3135="Avena","Otros almidones",'Volúmenes DIstribuidos '!C3135)))</f>
        <v>Lácteos</v>
      </c>
      <c r="C5202" s="10" t="s">
        <v>29</v>
      </c>
      <c r="D5202" s="12">
        <f>'Volúmenes DIstribuidos '!D3135</f>
        <v>11.93</v>
      </c>
      <c r="E5202" s="12">
        <f>SUMIF('Parametros Inventario'!$A:$A,B5202,'Parametros Inventario'!$B:$B)+SUMIFS(D$2:D5202,B$2:B5202,B5202,C$2:C5202,"ENTRADA")-SUMIFS(D$2:D5202,B$2:B5202,B5202,C$2:C5202,"SALIDA")</f>
        <v>24652.104000000007</v>
      </c>
    </row>
    <row r="5203" spans="1:5" x14ac:dyDescent="0.3">
      <c r="A5203" s="9">
        <f>'Volúmenes DIstribuidos '!B3135</f>
        <v>45874</v>
      </c>
      <c r="B5203" s="10" t="str">
        <f>IF(OR('Volúmenes DIstribuidos '!C3136="Azúcar",'Volúmenes DIstribuidos '!C3136="azúcar"),"Azúcar o dulce",IF('Volúmenes DIstribuidos '!C3136="Aceite","Aceite o grasas",IF('Volúmenes DIstribuidos '!C3136="Avena","Otros almidones",'Volúmenes DIstribuidos '!C3136)))</f>
        <v>Aceite o grasas</v>
      </c>
      <c r="C5203" s="10" t="s">
        <v>29</v>
      </c>
      <c r="D5203" s="12">
        <f>'Volúmenes DIstribuidos '!D3136</f>
        <v>18.09</v>
      </c>
      <c r="E5203" s="12">
        <f>SUMIF('Parametros Inventario'!$A:$A,B5203,'Parametros Inventario'!$B:$B)+SUMIFS(D$2:D5203,B$2:B5203,B5203,C$2:C5203,"ENTRADA")-SUMIFS(D$2:D5203,B$2:B5203,B5203,C$2:C5203,"SALIDA")</f>
        <v>24369.400000000009</v>
      </c>
    </row>
    <row r="5204" spans="1:5" x14ac:dyDescent="0.3">
      <c r="A5204" s="9">
        <f>'Volúmenes DIstribuidos '!B3135</f>
        <v>45874</v>
      </c>
      <c r="B5204" s="10" t="str">
        <f>IF(OR('Volúmenes DIstribuidos '!C3137="Azúcar",'Volúmenes DIstribuidos '!C3137="azúcar"),"Azúcar o dulce",IF('Volúmenes DIstribuidos '!C3137="Aceite","Aceite o grasas",IF('Volúmenes DIstribuidos '!C3137="Avena","Otros almidones",'Volúmenes DIstribuidos '!C3137)))</f>
        <v>Carnes blancas</v>
      </c>
      <c r="C5204" s="10" t="s">
        <v>29</v>
      </c>
      <c r="D5204" s="12">
        <f>'Volúmenes DIstribuidos '!D3137</f>
        <v>10.154999999999999</v>
      </c>
      <c r="E5204" s="12">
        <f>SUMIF('Parametros Inventario'!$A:$A,B5204,'Parametros Inventario'!$B:$B)+SUMIFS(D$2:D5204,B$2:B5204,B5204,C$2:C5204,"ENTRADA")-SUMIFS(D$2:D5204,B$2:B5204,B5204,C$2:C5204,"SALIDA")</f>
        <v>24728.479999999989</v>
      </c>
    </row>
    <row r="5205" spans="1:5" x14ac:dyDescent="0.3">
      <c r="A5205" s="9">
        <f>'Volúmenes DIstribuidos '!B3135</f>
        <v>45874</v>
      </c>
      <c r="B5205" s="10" t="str">
        <f>IF(OR('Volúmenes DIstribuidos '!C3138="Azúcar",'Volúmenes DIstribuidos '!C3138="azúcar"),"Azúcar o dulce",IF('Volúmenes DIstribuidos '!C3138="Aceite","Aceite o grasas",IF('Volúmenes DIstribuidos '!C3138="Avena","Otros almidones",'Volúmenes DIstribuidos '!C3138)))</f>
        <v>Aceite o grasas</v>
      </c>
      <c r="C5205" s="10" t="s">
        <v>29</v>
      </c>
      <c r="D5205" s="12">
        <f>'Volúmenes DIstribuidos '!D3138</f>
        <v>15.42</v>
      </c>
      <c r="E5205" s="12">
        <f>SUMIF('Parametros Inventario'!$A:$A,B5205,'Parametros Inventario'!$B:$B)+SUMIFS(D$2:D5205,B$2:B5205,B5205,C$2:C5205,"ENTRADA")-SUMIFS(D$2:D5205,B$2:B5205,B5205,C$2:C5205,"SALIDA")</f>
        <v>24353.98000000001</v>
      </c>
    </row>
    <row r="5206" spans="1:5" x14ac:dyDescent="0.3">
      <c r="A5206" s="9">
        <f>'Volúmenes DIstribuidos '!B3135</f>
        <v>45874</v>
      </c>
      <c r="B5206" s="10" t="str">
        <f>IF(OR('Volúmenes DIstribuidos '!C3139="Azúcar",'Volúmenes DIstribuidos '!C3139="azúcar"),"Azúcar o dulce",IF('Volúmenes DIstribuidos '!C3139="Aceite","Aceite o grasas",IF('Volúmenes DIstribuidos '!C3139="Avena","Otros almidones",'Volúmenes DIstribuidos '!C3139)))</f>
        <v>Carnes blancas</v>
      </c>
      <c r="C5206" s="10" t="s">
        <v>29</v>
      </c>
      <c r="D5206" s="12">
        <f>'Volúmenes DIstribuidos '!D3139</f>
        <v>7.6</v>
      </c>
      <c r="E5206" s="12">
        <f>SUMIF('Parametros Inventario'!$A:$A,B5206,'Parametros Inventario'!$B:$B)+SUMIFS(D$2:D5206,B$2:B5206,B5206,C$2:C5206,"ENTRADA")-SUMIFS(D$2:D5206,B$2:B5206,B5206,C$2:C5206,"SALIDA")</f>
        <v>24720.87999999999</v>
      </c>
    </row>
    <row r="5207" spans="1:5" x14ac:dyDescent="0.3">
      <c r="A5207" s="9">
        <f>'Volúmenes DIstribuidos '!B3135</f>
        <v>45874</v>
      </c>
      <c r="B5207" s="10" t="str">
        <f>IF(OR('Volúmenes DIstribuidos '!C3140="Azúcar",'Volúmenes DIstribuidos '!C3140="azúcar"),"Azúcar o dulce",IF('Volúmenes DIstribuidos '!C3140="Aceite","Aceite o grasas",IF('Volúmenes DIstribuidos '!C3140="Avena","Otros almidones",'Volúmenes DIstribuidos '!C3140)))</f>
        <v>Carnes rojas</v>
      </c>
      <c r="C5207" s="10" t="s">
        <v>29</v>
      </c>
      <c r="D5207" s="12">
        <f>'Volúmenes DIstribuidos '!D3140</f>
        <v>13.24</v>
      </c>
      <c r="E5207" s="12">
        <f>SUMIF('Parametros Inventario'!$A:$A,B5207,'Parametros Inventario'!$B:$B)+SUMIFS(D$2:D5207,B$2:B5207,B5207,C$2:C5207,"ENTRADA")-SUMIFS(D$2:D5207,B$2:B5207,B5207,C$2:C5207,"SALIDA")</f>
        <v>23808.670000000009</v>
      </c>
    </row>
    <row r="5208" spans="1:5" x14ac:dyDescent="0.3">
      <c r="A5208" s="9">
        <v>45877</v>
      </c>
      <c r="B5208" s="10" t="s">
        <v>13</v>
      </c>
      <c r="C5208" s="10" t="s">
        <v>28</v>
      </c>
      <c r="D5208" s="12">
        <v>143.96</v>
      </c>
      <c r="E5208" s="12">
        <f>SUMIF('Parametros Inventario'!$A:$A,B5208,'Parametros Inventario'!$B:$B)+SUMIFS(D$2:D5208,B$2:B5208,B5208,C$2:C5208,"ENTRADA")-SUMIFS(D$2:D5208,B$2:B5208,B5208,C$2:C5208,"SALIDA")</f>
        <v>23917.770999999986</v>
      </c>
    </row>
    <row r="5209" spans="1:5" x14ac:dyDescent="0.3">
      <c r="A5209" s="9">
        <v>45877</v>
      </c>
      <c r="B5209" s="10" t="s">
        <v>15</v>
      </c>
      <c r="C5209" s="10" t="s">
        <v>28</v>
      </c>
      <c r="D5209" s="12">
        <v>192.53</v>
      </c>
      <c r="E5209" s="12">
        <f>SUMIF('Parametros Inventario'!$A:$A,B5209,'Parametros Inventario'!$B:$B)+SUMIFS(D$2:D5209,B$2:B5209,B5209,C$2:C5209,"ENTRADA")-SUMIFS(D$2:D5209,B$2:B5209,B5209,C$2:C5209,"SALIDA")</f>
        <v>27595.275000000001</v>
      </c>
    </row>
    <row r="5210" spans="1:5" x14ac:dyDescent="0.3">
      <c r="A5210" s="9">
        <v>45877</v>
      </c>
      <c r="B5210" s="10" t="s">
        <v>11</v>
      </c>
      <c r="C5210" s="10" t="s">
        <v>28</v>
      </c>
      <c r="D5210" s="12">
        <v>263.45999999999998</v>
      </c>
      <c r="E5210" s="12">
        <f>SUMIF('Parametros Inventario'!$A:$A,B5210,'Parametros Inventario'!$B:$B)+SUMIFS(D$2:D5210,B$2:B5210,B5210,C$2:C5210,"ENTRADA")-SUMIFS(D$2:D5210,B$2:B5210,B5210,C$2:C5210,"SALIDA")</f>
        <v>28097.943000000003</v>
      </c>
    </row>
    <row r="5211" spans="1:5" x14ac:dyDescent="0.3">
      <c r="A5211" s="9">
        <v>45877</v>
      </c>
      <c r="B5211" s="10" t="s">
        <v>9</v>
      </c>
      <c r="C5211" s="10" t="s">
        <v>28</v>
      </c>
      <c r="D5211" s="12">
        <v>105.76</v>
      </c>
      <c r="E5211" s="12">
        <f>SUMIF('Parametros Inventario'!$A:$A,B5211,'Parametros Inventario'!$B:$B)+SUMIFS(D$2:D5211,B$2:B5211,B5211,C$2:C5211,"ENTRADA")-SUMIFS(D$2:D5211,B$2:B5211,B5211,C$2:C5211,"SALIDA")</f>
        <v>23783.205999999991</v>
      </c>
    </row>
    <row r="5212" spans="1:5" x14ac:dyDescent="0.3">
      <c r="A5212" s="9">
        <v>45877</v>
      </c>
      <c r="B5212" s="10" t="s">
        <v>14</v>
      </c>
      <c r="C5212" s="10" t="s">
        <v>28</v>
      </c>
      <c r="D5212" s="12">
        <v>268.54000000000002</v>
      </c>
      <c r="E5212" s="12">
        <f>SUMIF('Parametros Inventario'!$A:$A,B5212,'Parametros Inventario'!$B:$B)+SUMIFS(D$2:D5212,B$2:B5212,B5212,C$2:C5212,"ENTRADA")-SUMIFS(D$2:D5212,B$2:B5212,B5212,C$2:C5212,"SALIDA")</f>
        <v>25067.514999999985</v>
      </c>
    </row>
    <row r="5213" spans="1:5" x14ac:dyDescent="0.3">
      <c r="A5213" s="9">
        <v>45877</v>
      </c>
      <c r="B5213" s="10" t="s">
        <v>12</v>
      </c>
      <c r="C5213" s="10" t="s">
        <v>28</v>
      </c>
      <c r="D5213" s="12">
        <v>217.29</v>
      </c>
      <c r="E5213" s="12">
        <f>SUMIF('Parametros Inventario'!$A:$A,B5213,'Parametros Inventario'!$B:$B)+SUMIFS(D$2:D5213,B$2:B5213,B5213,C$2:C5213,"ENTRADA")-SUMIFS(D$2:D5213,B$2:B5213,B5213,C$2:C5213,"SALIDA")</f>
        <v>24025.96000000001</v>
      </c>
    </row>
    <row r="5214" spans="1:5" x14ac:dyDescent="0.3">
      <c r="A5214" s="9">
        <v>45877</v>
      </c>
      <c r="B5214" s="10" t="s">
        <v>16</v>
      </c>
      <c r="C5214" s="10" t="s">
        <v>28</v>
      </c>
      <c r="D5214" s="12">
        <v>137.22999999999999</v>
      </c>
      <c r="E5214" s="12">
        <f>SUMIF('Parametros Inventario'!$A:$A,B5214,'Parametros Inventario'!$B:$B)+SUMIFS(D$2:D5214,B$2:B5214,B5214,C$2:C5214,"ENTRADA")-SUMIFS(D$2:D5214,B$2:B5214,B5214,C$2:C5214,"SALIDA")</f>
        <v>24858.109999999986</v>
      </c>
    </row>
    <row r="5215" spans="1:5" x14ac:dyDescent="0.3">
      <c r="A5215" s="9">
        <v>45877</v>
      </c>
      <c r="B5215" s="10" t="s">
        <v>17</v>
      </c>
      <c r="C5215" s="10" t="s">
        <v>28</v>
      </c>
      <c r="D5215" s="12">
        <v>167.12</v>
      </c>
      <c r="E5215" s="12">
        <f>SUMIF('Parametros Inventario'!$A:$A,B5215,'Parametros Inventario'!$B:$B)+SUMIFS(D$2:D5215,B$2:B5215,B5215,C$2:C5215,"ENTRADA")-SUMIFS(D$2:D5215,B$2:B5215,B5215,C$2:C5215,"SALIDA")</f>
        <v>24819.224000000009</v>
      </c>
    </row>
    <row r="5216" spans="1:5" x14ac:dyDescent="0.3">
      <c r="A5216" s="9">
        <v>45877</v>
      </c>
      <c r="B5216" s="10" t="s">
        <v>18</v>
      </c>
      <c r="C5216" s="10" t="s">
        <v>28</v>
      </c>
      <c r="D5216" s="12">
        <v>183.78</v>
      </c>
      <c r="E5216" s="12">
        <f>SUMIF('Parametros Inventario'!$A:$A,B5216,'Parametros Inventario'!$B:$B)+SUMIFS(D$2:D5216,B$2:B5216,B5216,C$2:C5216,"ENTRADA")-SUMIFS(D$2:D5216,B$2:B5216,B5216,C$2:C5216,"SALIDA")</f>
        <v>24371.950999999979</v>
      </c>
    </row>
    <row r="5217" spans="1:5" x14ac:dyDescent="0.3">
      <c r="A5217" s="9">
        <v>45877</v>
      </c>
      <c r="B5217" s="10" t="s">
        <v>10</v>
      </c>
      <c r="C5217" s="10" t="s">
        <v>28</v>
      </c>
      <c r="D5217" s="12">
        <v>254.57</v>
      </c>
      <c r="E5217" s="12">
        <f>SUMIF('Parametros Inventario'!$A:$A,B5217,'Parametros Inventario'!$B:$B)+SUMIFS(D$2:D5217,B$2:B5217,B5217,C$2:C5217,"ENTRADA")-SUMIFS(D$2:D5217,B$2:B5217,B5217,C$2:C5217,"SALIDA")</f>
        <v>26637.069999999989</v>
      </c>
    </row>
    <row r="5218" spans="1:5" x14ac:dyDescent="0.3">
      <c r="A5218" s="9">
        <v>45877</v>
      </c>
      <c r="B5218" s="10" t="s">
        <v>8</v>
      </c>
      <c r="C5218" s="10" t="s">
        <v>28</v>
      </c>
      <c r="D5218" s="12">
        <v>77.28</v>
      </c>
      <c r="E5218" s="12">
        <f>SUMIF('Parametros Inventario'!$A:$A,B5218,'Parametros Inventario'!$B:$B)+SUMIFS(D$2:D5218,B$2:B5218,B5218,C$2:C5218,"ENTRADA")-SUMIFS(D$2:D5218,B$2:B5218,B5218,C$2:C5218,"SALIDA")</f>
        <v>24431.260000000009</v>
      </c>
    </row>
    <row r="5219" spans="1:5" x14ac:dyDescent="0.3">
      <c r="A5219" s="9">
        <v>45877</v>
      </c>
      <c r="B5219" s="10" t="s">
        <v>13</v>
      </c>
      <c r="C5219" s="10" t="s">
        <v>28</v>
      </c>
      <c r="D5219" s="12">
        <v>95.07</v>
      </c>
      <c r="E5219" s="12">
        <f>SUMIF('Parametros Inventario'!$A:$A,B5219,'Parametros Inventario'!$B:$B)+SUMIFS(D$2:D5219,B$2:B5219,B5219,C$2:C5219,"ENTRADA")-SUMIFS(D$2:D5219,B$2:B5219,B5219,C$2:C5219,"SALIDA")</f>
        <v>24012.840999999986</v>
      </c>
    </row>
    <row r="5220" spans="1:5" x14ac:dyDescent="0.3">
      <c r="A5220" s="9">
        <v>45877</v>
      </c>
      <c r="B5220" s="10" t="s">
        <v>15</v>
      </c>
      <c r="C5220" s="10" t="s">
        <v>28</v>
      </c>
      <c r="D5220" s="12">
        <v>77.09</v>
      </c>
      <c r="E5220" s="12">
        <f>SUMIF('Parametros Inventario'!$A:$A,B5220,'Parametros Inventario'!$B:$B)+SUMIFS(D$2:D5220,B$2:B5220,B5220,C$2:C5220,"ENTRADA")-SUMIFS(D$2:D5220,B$2:B5220,B5220,C$2:C5220,"SALIDA")</f>
        <v>27672.364999999998</v>
      </c>
    </row>
    <row r="5221" spans="1:5" x14ac:dyDescent="0.3">
      <c r="A5221" s="9">
        <v>45877</v>
      </c>
      <c r="B5221" s="10" t="s">
        <v>11</v>
      </c>
      <c r="C5221" s="10" t="s">
        <v>28</v>
      </c>
      <c r="D5221" s="12">
        <v>289.89</v>
      </c>
      <c r="E5221" s="12">
        <f>SUMIF('Parametros Inventario'!$A:$A,B5221,'Parametros Inventario'!$B:$B)+SUMIFS(D$2:D5221,B$2:B5221,B5221,C$2:C5221,"ENTRADA")-SUMIFS(D$2:D5221,B$2:B5221,B5221,C$2:C5221,"SALIDA")</f>
        <v>28387.833000000002</v>
      </c>
    </row>
    <row r="5222" spans="1:5" x14ac:dyDescent="0.3">
      <c r="A5222" s="9">
        <v>45877</v>
      </c>
      <c r="B5222" s="10" t="s">
        <v>9</v>
      </c>
      <c r="C5222" s="10" t="s">
        <v>28</v>
      </c>
      <c r="D5222" s="12">
        <v>149.24</v>
      </c>
      <c r="E5222" s="12">
        <f>SUMIF('Parametros Inventario'!$A:$A,B5222,'Parametros Inventario'!$B:$B)+SUMIFS(D$2:D5222,B$2:B5222,B5222,C$2:C5222,"ENTRADA")-SUMIFS(D$2:D5222,B$2:B5222,B5222,C$2:C5222,"SALIDA")</f>
        <v>23932.445999999989</v>
      </c>
    </row>
    <row r="5223" spans="1:5" x14ac:dyDescent="0.3">
      <c r="A5223" s="9">
        <v>45877</v>
      </c>
      <c r="B5223" s="10" t="s">
        <v>14</v>
      </c>
      <c r="C5223" s="10" t="s">
        <v>28</v>
      </c>
      <c r="D5223" s="12">
        <v>158.28</v>
      </c>
      <c r="E5223" s="12">
        <f>SUMIF('Parametros Inventario'!$A:$A,B5223,'Parametros Inventario'!$B:$B)+SUMIFS(D$2:D5223,B$2:B5223,B5223,C$2:C5223,"ENTRADA")-SUMIFS(D$2:D5223,B$2:B5223,B5223,C$2:C5223,"SALIDA")</f>
        <v>25225.794999999984</v>
      </c>
    </row>
    <row r="5224" spans="1:5" x14ac:dyDescent="0.3">
      <c r="A5224" s="9">
        <v>45877</v>
      </c>
      <c r="B5224" s="10" t="s">
        <v>12</v>
      </c>
      <c r="C5224" s="10" t="s">
        <v>28</v>
      </c>
      <c r="D5224" s="12">
        <v>150.38</v>
      </c>
      <c r="E5224" s="12">
        <f>SUMIF('Parametros Inventario'!$A:$A,B5224,'Parametros Inventario'!$B:$B)+SUMIFS(D$2:D5224,B$2:B5224,B5224,C$2:C5224,"ENTRADA")-SUMIFS(D$2:D5224,B$2:B5224,B5224,C$2:C5224,"SALIDA")</f>
        <v>24176.340000000011</v>
      </c>
    </row>
    <row r="5225" spans="1:5" x14ac:dyDescent="0.3">
      <c r="A5225" s="9">
        <v>45877</v>
      </c>
      <c r="B5225" s="10" t="s">
        <v>16</v>
      </c>
      <c r="C5225" s="10" t="s">
        <v>28</v>
      </c>
      <c r="D5225" s="12">
        <v>66.12</v>
      </c>
      <c r="E5225" s="12">
        <f>SUMIF('Parametros Inventario'!$A:$A,B5225,'Parametros Inventario'!$B:$B)+SUMIFS(D$2:D5225,B$2:B5225,B5225,C$2:C5225,"ENTRADA")-SUMIFS(D$2:D5225,B$2:B5225,B5225,C$2:C5225,"SALIDA")</f>
        <v>24924.229999999981</v>
      </c>
    </row>
    <row r="5226" spans="1:5" x14ac:dyDescent="0.3">
      <c r="A5226" s="9">
        <v>45877</v>
      </c>
      <c r="B5226" s="10" t="s">
        <v>17</v>
      </c>
      <c r="C5226" s="10" t="s">
        <v>28</v>
      </c>
      <c r="D5226" s="12">
        <v>135.61000000000001</v>
      </c>
      <c r="E5226" s="12">
        <f>SUMIF('Parametros Inventario'!$A:$A,B5226,'Parametros Inventario'!$B:$B)+SUMIFS(D$2:D5226,B$2:B5226,B5226,C$2:C5226,"ENTRADA")-SUMIFS(D$2:D5226,B$2:B5226,B5226,C$2:C5226,"SALIDA")</f>
        <v>24954.83400000001</v>
      </c>
    </row>
    <row r="5227" spans="1:5" x14ac:dyDescent="0.3">
      <c r="A5227" s="9">
        <v>45877</v>
      </c>
      <c r="B5227" s="10" t="s">
        <v>18</v>
      </c>
      <c r="C5227" s="10" t="s">
        <v>28</v>
      </c>
      <c r="D5227" s="12">
        <v>201.09</v>
      </c>
      <c r="E5227" s="12">
        <f>SUMIF('Parametros Inventario'!$A:$A,B5227,'Parametros Inventario'!$B:$B)+SUMIFS(D$2:D5227,B$2:B5227,B5227,C$2:C5227,"ENTRADA")-SUMIFS(D$2:D5227,B$2:B5227,B5227,C$2:C5227,"SALIDA")</f>
        <v>24573.040999999983</v>
      </c>
    </row>
    <row r="5228" spans="1:5" x14ac:dyDescent="0.3">
      <c r="A5228" s="9">
        <v>45877</v>
      </c>
      <c r="B5228" s="10" t="s">
        <v>10</v>
      </c>
      <c r="C5228" s="10" t="s">
        <v>28</v>
      </c>
      <c r="D5228" s="12">
        <v>103.16</v>
      </c>
      <c r="E5228" s="12">
        <f>SUMIF('Parametros Inventario'!$A:$A,B5228,'Parametros Inventario'!$B:$B)+SUMIFS(D$2:D5228,B$2:B5228,B5228,C$2:C5228,"ENTRADA")-SUMIFS(D$2:D5228,B$2:B5228,B5228,C$2:C5228,"SALIDA")</f>
        <v>26740.229999999992</v>
      </c>
    </row>
    <row r="5229" spans="1:5" x14ac:dyDescent="0.3">
      <c r="A5229" s="9">
        <f>'Volúmenes DIstribuidos '!B3141</f>
        <v>45877</v>
      </c>
      <c r="B5229" s="10" t="str">
        <f>IF(OR('Volúmenes DIstribuidos '!C3141="Azúcar",'Volúmenes DIstribuidos '!C3141="azúcar"),"Azúcar o dulce",IF('Volúmenes DIstribuidos '!C3141="Aceite","Aceite o grasas",IF('Volúmenes DIstribuidos '!C3141="Avena","Otros almidones",'Volúmenes DIstribuidos '!C3141)))</f>
        <v>Otros almidones</v>
      </c>
      <c r="C5229" s="10" t="s">
        <v>29</v>
      </c>
      <c r="D5229" s="12">
        <f>'Volúmenes DIstribuidos '!D3141</f>
        <v>3.7</v>
      </c>
      <c r="E5229" s="12">
        <f>SUMIF('Parametros Inventario'!$A:$A,B5229,'Parametros Inventario'!$B:$B)+SUMIFS(D$2:D5229,B$2:B5229,B5229,C$2:C5229,"ENTRADA")-SUMIFS(D$2:D5229,B$2:B5229,B5229,C$2:C5229,"SALIDA")</f>
        <v>27668.665000000001</v>
      </c>
    </row>
    <row r="5230" spans="1:5" x14ac:dyDescent="0.3">
      <c r="A5230" s="9">
        <f>'Volúmenes DIstribuidos '!B3141</f>
        <v>45877</v>
      </c>
      <c r="B5230" s="10" t="str">
        <f>IF(OR('Volúmenes DIstribuidos '!C3142="Azúcar",'Volúmenes DIstribuidos '!C3142="azúcar"),"Azúcar o dulce",IF('Volúmenes DIstribuidos '!C3142="Aceite","Aceite o grasas",IF('Volúmenes DIstribuidos '!C3142="Avena","Otros almidones",'Volúmenes DIstribuidos '!C3142)))</f>
        <v>Salsas</v>
      </c>
      <c r="C5230" s="10" t="s">
        <v>29</v>
      </c>
      <c r="D5230" s="12">
        <f>'Volúmenes DIstribuidos '!D3142</f>
        <v>11.56</v>
      </c>
      <c r="E5230" s="12">
        <f>SUMIF('Parametros Inventario'!$A:$A,B5230,'Parametros Inventario'!$B:$B)+SUMIFS(D$2:D5230,B$2:B5230,B5230,C$2:C5230,"ENTRADA")-SUMIFS(D$2:D5230,B$2:B5230,B5230,C$2:C5230,"SALIDA")</f>
        <v>24561.480999999982</v>
      </c>
    </row>
    <row r="5231" spans="1:5" x14ac:dyDescent="0.3">
      <c r="A5231" s="9">
        <f>'Volúmenes DIstribuidos '!B3141</f>
        <v>45877</v>
      </c>
      <c r="B5231" s="10" t="str">
        <f>IF(OR('Volúmenes DIstribuidos '!C3143="Azúcar",'Volúmenes DIstribuidos '!C3143="azúcar"),"Azúcar o dulce",IF('Volúmenes DIstribuidos '!C3143="Aceite","Aceite o grasas",IF('Volúmenes DIstribuidos '!C3143="Avena","Otros almidones",'Volúmenes DIstribuidos '!C3143)))</f>
        <v>Lácteos</v>
      </c>
      <c r="C5231" s="10" t="s">
        <v>29</v>
      </c>
      <c r="D5231" s="12">
        <f>'Volúmenes DIstribuidos '!D3143</f>
        <v>20.988</v>
      </c>
      <c r="E5231" s="12">
        <f>SUMIF('Parametros Inventario'!$A:$A,B5231,'Parametros Inventario'!$B:$B)+SUMIFS(D$2:D5231,B$2:B5231,B5231,C$2:C5231,"ENTRADA")-SUMIFS(D$2:D5231,B$2:B5231,B5231,C$2:C5231,"SALIDA")</f>
        <v>24933.846000000012</v>
      </c>
    </row>
    <row r="5232" spans="1:5" x14ac:dyDescent="0.3">
      <c r="A5232" s="9">
        <f>'Volúmenes DIstribuidos '!B3141</f>
        <v>45877</v>
      </c>
      <c r="B5232" s="10" t="str">
        <f>IF(OR('Volúmenes DIstribuidos '!C3144="Azúcar",'Volúmenes DIstribuidos '!C3144="azúcar"),"Azúcar o dulce",IF('Volúmenes DIstribuidos '!C3144="Aceite","Aceite o grasas",IF('Volúmenes DIstribuidos '!C3144="Avena","Otros almidones",'Volúmenes DIstribuidos '!C3144)))</f>
        <v>Panadería</v>
      </c>
      <c r="C5232" s="10" t="s">
        <v>29</v>
      </c>
      <c r="D5232" s="12">
        <f>'Volúmenes DIstribuidos '!D3144</f>
        <v>17.77</v>
      </c>
      <c r="E5232" s="12">
        <f>SUMIF('Parametros Inventario'!$A:$A,B5232,'Parametros Inventario'!$B:$B)+SUMIFS(D$2:D5232,B$2:B5232,B5232,C$2:C5232,"ENTRADA")-SUMIFS(D$2:D5232,B$2:B5232,B5232,C$2:C5232,"SALIDA")</f>
        <v>23914.675999999989</v>
      </c>
    </row>
    <row r="5233" spans="1:5" x14ac:dyDescent="0.3">
      <c r="A5233" s="9">
        <f>'Volúmenes DIstribuidos '!B3141</f>
        <v>45877</v>
      </c>
      <c r="B5233" s="10" t="str">
        <f>IF(OR('Volúmenes DIstribuidos '!C3145="Azúcar",'Volúmenes DIstribuidos '!C3145="azúcar"),"Azúcar o dulce",IF('Volúmenes DIstribuidos '!C3145="Aceite","Aceite o grasas",IF('Volúmenes DIstribuidos '!C3145="Avena","Otros almidones",'Volúmenes DIstribuidos '!C3145)))</f>
        <v>Fideo</v>
      </c>
      <c r="C5233" s="10" t="s">
        <v>29</v>
      </c>
      <c r="D5233" s="12">
        <f>'Volúmenes DIstribuidos '!D3145</f>
        <v>27.13</v>
      </c>
      <c r="E5233" s="12">
        <f>SUMIF('Parametros Inventario'!$A:$A,B5233,'Parametros Inventario'!$B:$B)+SUMIFS(D$2:D5233,B$2:B5233,B5233,C$2:C5233,"ENTRADA")-SUMIFS(D$2:D5233,B$2:B5233,B5233,C$2:C5233,"SALIDA")</f>
        <v>28360.703000000001</v>
      </c>
    </row>
    <row r="5234" spans="1:5" x14ac:dyDescent="0.3">
      <c r="A5234" s="9">
        <f>'Volúmenes DIstribuidos '!B3141</f>
        <v>45877</v>
      </c>
      <c r="B5234" s="10" t="str">
        <f>IF(OR('Volúmenes DIstribuidos '!C3146="Azúcar",'Volúmenes DIstribuidos '!C3146="azúcar"),"Azúcar o dulce",IF('Volúmenes DIstribuidos '!C3146="Aceite","Aceite o grasas",IF('Volúmenes DIstribuidos '!C3146="Avena","Otros almidones",'Volúmenes DIstribuidos '!C3146)))</f>
        <v>Menestras</v>
      </c>
      <c r="C5234" s="10" t="s">
        <v>29</v>
      </c>
      <c r="D5234" s="12">
        <f>'Volúmenes DIstribuidos '!D3146</f>
        <v>11.962</v>
      </c>
      <c r="E5234" s="12">
        <f>SUMIF('Parametros Inventario'!$A:$A,B5234,'Parametros Inventario'!$B:$B)+SUMIFS(D$2:D5234,B$2:B5234,B5234,C$2:C5234,"ENTRADA")-SUMIFS(D$2:D5234,B$2:B5234,B5234,C$2:C5234,"SALIDA")</f>
        <v>25213.832999999984</v>
      </c>
    </row>
    <row r="5235" spans="1:5" x14ac:dyDescent="0.3">
      <c r="A5235" s="9">
        <f>'Volúmenes DIstribuidos '!B3147</f>
        <v>45881</v>
      </c>
      <c r="B5235" s="10" t="str">
        <f>IF(OR('Volúmenes DIstribuidos '!C3147="Azúcar",'Volúmenes DIstribuidos '!C3147="azúcar"),"Azúcar o dulce",IF('Volúmenes DIstribuidos '!C3147="Aceite","Aceite o grasas",IF('Volúmenes DIstribuidos '!C3147="Avena","Otros almidones",'Volúmenes DIstribuidos '!C3147)))</f>
        <v>Menestras</v>
      </c>
      <c r="C5235" s="10" t="s">
        <v>29</v>
      </c>
      <c r="D5235" s="12">
        <f>'Volúmenes DIstribuidos '!D3147</f>
        <v>5.5</v>
      </c>
      <c r="E5235" s="12">
        <f>SUMIF('Parametros Inventario'!$A:$A,B5235,'Parametros Inventario'!$B:$B)+SUMIFS(D$2:D5235,B$2:B5235,B5235,C$2:C5235,"ENTRADA")-SUMIFS(D$2:D5235,B$2:B5235,B5235,C$2:C5235,"SALIDA")</f>
        <v>25208.332999999984</v>
      </c>
    </row>
    <row r="5236" spans="1:5" x14ac:dyDescent="0.3">
      <c r="A5236" s="9">
        <f>'Volúmenes DIstribuidos '!B3147</f>
        <v>45881</v>
      </c>
      <c r="B5236" s="10" t="str">
        <f>IF(OR('Volúmenes DIstribuidos '!C3148="Azúcar",'Volúmenes DIstribuidos '!C3148="azúcar"),"Azúcar o dulce",IF('Volúmenes DIstribuidos '!C3148="Aceite","Aceite o grasas",IF('Volúmenes DIstribuidos '!C3148="Avena","Otros almidones",'Volúmenes DIstribuidos '!C3148)))</f>
        <v>Lácteos</v>
      </c>
      <c r="C5236" s="10" t="s">
        <v>29</v>
      </c>
      <c r="D5236" s="12">
        <f>'Volúmenes DIstribuidos '!D3148</f>
        <v>16.46</v>
      </c>
      <c r="E5236" s="12">
        <f>SUMIF('Parametros Inventario'!$A:$A,B5236,'Parametros Inventario'!$B:$B)+SUMIFS(D$2:D5236,B$2:B5236,B5236,C$2:C5236,"ENTRADA")-SUMIFS(D$2:D5236,B$2:B5236,B5236,C$2:C5236,"SALIDA")</f>
        <v>24917.386000000013</v>
      </c>
    </row>
    <row r="5237" spans="1:5" x14ac:dyDescent="0.3">
      <c r="A5237" s="9">
        <f>'Volúmenes DIstribuidos '!B3147</f>
        <v>45881</v>
      </c>
      <c r="B5237" s="10" t="str">
        <f>IF(OR('Volúmenes DIstribuidos '!C3149="Azúcar",'Volúmenes DIstribuidos '!C3149="azúcar"),"Azúcar o dulce",IF('Volúmenes DIstribuidos '!C3149="Aceite","Aceite o grasas",IF('Volúmenes DIstribuidos '!C3149="Avena","Otros almidones",'Volúmenes DIstribuidos '!C3149)))</f>
        <v>Azúcar o dulce</v>
      </c>
      <c r="C5237" s="10" t="s">
        <v>29</v>
      </c>
      <c r="D5237" s="12">
        <f>'Volúmenes DIstribuidos '!D3149</f>
        <v>21.07</v>
      </c>
      <c r="E5237" s="12">
        <f>SUMIF('Parametros Inventario'!$A:$A,B5237,'Parametros Inventario'!$B:$B)+SUMIFS(D$2:D5237,B$2:B5237,B5237,C$2:C5237,"ENTRADA")-SUMIFS(D$2:D5237,B$2:B5237,B5237,C$2:C5237,"SALIDA")</f>
        <v>23991.770999999986</v>
      </c>
    </row>
    <row r="5238" spans="1:5" x14ac:dyDescent="0.3">
      <c r="A5238" s="9">
        <f>'Volúmenes DIstribuidos '!B3147</f>
        <v>45881</v>
      </c>
      <c r="B5238" s="10" t="str">
        <f>IF(OR('Volúmenes DIstribuidos '!C3150="Azúcar",'Volúmenes DIstribuidos '!C3150="azúcar"),"Azúcar o dulce",IF('Volúmenes DIstribuidos '!C3150="Aceite","Aceite o grasas",IF('Volúmenes DIstribuidos '!C3150="Avena","Otros almidones",'Volúmenes DIstribuidos '!C3150)))</f>
        <v>Panadería</v>
      </c>
      <c r="C5238" s="10" t="s">
        <v>29</v>
      </c>
      <c r="D5238" s="12">
        <f>'Volúmenes DIstribuidos '!D3150</f>
        <v>20.67</v>
      </c>
      <c r="E5238" s="12">
        <f>SUMIF('Parametros Inventario'!$A:$A,B5238,'Parametros Inventario'!$B:$B)+SUMIFS(D$2:D5238,B$2:B5238,B5238,C$2:C5238,"ENTRADA")-SUMIFS(D$2:D5238,B$2:B5238,B5238,C$2:C5238,"SALIDA")</f>
        <v>23894.005999999987</v>
      </c>
    </row>
    <row r="5239" spans="1:5" x14ac:dyDescent="0.3">
      <c r="A5239" s="9">
        <f>'Volúmenes DIstribuidos '!B3147</f>
        <v>45881</v>
      </c>
      <c r="B5239" s="10" t="str">
        <f>IF(OR('Volúmenes DIstribuidos '!C3151="Azúcar",'Volúmenes DIstribuidos '!C3151="azúcar"),"Azúcar o dulce",IF('Volúmenes DIstribuidos '!C3151="Aceite","Aceite o grasas",IF('Volúmenes DIstribuidos '!C3151="Avena","Otros almidones",'Volúmenes DIstribuidos '!C3151)))</f>
        <v>Otros almidones</v>
      </c>
      <c r="C5239" s="10" t="s">
        <v>29</v>
      </c>
      <c r="D5239" s="12">
        <f>'Volúmenes DIstribuidos '!D3151</f>
        <v>17.04</v>
      </c>
      <c r="E5239" s="12">
        <f>SUMIF('Parametros Inventario'!$A:$A,B5239,'Parametros Inventario'!$B:$B)+SUMIFS(D$2:D5239,B$2:B5239,B5239,C$2:C5239,"ENTRADA")-SUMIFS(D$2:D5239,B$2:B5239,B5239,C$2:C5239,"SALIDA")</f>
        <v>27651.625</v>
      </c>
    </row>
    <row r="5240" spans="1:5" x14ac:dyDescent="0.3">
      <c r="A5240" s="9">
        <f>'Volúmenes DIstribuidos '!B3147</f>
        <v>45881</v>
      </c>
      <c r="B5240" s="10" t="str">
        <f>IF(OR('Volúmenes DIstribuidos '!C3152="Azúcar",'Volúmenes DIstribuidos '!C3152="azúcar"),"Azúcar o dulce",IF('Volúmenes DIstribuidos '!C3152="Aceite","Aceite o grasas",IF('Volúmenes DIstribuidos '!C3152="Avena","Otros almidones",'Volúmenes DIstribuidos '!C3152)))</f>
        <v>Fideo</v>
      </c>
      <c r="C5240" s="10" t="s">
        <v>29</v>
      </c>
      <c r="D5240" s="12">
        <f>'Volúmenes DIstribuidos '!D3152</f>
        <v>47.732999999999997</v>
      </c>
      <c r="E5240" s="12">
        <f>SUMIF('Parametros Inventario'!$A:$A,B5240,'Parametros Inventario'!$B:$B)+SUMIFS(D$2:D5240,B$2:B5240,B5240,C$2:C5240,"ENTRADA")-SUMIFS(D$2:D5240,B$2:B5240,B5240,C$2:C5240,"SALIDA")</f>
        <v>28312.97</v>
      </c>
    </row>
    <row r="5241" spans="1:5" x14ac:dyDescent="0.3">
      <c r="A5241" s="9">
        <v>45884</v>
      </c>
      <c r="B5241" s="10" t="s">
        <v>8</v>
      </c>
      <c r="C5241" s="10" t="s">
        <v>28</v>
      </c>
      <c r="D5241" s="12">
        <v>235.32</v>
      </c>
      <c r="E5241" s="12">
        <f>SUMIF('Parametros Inventario'!$A:$A,B5241,'Parametros Inventario'!$B:$B)+SUMIFS(D$2:D5241,B$2:B5241,B5241,C$2:C5241,"ENTRADA")-SUMIFS(D$2:D5241,B$2:B5241,B5241,C$2:C5241,"SALIDA")</f>
        <v>24666.580000000009</v>
      </c>
    </row>
    <row r="5242" spans="1:5" x14ac:dyDescent="0.3">
      <c r="A5242" s="9">
        <v>45884</v>
      </c>
      <c r="B5242" s="10" t="s">
        <v>13</v>
      </c>
      <c r="C5242" s="10" t="s">
        <v>28</v>
      </c>
      <c r="D5242" s="12">
        <v>78.58</v>
      </c>
      <c r="E5242" s="12">
        <f>SUMIF('Parametros Inventario'!$A:$A,B5242,'Parametros Inventario'!$B:$B)+SUMIFS(D$2:D5242,B$2:B5242,B5242,C$2:C5242,"ENTRADA")-SUMIFS(D$2:D5242,B$2:B5242,B5242,C$2:C5242,"SALIDA")</f>
        <v>24070.350999999988</v>
      </c>
    </row>
    <row r="5243" spans="1:5" x14ac:dyDescent="0.3">
      <c r="A5243" s="9">
        <v>45884</v>
      </c>
      <c r="B5243" s="10" t="s">
        <v>15</v>
      </c>
      <c r="C5243" s="10" t="s">
        <v>28</v>
      </c>
      <c r="D5243" s="12">
        <v>163.63999999999999</v>
      </c>
      <c r="E5243" s="12">
        <f>SUMIF('Parametros Inventario'!$A:$A,B5243,'Parametros Inventario'!$B:$B)+SUMIFS(D$2:D5243,B$2:B5243,B5243,C$2:C5243,"ENTRADA")-SUMIFS(D$2:D5243,B$2:B5243,B5243,C$2:C5243,"SALIDA")</f>
        <v>27815.264999999999</v>
      </c>
    </row>
    <row r="5244" spans="1:5" x14ac:dyDescent="0.3">
      <c r="A5244" s="9">
        <v>45884</v>
      </c>
      <c r="B5244" s="10" t="s">
        <v>11</v>
      </c>
      <c r="C5244" s="10" t="s">
        <v>28</v>
      </c>
      <c r="D5244" s="12">
        <v>186.27</v>
      </c>
      <c r="E5244" s="12">
        <f>SUMIF('Parametros Inventario'!$A:$A,B5244,'Parametros Inventario'!$B:$B)+SUMIFS(D$2:D5244,B$2:B5244,B5244,C$2:C5244,"ENTRADA")-SUMIFS(D$2:D5244,B$2:B5244,B5244,C$2:C5244,"SALIDA")</f>
        <v>28499.239999999998</v>
      </c>
    </row>
    <row r="5245" spans="1:5" x14ac:dyDescent="0.3">
      <c r="A5245" s="9">
        <v>45884</v>
      </c>
      <c r="B5245" s="10" t="s">
        <v>9</v>
      </c>
      <c r="C5245" s="10" t="s">
        <v>28</v>
      </c>
      <c r="D5245" s="12">
        <v>287.13</v>
      </c>
      <c r="E5245" s="12">
        <f>SUMIF('Parametros Inventario'!$A:$A,B5245,'Parametros Inventario'!$B:$B)+SUMIFS(D$2:D5245,B$2:B5245,B5245,C$2:C5245,"ENTRADA")-SUMIFS(D$2:D5245,B$2:B5245,B5245,C$2:C5245,"SALIDA")</f>
        <v>24181.135999999991</v>
      </c>
    </row>
    <row r="5246" spans="1:5" x14ac:dyDescent="0.3">
      <c r="A5246" s="9">
        <v>45884</v>
      </c>
      <c r="B5246" s="10" t="s">
        <v>14</v>
      </c>
      <c r="C5246" s="10" t="s">
        <v>28</v>
      </c>
      <c r="D5246" s="12">
        <v>86.38</v>
      </c>
      <c r="E5246" s="12">
        <f>SUMIF('Parametros Inventario'!$A:$A,B5246,'Parametros Inventario'!$B:$B)+SUMIFS(D$2:D5246,B$2:B5246,B5246,C$2:C5246,"ENTRADA")-SUMIFS(D$2:D5246,B$2:B5246,B5246,C$2:C5246,"SALIDA")</f>
        <v>25294.712999999982</v>
      </c>
    </row>
    <row r="5247" spans="1:5" x14ac:dyDescent="0.3">
      <c r="A5247" s="9">
        <f>'Volúmenes DIstribuidos '!B3153</f>
        <v>45884</v>
      </c>
      <c r="B5247" s="10" t="str">
        <f>IF(OR('Volúmenes DIstribuidos '!C3153="Azúcar",'Volúmenes DIstribuidos '!C3153="azúcar"),"Azúcar o dulce",IF('Volúmenes DIstribuidos '!C3153="Aceite","Aceite o grasas",IF('Volúmenes DIstribuidos '!C3153="Avena","Otros almidones",'Volúmenes DIstribuidos '!C3153)))</f>
        <v>Azúcar o dulce</v>
      </c>
      <c r="C5247" s="10" t="s">
        <v>29</v>
      </c>
      <c r="D5247" s="12">
        <f>'Volúmenes DIstribuidos '!D3153</f>
        <v>18.84</v>
      </c>
      <c r="E5247" s="12">
        <f>SUMIF('Parametros Inventario'!$A:$A,B5247,'Parametros Inventario'!$B:$B)+SUMIFS(D$2:D5247,B$2:B5247,B5247,C$2:C5247,"ENTRADA")-SUMIFS(D$2:D5247,B$2:B5247,B5247,C$2:C5247,"SALIDA")</f>
        <v>24051.510999999988</v>
      </c>
    </row>
    <row r="5248" spans="1:5" x14ac:dyDescent="0.3">
      <c r="A5248" s="9">
        <f>'Volúmenes DIstribuidos '!B3153</f>
        <v>45884</v>
      </c>
      <c r="B5248" s="10" t="str">
        <f>IF(OR('Volúmenes DIstribuidos '!C3154="Azúcar",'Volúmenes DIstribuidos '!C3154="azúcar"),"Azúcar o dulce",IF('Volúmenes DIstribuidos '!C3154="Aceite","Aceite o grasas",IF('Volúmenes DIstribuidos '!C3154="Avena","Otros almidones",'Volúmenes DIstribuidos '!C3154)))</f>
        <v>Otros almidones</v>
      </c>
      <c r="C5248" s="10" t="s">
        <v>29</v>
      </c>
      <c r="D5248" s="12">
        <f>'Volúmenes DIstribuidos '!D3154</f>
        <v>4.3899999999999997</v>
      </c>
      <c r="E5248" s="12">
        <f>SUMIF('Parametros Inventario'!$A:$A,B5248,'Parametros Inventario'!$B:$B)+SUMIFS(D$2:D5248,B$2:B5248,B5248,C$2:C5248,"ENTRADA")-SUMIFS(D$2:D5248,B$2:B5248,B5248,C$2:C5248,"SALIDA")</f>
        <v>27810.875</v>
      </c>
    </row>
    <row r="5249" spans="1:5" x14ac:dyDescent="0.3">
      <c r="A5249" s="9">
        <f>'Volúmenes DIstribuidos '!B3153</f>
        <v>45884</v>
      </c>
      <c r="B5249" s="10" t="str">
        <f>IF(OR('Volúmenes DIstribuidos '!C3155="Azúcar",'Volúmenes DIstribuidos '!C3155="azúcar"),"Azúcar o dulce",IF('Volúmenes DIstribuidos '!C3155="Aceite","Aceite o grasas",IF('Volúmenes DIstribuidos '!C3155="Avena","Otros almidones",'Volúmenes DIstribuidos '!C3155)))</f>
        <v>Aceite o grasas</v>
      </c>
      <c r="C5249" s="10" t="s">
        <v>29</v>
      </c>
      <c r="D5249" s="12">
        <f>'Volúmenes DIstribuidos '!D3155</f>
        <v>67.48</v>
      </c>
      <c r="E5249" s="12">
        <f>SUMIF('Parametros Inventario'!$A:$A,B5249,'Parametros Inventario'!$B:$B)+SUMIFS(D$2:D5249,B$2:B5249,B5249,C$2:C5249,"ENTRADA")-SUMIFS(D$2:D5249,B$2:B5249,B5249,C$2:C5249,"SALIDA")</f>
        <v>24599.100000000006</v>
      </c>
    </row>
    <row r="5250" spans="1:5" x14ac:dyDescent="0.3">
      <c r="A5250" s="9">
        <f>'Volúmenes DIstribuidos '!B3153</f>
        <v>45884</v>
      </c>
      <c r="B5250" s="10" t="str">
        <f>IF(OR('Volúmenes DIstribuidos '!C3156="Azúcar",'Volúmenes DIstribuidos '!C3156="azúcar"),"Azúcar o dulce",IF('Volúmenes DIstribuidos '!C3156="Aceite","Aceite o grasas",IF('Volúmenes DIstribuidos '!C3156="Avena","Otros almidones",'Volúmenes DIstribuidos '!C3156)))</f>
        <v>Fideo</v>
      </c>
      <c r="C5250" s="10" t="s">
        <v>29</v>
      </c>
      <c r="D5250" s="12">
        <f>'Volúmenes DIstribuidos '!D3156</f>
        <v>32.11</v>
      </c>
      <c r="E5250" s="12">
        <f>SUMIF('Parametros Inventario'!$A:$A,B5250,'Parametros Inventario'!$B:$B)+SUMIFS(D$2:D5250,B$2:B5250,B5250,C$2:C5250,"ENTRADA")-SUMIFS(D$2:D5250,B$2:B5250,B5250,C$2:C5250,"SALIDA")</f>
        <v>28467.129999999997</v>
      </c>
    </row>
    <row r="5251" spans="1:5" x14ac:dyDescent="0.3">
      <c r="A5251" s="9">
        <f>'Volúmenes DIstribuidos '!B3153</f>
        <v>45884</v>
      </c>
      <c r="B5251" s="10" t="str">
        <f>IF(OR('Volúmenes DIstribuidos '!C3157="Azúcar",'Volúmenes DIstribuidos '!C3157="azúcar"),"Azúcar o dulce",IF('Volúmenes DIstribuidos '!C3157="Aceite","Aceite o grasas",IF('Volúmenes DIstribuidos '!C3157="Avena","Otros almidones",'Volúmenes DIstribuidos '!C3157)))</f>
        <v>Panadería</v>
      </c>
      <c r="C5251" s="10" t="s">
        <v>29</v>
      </c>
      <c r="D5251" s="12">
        <f>'Volúmenes DIstribuidos '!D3157</f>
        <v>18.29</v>
      </c>
      <c r="E5251" s="12">
        <f>SUMIF('Parametros Inventario'!$A:$A,B5251,'Parametros Inventario'!$B:$B)+SUMIFS(D$2:D5251,B$2:B5251,B5251,C$2:C5251,"ENTRADA")-SUMIFS(D$2:D5251,B$2:B5251,B5251,C$2:C5251,"SALIDA")</f>
        <v>24162.84599999999</v>
      </c>
    </row>
    <row r="5252" spans="1:5" x14ac:dyDescent="0.3">
      <c r="A5252" s="9">
        <f>'Volúmenes DIstribuidos '!B3153</f>
        <v>45884</v>
      </c>
      <c r="B5252" s="10" t="str">
        <f>IF(OR('Volúmenes DIstribuidos '!C3158="Azúcar",'Volúmenes DIstribuidos '!C3158="azúcar"),"Azúcar o dulce",IF('Volúmenes DIstribuidos '!C3158="Aceite","Aceite o grasas",IF('Volúmenes DIstribuidos '!C3158="Avena","Otros almidones",'Volúmenes DIstribuidos '!C3158)))</f>
        <v>Carnes rojas</v>
      </c>
      <c r="C5252" s="10" t="s">
        <v>29</v>
      </c>
      <c r="D5252" s="12">
        <f>'Volúmenes DIstribuidos '!D3158</f>
        <v>15.438000000000001</v>
      </c>
      <c r="E5252" s="12">
        <f>SUMIF('Parametros Inventario'!$A:$A,B5252,'Parametros Inventario'!$B:$B)+SUMIFS(D$2:D5252,B$2:B5252,B5252,C$2:C5252,"ENTRADA")-SUMIFS(D$2:D5252,B$2:B5252,B5252,C$2:C5252,"SALIDA")</f>
        <v>24160.902000000009</v>
      </c>
    </row>
    <row r="5253" spans="1:5" x14ac:dyDescent="0.3">
      <c r="A5253" s="9">
        <f>'Volúmenes DIstribuidos '!B3159</f>
        <v>45888</v>
      </c>
      <c r="B5253" s="10" t="str">
        <f>IF(OR('Volúmenes DIstribuidos '!C3159="Azúcar",'Volúmenes DIstribuidos '!C3159="azúcar"),"Azúcar o dulce",IF('Volúmenes DIstribuidos '!C3159="Aceite","Aceite o grasas",IF('Volúmenes DIstribuidos '!C3159="Avena","Otros almidones",'Volúmenes DIstribuidos '!C3159)))</f>
        <v>Otros almidones</v>
      </c>
      <c r="C5253" s="10" t="s">
        <v>29</v>
      </c>
      <c r="D5253" s="12">
        <f>'Volúmenes DIstribuidos '!D3159</f>
        <v>12.83</v>
      </c>
      <c r="E5253" s="12">
        <f>SUMIF('Parametros Inventario'!$A:$A,B5253,'Parametros Inventario'!$B:$B)+SUMIFS(D$2:D5253,B$2:B5253,B5253,C$2:C5253,"ENTRADA")-SUMIFS(D$2:D5253,B$2:B5253,B5253,C$2:C5253,"SALIDA")</f>
        <v>27798.044999999998</v>
      </c>
    </row>
    <row r="5254" spans="1:5" x14ac:dyDescent="0.3">
      <c r="A5254" s="9">
        <f>'Volúmenes DIstribuidos '!B3159</f>
        <v>45888</v>
      </c>
      <c r="B5254" s="10" t="str">
        <f>IF(OR('Volúmenes DIstribuidos '!C3160="Azúcar",'Volúmenes DIstribuidos '!C3160="azúcar"),"Azúcar o dulce",IF('Volúmenes DIstribuidos '!C3160="Aceite","Aceite o grasas",IF('Volúmenes DIstribuidos '!C3160="Avena","Otros almidones",'Volúmenes DIstribuidos '!C3160)))</f>
        <v>Menestras</v>
      </c>
      <c r="C5254" s="10" t="s">
        <v>29</v>
      </c>
      <c r="D5254" s="12">
        <f>'Volúmenes DIstribuidos '!D3160</f>
        <v>43.16</v>
      </c>
      <c r="E5254" s="12">
        <f>SUMIF('Parametros Inventario'!$A:$A,B5254,'Parametros Inventario'!$B:$B)+SUMIFS(D$2:D5254,B$2:B5254,B5254,C$2:C5254,"ENTRADA")-SUMIFS(D$2:D5254,B$2:B5254,B5254,C$2:C5254,"SALIDA")</f>
        <v>25251.552999999985</v>
      </c>
    </row>
    <row r="5255" spans="1:5" x14ac:dyDescent="0.3">
      <c r="A5255" s="9">
        <f>'Volúmenes DIstribuidos '!B3159</f>
        <v>45888</v>
      </c>
      <c r="B5255" s="10" t="str">
        <f>IF(OR('Volúmenes DIstribuidos '!C3161="Azúcar",'Volúmenes DIstribuidos '!C3161="azúcar"),"Azúcar o dulce",IF('Volúmenes DIstribuidos '!C3161="Aceite","Aceite o grasas",IF('Volúmenes DIstribuidos '!C3161="Avena","Otros almidones",'Volúmenes DIstribuidos '!C3161)))</f>
        <v>Fideo</v>
      </c>
      <c r="C5255" s="10" t="s">
        <v>29</v>
      </c>
      <c r="D5255" s="12">
        <f>'Volúmenes DIstribuidos '!D3161</f>
        <v>12</v>
      </c>
      <c r="E5255" s="12">
        <f>SUMIF('Parametros Inventario'!$A:$A,B5255,'Parametros Inventario'!$B:$B)+SUMIFS(D$2:D5255,B$2:B5255,B5255,C$2:C5255,"ENTRADA")-SUMIFS(D$2:D5255,B$2:B5255,B5255,C$2:C5255,"SALIDA")</f>
        <v>28455.129999999997</v>
      </c>
    </row>
    <row r="5256" spans="1:5" x14ac:dyDescent="0.3">
      <c r="A5256" s="9">
        <f>'Volúmenes DIstribuidos '!B3159</f>
        <v>45888</v>
      </c>
      <c r="B5256" s="10" t="str">
        <f>IF(OR('Volúmenes DIstribuidos '!C3162="Azúcar",'Volúmenes DIstribuidos '!C3162="azúcar"),"Azúcar o dulce",IF('Volúmenes DIstribuidos '!C3162="Aceite","Aceite o grasas",IF('Volúmenes DIstribuidos '!C3162="Avena","Otros almidones",'Volúmenes DIstribuidos '!C3162)))</f>
        <v>Vegetales y hojas</v>
      </c>
      <c r="C5256" s="10" t="s">
        <v>29</v>
      </c>
      <c r="D5256" s="12">
        <f>'Volúmenes DIstribuidos '!D3162</f>
        <v>19.309999999999999</v>
      </c>
      <c r="E5256" s="12">
        <f>SUMIF('Parametros Inventario'!$A:$A,B5256,'Parametros Inventario'!$B:$B)+SUMIFS(D$2:D5256,B$2:B5256,B5256,C$2:C5256,"ENTRADA")-SUMIFS(D$2:D5256,B$2:B5256,B5256,C$2:C5256,"SALIDA")</f>
        <v>26720.919999999991</v>
      </c>
    </row>
    <row r="5257" spans="1:5" x14ac:dyDescent="0.3">
      <c r="A5257" s="9">
        <f>'Volúmenes DIstribuidos '!B3159</f>
        <v>45888</v>
      </c>
      <c r="B5257" s="10" t="str">
        <f>IF(OR('Volúmenes DIstribuidos '!C3163="Azúcar",'Volúmenes DIstribuidos '!C3163="azúcar"),"Azúcar o dulce",IF('Volúmenes DIstribuidos '!C3163="Aceite","Aceite o grasas",IF('Volúmenes DIstribuidos '!C3163="Avena","Otros almidones",'Volúmenes DIstribuidos '!C3163)))</f>
        <v>Salsas</v>
      </c>
      <c r="C5257" s="10" t="s">
        <v>29</v>
      </c>
      <c r="D5257" s="12">
        <f>'Volúmenes DIstribuidos '!D3163</f>
        <v>90.04</v>
      </c>
      <c r="E5257" s="12">
        <f>SUMIF('Parametros Inventario'!$A:$A,B5257,'Parametros Inventario'!$B:$B)+SUMIFS(D$2:D5257,B$2:B5257,B5257,C$2:C5257,"ENTRADA")-SUMIFS(D$2:D5257,B$2:B5257,B5257,C$2:C5257,"SALIDA")</f>
        <v>24471.440999999981</v>
      </c>
    </row>
    <row r="5258" spans="1:5" x14ac:dyDescent="0.3">
      <c r="A5258" s="9">
        <f>'Volúmenes DIstribuidos '!B3159</f>
        <v>45888</v>
      </c>
      <c r="B5258" s="10" t="str">
        <f>IF(OR('Volúmenes DIstribuidos '!C3164="Azúcar",'Volúmenes DIstribuidos '!C3164="azúcar"),"Azúcar o dulce",IF('Volúmenes DIstribuidos '!C3164="Aceite","Aceite o grasas",IF('Volúmenes DIstribuidos '!C3164="Avena","Otros almidones",'Volúmenes DIstribuidos '!C3164)))</f>
        <v>Panadería</v>
      </c>
      <c r="C5258" s="10" t="s">
        <v>29</v>
      </c>
      <c r="D5258" s="12">
        <f>'Volúmenes DIstribuidos '!D3164</f>
        <v>60.58</v>
      </c>
      <c r="E5258" s="12">
        <f>SUMIF('Parametros Inventario'!$A:$A,B5258,'Parametros Inventario'!$B:$B)+SUMIFS(D$2:D5258,B$2:B5258,B5258,C$2:C5258,"ENTRADA")-SUMIFS(D$2:D5258,B$2:B5258,B5258,C$2:C5258,"SALIDA")</f>
        <v>24102.265999999992</v>
      </c>
    </row>
    <row r="5259" spans="1:5" x14ac:dyDescent="0.3">
      <c r="A5259" s="9">
        <v>45891</v>
      </c>
      <c r="B5259" s="10" t="s">
        <v>12</v>
      </c>
      <c r="C5259" s="10" t="s">
        <v>28</v>
      </c>
      <c r="D5259" s="12">
        <v>103.37</v>
      </c>
      <c r="E5259" s="12">
        <f>SUMIF('Parametros Inventario'!$A:$A,B5259,'Parametros Inventario'!$B:$B)+SUMIFS(D$2:D5259,B$2:B5259,B5259,C$2:C5259,"ENTRADA")-SUMIFS(D$2:D5259,B$2:B5259,B5259,C$2:C5259,"SALIDA")</f>
        <v>24264.272000000012</v>
      </c>
    </row>
    <row r="5260" spans="1:5" x14ac:dyDescent="0.3">
      <c r="A5260" s="9">
        <v>45891</v>
      </c>
      <c r="B5260" s="10" t="s">
        <v>16</v>
      </c>
      <c r="C5260" s="10" t="s">
        <v>28</v>
      </c>
      <c r="D5260" s="12">
        <v>192.05</v>
      </c>
      <c r="E5260" s="12">
        <f>SUMIF('Parametros Inventario'!$A:$A,B5260,'Parametros Inventario'!$B:$B)+SUMIFS(D$2:D5260,B$2:B5260,B5260,C$2:C5260,"ENTRADA")-SUMIFS(D$2:D5260,B$2:B5260,B5260,C$2:C5260,"SALIDA")</f>
        <v>25116.279999999984</v>
      </c>
    </row>
    <row r="5261" spans="1:5" x14ac:dyDescent="0.3">
      <c r="A5261" s="9">
        <v>45891</v>
      </c>
      <c r="B5261" s="10" t="s">
        <v>17</v>
      </c>
      <c r="C5261" s="10" t="s">
        <v>28</v>
      </c>
      <c r="D5261" s="12">
        <v>296.95</v>
      </c>
      <c r="E5261" s="12">
        <f>SUMIF('Parametros Inventario'!$A:$A,B5261,'Parametros Inventario'!$B:$B)+SUMIFS(D$2:D5261,B$2:B5261,B5261,C$2:C5261,"ENTRADA")-SUMIFS(D$2:D5261,B$2:B5261,B5261,C$2:C5261,"SALIDA")</f>
        <v>25214.33600000001</v>
      </c>
    </row>
    <row r="5262" spans="1:5" x14ac:dyDescent="0.3">
      <c r="A5262" s="9">
        <v>45891</v>
      </c>
      <c r="B5262" s="10" t="s">
        <v>18</v>
      </c>
      <c r="C5262" s="10" t="s">
        <v>28</v>
      </c>
      <c r="D5262" s="12">
        <v>243.55</v>
      </c>
      <c r="E5262" s="12">
        <f>SUMIF('Parametros Inventario'!$A:$A,B5262,'Parametros Inventario'!$B:$B)+SUMIFS(D$2:D5262,B$2:B5262,B5262,C$2:C5262,"ENTRADA")-SUMIFS(D$2:D5262,B$2:B5262,B5262,C$2:C5262,"SALIDA")</f>
        <v>24714.990999999976</v>
      </c>
    </row>
    <row r="5263" spans="1:5" x14ac:dyDescent="0.3">
      <c r="A5263" s="9">
        <v>45891</v>
      </c>
      <c r="B5263" s="10" t="s">
        <v>10</v>
      </c>
      <c r="C5263" s="10" t="s">
        <v>28</v>
      </c>
      <c r="D5263" s="12">
        <v>65.599999999999994</v>
      </c>
      <c r="E5263" s="12">
        <f>SUMIF('Parametros Inventario'!$A:$A,B5263,'Parametros Inventario'!$B:$B)+SUMIFS(D$2:D5263,B$2:B5263,B5263,C$2:C5263,"ENTRADA")-SUMIFS(D$2:D5263,B$2:B5263,B5263,C$2:C5263,"SALIDA")</f>
        <v>26786.51999999999</v>
      </c>
    </row>
    <row r="5264" spans="1:5" x14ac:dyDescent="0.3">
      <c r="A5264" s="9">
        <v>45891</v>
      </c>
      <c r="B5264" s="10" t="s">
        <v>8</v>
      </c>
      <c r="C5264" s="10" t="s">
        <v>28</v>
      </c>
      <c r="D5264" s="12">
        <v>252.13</v>
      </c>
      <c r="E5264" s="12">
        <f>SUMIF('Parametros Inventario'!$A:$A,B5264,'Parametros Inventario'!$B:$B)+SUMIFS(D$2:D5264,B$2:B5264,B5264,C$2:C5264,"ENTRADA")-SUMIFS(D$2:D5264,B$2:B5264,B5264,C$2:C5264,"SALIDA")</f>
        <v>24851.230000000003</v>
      </c>
    </row>
    <row r="5265" spans="1:5" x14ac:dyDescent="0.3">
      <c r="A5265" s="9">
        <v>45891</v>
      </c>
      <c r="B5265" s="10" t="s">
        <v>13</v>
      </c>
      <c r="C5265" s="10" t="s">
        <v>28</v>
      </c>
      <c r="D5265" s="12">
        <v>247.39</v>
      </c>
      <c r="E5265" s="12">
        <f>SUMIF('Parametros Inventario'!$A:$A,B5265,'Parametros Inventario'!$B:$B)+SUMIFS(D$2:D5265,B$2:B5265,B5265,C$2:C5265,"ENTRADA")-SUMIFS(D$2:D5265,B$2:B5265,B5265,C$2:C5265,"SALIDA")</f>
        <v>24298.900999999987</v>
      </c>
    </row>
    <row r="5266" spans="1:5" x14ac:dyDescent="0.3">
      <c r="A5266" s="9">
        <v>45891</v>
      </c>
      <c r="B5266" s="10" t="s">
        <v>15</v>
      </c>
      <c r="C5266" s="10" t="s">
        <v>28</v>
      </c>
      <c r="D5266" s="12">
        <v>294.64</v>
      </c>
      <c r="E5266" s="12">
        <f>SUMIF('Parametros Inventario'!$A:$A,B5266,'Parametros Inventario'!$B:$B)+SUMIFS(D$2:D5266,B$2:B5266,B5266,C$2:C5266,"ENTRADA")-SUMIFS(D$2:D5266,B$2:B5266,B5266,C$2:C5266,"SALIDA")</f>
        <v>28092.684999999998</v>
      </c>
    </row>
    <row r="5267" spans="1:5" x14ac:dyDescent="0.3">
      <c r="A5267" s="9">
        <f>'Volúmenes DIstribuidos '!B3165</f>
        <v>45891</v>
      </c>
      <c r="B5267" s="10" t="str">
        <f>IF(OR('Volúmenes DIstribuidos '!C3165="Azúcar",'Volúmenes DIstribuidos '!C3165="azúcar"),"Azúcar o dulce",IF('Volúmenes DIstribuidos '!C3165="Aceite","Aceite o grasas",IF('Volúmenes DIstribuidos '!C3165="Avena","Otros almidones",'Volúmenes DIstribuidos '!C3165)))</f>
        <v>Otros almidones</v>
      </c>
      <c r="C5267" s="10" t="s">
        <v>29</v>
      </c>
      <c r="D5267" s="12">
        <f>'Volúmenes DIstribuidos '!D3165</f>
        <v>19.745000000000001</v>
      </c>
      <c r="E5267" s="12">
        <f>SUMIF('Parametros Inventario'!$A:$A,B5267,'Parametros Inventario'!$B:$B)+SUMIFS(D$2:D5267,B$2:B5267,B5267,C$2:C5267,"ENTRADA")-SUMIFS(D$2:D5267,B$2:B5267,B5267,C$2:C5267,"SALIDA")</f>
        <v>28072.939999999995</v>
      </c>
    </row>
    <row r="5268" spans="1:5" x14ac:dyDescent="0.3">
      <c r="A5268" s="9">
        <f>'Volúmenes DIstribuidos '!B3165</f>
        <v>45891</v>
      </c>
      <c r="B5268" s="10" t="str">
        <f>IF(OR('Volúmenes DIstribuidos '!C3166="Azúcar",'Volúmenes DIstribuidos '!C3166="azúcar"),"Azúcar o dulce",IF('Volúmenes DIstribuidos '!C3166="Aceite","Aceite o grasas",IF('Volúmenes DIstribuidos '!C3166="Avena","Otros almidones",'Volúmenes DIstribuidos '!C3166)))</f>
        <v>Vegetales y hojas</v>
      </c>
      <c r="C5268" s="10" t="s">
        <v>29</v>
      </c>
      <c r="D5268" s="12">
        <f>'Volúmenes DIstribuidos '!D3166</f>
        <v>10.88</v>
      </c>
      <c r="E5268" s="12">
        <f>SUMIF('Parametros Inventario'!$A:$A,B5268,'Parametros Inventario'!$B:$B)+SUMIFS(D$2:D5268,B$2:B5268,B5268,C$2:C5268,"ENTRADA")-SUMIFS(D$2:D5268,B$2:B5268,B5268,C$2:C5268,"SALIDA")</f>
        <v>26775.639999999992</v>
      </c>
    </row>
    <row r="5269" spans="1:5" x14ac:dyDescent="0.3">
      <c r="A5269" s="9">
        <f>'Volúmenes DIstribuidos '!B3165</f>
        <v>45891</v>
      </c>
      <c r="B5269" s="10" t="str">
        <f>IF(OR('Volúmenes DIstribuidos '!C3167="Azúcar",'Volúmenes DIstribuidos '!C3167="azúcar"),"Azúcar o dulce",IF('Volúmenes DIstribuidos '!C3167="Aceite","Aceite o grasas",IF('Volúmenes DIstribuidos '!C3167="Avena","Otros almidones",'Volúmenes DIstribuidos '!C3167)))</f>
        <v>Carnes blancas</v>
      </c>
      <c r="C5269" s="10" t="s">
        <v>29</v>
      </c>
      <c r="D5269" s="12">
        <f>'Volúmenes DIstribuidos '!D3167</f>
        <v>18.559999999999999</v>
      </c>
      <c r="E5269" s="12">
        <f>SUMIF('Parametros Inventario'!$A:$A,B5269,'Parametros Inventario'!$B:$B)+SUMIFS(D$2:D5269,B$2:B5269,B5269,C$2:C5269,"ENTRADA")-SUMIFS(D$2:D5269,B$2:B5269,B5269,C$2:C5269,"SALIDA")</f>
        <v>25097.719999999983</v>
      </c>
    </row>
    <row r="5270" spans="1:5" x14ac:dyDescent="0.3">
      <c r="A5270" s="9">
        <f>'Volúmenes DIstribuidos '!B3165</f>
        <v>45891</v>
      </c>
      <c r="B5270" s="10" t="str">
        <f>IF(OR('Volúmenes DIstribuidos '!C3168="Azúcar",'Volúmenes DIstribuidos '!C3168="azúcar"),"Azúcar o dulce",IF('Volúmenes DIstribuidos '!C3168="Aceite","Aceite o grasas",IF('Volúmenes DIstribuidos '!C3168="Avena","Otros almidones",'Volúmenes DIstribuidos '!C3168)))</f>
        <v>Panadería</v>
      </c>
      <c r="C5270" s="10" t="s">
        <v>29</v>
      </c>
      <c r="D5270" s="12">
        <f>'Volúmenes DIstribuidos '!D3168</f>
        <v>41.96</v>
      </c>
      <c r="E5270" s="12">
        <f>SUMIF('Parametros Inventario'!$A:$A,B5270,'Parametros Inventario'!$B:$B)+SUMIFS(D$2:D5270,B$2:B5270,B5270,C$2:C5270,"ENTRADA")-SUMIFS(D$2:D5270,B$2:B5270,B5270,C$2:C5270,"SALIDA")</f>
        <v>24060.305999999993</v>
      </c>
    </row>
    <row r="5271" spans="1:5" x14ac:dyDescent="0.3">
      <c r="A5271" s="9">
        <f>'Volúmenes DIstribuidos '!B3165</f>
        <v>45891</v>
      </c>
      <c r="B5271" s="10" t="str">
        <f>IF(OR('Volúmenes DIstribuidos '!C3169="Azúcar",'Volúmenes DIstribuidos '!C3169="azúcar"),"Azúcar o dulce",IF('Volúmenes DIstribuidos '!C3169="Aceite","Aceite o grasas",IF('Volúmenes DIstribuidos '!C3169="Avena","Otros almidones",'Volúmenes DIstribuidos '!C3169)))</f>
        <v>Fideo</v>
      </c>
      <c r="C5271" s="10" t="s">
        <v>29</v>
      </c>
      <c r="D5271" s="12">
        <f>'Volúmenes DIstribuidos '!D3169</f>
        <v>16.353000000000002</v>
      </c>
      <c r="E5271" s="12">
        <f>SUMIF('Parametros Inventario'!$A:$A,B5271,'Parametros Inventario'!$B:$B)+SUMIFS(D$2:D5271,B$2:B5271,B5271,C$2:C5271,"ENTRADA")-SUMIFS(D$2:D5271,B$2:B5271,B5271,C$2:C5271,"SALIDA")</f>
        <v>28438.776999999998</v>
      </c>
    </row>
    <row r="5272" spans="1:5" x14ac:dyDescent="0.3">
      <c r="A5272" s="9">
        <f>'Volúmenes DIstribuidos '!B3165</f>
        <v>45891</v>
      </c>
      <c r="B5272" s="10" t="str">
        <f>IF(OR('Volúmenes DIstribuidos '!C3170="Azúcar",'Volúmenes DIstribuidos '!C3170="azúcar"),"Azúcar o dulce",IF('Volúmenes DIstribuidos '!C3170="Aceite","Aceite o grasas",IF('Volúmenes DIstribuidos '!C3170="Avena","Otros almidones",'Volúmenes DIstribuidos '!C3170)))</f>
        <v>Carnes blancas</v>
      </c>
      <c r="C5272" s="10" t="s">
        <v>29</v>
      </c>
      <c r="D5272" s="12">
        <f>'Volúmenes DIstribuidos '!D3170</f>
        <v>11.68</v>
      </c>
      <c r="E5272" s="12">
        <f>SUMIF('Parametros Inventario'!$A:$A,B5272,'Parametros Inventario'!$B:$B)+SUMIFS(D$2:D5272,B$2:B5272,B5272,C$2:C5272,"ENTRADA")-SUMIFS(D$2:D5272,B$2:B5272,B5272,C$2:C5272,"SALIDA")</f>
        <v>25086.039999999983</v>
      </c>
    </row>
    <row r="5273" spans="1:5" x14ac:dyDescent="0.3">
      <c r="A5273" s="9">
        <f>'Volúmenes DIstribuidos '!B3171</f>
        <v>45895</v>
      </c>
      <c r="B5273" s="10" t="str">
        <f>IF(OR('Volúmenes DIstribuidos '!C3171="Azúcar",'Volúmenes DIstribuidos '!C3171="azúcar"),"Azúcar o dulce",IF('Volúmenes DIstribuidos '!C3171="Aceite","Aceite o grasas",IF('Volúmenes DIstribuidos '!C3171="Avena","Otros almidones",'Volúmenes DIstribuidos '!C3171)))</f>
        <v>Salsas</v>
      </c>
      <c r="C5273" s="10" t="s">
        <v>29</v>
      </c>
      <c r="D5273" s="12">
        <f>'Volúmenes DIstribuidos '!D3171</f>
        <v>26.37</v>
      </c>
      <c r="E5273" s="12">
        <f>SUMIF('Parametros Inventario'!$A:$A,B5273,'Parametros Inventario'!$B:$B)+SUMIFS(D$2:D5273,B$2:B5273,B5273,C$2:C5273,"ENTRADA")-SUMIFS(D$2:D5273,B$2:B5273,B5273,C$2:C5273,"SALIDA")</f>
        <v>24688.620999999977</v>
      </c>
    </row>
    <row r="5274" spans="1:5" x14ac:dyDescent="0.3">
      <c r="A5274" s="9">
        <f>'Volúmenes DIstribuidos '!B3171</f>
        <v>45895</v>
      </c>
      <c r="B5274" s="10" t="str">
        <f>IF(OR('Volúmenes DIstribuidos '!C3172="Azúcar",'Volúmenes DIstribuidos '!C3172="azúcar"),"Azúcar o dulce",IF('Volúmenes DIstribuidos '!C3172="Aceite","Aceite o grasas",IF('Volúmenes DIstribuidos '!C3172="Avena","Otros almidones",'Volúmenes DIstribuidos '!C3172)))</f>
        <v>Vegetales y hojas</v>
      </c>
      <c r="C5274" s="10" t="s">
        <v>29</v>
      </c>
      <c r="D5274" s="12">
        <f>'Volúmenes DIstribuidos '!D3172</f>
        <v>18.187999999999999</v>
      </c>
      <c r="E5274" s="12">
        <f>SUMIF('Parametros Inventario'!$A:$A,B5274,'Parametros Inventario'!$B:$B)+SUMIFS(D$2:D5274,B$2:B5274,B5274,C$2:C5274,"ENTRADA")-SUMIFS(D$2:D5274,B$2:B5274,B5274,C$2:C5274,"SALIDA")</f>
        <v>26757.45199999999</v>
      </c>
    </row>
    <row r="5275" spans="1:5" x14ac:dyDescent="0.3">
      <c r="A5275" s="9">
        <f>'Volúmenes DIstribuidos '!B3171</f>
        <v>45895</v>
      </c>
      <c r="B5275" s="10" t="str">
        <f>IF(OR('Volúmenes DIstribuidos '!C3173="Azúcar",'Volúmenes DIstribuidos '!C3173="azúcar"),"Azúcar o dulce",IF('Volúmenes DIstribuidos '!C3173="Aceite","Aceite o grasas",IF('Volúmenes DIstribuidos '!C3173="Avena","Otros almidones",'Volúmenes DIstribuidos '!C3173)))</f>
        <v>Carnes rojas</v>
      </c>
      <c r="C5275" s="10" t="s">
        <v>29</v>
      </c>
      <c r="D5275" s="12">
        <f>'Volúmenes DIstribuidos '!D3173</f>
        <v>30.9</v>
      </c>
      <c r="E5275" s="12">
        <f>SUMIF('Parametros Inventario'!$A:$A,B5275,'Parametros Inventario'!$B:$B)+SUMIFS(D$2:D5275,B$2:B5275,B5275,C$2:C5275,"ENTRADA")-SUMIFS(D$2:D5275,B$2:B5275,B5275,C$2:C5275,"SALIDA")</f>
        <v>24233.37200000001</v>
      </c>
    </row>
    <row r="5276" spans="1:5" x14ac:dyDescent="0.3">
      <c r="A5276" s="9">
        <f>'Volúmenes DIstribuidos '!B3171</f>
        <v>45895</v>
      </c>
      <c r="B5276" s="10" t="str">
        <f>IF(OR('Volúmenes DIstribuidos '!C3174="Azúcar",'Volúmenes DIstribuidos '!C3174="azúcar"),"Azúcar o dulce",IF('Volúmenes DIstribuidos '!C3174="Aceite","Aceite o grasas",IF('Volúmenes DIstribuidos '!C3174="Avena","Otros almidones",'Volúmenes DIstribuidos '!C3174)))</f>
        <v>Panadería</v>
      </c>
      <c r="C5276" s="10" t="s">
        <v>29</v>
      </c>
      <c r="D5276" s="12">
        <f>'Volúmenes DIstribuidos '!D3174</f>
        <v>27.71</v>
      </c>
      <c r="E5276" s="12">
        <f>SUMIF('Parametros Inventario'!$A:$A,B5276,'Parametros Inventario'!$B:$B)+SUMIFS(D$2:D5276,B$2:B5276,B5276,C$2:C5276,"ENTRADA")-SUMIFS(D$2:D5276,B$2:B5276,B5276,C$2:C5276,"SALIDA")</f>
        <v>24032.595999999994</v>
      </c>
    </row>
    <row r="5277" spans="1:5" x14ac:dyDescent="0.3">
      <c r="A5277" s="9">
        <f>'Volúmenes DIstribuidos '!B3171</f>
        <v>45895</v>
      </c>
      <c r="B5277" s="10" t="str">
        <f>IF(OR('Volúmenes DIstribuidos '!C3175="Azúcar",'Volúmenes DIstribuidos '!C3175="azúcar"),"Azúcar o dulce",IF('Volúmenes DIstribuidos '!C3175="Aceite","Aceite o grasas",IF('Volúmenes DIstribuidos '!C3175="Avena","Otros almidones",'Volúmenes DIstribuidos '!C3175)))</f>
        <v>Menestras</v>
      </c>
      <c r="C5277" s="10" t="s">
        <v>29</v>
      </c>
      <c r="D5277" s="12">
        <f>'Volúmenes DIstribuidos '!D3175</f>
        <v>17.350000000000001</v>
      </c>
      <c r="E5277" s="12">
        <f>SUMIF('Parametros Inventario'!$A:$A,B5277,'Parametros Inventario'!$B:$B)+SUMIFS(D$2:D5277,B$2:B5277,B5277,C$2:C5277,"ENTRADA")-SUMIFS(D$2:D5277,B$2:B5277,B5277,C$2:C5277,"SALIDA")</f>
        <v>25234.202999999983</v>
      </c>
    </row>
    <row r="5278" spans="1:5" x14ac:dyDescent="0.3">
      <c r="A5278" s="9">
        <f>'Volúmenes DIstribuidos '!B3171</f>
        <v>45895</v>
      </c>
      <c r="B5278" s="10" t="str">
        <f>IF(OR('Volúmenes DIstribuidos '!C3176="Azúcar",'Volúmenes DIstribuidos '!C3176="azúcar"),"Azúcar o dulce",IF('Volúmenes DIstribuidos '!C3176="Aceite","Aceite o grasas",IF('Volúmenes DIstribuidos '!C3176="Avena","Otros almidones",'Volúmenes DIstribuidos '!C3176)))</f>
        <v>Fideo</v>
      </c>
      <c r="C5278" s="10" t="s">
        <v>29</v>
      </c>
      <c r="D5278" s="12">
        <f>'Volúmenes DIstribuidos '!D3176</f>
        <v>15.6</v>
      </c>
      <c r="E5278" s="12">
        <f>SUMIF('Parametros Inventario'!$A:$A,B5278,'Parametros Inventario'!$B:$B)+SUMIFS(D$2:D5278,B$2:B5278,B5278,C$2:C5278,"ENTRADA")-SUMIFS(D$2:D5278,B$2:B5278,B5278,C$2:C5278,"SALIDA")</f>
        <v>28423.177</v>
      </c>
    </row>
    <row r="5279" spans="1:5" x14ac:dyDescent="0.3">
      <c r="A5279" s="9">
        <v>45898</v>
      </c>
      <c r="B5279" s="10" t="s">
        <v>11</v>
      </c>
      <c r="C5279" s="10" t="s">
        <v>28</v>
      </c>
      <c r="D5279" s="12">
        <v>103.36</v>
      </c>
      <c r="E5279" s="12">
        <f>SUMIF('Parametros Inventario'!$A:$A,B5279,'Parametros Inventario'!$B:$B)+SUMIFS(D$2:D5279,B$2:B5279,B5279,C$2:C5279,"ENTRADA")-SUMIFS(D$2:D5279,B$2:B5279,B5279,C$2:C5279,"SALIDA")</f>
        <v>28526.537</v>
      </c>
    </row>
    <row r="5280" spans="1:5" x14ac:dyDescent="0.3">
      <c r="A5280" s="9">
        <v>45898</v>
      </c>
      <c r="B5280" s="10" t="s">
        <v>9</v>
      </c>
      <c r="C5280" s="10" t="s">
        <v>28</v>
      </c>
      <c r="D5280" s="12">
        <v>102.87</v>
      </c>
      <c r="E5280" s="12">
        <f>SUMIF('Parametros Inventario'!$A:$A,B5280,'Parametros Inventario'!$B:$B)+SUMIFS(D$2:D5280,B$2:B5280,B5280,C$2:C5280,"ENTRADA")-SUMIFS(D$2:D5280,B$2:B5280,B5280,C$2:C5280,"SALIDA")</f>
        <v>24135.465999999997</v>
      </c>
    </row>
    <row r="5281" spans="1:5" x14ac:dyDescent="0.3">
      <c r="A5281" s="9">
        <v>45898</v>
      </c>
      <c r="B5281" s="10" t="s">
        <v>14</v>
      </c>
      <c r="C5281" s="10" t="s">
        <v>28</v>
      </c>
      <c r="D5281" s="12">
        <v>55.74</v>
      </c>
      <c r="E5281" s="12">
        <f>SUMIF('Parametros Inventario'!$A:$A,B5281,'Parametros Inventario'!$B:$B)+SUMIFS(D$2:D5281,B$2:B5281,B5281,C$2:C5281,"ENTRADA")-SUMIFS(D$2:D5281,B$2:B5281,B5281,C$2:C5281,"SALIDA")</f>
        <v>25289.942999999981</v>
      </c>
    </row>
    <row r="5282" spans="1:5" x14ac:dyDescent="0.3">
      <c r="A5282" s="9">
        <v>45898</v>
      </c>
      <c r="B5282" s="10" t="s">
        <v>12</v>
      </c>
      <c r="C5282" s="10" t="s">
        <v>28</v>
      </c>
      <c r="D5282" s="12">
        <v>239.65</v>
      </c>
      <c r="E5282" s="12">
        <f>SUMIF('Parametros Inventario'!$A:$A,B5282,'Parametros Inventario'!$B:$B)+SUMIFS(D$2:D5282,B$2:B5282,B5282,C$2:C5282,"ENTRADA")-SUMIFS(D$2:D5282,B$2:B5282,B5282,C$2:C5282,"SALIDA")</f>
        <v>24473.022000000012</v>
      </c>
    </row>
    <row r="5283" spans="1:5" x14ac:dyDescent="0.3">
      <c r="A5283" s="9">
        <v>45898</v>
      </c>
      <c r="B5283" s="10" t="s">
        <v>16</v>
      </c>
      <c r="C5283" s="10" t="s">
        <v>28</v>
      </c>
      <c r="D5283" s="12">
        <v>155.72999999999999</v>
      </c>
      <c r="E5283" s="12">
        <f>SUMIF('Parametros Inventario'!$A:$A,B5283,'Parametros Inventario'!$B:$B)+SUMIFS(D$2:D5283,B$2:B5283,B5283,C$2:C5283,"ENTRADA")-SUMIFS(D$2:D5283,B$2:B5283,B5283,C$2:C5283,"SALIDA")</f>
        <v>25241.769999999979</v>
      </c>
    </row>
    <row r="5284" spans="1:5" x14ac:dyDescent="0.3">
      <c r="A5284" s="9">
        <v>45898</v>
      </c>
      <c r="B5284" s="10" t="s">
        <v>17</v>
      </c>
      <c r="C5284" s="10" t="s">
        <v>28</v>
      </c>
      <c r="D5284" s="12">
        <v>113.02</v>
      </c>
      <c r="E5284" s="12">
        <f>SUMIF('Parametros Inventario'!$A:$A,B5284,'Parametros Inventario'!$B:$B)+SUMIFS(D$2:D5284,B$2:B5284,B5284,C$2:C5284,"ENTRADA")-SUMIFS(D$2:D5284,B$2:B5284,B5284,C$2:C5284,"SALIDA")</f>
        <v>25327.356000000007</v>
      </c>
    </row>
    <row r="5285" spans="1:5" x14ac:dyDescent="0.3">
      <c r="A5285" s="9">
        <v>45898</v>
      </c>
      <c r="B5285" s="10" t="s">
        <v>18</v>
      </c>
      <c r="C5285" s="10" t="s">
        <v>28</v>
      </c>
      <c r="D5285" s="12">
        <v>94.03</v>
      </c>
      <c r="E5285" s="12">
        <f>SUMIF('Parametros Inventario'!$A:$A,B5285,'Parametros Inventario'!$B:$B)+SUMIFS(D$2:D5285,B$2:B5285,B5285,C$2:C5285,"ENTRADA")-SUMIFS(D$2:D5285,B$2:B5285,B5285,C$2:C5285,"SALIDA")</f>
        <v>24782.650999999976</v>
      </c>
    </row>
    <row r="5286" spans="1:5" x14ac:dyDescent="0.3">
      <c r="A5286" s="9">
        <v>45898</v>
      </c>
      <c r="B5286" s="10" t="s">
        <v>10</v>
      </c>
      <c r="C5286" s="10" t="s">
        <v>28</v>
      </c>
      <c r="D5286" s="12">
        <v>85.43</v>
      </c>
      <c r="E5286" s="12">
        <f>SUMIF('Parametros Inventario'!$A:$A,B5286,'Parametros Inventario'!$B:$B)+SUMIFS(D$2:D5286,B$2:B5286,B5286,C$2:C5286,"ENTRADA")-SUMIFS(D$2:D5286,B$2:B5286,B5286,C$2:C5286,"SALIDA")</f>
        <v>26842.881999999991</v>
      </c>
    </row>
    <row r="5287" spans="1:5" x14ac:dyDescent="0.3">
      <c r="A5287" s="9">
        <v>45898</v>
      </c>
      <c r="B5287" s="10" t="s">
        <v>8</v>
      </c>
      <c r="C5287" s="10" t="s">
        <v>28</v>
      </c>
      <c r="D5287" s="12">
        <v>118.48</v>
      </c>
      <c r="E5287" s="12">
        <f>SUMIF('Parametros Inventario'!$A:$A,B5287,'Parametros Inventario'!$B:$B)+SUMIFS(D$2:D5287,B$2:B5287,B5287,C$2:C5287,"ENTRADA")-SUMIFS(D$2:D5287,B$2:B5287,B5287,C$2:C5287,"SALIDA")</f>
        <v>24969.710000000006</v>
      </c>
    </row>
    <row r="5288" spans="1:5" x14ac:dyDescent="0.3">
      <c r="A5288" s="9">
        <v>45898</v>
      </c>
      <c r="B5288" s="10" t="s">
        <v>13</v>
      </c>
      <c r="C5288" s="10" t="s">
        <v>28</v>
      </c>
      <c r="D5288" s="12">
        <v>70.430000000000007</v>
      </c>
      <c r="E5288" s="12">
        <f>SUMIF('Parametros Inventario'!$A:$A,B5288,'Parametros Inventario'!$B:$B)+SUMIFS(D$2:D5288,B$2:B5288,B5288,C$2:C5288,"ENTRADA")-SUMIFS(D$2:D5288,B$2:B5288,B5288,C$2:C5288,"SALIDA")</f>
        <v>24369.330999999987</v>
      </c>
    </row>
    <row r="5289" spans="1:5" x14ac:dyDescent="0.3">
      <c r="A5289" s="9">
        <v>45898</v>
      </c>
      <c r="B5289" s="10" t="s">
        <v>15</v>
      </c>
      <c r="C5289" s="10" t="s">
        <v>28</v>
      </c>
      <c r="D5289" s="12">
        <v>268.44</v>
      </c>
      <c r="E5289" s="12">
        <f>SUMIF('Parametros Inventario'!$A:$A,B5289,'Parametros Inventario'!$B:$B)+SUMIFS(D$2:D5289,B$2:B5289,B5289,C$2:C5289,"ENTRADA")-SUMIFS(D$2:D5289,B$2:B5289,B5289,C$2:C5289,"SALIDA")</f>
        <v>28341.379999999997</v>
      </c>
    </row>
    <row r="5290" spans="1:5" x14ac:dyDescent="0.3">
      <c r="A5290" s="9">
        <v>45898</v>
      </c>
      <c r="B5290" s="10" t="s">
        <v>11</v>
      </c>
      <c r="C5290" s="10" t="s">
        <v>28</v>
      </c>
      <c r="D5290" s="12">
        <v>162.86000000000001</v>
      </c>
      <c r="E5290" s="12">
        <f>SUMIF('Parametros Inventario'!$A:$A,B5290,'Parametros Inventario'!$B:$B)+SUMIFS(D$2:D5290,B$2:B5290,B5290,C$2:C5290,"ENTRADA")-SUMIFS(D$2:D5290,B$2:B5290,B5290,C$2:C5290,"SALIDA")</f>
        <v>28689.397000000001</v>
      </c>
    </row>
    <row r="5291" spans="1:5" x14ac:dyDescent="0.3">
      <c r="A5291" s="9">
        <v>45898</v>
      </c>
      <c r="B5291" s="10" t="s">
        <v>9</v>
      </c>
      <c r="C5291" s="10" t="s">
        <v>28</v>
      </c>
      <c r="D5291" s="12">
        <v>154.93</v>
      </c>
      <c r="E5291" s="12">
        <f>SUMIF('Parametros Inventario'!$A:$A,B5291,'Parametros Inventario'!$B:$B)+SUMIFS(D$2:D5291,B$2:B5291,B5291,C$2:C5291,"ENTRADA")-SUMIFS(D$2:D5291,B$2:B5291,B5291,C$2:C5291,"SALIDA")</f>
        <v>24290.395999999997</v>
      </c>
    </row>
    <row r="5292" spans="1:5" x14ac:dyDescent="0.3">
      <c r="A5292" s="9">
        <v>45898</v>
      </c>
      <c r="B5292" s="10" t="s">
        <v>14</v>
      </c>
      <c r="C5292" s="10" t="s">
        <v>28</v>
      </c>
      <c r="D5292" s="12">
        <v>103.53</v>
      </c>
      <c r="E5292" s="12">
        <f>SUMIF('Parametros Inventario'!$A:$A,B5292,'Parametros Inventario'!$B:$B)+SUMIFS(D$2:D5292,B$2:B5292,B5292,C$2:C5292,"ENTRADA")-SUMIFS(D$2:D5292,B$2:B5292,B5292,C$2:C5292,"SALIDA")</f>
        <v>25393.47299999998</v>
      </c>
    </row>
    <row r="5293" spans="1:5" x14ac:dyDescent="0.3">
      <c r="A5293" s="9">
        <v>45898</v>
      </c>
      <c r="B5293" s="10" t="s">
        <v>12</v>
      </c>
      <c r="C5293" s="10" t="s">
        <v>28</v>
      </c>
      <c r="D5293" s="12">
        <v>273.27</v>
      </c>
      <c r="E5293" s="12">
        <f>SUMIF('Parametros Inventario'!$A:$A,B5293,'Parametros Inventario'!$B:$B)+SUMIFS(D$2:D5293,B$2:B5293,B5293,C$2:C5293,"ENTRADA")-SUMIFS(D$2:D5293,B$2:B5293,B5293,C$2:C5293,"SALIDA")</f>
        <v>24746.292000000016</v>
      </c>
    </row>
    <row r="5294" spans="1:5" x14ac:dyDescent="0.3">
      <c r="A5294" s="9">
        <v>45898</v>
      </c>
      <c r="B5294" s="10" t="s">
        <v>16</v>
      </c>
      <c r="C5294" s="10" t="s">
        <v>28</v>
      </c>
      <c r="D5294" s="12">
        <v>96.02</v>
      </c>
      <c r="E5294" s="12">
        <f>SUMIF('Parametros Inventario'!$A:$A,B5294,'Parametros Inventario'!$B:$B)+SUMIFS(D$2:D5294,B$2:B5294,B5294,C$2:C5294,"ENTRADA")-SUMIFS(D$2:D5294,B$2:B5294,B5294,C$2:C5294,"SALIDA")</f>
        <v>25337.789999999983</v>
      </c>
    </row>
    <row r="5295" spans="1:5" x14ac:dyDescent="0.3">
      <c r="A5295" s="9">
        <v>45898</v>
      </c>
      <c r="B5295" s="10" t="s">
        <v>17</v>
      </c>
      <c r="C5295" s="10" t="s">
        <v>28</v>
      </c>
      <c r="D5295" s="12">
        <v>63.44</v>
      </c>
      <c r="E5295" s="12">
        <f>SUMIF('Parametros Inventario'!$A:$A,B5295,'Parametros Inventario'!$B:$B)+SUMIFS(D$2:D5295,B$2:B5295,B5295,C$2:C5295,"ENTRADA")-SUMIFS(D$2:D5295,B$2:B5295,B5295,C$2:C5295,"SALIDA")</f>
        <v>25390.796000000009</v>
      </c>
    </row>
    <row r="5296" spans="1:5" x14ac:dyDescent="0.3">
      <c r="A5296" s="9">
        <f>'Volúmenes DIstribuidos '!B3177</f>
        <v>45898</v>
      </c>
      <c r="B5296" s="10" t="str">
        <f>IF(OR('Volúmenes DIstribuidos '!C3177="Azúcar",'Volúmenes DIstribuidos '!C3177="azúcar"),"Azúcar o dulce",IF('Volúmenes DIstribuidos '!C3177="Aceite","Aceite o grasas",IF('Volúmenes DIstribuidos '!C3177="Avena","Otros almidones",'Volúmenes DIstribuidos '!C3177)))</f>
        <v>Salsas</v>
      </c>
      <c r="C5296" s="10" t="s">
        <v>29</v>
      </c>
      <c r="D5296" s="12">
        <f>'Volúmenes DIstribuidos '!D3177</f>
        <v>13.69</v>
      </c>
      <c r="E5296" s="12">
        <f>SUMIF('Parametros Inventario'!$A:$A,B5296,'Parametros Inventario'!$B:$B)+SUMIFS(D$2:D5296,B$2:B5296,B5296,C$2:C5296,"ENTRADA")-SUMIFS(D$2:D5296,B$2:B5296,B5296,C$2:C5296,"SALIDA")</f>
        <v>24768.960999999974</v>
      </c>
    </row>
    <row r="5297" spans="1:5" x14ac:dyDescent="0.3">
      <c r="A5297" s="9">
        <f>'Volúmenes DIstribuidos '!B3177</f>
        <v>45898</v>
      </c>
      <c r="B5297" s="10" t="str">
        <f>IF(OR('Volúmenes DIstribuidos '!C3178="Azúcar",'Volúmenes DIstribuidos '!C3178="azúcar"),"Azúcar o dulce",IF('Volúmenes DIstribuidos '!C3178="Aceite","Aceite o grasas",IF('Volúmenes DIstribuidos '!C3178="Avena","Otros almidones",'Volúmenes DIstribuidos '!C3178)))</f>
        <v>Aceite o grasas</v>
      </c>
      <c r="C5297" s="10" t="s">
        <v>29</v>
      </c>
      <c r="D5297" s="12">
        <f>'Volúmenes DIstribuidos '!D3178</f>
        <v>25.175000000000001</v>
      </c>
      <c r="E5297" s="12">
        <f>SUMIF('Parametros Inventario'!$A:$A,B5297,'Parametros Inventario'!$B:$B)+SUMIFS(D$2:D5297,B$2:B5297,B5297,C$2:C5297,"ENTRADA")-SUMIFS(D$2:D5297,B$2:B5297,B5297,C$2:C5297,"SALIDA")</f>
        <v>24944.535000000011</v>
      </c>
    </row>
    <row r="5298" spans="1:5" x14ac:dyDescent="0.3">
      <c r="A5298" s="9">
        <f>'Volúmenes DIstribuidos '!B3177</f>
        <v>45898</v>
      </c>
      <c r="B5298" s="10" t="str">
        <f>IF(OR('Volúmenes DIstribuidos '!C3179="Azúcar",'Volúmenes DIstribuidos '!C3179="azúcar"),"Azúcar o dulce",IF('Volúmenes DIstribuidos '!C3179="Aceite","Aceite o grasas",IF('Volúmenes DIstribuidos '!C3179="Avena","Otros almidones",'Volúmenes DIstribuidos '!C3179)))</f>
        <v>Aceite o grasas</v>
      </c>
      <c r="C5298" s="10" t="s">
        <v>29</v>
      </c>
      <c r="D5298" s="12">
        <f>'Volúmenes DIstribuidos '!D3179</f>
        <v>38.53</v>
      </c>
      <c r="E5298" s="12">
        <f>SUMIF('Parametros Inventario'!$A:$A,B5298,'Parametros Inventario'!$B:$B)+SUMIFS(D$2:D5298,B$2:B5298,B5298,C$2:C5298,"ENTRADA")-SUMIFS(D$2:D5298,B$2:B5298,B5298,C$2:C5298,"SALIDA")</f>
        <v>24906.005000000008</v>
      </c>
    </row>
    <row r="5299" spans="1:5" x14ac:dyDescent="0.3">
      <c r="A5299" s="9">
        <f>'Volúmenes DIstribuidos '!B3177</f>
        <v>45898</v>
      </c>
      <c r="B5299" s="10" t="str">
        <f>IF(OR('Volúmenes DIstribuidos '!C3180="Azúcar",'Volúmenes DIstribuidos '!C3180="azúcar"),"Azúcar o dulce",IF('Volúmenes DIstribuidos '!C3180="Aceite","Aceite o grasas",IF('Volúmenes DIstribuidos '!C3180="Avena","Otros almidones",'Volúmenes DIstribuidos '!C3180)))</f>
        <v>Panadería</v>
      </c>
      <c r="C5299" s="10" t="s">
        <v>29</v>
      </c>
      <c r="D5299" s="12">
        <f>'Volúmenes DIstribuidos '!D3180</f>
        <v>23.13</v>
      </c>
      <c r="E5299" s="12">
        <f>SUMIF('Parametros Inventario'!$A:$A,B5299,'Parametros Inventario'!$B:$B)+SUMIFS(D$2:D5299,B$2:B5299,B5299,C$2:C5299,"ENTRADA")-SUMIFS(D$2:D5299,B$2:B5299,B5299,C$2:C5299,"SALIDA")</f>
        <v>24267.265999999996</v>
      </c>
    </row>
    <row r="5300" spans="1:5" x14ac:dyDescent="0.3">
      <c r="A5300" s="9">
        <f>'Volúmenes DIstribuidos '!B3177</f>
        <v>45898</v>
      </c>
      <c r="B5300" s="10" t="str">
        <f>IF(OR('Volúmenes DIstribuidos '!C3181="Azúcar",'Volúmenes DIstribuidos '!C3181="azúcar"),"Azúcar o dulce",IF('Volúmenes DIstribuidos '!C3181="Aceite","Aceite o grasas",IF('Volúmenes DIstribuidos '!C3181="Avena","Otros almidones",'Volúmenes DIstribuidos '!C3181)))</f>
        <v>Menestras</v>
      </c>
      <c r="C5300" s="10" t="s">
        <v>29</v>
      </c>
      <c r="D5300" s="12">
        <f>'Volúmenes DIstribuidos '!D3181</f>
        <v>103.633</v>
      </c>
      <c r="E5300" s="12">
        <f>SUMIF('Parametros Inventario'!$A:$A,B5300,'Parametros Inventario'!$B:$B)+SUMIFS(D$2:D5300,B$2:B5300,B5300,C$2:C5300,"ENTRADA")-SUMIFS(D$2:D5300,B$2:B5300,B5300,C$2:C5300,"SALIDA")</f>
        <v>25289.839999999982</v>
      </c>
    </row>
    <row r="5301" spans="1:5" x14ac:dyDescent="0.3">
      <c r="A5301" s="9">
        <f>'Volúmenes DIstribuidos '!B3177</f>
        <v>45898</v>
      </c>
      <c r="B5301" s="10" t="str">
        <f>IF(OR('Volúmenes DIstribuidos '!C3182="Azúcar",'Volúmenes DIstribuidos '!C3182="azúcar"),"Azúcar o dulce",IF('Volúmenes DIstribuidos '!C3182="Aceite","Aceite o grasas",IF('Volúmenes DIstribuidos '!C3182="Avena","Otros almidones",'Volúmenes DIstribuidos '!C3182)))</f>
        <v>Carnes rojas</v>
      </c>
      <c r="C5301" s="10" t="s">
        <v>29</v>
      </c>
      <c r="D5301" s="12">
        <f>'Volúmenes DIstribuidos '!D3182</f>
        <v>50</v>
      </c>
      <c r="E5301" s="12">
        <f>SUMIF('Parametros Inventario'!$A:$A,B5301,'Parametros Inventario'!$B:$B)+SUMIFS(D$2:D5301,B$2:B5301,B5301,C$2:C5301,"ENTRADA")-SUMIFS(D$2:D5301,B$2:B5301,B5301,C$2:C5301,"SALIDA")</f>
        <v>24696.292000000016</v>
      </c>
    </row>
    <row r="5302" spans="1:5" x14ac:dyDescent="0.3">
      <c r="A5302" s="9">
        <f>'Volúmenes DIstribuidos '!B3183</f>
        <v>45902</v>
      </c>
      <c r="B5302" s="10" t="str">
        <f>IF(OR('Volúmenes DIstribuidos '!C3183="Azúcar",'Volúmenes DIstribuidos '!C3183="azúcar"),"Azúcar o dulce",IF('Volúmenes DIstribuidos '!C3183="Aceite","Aceite o grasas",IF('Volúmenes DIstribuidos '!C3183="Avena","Otros almidones",'Volúmenes DIstribuidos '!C3183)))</f>
        <v>Vegetales y hojas</v>
      </c>
      <c r="C5302" s="10" t="s">
        <v>29</v>
      </c>
      <c r="D5302" s="12">
        <f>'Volúmenes DIstribuidos '!D3183</f>
        <v>81.72</v>
      </c>
      <c r="E5302" s="12">
        <f>SUMIF('Parametros Inventario'!$A:$A,B5302,'Parametros Inventario'!$B:$B)+SUMIFS(D$2:D5302,B$2:B5302,B5302,C$2:C5302,"ENTRADA")-SUMIFS(D$2:D5302,B$2:B5302,B5302,C$2:C5302,"SALIDA")</f>
        <v>26761.161999999993</v>
      </c>
    </row>
    <row r="5303" spans="1:5" x14ac:dyDescent="0.3">
      <c r="A5303" s="9">
        <f>'Volúmenes DIstribuidos '!B3183</f>
        <v>45902</v>
      </c>
      <c r="B5303" s="10" t="str">
        <f>IF(OR('Volúmenes DIstribuidos '!C3184="Azúcar",'Volúmenes DIstribuidos '!C3184="azúcar"),"Azúcar o dulce",IF('Volúmenes DIstribuidos '!C3184="Aceite","Aceite o grasas",IF('Volúmenes DIstribuidos '!C3184="Avena","Otros almidones",'Volúmenes DIstribuidos '!C3184)))</f>
        <v>Panadería</v>
      </c>
      <c r="C5303" s="10" t="s">
        <v>29</v>
      </c>
      <c r="D5303" s="12">
        <f>'Volúmenes DIstribuidos '!D3184</f>
        <v>23.13</v>
      </c>
      <c r="E5303" s="12">
        <f>SUMIF('Parametros Inventario'!$A:$A,B5303,'Parametros Inventario'!$B:$B)+SUMIFS(D$2:D5303,B$2:B5303,B5303,C$2:C5303,"ENTRADA")-SUMIFS(D$2:D5303,B$2:B5303,B5303,C$2:C5303,"SALIDA")</f>
        <v>24244.135999999999</v>
      </c>
    </row>
    <row r="5304" spans="1:5" x14ac:dyDescent="0.3">
      <c r="A5304" s="9">
        <f>'Volúmenes DIstribuidos '!B3183</f>
        <v>45902</v>
      </c>
      <c r="B5304" s="10" t="str">
        <f>IF(OR('Volúmenes DIstribuidos '!C3185="Azúcar",'Volúmenes DIstribuidos '!C3185="azúcar"),"Azúcar o dulce",IF('Volúmenes DIstribuidos '!C3185="Aceite","Aceite o grasas",IF('Volúmenes DIstribuidos '!C3185="Avena","Otros almidones",'Volúmenes DIstribuidos '!C3185)))</f>
        <v>Carnes blancas</v>
      </c>
      <c r="C5304" s="10" t="s">
        <v>29</v>
      </c>
      <c r="D5304" s="12">
        <f>'Volúmenes DIstribuidos '!D3185</f>
        <v>11.42</v>
      </c>
      <c r="E5304" s="12">
        <f>SUMIF('Parametros Inventario'!$A:$A,B5304,'Parametros Inventario'!$B:$B)+SUMIFS(D$2:D5304,B$2:B5304,B5304,C$2:C5304,"ENTRADA")-SUMIFS(D$2:D5304,B$2:B5304,B5304,C$2:C5304,"SALIDA")</f>
        <v>25326.369999999984</v>
      </c>
    </row>
    <row r="5305" spans="1:5" x14ac:dyDescent="0.3">
      <c r="A5305" s="9">
        <f>'Volúmenes DIstribuidos '!B3183</f>
        <v>45902</v>
      </c>
      <c r="B5305" s="10" t="str">
        <f>IF(OR('Volúmenes DIstribuidos '!C3186="Azúcar",'Volúmenes DIstribuidos '!C3186="azúcar"),"Azúcar o dulce",IF('Volúmenes DIstribuidos '!C3186="Aceite","Aceite o grasas",IF('Volúmenes DIstribuidos '!C3186="Avena","Otros almidones",'Volúmenes DIstribuidos '!C3186)))</f>
        <v>Menestras</v>
      </c>
      <c r="C5305" s="10" t="s">
        <v>29</v>
      </c>
      <c r="D5305" s="12">
        <f>'Volúmenes DIstribuidos '!D3186</f>
        <v>35.43</v>
      </c>
      <c r="E5305" s="12">
        <f>SUMIF('Parametros Inventario'!$A:$A,B5305,'Parametros Inventario'!$B:$B)+SUMIFS(D$2:D5305,B$2:B5305,B5305,C$2:C5305,"ENTRADA")-SUMIFS(D$2:D5305,B$2:B5305,B5305,C$2:C5305,"SALIDA")</f>
        <v>25254.409999999982</v>
      </c>
    </row>
    <row r="5306" spans="1:5" x14ac:dyDescent="0.3">
      <c r="A5306" s="9">
        <f>'Volúmenes DIstribuidos '!B3183</f>
        <v>45902</v>
      </c>
      <c r="B5306" s="10" t="str">
        <f>IF(OR('Volúmenes DIstribuidos '!C3187="Azúcar",'Volúmenes DIstribuidos '!C3187="azúcar"),"Azúcar o dulce",IF('Volúmenes DIstribuidos '!C3187="Aceite","Aceite o grasas",IF('Volúmenes DIstribuidos '!C3187="Avena","Otros almidones",'Volúmenes DIstribuidos '!C3187)))</f>
        <v>Otros almidones</v>
      </c>
      <c r="C5306" s="10" t="s">
        <v>29</v>
      </c>
      <c r="D5306" s="12">
        <f>'Volúmenes DIstribuidos '!D3187</f>
        <v>32.64</v>
      </c>
      <c r="E5306" s="12">
        <f>SUMIF('Parametros Inventario'!$A:$A,B5306,'Parametros Inventario'!$B:$B)+SUMIFS(D$2:D5306,B$2:B5306,B5306,C$2:C5306,"ENTRADA")-SUMIFS(D$2:D5306,B$2:B5306,B5306,C$2:C5306,"SALIDA")</f>
        <v>28308.739999999998</v>
      </c>
    </row>
    <row r="5307" spans="1:5" x14ac:dyDescent="0.3">
      <c r="A5307" s="9">
        <f>'Volúmenes DIstribuidos '!B3183</f>
        <v>45902</v>
      </c>
      <c r="B5307" s="10" t="str">
        <f>IF(OR('Volúmenes DIstribuidos '!C3188="Azúcar",'Volúmenes DIstribuidos '!C3188="azúcar"),"Azúcar o dulce",IF('Volúmenes DIstribuidos '!C3188="Aceite","Aceite o grasas",IF('Volúmenes DIstribuidos '!C3188="Avena","Otros almidones",'Volúmenes DIstribuidos '!C3188)))</f>
        <v>Panadería</v>
      </c>
      <c r="C5307" s="10" t="s">
        <v>29</v>
      </c>
      <c r="D5307" s="12">
        <f>'Volúmenes DIstribuidos '!D3188</f>
        <v>49.36</v>
      </c>
      <c r="E5307" s="12">
        <f>SUMIF('Parametros Inventario'!$A:$A,B5307,'Parametros Inventario'!$B:$B)+SUMIFS(D$2:D5307,B$2:B5307,B5307,C$2:C5307,"ENTRADA")-SUMIFS(D$2:D5307,B$2:B5307,B5307,C$2:C5307,"SALIDA")</f>
        <v>24194.775999999998</v>
      </c>
    </row>
    <row r="5308" spans="1:5" x14ac:dyDescent="0.3">
      <c r="A5308" s="9">
        <v>45905</v>
      </c>
      <c r="B5308" s="10" t="s">
        <v>18</v>
      </c>
      <c r="C5308" s="10" t="s">
        <v>28</v>
      </c>
      <c r="D5308" s="12">
        <v>273.74</v>
      </c>
      <c r="E5308" s="12">
        <f>SUMIF('Parametros Inventario'!$A:$A,B5308,'Parametros Inventario'!$B:$B)+SUMIFS(D$2:D5308,B$2:B5308,B5308,C$2:C5308,"ENTRADA")-SUMIFS(D$2:D5308,B$2:B5308,B5308,C$2:C5308,"SALIDA")</f>
        <v>25042.700999999979</v>
      </c>
    </row>
    <row r="5309" spans="1:5" x14ac:dyDescent="0.3">
      <c r="A5309" s="9">
        <v>45905</v>
      </c>
      <c r="B5309" s="10" t="s">
        <v>10</v>
      </c>
      <c r="C5309" s="10" t="s">
        <v>28</v>
      </c>
      <c r="D5309" s="12">
        <v>157.13</v>
      </c>
      <c r="E5309" s="12">
        <f>SUMIF('Parametros Inventario'!$A:$A,B5309,'Parametros Inventario'!$B:$B)+SUMIFS(D$2:D5309,B$2:B5309,B5309,C$2:C5309,"ENTRADA")-SUMIFS(D$2:D5309,B$2:B5309,B5309,C$2:C5309,"SALIDA")</f>
        <v>26918.29199999999</v>
      </c>
    </row>
    <row r="5310" spans="1:5" x14ac:dyDescent="0.3">
      <c r="A5310" s="9">
        <v>45905</v>
      </c>
      <c r="B5310" s="10" t="s">
        <v>8</v>
      </c>
      <c r="C5310" s="10" t="s">
        <v>28</v>
      </c>
      <c r="D5310" s="12">
        <v>290.83999999999997</v>
      </c>
      <c r="E5310" s="12">
        <f>SUMIF('Parametros Inventario'!$A:$A,B5310,'Parametros Inventario'!$B:$B)+SUMIFS(D$2:D5310,B$2:B5310,B5310,C$2:C5310,"ENTRADA")-SUMIFS(D$2:D5310,B$2:B5310,B5310,C$2:C5310,"SALIDA")</f>
        <v>25196.845000000005</v>
      </c>
    </row>
    <row r="5311" spans="1:5" x14ac:dyDescent="0.3">
      <c r="A5311" s="9">
        <v>45905</v>
      </c>
      <c r="B5311" s="10" t="s">
        <v>13</v>
      </c>
      <c r="C5311" s="10" t="s">
        <v>28</v>
      </c>
      <c r="D5311" s="12">
        <v>124.23</v>
      </c>
      <c r="E5311" s="12">
        <f>SUMIF('Parametros Inventario'!$A:$A,B5311,'Parametros Inventario'!$B:$B)+SUMIFS(D$2:D5311,B$2:B5311,B5311,C$2:C5311,"ENTRADA")-SUMIFS(D$2:D5311,B$2:B5311,B5311,C$2:C5311,"SALIDA")</f>
        <v>24493.560999999983</v>
      </c>
    </row>
    <row r="5312" spans="1:5" x14ac:dyDescent="0.3">
      <c r="A5312" s="9">
        <f>'Volúmenes DIstribuidos '!B3189</f>
        <v>45905</v>
      </c>
      <c r="B5312" s="10" t="str">
        <f>IF(OR('Volúmenes DIstribuidos '!C3189="Azúcar",'Volúmenes DIstribuidos '!C3189="azúcar"),"Azúcar o dulce",IF('Volúmenes DIstribuidos '!C3189="Aceite","Aceite o grasas",IF('Volúmenes DIstribuidos '!C3189="Avena","Otros almidones",'Volúmenes DIstribuidos '!C3189)))</f>
        <v>Fideo</v>
      </c>
      <c r="C5312" s="10" t="s">
        <v>29</v>
      </c>
      <c r="D5312" s="12">
        <f>'Volúmenes DIstribuidos '!D3189</f>
        <v>6.5629999999999997</v>
      </c>
      <c r="E5312" s="12">
        <f>SUMIF('Parametros Inventario'!$A:$A,B5312,'Parametros Inventario'!$B:$B)+SUMIFS(D$2:D5312,B$2:B5312,B5312,C$2:C5312,"ENTRADA")-SUMIFS(D$2:D5312,B$2:B5312,B5312,C$2:C5312,"SALIDA")</f>
        <v>28682.833999999999</v>
      </c>
    </row>
    <row r="5313" spans="1:5" x14ac:dyDescent="0.3">
      <c r="A5313" s="9">
        <f>'Volúmenes DIstribuidos '!B3189</f>
        <v>45905</v>
      </c>
      <c r="B5313" s="10" t="str">
        <f>IF(OR('Volúmenes DIstribuidos '!C3190="Azúcar",'Volúmenes DIstribuidos '!C3190="azúcar"),"Azúcar o dulce",IF('Volúmenes DIstribuidos '!C3190="Aceite","Aceite o grasas",IF('Volúmenes DIstribuidos '!C3190="Avena","Otros almidones",'Volúmenes DIstribuidos '!C3190)))</f>
        <v>Aceite o grasas</v>
      </c>
      <c r="C5313" s="10" t="s">
        <v>29</v>
      </c>
      <c r="D5313" s="12">
        <f>'Volúmenes DIstribuidos '!D3190</f>
        <v>17.350000000000001</v>
      </c>
      <c r="E5313" s="12">
        <f>SUMIF('Parametros Inventario'!$A:$A,B5313,'Parametros Inventario'!$B:$B)+SUMIFS(D$2:D5313,B$2:B5313,B5313,C$2:C5313,"ENTRADA")-SUMIFS(D$2:D5313,B$2:B5313,B5313,C$2:C5313,"SALIDA")</f>
        <v>25179.495000000003</v>
      </c>
    </row>
    <row r="5314" spans="1:5" x14ac:dyDescent="0.3">
      <c r="A5314" s="9">
        <f>'Volúmenes DIstribuidos '!B3189</f>
        <v>45905</v>
      </c>
      <c r="B5314" s="10" t="str">
        <f>IF(OR('Volúmenes DIstribuidos '!C3191="Azúcar",'Volúmenes DIstribuidos '!C3191="azúcar"),"Azúcar o dulce",IF('Volúmenes DIstribuidos '!C3191="Aceite","Aceite o grasas",IF('Volúmenes DIstribuidos '!C3191="Avena","Otros almidones",'Volúmenes DIstribuidos '!C3191)))</f>
        <v>Menestras</v>
      </c>
      <c r="C5314" s="10" t="s">
        <v>29</v>
      </c>
      <c r="D5314" s="12">
        <f>'Volúmenes DIstribuidos '!D3191</f>
        <v>26.31</v>
      </c>
      <c r="E5314" s="12">
        <f>SUMIF('Parametros Inventario'!$A:$A,B5314,'Parametros Inventario'!$B:$B)+SUMIFS(D$2:D5314,B$2:B5314,B5314,C$2:C5314,"ENTRADA")-SUMIFS(D$2:D5314,B$2:B5314,B5314,C$2:C5314,"SALIDA")</f>
        <v>25228.09999999998</v>
      </c>
    </row>
    <row r="5315" spans="1:5" x14ac:dyDescent="0.3">
      <c r="A5315" s="9">
        <f>'Volúmenes DIstribuidos '!B3189</f>
        <v>45905</v>
      </c>
      <c r="B5315" s="10" t="str">
        <f>IF(OR('Volúmenes DIstribuidos '!C3192="Azúcar",'Volúmenes DIstribuidos '!C3192="azúcar"),"Azúcar o dulce",IF('Volúmenes DIstribuidos '!C3192="Aceite","Aceite o grasas",IF('Volúmenes DIstribuidos '!C3192="Avena","Otros almidones",'Volúmenes DIstribuidos '!C3192)))</f>
        <v>Otros almidones</v>
      </c>
      <c r="C5315" s="10" t="s">
        <v>29</v>
      </c>
      <c r="D5315" s="12">
        <f>'Volúmenes DIstribuidos '!D3192</f>
        <v>36.319000000000003</v>
      </c>
      <c r="E5315" s="12">
        <f>SUMIF('Parametros Inventario'!$A:$A,B5315,'Parametros Inventario'!$B:$B)+SUMIFS(D$2:D5315,B$2:B5315,B5315,C$2:C5315,"ENTRADA")-SUMIFS(D$2:D5315,B$2:B5315,B5315,C$2:C5315,"SALIDA")</f>
        <v>28272.421000000002</v>
      </c>
    </row>
    <row r="5316" spans="1:5" x14ac:dyDescent="0.3">
      <c r="A5316" s="9">
        <f>'Volúmenes DIstribuidos '!B3189</f>
        <v>45905</v>
      </c>
      <c r="B5316" s="10" t="str">
        <f>IF(OR('Volúmenes DIstribuidos '!C3193="Azúcar",'Volúmenes DIstribuidos '!C3193="azúcar"),"Azúcar o dulce",IF('Volúmenes DIstribuidos '!C3193="Aceite","Aceite o grasas",IF('Volúmenes DIstribuidos '!C3193="Avena","Otros almidones",'Volúmenes DIstribuidos '!C3193)))</f>
        <v>Lácteos</v>
      </c>
      <c r="C5316" s="10" t="s">
        <v>29</v>
      </c>
      <c r="D5316" s="12">
        <f>'Volúmenes DIstribuidos '!D3193</f>
        <v>22.57</v>
      </c>
      <c r="E5316" s="12">
        <f>SUMIF('Parametros Inventario'!$A:$A,B5316,'Parametros Inventario'!$B:$B)+SUMIFS(D$2:D5316,B$2:B5316,B5316,C$2:C5316,"ENTRADA")-SUMIFS(D$2:D5316,B$2:B5316,B5316,C$2:C5316,"SALIDA")</f>
        <v>25368.22600000001</v>
      </c>
    </row>
    <row r="5317" spans="1:5" x14ac:dyDescent="0.3">
      <c r="A5317" s="9">
        <f>'Volúmenes DIstribuidos '!B3189</f>
        <v>45905</v>
      </c>
      <c r="B5317" s="10" t="str">
        <f>IF(OR('Volúmenes DIstribuidos '!C3194="Azúcar",'Volúmenes DIstribuidos '!C3194="azúcar"),"Azúcar o dulce",IF('Volúmenes DIstribuidos '!C3194="Aceite","Aceite o grasas",IF('Volúmenes DIstribuidos '!C3194="Avena","Otros almidones",'Volúmenes DIstribuidos '!C3194)))</f>
        <v>Carnes blancas</v>
      </c>
      <c r="C5317" s="10" t="s">
        <v>29</v>
      </c>
      <c r="D5317" s="12">
        <f>'Volúmenes DIstribuidos '!D3194</f>
        <v>26.48</v>
      </c>
      <c r="E5317" s="12">
        <f>SUMIF('Parametros Inventario'!$A:$A,B5317,'Parametros Inventario'!$B:$B)+SUMIFS(D$2:D5317,B$2:B5317,B5317,C$2:C5317,"ENTRADA")-SUMIFS(D$2:D5317,B$2:B5317,B5317,C$2:C5317,"SALIDA")</f>
        <v>25299.889999999985</v>
      </c>
    </row>
    <row r="5318" spans="1:5" x14ac:dyDescent="0.3">
      <c r="A5318" s="9">
        <f>'Volúmenes DIstribuidos '!B3195</f>
        <v>45909</v>
      </c>
      <c r="B5318" s="10" t="str">
        <f>IF(OR('Volúmenes DIstribuidos '!C3195="Azúcar",'Volúmenes DIstribuidos '!C3195="azúcar"),"Azúcar o dulce",IF('Volúmenes DIstribuidos '!C3195="Aceite","Aceite o grasas",IF('Volúmenes DIstribuidos '!C3195="Avena","Otros almidones",'Volúmenes DIstribuidos '!C3195)))</f>
        <v>Otros almidones</v>
      </c>
      <c r="C5318" s="10" t="s">
        <v>29</v>
      </c>
      <c r="D5318" s="12">
        <f>'Volúmenes DIstribuidos '!D3195</f>
        <v>80.5</v>
      </c>
      <c r="E5318" s="12">
        <f>SUMIF('Parametros Inventario'!$A:$A,B5318,'Parametros Inventario'!$B:$B)+SUMIFS(D$2:D5318,B$2:B5318,B5318,C$2:C5318,"ENTRADA")-SUMIFS(D$2:D5318,B$2:B5318,B5318,C$2:C5318,"SALIDA")</f>
        <v>28191.921000000002</v>
      </c>
    </row>
    <row r="5319" spans="1:5" x14ac:dyDescent="0.3">
      <c r="A5319" s="9">
        <f>'Volúmenes DIstribuidos '!B3195</f>
        <v>45909</v>
      </c>
      <c r="B5319" s="10" t="str">
        <f>IF(OR('Volúmenes DIstribuidos '!C3196="Azúcar",'Volúmenes DIstribuidos '!C3196="azúcar"),"Azúcar o dulce",IF('Volúmenes DIstribuidos '!C3196="Aceite","Aceite o grasas",IF('Volúmenes DIstribuidos '!C3196="Avena","Otros almidones",'Volúmenes DIstribuidos '!C3196)))</f>
        <v>Fideo</v>
      </c>
      <c r="C5319" s="10" t="s">
        <v>29</v>
      </c>
      <c r="D5319" s="12">
        <f>'Volúmenes DIstribuidos '!D3196</f>
        <v>41.53</v>
      </c>
      <c r="E5319" s="12">
        <f>SUMIF('Parametros Inventario'!$A:$A,B5319,'Parametros Inventario'!$B:$B)+SUMIFS(D$2:D5319,B$2:B5319,B5319,C$2:C5319,"ENTRADA")-SUMIFS(D$2:D5319,B$2:B5319,B5319,C$2:C5319,"SALIDA")</f>
        <v>28641.304</v>
      </c>
    </row>
    <row r="5320" spans="1:5" x14ac:dyDescent="0.3">
      <c r="A5320" s="9">
        <f>'Volúmenes DIstribuidos '!B3195</f>
        <v>45909</v>
      </c>
      <c r="B5320" s="10" t="str">
        <f>IF(OR('Volúmenes DIstribuidos '!C3197="Azúcar",'Volúmenes DIstribuidos '!C3197="azúcar"),"Azúcar o dulce",IF('Volúmenes DIstribuidos '!C3197="Aceite","Aceite o grasas",IF('Volúmenes DIstribuidos '!C3197="Avena","Otros almidones",'Volúmenes DIstribuidos '!C3197)))</f>
        <v>Carnes rojas</v>
      </c>
      <c r="C5320" s="10" t="s">
        <v>29</v>
      </c>
      <c r="D5320" s="12">
        <f>'Volúmenes DIstribuidos '!D3197</f>
        <v>8.0329999999999995</v>
      </c>
      <c r="E5320" s="12">
        <f>SUMIF('Parametros Inventario'!$A:$A,B5320,'Parametros Inventario'!$B:$B)+SUMIFS(D$2:D5320,B$2:B5320,B5320,C$2:C5320,"ENTRADA")-SUMIFS(D$2:D5320,B$2:B5320,B5320,C$2:C5320,"SALIDA")</f>
        <v>24688.259000000016</v>
      </c>
    </row>
    <row r="5321" spans="1:5" x14ac:dyDescent="0.3">
      <c r="A5321" s="9">
        <f>'Volúmenes DIstribuidos '!B3195</f>
        <v>45909</v>
      </c>
      <c r="B5321" s="10" t="str">
        <f>IF(OR('Volúmenes DIstribuidos '!C3198="Azúcar",'Volúmenes DIstribuidos '!C3198="azúcar"),"Azúcar o dulce",IF('Volúmenes DIstribuidos '!C3198="Aceite","Aceite o grasas",IF('Volúmenes DIstribuidos '!C3198="Avena","Otros almidones",'Volúmenes DIstribuidos '!C3198)))</f>
        <v>Salsas</v>
      </c>
      <c r="C5321" s="10" t="s">
        <v>29</v>
      </c>
      <c r="D5321" s="12">
        <f>'Volúmenes DIstribuidos '!D3198</f>
        <v>29.78</v>
      </c>
      <c r="E5321" s="12">
        <f>SUMIF('Parametros Inventario'!$A:$A,B5321,'Parametros Inventario'!$B:$B)+SUMIFS(D$2:D5321,B$2:B5321,B5321,C$2:C5321,"ENTRADA")-SUMIFS(D$2:D5321,B$2:B5321,B5321,C$2:C5321,"SALIDA")</f>
        <v>25012.92099999998</v>
      </c>
    </row>
    <row r="5322" spans="1:5" x14ac:dyDescent="0.3">
      <c r="A5322" s="9">
        <f>'Volúmenes DIstribuidos '!B3195</f>
        <v>45909</v>
      </c>
      <c r="B5322" s="10" t="str">
        <f>IF(OR('Volúmenes DIstribuidos '!C3199="Azúcar",'Volúmenes DIstribuidos '!C3199="azúcar"),"Azúcar o dulce",IF('Volúmenes DIstribuidos '!C3199="Aceite","Aceite o grasas",IF('Volúmenes DIstribuidos '!C3199="Avena","Otros almidones",'Volúmenes DIstribuidos '!C3199)))</f>
        <v>Azúcar o dulce</v>
      </c>
      <c r="C5322" s="10" t="s">
        <v>29</v>
      </c>
      <c r="D5322" s="12">
        <f>'Volúmenes DIstribuidos '!D3199</f>
        <v>3.86</v>
      </c>
      <c r="E5322" s="12">
        <f>SUMIF('Parametros Inventario'!$A:$A,B5322,'Parametros Inventario'!$B:$B)+SUMIFS(D$2:D5322,B$2:B5322,B5322,C$2:C5322,"ENTRADA")-SUMIFS(D$2:D5322,B$2:B5322,B5322,C$2:C5322,"SALIDA")</f>
        <v>24489.700999999983</v>
      </c>
    </row>
    <row r="5323" spans="1:5" x14ac:dyDescent="0.3">
      <c r="A5323" s="9">
        <f>'Volúmenes DIstribuidos '!B3195</f>
        <v>45909</v>
      </c>
      <c r="B5323" s="10" t="str">
        <f>IF(OR('Volúmenes DIstribuidos '!C3200="Azúcar",'Volúmenes DIstribuidos '!C3200="azúcar"),"Azúcar o dulce",IF('Volúmenes DIstribuidos '!C3200="Aceite","Aceite o grasas",IF('Volúmenes DIstribuidos '!C3200="Avena","Otros almidones",'Volúmenes DIstribuidos '!C3200)))</f>
        <v>Aceite o grasas</v>
      </c>
      <c r="C5323" s="10" t="s">
        <v>29</v>
      </c>
      <c r="D5323" s="12">
        <f>'Volúmenes DIstribuidos '!D3200</f>
        <v>26.03</v>
      </c>
      <c r="E5323" s="12">
        <f>SUMIF('Parametros Inventario'!$A:$A,B5323,'Parametros Inventario'!$B:$B)+SUMIFS(D$2:D5323,B$2:B5323,B5323,C$2:C5323,"ENTRADA")-SUMIFS(D$2:D5323,B$2:B5323,B5323,C$2:C5323,"SALIDA")</f>
        <v>25153.465000000004</v>
      </c>
    </row>
    <row r="5324" spans="1:5" x14ac:dyDescent="0.3">
      <c r="A5324" s="9">
        <v>45912</v>
      </c>
      <c r="B5324" s="10" t="s">
        <v>15</v>
      </c>
      <c r="C5324" s="10" t="s">
        <v>28</v>
      </c>
      <c r="D5324" s="12">
        <v>99.65</v>
      </c>
      <c r="E5324" s="12">
        <f>SUMIF('Parametros Inventario'!$A:$A,B5324,'Parametros Inventario'!$B:$B)+SUMIFS(D$2:D5324,B$2:B5324,B5324,C$2:C5324,"ENTRADA")-SUMIFS(D$2:D5324,B$2:B5324,B5324,C$2:C5324,"SALIDA")</f>
        <v>28291.571000000004</v>
      </c>
    </row>
    <row r="5325" spans="1:5" x14ac:dyDescent="0.3">
      <c r="A5325" s="9">
        <v>45912</v>
      </c>
      <c r="B5325" s="10" t="s">
        <v>11</v>
      </c>
      <c r="C5325" s="10" t="s">
        <v>28</v>
      </c>
      <c r="D5325" s="12">
        <v>285.49</v>
      </c>
      <c r="E5325" s="12">
        <f>SUMIF('Parametros Inventario'!$A:$A,B5325,'Parametros Inventario'!$B:$B)+SUMIFS(D$2:D5325,B$2:B5325,B5325,C$2:C5325,"ENTRADA")-SUMIFS(D$2:D5325,B$2:B5325,B5325,C$2:C5325,"SALIDA")</f>
        <v>28926.793999999998</v>
      </c>
    </row>
    <row r="5326" spans="1:5" x14ac:dyDescent="0.3">
      <c r="A5326" s="9">
        <v>45912</v>
      </c>
      <c r="B5326" s="10" t="s">
        <v>9</v>
      </c>
      <c r="C5326" s="10" t="s">
        <v>28</v>
      </c>
      <c r="D5326" s="12">
        <v>170.41</v>
      </c>
      <c r="E5326" s="12">
        <f>SUMIF('Parametros Inventario'!$A:$A,B5326,'Parametros Inventario'!$B:$B)+SUMIFS(D$2:D5326,B$2:B5326,B5326,C$2:C5326,"ENTRADA")-SUMIFS(D$2:D5326,B$2:B5326,B5326,C$2:C5326,"SALIDA")</f>
        <v>24365.186000000002</v>
      </c>
    </row>
    <row r="5327" spans="1:5" x14ac:dyDescent="0.3">
      <c r="A5327" s="9">
        <v>45912</v>
      </c>
      <c r="B5327" s="10" t="s">
        <v>14</v>
      </c>
      <c r="C5327" s="10" t="s">
        <v>28</v>
      </c>
      <c r="D5327" s="12">
        <v>183.88</v>
      </c>
      <c r="E5327" s="12">
        <f>SUMIF('Parametros Inventario'!$A:$A,B5327,'Parametros Inventario'!$B:$B)+SUMIFS(D$2:D5327,B$2:B5327,B5327,C$2:C5327,"ENTRADA")-SUMIFS(D$2:D5327,B$2:B5327,B5327,C$2:C5327,"SALIDA")</f>
        <v>25411.979999999978</v>
      </c>
    </row>
    <row r="5328" spans="1:5" x14ac:dyDescent="0.3">
      <c r="A5328" s="9">
        <v>45912</v>
      </c>
      <c r="B5328" s="10" t="s">
        <v>12</v>
      </c>
      <c r="C5328" s="10" t="s">
        <v>28</v>
      </c>
      <c r="D5328" s="12">
        <v>245.96</v>
      </c>
      <c r="E5328" s="12">
        <f>SUMIF('Parametros Inventario'!$A:$A,B5328,'Parametros Inventario'!$B:$B)+SUMIFS(D$2:D5328,B$2:B5328,B5328,C$2:C5328,"ENTRADA")-SUMIFS(D$2:D5328,B$2:B5328,B5328,C$2:C5328,"SALIDA")</f>
        <v>24934.219000000008</v>
      </c>
    </row>
    <row r="5329" spans="1:5" x14ac:dyDescent="0.3">
      <c r="A5329" s="9">
        <v>45912</v>
      </c>
      <c r="B5329" s="10" t="s">
        <v>16</v>
      </c>
      <c r="C5329" s="10" t="s">
        <v>28</v>
      </c>
      <c r="D5329" s="12">
        <v>291.39999999999998</v>
      </c>
      <c r="E5329" s="12">
        <f>SUMIF('Parametros Inventario'!$A:$A,B5329,'Parametros Inventario'!$B:$B)+SUMIFS(D$2:D5329,B$2:B5329,B5329,C$2:C5329,"ENTRADA")-SUMIFS(D$2:D5329,B$2:B5329,B5329,C$2:C5329,"SALIDA")</f>
        <v>25591.289999999986</v>
      </c>
    </row>
    <row r="5330" spans="1:5" x14ac:dyDescent="0.3">
      <c r="A5330" s="9">
        <v>45912</v>
      </c>
      <c r="B5330" s="10" t="s">
        <v>17</v>
      </c>
      <c r="C5330" s="10" t="s">
        <v>28</v>
      </c>
      <c r="D5330" s="12">
        <v>159.19999999999999</v>
      </c>
      <c r="E5330" s="12">
        <f>SUMIF('Parametros Inventario'!$A:$A,B5330,'Parametros Inventario'!$B:$B)+SUMIFS(D$2:D5330,B$2:B5330,B5330,C$2:C5330,"ENTRADA")-SUMIFS(D$2:D5330,B$2:B5330,B5330,C$2:C5330,"SALIDA")</f>
        <v>25527.426000000007</v>
      </c>
    </row>
    <row r="5331" spans="1:5" x14ac:dyDescent="0.3">
      <c r="A5331" s="9">
        <v>45912</v>
      </c>
      <c r="B5331" s="10" t="s">
        <v>18</v>
      </c>
      <c r="C5331" s="10" t="s">
        <v>28</v>
      </c>
      <c r="D5331" s="12">
        <v>278.14999999999998</v>
      </c>
      <c r="E5331" s="12">
        <f>SUMIF('Parametros Inventario'!$A:$A,B5331,'Parametros Inventario'!$B:$B)+SUMIFS(D$2:D5331,B$2:B5331,B5331,C$2:C5331,"ENTRADA")-SUMIFS(D$2:D5331,B$2:B5331,B5331,C$2:C5331,"SALIDA")</f>
        <v>25291.070999999982</v>
      </c>
    </row>
    <row r="5332" spans="1:5" x14ac:dyDescent="0.3">
      <c r="A5332" s="9">
        <v>45912</v>
      </c>
      <c r="B5332" s="10" t="s">
        <v>10</v>
      </c>
      <c r="C5332" s="10" t="s">
        <v>28</v>
      </c>
      <c r="D5332" s="12">
        <v>192.58</v>
      </c>
      <c r="E5332" s="12">
        <f>SUMIF('Parametros Inventario'!$A:$A,B5332,'Parametros Inventario'!$B:$B)+SUMIFS(D$2:D5332,B$2:B5332,B5332,C$2:C5332,"ENTRADA")-SUMIFS(D$2:D5332,B$2:B5332,B5332,C$2:C5332,"SALIDA")</f>
        <v>27110.871999999992</v>
      </c>
    </row>
    <row r="5333" spans="1:5" x14ac:dyDescent="0.3">
      <c r="A5333" s="9">
        <v>45912</v>
      </c>
      <c r="B5333" s="10" t="s">
        <v>8</v>
      </c>
      <c r="C5333" s="10" t="s">
        <v>28</v>
      </c>
      <c r="D5333" s="12">
        <v>255.75</v>
      </c>
      <c r="E5333" s="12">
        <f>SUMIF('Parametros Inventario'!$A:$A,B5333,'Parametros Inventario'!$B:$B)+SUMIFS(D$2:D5333,B$2:B5333,B5333,C$2:C5333,"ENTRADA")-SUMIFS(D$2:D5333,B$2:B5333,B5333,C$2:C5333,"SALIDA")</f>
        <v>25409.215000000004</v>
      </c>
    </row>
    <row r="5334" spans="1:5" x14ac:dyDescent="0.3">
      <c r="A5334" s="9">
        <f>'Volúmenes DIstribuidos '!B3201</f>
        <v>45912</v>
      </c>
      <c r="B5334" s="10" t="str">
        <f>IF(OR('Volúmenes DIstribuidos '!C3201="Azúcar",'Volúmenes DIstribuidos '!C3201="azúcar"),"Azúcar o dulce",IF('Volúmenes DIstribuidos '!C3201="Aceite","Aceite o grasas",IF('Volúmenes DIstribuidos '!C3201="Avena","Otros almidones",'Volúmenes DIstribuidos '!C3201)))</f>
        <v>Fideo</v>
      </c>
      <c r="C5334" s="10" t="s">
        <v>29</v>
      </c>
      <c r="D5334" s="12">
        <f>'Volúmenes DIstribuidos '!D3201</f>
        <v>12.48</v>
      </c>
      <c r="E5334" s="12">
        <f>SUMIF('Parametros Inventario'!$A:$A,B5334,'Parametros Inventario'!$B:$B)+SUMIFS(D$2:D5334,B$2:B5334,B5334,C$2:C5334,"ENTRADA")-SUMIFS(D$2:D5334,B$2:B5334,B5334,C$2:C5334,"SALIDA")</f>
        <v>28914.313999999998</v>
      </c>
    </row>
    <row r="5335" spans="1:5" x14ac:dyDescent="0.3">
      <c r="A5335" s="9">
        <f>'Volúmenes DIstribuidos '!B3201</f>
        <v>45912</v>
      </c>
      <c r="B5335" s="10" t="str">
        <f>IF(OR('Volúmenes DIstribuidos '!C3202="Azúcar",'Volúmenes DIstribuidos '!C3202="azúcar"),"Azúcar o dulce",IF('Volúmenes DIstribuidos '!C3202="Aceite","Aceite o grasas",IF('Volúmenes DIstribuidos '!C3202="Avena","Otros almidones",'Volúmenes DIstribuidos '!C3202)))</f>
        <v>Carnes rojas</v>
      </c>
      <c r="C5335" s="10" t="s">
        <v>29</v>
      </c>
      <c r="D5335" s="12">
        <f>'Volúmenes DIstribuidos '!D3202</f>
        <v>11.27</v>
      </c>
      <c r="E5335" s="12">
        <f>SUMIF('Parametros Inventario'!$A:$A,B5335,'Parametros Inventario'!$B:$B)+SUMIFS(D$2:D5335,B$2:B5335,B5335,C$2:C5335,"ENTRADA")-SUMIFS(D$2:D5335,B$2:B5335,B5335,C$2:C5335,"SALIDA")</f>
        <v>24922.949000000008</v>
      </c>
    </row>
    <row r="5336" spans="1:5" x14ac:dyDescent="0.3">
      <c r="A5336" s="9">
        <f>'Volúmenes DIstribuidos '!B3201</f>
        <v>45912</v>
      </c>
      <c r="B5336" s="10" t="str">
        <f>IF(OR('Volúmenes DIstribuidos '!C3203="Azúcar",'Volúmenes DIstribuidos '!C3203="azúcar"),"Azúcar o dulce",IF('Volúmenes DIstribuidos '!C3203="Aceite","Aceite o grasas",IF('Volúmenes DIstribuidos '!C3203="Avena","Otros almidones",'Volúmenes DIstribuidos '!C3203)))</f>
        <v>Panadería</v>
      </c>
      <c r="C5336" s="10" t="s">
        <v>29</v>
      </c>
      <c r="D5336" s="12">
        <f>'Volúmenes DIstribuidos '!D3203</f>
        <v>19.433</v>
      </c>
      <c r="E5336" s="12">
        <f>SUMIF('Parametros Inventario'!$A:$A,B5336,'Parametros Inventario'!$B:$B)+SUMIFS(D$2:D5336,B$2:B5336,B5336,C$2:C5336,"ENTRADA")-SUMIFS(D$2:D5336,B$2:B5336,B5336,C$2:C5336,"SALIDA")</f>
        <v>24345.753000000001</v>
      </c>
    </row>
    <row r="5337" spans="1:5" x14ac:dyDescent="0.3">
      <c r="A5337" s="9">
        <f>'Volúmenes DIstribuidos '!B3201</f>
        <v>45912</v>
      </c>
      <c r="B5337" s="10" t="str">
        <f>IF(OR('Volúmenes DIstribuidos '!C3204="Azúcar",'Volúmenes DIstribuidos '!C3204="azúcar"),"Azúcar o dulce",IF('Volúmenes DIstribuidos '!C3204="Aceite","Aceite o grasas",IF('Volúmenes DIstribuidos '!C3204="Avena","Otros almidones",'Volúmenes DIstribuidos '!C3204)))</f>
        <v>Otros almidones</v>
      </c>
      <c r="C5337" s="10" t="s">
        <v>29</v>
      </c>
      <c r="D5337" s="12">
        <f>'Volúmenes DIstribuidos '!D3204</f>
        <v>20.85</v>
      </c>
      <c r="E5337" s="12">
        <f>SUMIF('Parametros Inventario'!$A:$A,B5337,'Parametros Inventario'!$B:$B)+SUMIFS(D$2:D5337,B$2:B5337,B5337,C$2:C5337,"ENTRADA")-SUMIFS(D$2:D5337,B$2:B5337,B5337,C$2:C5337,"SALIDA")</f>
        <v>28270.721000000001</v>
      </c>
    </row>
    <row r="5338" spans="1:5" x14ac:dyDescent="0.3">
      <c r="A5338" s="9">
        <f>'Volúmenes DIstribuidos '!B3201</f>
        <v>45912</v>
      </c>
      <c r="B5338" s="10" t="str">
        <f>IF(OR('Volúmenes DIstribuidos '!C3205="Azúcar",'Volúmenes DIstribuidos '!C3205="azúcar"),"Azúcar o dulce",IF('Volúmenes DIstribuidos '!C3205="Aceite","Aceite o grasas",IF('Volúmenes DIstribuidos '!C3205="Avena","Otros almidones",'Volúmenes DIstribuidos '!C3205)))</f>
        <v>Vegetales y hojas</v>
      </c>
      <c r="C5338" s="10" t="s">
        <v>29</v>
      </c>
      <c r="D5338" s="12">
        <f>'Volúmenes DIstribuidos '!D3205</f>
        <v>22.78</v>
      </c>
      <c r="E5338" s="12">
        <f>SUMIF('Parametros Inventario'!$A:$A,B5338,'Parametros Inventario'!$B:$B)+SUMIFS(D$2:D5338,B$2:B5338,B5338,C$2:C5338,"ENTRADA")-SUMIFS(D$2:D5338,B$2:B5338,B5338,C$2:C5338,"SALIDA")</f>
        <v>27088.09199999999</v>
      </c>
    </row>
    <row r="5339" spans="1:5" x14ac:dyDescent="0.3">
      <c r="A5339" s="9">
        <f>'Volúmenes DIstribuidos '!B3201</f>
        <v>45912</v>
      </c>
      <c r="B5339" s="10" t="str">
        <f>IF(OR('Volúmenes DIstribuidos '!C3206="Azúcar",'Volúmenes DIstribuidos '!C3206="azúcar"),"Azúcar o dulce",IF('Volúmenes DIstribuidos '!C3206="Aceite","Aceite o grasas",IF('Volúmenes DIstribuidos '!C3206="Avena","Otros almidones",'Volúmenes DIstribuidos '!C3206)))</f>
        <v>Panadería</v>
      </c>
      <c r="C5339" s="10" t="s">
        <v>29</v>
      </c>
      <c r="D5339" s="12">
        <f>'Volúmenes DIstribuidos '!D3206</f>
        <v>18.52</v>
      </c>
      <c r="E5339" s="12">
        <f>SUMIF('Parametros Inventario'!$A:$A,B5339,'Parametros Inventario'!$B:$B)+SUMIFS(D$2:D5339,B$2:B5339,B5339,C$2:C5339,"ENTRADA")-SUMIFS(D$2:D5339,B$2:B5339,B5339,C$2:C5339,"SALIDA")</f>
        <v>24327.233</v>
      </c>
    </row>
    <row r="5340" spans="1:5" x14ac:dyDescent="0.3">
      <c r="A5340" s="9">
        <v>45916</v>
      </c>
      <c r="B5340" s="10" t="s">
        <v>13</v>
      </c>
      <c r="C5340" s="10" t="s">
        <v>28</v>
      </c>
      <c r="D5340" s="12">
        <v>190.23</v>
      </c>
      <c r="E5340" s="12">
        <f>SUMIF('Parametros Inventario'!$A:$A,B5340,'Parametros Inventario'!$B:$B)+SUMIFS(D$2:D5340,B$2:B5340,B5340,C$2:C5340,"ENTRADA")-SUMIFS(D$2:D5340,B$2:B5340,B5340,C$2:C5340,"SALIDA")</f>
        <v>24679.930999999986</v>
      </c>
    </row>
    <row r="5341" spans="1:5" x14ac:dyDescent="0.3">
      <c r="A5341" s="9">
        <v>45916</v>
      </c>
      <c r="B5341" s="10" t="s">
        <v>15</v>
      </c>
      <c r="C5341" s="10" t="s">
        <v>28</v>
      </c>
      <c r="D5341" s="12">
        <v>273.44</v>
      </c>
      <c r="E5341" s="12">
        <f>SUMIF('Parametros Inventario'!$A:$A,B5341,'Parametros Inventario'!$B:$B)+SUMIFS(D$2:D5341,B$2:B5341,B5341,C$2:C5341,"ENTRADA")-SUMIFS(D$2:D5341,B$2:B5341,B5341,C$2:C5341,"SALIDA")</f>
        <v>28544.161000000004</v>
      </c>
    </row>
    <row r="5342" spans="1:5" x14ac:dyDescent="0.3">
      <c r="A5342" s="9">
        <v>45916</v>
      </c>
      <c r="B5342" s="10" t="s">
        <v>11</v>
      </c>
      <c r="C5342" s="10" t="s">
        <v>28</v>
      </c>
      <c r="D5342" s="12">
        <v>99.64</v>
      </c>
      <c r="E5342" s="12">
        <f>SUMIF('Parametros Inventario'!$A:$A,B5342,'Parametros Inventario'!$B:$B)+SUMIFS(D$2:D5342,B$2:B5342,B5342,C$2:C5342,"ENTRADA")-SUMIFS(D$2:D5342,B$2:B5342,B5342,C$2:C5342,"SALIDA")</f>
        <v>29013.953999999998</v>
      </c>
    </row>
    <row r="5343" spans="1:5" x14ac:dyDescent="0.3">
      <c r="A5343" s="9">
        <v>45916</v>
      </c>
      <c r="B5343" s="10" t="s">
        <v>9</v>
      </c>
      <c r="C5343" s="10" t="s">
        <v>28</v>
      </c>
      <c r="D5343" s="12">
        <v>230.68</v>
      </c>
      <c r="E5343" s="12">
        <f>SUMIF('Parametros Inventario'!$A:$A,B5343,'Parametros Inventario'!$B:$B)+SUMIFS(D$2:D5343,B$2:B5343,B5343,C$2:C5343,"ENTRADA")-SUMIFS(D$2:D5343,B$2:B5343,B5343,C$2:C5343,"SALIDA")</f>
        <v>24557.913</v>
      </c>
    </row>
    <row r="5344" spans="1:5" x14ac:dyDescent="0.3">
      <c r="A5344" s="9">
        <v>45916</v>
      </c>
      <c r="B5344" s="10" t="s">
        <v>14</v>
      </c>
      <c r="C5344" s="10" t="s">
        <v>28</v>
      </c>
      <c r="D5344" s="12">
        <v>194.62</v>
      </c>
      <c r="E5344" s="12">
        <f>SUMIF('Parametros Inventario'!$A:$A,B5344,'Parametros Inventario'!$B:$B)+SUMIFS(D$2:D5344,B$2:B5344,B5344,C$2:C5344,"ENTRADA")-SUMIFS(D$2:D5344,B$2:B5344,B5344,C$2:C5344,"SALIDA")</f>
        <v>25606.59999999998</v>
      </c>
    </row>
    <row r="5345" spans="1:5" x14ac:dyDescent="0.3">
      <c r="A5345" s="9">
        <f>'Volúmenes DIstribuidos '!B3207</f>
        <v>45916</v>
      </c>
      <c r="B5345" s="10" t="str">
        <f>IF(OR('Volúmenes DIstribuidos '!C3207="Azúcar",'Volúmenes DIstribuidos '!C3207="azúcar"),"Azúcar o dulce",IF('Volúmenes DIstribuidos '!C3207="Aceite","Aceite o grasas",IF('Volúmenes DIstribuidos '!C3207="Avena","Otros almidones",'Volúmenes DIstribuidos '!C3207)))</f>
        <v>Lácteos</v>
      </c>
      <c r="C5345" s="10" t="s">
        <v>29</v>
      </c>
      <c r="D5345" s="12">
        <f>'Volúmenes DIstribuidos '!D3207</f>
        <v>28.597999999999999</v>
      </c>
      <c r="E5345" s="12">
        <f>SUMIF('Parametros Inventario'!$A:$A,B5345,'Parametros Inventario'!$B:$B)+SUMIFS(D$2:D5345,B$2:B5345,B5345,C$2:C5345,"ENTRADA")-SUMIFS(D$2:D5345,B$2:B5345,B5345,C$2:C5345,"SALIDA")</f>
        <v>25498.828000000005</v>
      </c>
    </row>
    <row r="5346" spans="1:5" x14ac:dyDescent="0.3">
      <c r="A5346" s="9">
        <f>'Volúmenes DIstribuidos '!B3207</f>
        <v>45916</v>
      </c>
      <c r="B5346" s="10" t="str">
        <f>IF(OR('Volúmenes DIstribuidos '!C3208="Azúcar",'Volúmenes DIstribuidos '!C3208="azúcar"),"Azúcar o dulce",IF('Volúmenes DIstribuidos '!C3208="Aceite","Aceite o grasas",IF('Volúmenes DIstribuidos '!C3208="Avena","Otros almidones",'Volúmenes DIstribuidos '!C3208)))</f>
        <v>Fideo</v>
      </c>
      <c r="C5346" s="10" t="s">
        <v>29</v>
      </c>
      <c r="D5346" s="12">
        <f>'Volúmenes DIstribuidos '!D3208</f>
        <v>12.55</v>
      </c>
      <c r="E5346" s="12">
        <f>SUMIF('Parametros Inventario'!$A:$A,B5346,'Parametros Inventario'!$B:$B)+SUMIFS(D$2:D5346,B$2:B5346,B5346,C$2:C5346,"ENTRADA")-SUMIFS(D$2:D5346,B$2:B5346,B5346,C$2:C5346,"SALIDA")</f>
        <v>29001.403999999999</v>
      </c>
    </row>
    <row r="5347" spans="1:5" x14ac:dyDescent="0.3">
      <c r="A5347" s="9">
        <f>'Volúmenes DIstribuidos '!B3207</f>
        <v>45916</v>
      </c>
      <c r="B5347" s="10" t="str">
        <f>IF(OR('Volúmenes DIstribuidos '!C3209="Azúcar",'Volúmenes DIstribuidos '!C3209="azúcar"),"Azúcar o dulce",IF('Volúmenes DIstribuidos '!C3209="Aceite","Aceite o grasas",IF('Volúmenes DIstribuidos '!C3209="Avena","Otros almidones",'Volúmenes DIstribuidos '!C3209)))</f>
        <v>Carnes rojas</v>
      </c>
      <c r="C5347" s="10" t="s">
        <v>29</v>
      </c>
      <c r="D5347" s="12">
        <f>'Volúmenes DIstribuidos '!D3209</f>
        <v>15.26</v>
      </c>
      <c r="E5347" s="12">
        <f>SUMIF('Parametros Inventario'!$A:$A,B5347,'Parametros Inventario'!$B:$B)+SUMIFS(D$2:D5347,B$2:B5347,B5347,C$2:C5347,"ENTRADA")-SUMIFS(D$2:D5347,B$2:B5347,B5347,C$2:C5347,"SALIDA")</f>
        <v>24907.689000000006</v>
      </c>
    </row>
    <row r="5348" spans="1:5" x14ac:dyDescent="0.3">
      <c r="A5348" s="9">
        <f>'Volúmenes DIstribuidos '!B3207</f>
        <v>45916</v>
      </c>
      <c r="B5348" s="10" t="str">
        <f>IF(OR('Volúmenes DIstribuidos '!C3210="Azúcar",'Volúmenes DIstribuidos '!C3210="azúcar"),"Azúcar o dulce",IF('Volúmenes DIstribuidos '!C3210="Aceite","Aceite o grasas",IF('Volúmenes DIstribuidos '!C3210="Avena","Otros almidones",'Volúmenes DIstribuidos '!C3210)))</f>
        <v>Menestras</v>
      </c>
      <c r="C5348" s="10" t="s">
        <v>29</v>
      </c>
      <c r="D5348" s="12">
        <f>'Volúmenes DIstribuidos '!D3210</f>
        <v>21.06</v>
      </c>
      <c r="E5348" s="12">
        <f>SUMIF('Parametros Inventario'!$A:$A,B5348,'Parametros Inventario'!$B:$B)+SUMIFS(D$2:D5348,B$2:B5348,B5348,C$2:C5348,"ENTRADA")-SUMIFS(D$2:D5348,B$2:B5348,B5348,C$2:C5348,"SALIDA")</f>
        <v>25585.539999999979</v>
      </c>
    </row>
    <row r="5349" spans="1:5" x14ac:dyDescent="0.3">
      <c r="A5349" s="9">
        <f>'Volúmenes DIstribuidos '!B3207</f>
        <v>45916</v>
      </c>
      <c r="B5349" s="10" t="str">
        <f>IF(OR('Volúmenes DIstribuidos '!C3211="Azúcar",'Volúmenes DIstribuidos '!C3211="azúcar"),"Azúcar o dulce",IF('Volúmenes DIstribuidos '!C3211="Aceite","Aceite o grasas",IF('Volúmenes DIstribuidos '!C3211="Avena","Otros almidones",'Volúmenes DIstribuidos '!C3211)))</f>
        <v>Otros almidones</v>
      </c>
      <c r="C5349" s="10" t="s">
        <v>29</v>
      </c>
      <c r="D5349" s="12">
        <f>'Volúmenes DIstribuidos '!D3211</f>
        <v>15.19</v>
      </c>
      <c r="E5349" s="12">
        <f>SUMIF('Parametros Inventario'!$A:$A,B5349,'Parametros Inventario'!$B:$B)+SUMIFS(D$2:D5349,B$2:B5349,B5349,C$2:C5349,"ENTRADA")-SUMIFS(D$2:D5349,B$2:B5349,B5349,C$2:C5349,"SALIDA")</f>
        <v>28528.971000000005</v>
      </c>
    </row>
    <row r="5350" spans="1:5" x14ac:dyDescent="0.3">
      <c r="A5350" s="9">
        <f>'Volúmenes DIstribuidos '!B3207</f>
        <v>45916</v>
      </c>
      <c r="B5350" s="10" t="str">
        <f>IF(OR('Volúmenes DIstribuidos '!C3212="Azúcar",'Volúmenes DIstribuidos '!C3212="azúcar"),"Azúcar o dulce",IF('Volúmenes DIstribuidos '!C3212="Aceite","Aceite o grasas",IF('Volúmenes DIstribuidos '!C3212="Avena","Otros almidones",'Volúmenes DIstribuidos '!C3212)))</f>
        <v>Vegetales y hojas</v>
      </c>
      <c r="C5350" s="10" t="s">
        <v>29</v>
      </c>
      <c r="D5350" s="12">
        <f>'Volúmenes DIstribuidos '!D3212</f>
        <v>4.7450000000000001</v>
      </c>
      <c r="E5350" s="12">
        <f>SUMIF('Parametros Inventario'!$A:$A,B5350,'Parametros Inventario'!$B:$B)+SUMIFS(D$2:D5350,B$2:B5350,B5350,C$2:C5350,"ENTRADA")-SUMIFS(D$2:D5350,B$2:B5350,B5350,C$2:C5350,"SALIDA")</f>
        <v>27083.346999999991</v>
      </c>
    </row>
    <row r="5351" spans="1:5" x14ac:dyDescent="0.3">
      <c r="A5351" s="9">
        <f>'Volúmenes DIstribuidos '!B3213</f>
        <v>45919</v>
      </c>
      <c r="B5351" s="10" t="str">
        <f>IF(OR('Volúmenes DIstribuidos '!C3213="Azúcar",'Volúmenes DIstribuidos '!C3213="azúcar"),"Azúcar o dulce",IF('Volúmenes DIstribuidos '!C3213="Aceite","Aceite o grasas",IF('Volúmenes DIstribuidos '!C3213="Avena","Otros almidones",'Volúmenes DIstribuidos '!C3213)))</f>
        <v>Vegetales y hojas</v>
      </c>
      <c r="C5351" s="10" t="s">
        <v>29</v>
      </c>
      <c r="D5351" s="12">
        <f>'Volúmenes DIstribuidos '!D3213</f>
        <v>9.3000000000000007</v>
      </c>
      <c r="E5351" s="12">
        <f>SUMIF('Parametros Inventario'!$A:$A,B5351,'Parametros Inventario'!$B:$B)+SUMIFS(D$2:D5351,B$2:B5351,B5351,C$2:C5351,"ENTRADA")-SUMIFS(D$2:D5351,B$2:B5351,B5351,C$2:C5351,"SALIDA")</f>
        <v>27074.046999999991</v>
      </c>
    </row>
    <row r="5352" spans="1:5" x14ac:dyDescent="0.3">
      <c r="A5352" s="9">
        <f>'Volúmenes DIstribuidos '!B3213</f>
        <v>45919</v>
      </c>
      <c r="B5352" s="10" t="str">
        <f>IF(OR('Volúmenes DIstribuidos '!C3214="Azúcar",'Volúmenes DIstribuidos '!C3214="azúcar"),"Azúcar o dulce",IF('Volúmenes DIstribuidos '!C3214="Aceite","Aceite o grasas",IF('Volúmenes DIstribuidos '!C3214="Avena","Otros almidones",'Volúmenes DIstribuidos '!C3214)))</f>
        <v>Salsas</v>
      </c>
      <c r="C5352" s="10" t="s">
        <v>29</v>
      </c>
      <c r="D5352" s="12">
        <f>'Volúmenes DIstribuidos '!D3214</f>
        <v>24.48</v>
      </c>
      <c r="E5352" s="12">
        <f>SUMIF('Parametros Inventario'!$A:$A,B5352,'Parametros Inventario'!$B:$B)+SUMIFS(D$2:D5352,B$2:B5352,B5352,C$2:C5352,"ENTRADA")-SUMIFS(D$2:D5352,B$2:B5352,B5352,C$2:C5352,"SALIDA")</f>
        <v>25266.590999999979</v>
      </c>
    </row>
    <row r="5353" spans="1:5" x14ac:dyDescent="0.3">
      <c r="A5353" s="9">
        <f>'Volúmenes DIstribuidos '!B3213</f>
        <v>45919</v>
      </c>
      <c r="B5353" s="10" t="str">
        <f>IF(OR('Volúmenes DIstribuidos '!C3215="Azúcar",'Volúmenes DIstribuidos '!C3215="azúcar"),"Azúcar o dulce",IF('Volúmenes DIstribuidos '!C3215="Aceite","Aceite o grasas",IF('Volúmenes DIstribuidos '!C3215="Avena","Otros almidones",'Volúmenes DIstribuidos '!C3215)))</f>
        <v>Panadería</v>
      </c>
      <c r="C5353" s="10" t="s">
        <v>29</v>
      </c>
      <c r="D5353" s="12">
        <f>'Volúmenes DIstribuidos '!D3215</f>
        <v>28.66</v>
      </c>
      <c r="E5353" s="12">
        <f>SUMIF('Parametros Inventario'!$A:$A,B5353,'Parametros Inventario'!$B:$B)+SUMIFS(D$2:D5353,B$2:B5353,B5353,C$2:C5353,"ENTRADA")-SUMIFS(D$2:D5353,B$2:B5353,B5353,C$2:C5353,"SALIDA")</f>
        <v>24529.253000000001</v>
      </c>
    </row>
    <row r="5354" spans="1:5" x14ac:dyDescent="0.3">
      <c r="A5354" s="9">
        <f>'Volúmenes DIstribuidos '!B3213</f>
        <v>45919</v>
      </c>
      <c r="B5354" s="10" t="str">
        <f>IF(OR('Volúmenes DIstribuidos '!C3216="Azúcar",'Volúmenes DIstribuidos '!C3216="azúcar"),"Azúcar o dulce",IF('Volúmenes DIstribuidos '!C3216="Aceite","Aceite o grasas",IF('Volúmenes DIstribuidos '!C3216="Avena","Otros almidones",'Volúmenes DIstribuidos '!C3216)))</f>
        <v>Panadería</v>
      </c>
      <c r="C5354" s="10" t="s">
        <v>29</v>
      </c>
      <c r="D5354" s="12">
        <f>'Volúmenes DIstribuidos '!D3216</f>
        <v>70.03</v>
      </c>
      <c r="E5354" s="12">
        <f>SUMIF('Parametros Inventario'!$A:$A,B5354,'Parametros Inventario'!$B:$B)+SUMIFS(D$2:D5354,B$2:B5354,B5354,C$2:C5354,"ENTRADA")-SUMIFS(D$2:D5354,B$2:B5354,B5354,C$2:C5354,"SALIDA")</f>
        <v>24459.222999999998</v>
      </c>
    </row>
    <row r="5355" spans="1:5" x14ac:dyDescent="0.3">
      <c r="A5355" s="9">
        <f>'Volúmenes DIstribuidos '!B3213</f>
        <v>45919</v>
      </c>
      <c r="B5355" s="10" t="str">
        <f>IF(OR('Volúmenes DIstribuidos '!C3217="Azúcar",'Volúmenes DIstribuidos '!C3217="azúcar"),"Azúcar o dulce",IF('Volúmenes DIstribuidos '!C3217="Aceite","Aceite o grasas",IF('Volúmenes DIstribuidos '!C3217="Avena","Otros almidones",'Volúmenes DIstribuidos '!C3217)))</f>
        <v>Azúcar o dulce</v>
      </c>
      <c r="C5355" s="10" t="s">
        <v>29</v>
      </c>
      <c r="D5355" s="12">
        <f>'Volúmenes DIstribuidos '!D3217</f>
        <v>15.8</v>
      </c>
      <c r="E5355" s="12">
        <f>SUMIF('Parametros Inventario'!$A:$A,B5355,'Parametros Inventario'!$B:$B)+SUMIFS(D$2:D5355,B$2:B5355,B5355,C$2:C5355,"ENTRADA")-SUMIFS(D$2:D5355,B$2:B5355,B5355,C$2:C5355,"SALIDA")</f>
        <v>24664.130999999987</v>
      </c>
    </row>
    <row r="5356" spans="1:5" x14ac:dyDescent="0.3">
      <c r="A5356" s="9">
        <f>'Volúmenes DIstribuidos '!B3213</f>
        <v>45919</v>
      </c>
      <c r="B5356" s="10" t="str">
        <f>IF(OR('Volúmenes DIstribuidos '!C3218="Azúcar",'Volúmenes DIstribuidos '!C3218="azúcar"),"Azúcar o dulce",IF('Volúmenes DIstribuidos '!C3218="Aceite","Aceite o grasas",IF('Volúmenes DIstribuidos '!C3218="Avena","Otros almidones",'Volúmenes DIstribuidos '!C3218)))</f>
        <v>Lácteos</v>
      </c>
      <c r="C5356" s="10" t="s">
        <v>29</v>
      </c>
      <c r="D5356" s="12">
        <f>'Volúmenes DIstribuidos '!D3218</f>
        <v>33.82</v>
      </c>
      <c r="E5356" s="12">
        <f>SUMIF('Parametros Inventario'!$A:$A,B5356,'Parametros Inventario'!$B:$B)+SUMIFS(D$2:D5356,B$2:B5356,B5356,C$2:C5356,"ENTRADA")-SUMIFS(D$2:D5356,B$2:B5356,B5356,C$2:C5356,"SALIDA")</f>
        <v>25465.008000000005</v>
      </c>
    </row>
    <row r="5357" spans="1:5" x14ac:dyDescent="0.3">
      <c r="A5357" s="9">
        <f>'Volúmenes DIstribuidos '!B3219</f>
        <v>45923</v>
      </c>
      <c r="B5357" s="10" t="str">
        <f>IF(OR('Volúmenes DIstribuidos '!C3219="Azúcar",'Volúmenes DIstribuidos '!C3219="azúcar"),"Azúcar o dulce",IF('Volúmenes DIstribuidos '!C3219="Aceite","Aceite o grasas",IF('Volúmenes DIstribuidos '!C3219="Avena","Otros almidones",'Volúmenes DIstribuidos '!C3219)))</f>
        <v>Vegetales y hojas</v>
      </c>
      <c r="C5357" s="10" t="s">
        <v>29</v>
      </c>
      <c r="D5357" s="12">
        <f>'Volúmenes DIstribuidos '!D3219</f>
        <v>95.778999999999996</v>
      </c>
      <c r="E5357" s="12">
        <f>SUMIF('Parametros Inventario'!$A:$A,B5357,'Parametros Inventario'!$B:$B)+SUMIFS(D$2:D5357,B$2:B5357,B5357,C$2:C5357,"ENTRADA")-SUMIFS(D$2:D5357,B$2:B5357,B5357,C$2:C5357,"SALIDA")</f>
        <v>26978.267999999989</v>
      </c>
    </row>
    <row r="5358" spans="1:5" x14ac:dyDescent="0.3">
      <c r="A5358" s="9">
        <f>'Volúmenes DIstribuidos '!B3219</f>
        <v>45923</v>
      </c>
      <c r="B5358" s="10" t="str">
        <f>IF(OR('Volúmenes DIstribuidos '!C3220="Azúcar",'Volúmenes DIstribuidos '!C3220="azúcar"),"Azúcar o dulce",IF('Volúmenes DIstribuidos '!C3220="Aceite","Aceite o grasas",IF('Volúmenes DIstribuidos '!C3220="Avena","Otros almidones",'Volúmenes DIstribuidos '!C3220)))</f>
        <v>Fideo</v>
      </c>
      <c r="C5358" s="10" t="s">
        <v>29</v>
      </c>
      <c r="D5358" s="12">
        <f>'Volúmenes DIstribuidos '!D3220</f>
        <v>41.76</v>
      </c>
      <c r="E5358" s="12">
        <f>SUMIF('Parametros Inventario'!$A:$A,B5358,'Parametros Inventario'!$B:$B)+SUMIFS(D$2:D5358,B$2:B5358,B5358,C$2:C5358,"ENTRADA")-SUMIFS(D$2:D5358,B$2:B5358,B5358,C$2:C5358,"SALIDA")</f>
        <v>28959.643999999997</v>
      </c>
    </row>
    <row r="5359" spans="1:5" x14ac:dyDescent="0.3">
      <c r="A5359" s="9">
        <f>'Volúmenes DIstribuidos '!B3219</f>
        <v>45923</v>
      </c>
      <c r="B5359" s="10" t="str">
        <f>IF(OR('Volúmenes DIstribuidos '!C3221="Azúcar",'Volúmenes DIstribuidos '!C3221="azúcar"),"Azúcar o dulce",IF('Volúmenes DIstribuidos '!C3221="Aceite","Aceite o grasas",IF('Volúmenes DIstribuidos '!C3221="Avena","Otros almidones",'Volúmenes DIstribuidos '!C3221)))</f>
        <v>Azúcar o dulce</v>
      </c>
      <c r="C5359" s="10" t="s">
        <v>29</v>
      </c>
      <c r="D5359" s="12">
        <f>'Volúmenes DIstribuidos '!D3221</f>
        <v>23.4</v>
      </c>
      <c r="E5359" s="12">
        <f>SUMIF('Parametros Inventario'!$A:$A,B5359,'Parametros Inventario'!$B:$B)+SUMIFS(D$2:D5359,B$2:B5359,B5359,C$2:C5359,"ENTRADA")-SUMIFS(D$2:D5359,B$2:B5359,B5359,C$2:C5359,"SALIDA")</f>
        <v>24640.730999999985</v>
      </c>
    </row>
    <row r="5360" spans="1:5" x14ac:dyDescent="0.3">
      <c r="A5360" s="9">
        <f>'Volúmenes DIstribuidos '!B3219</f>
        <v>45923</v>
      </c>
      <c r="B5360" s="10" t="str">
        <f>IF(OR('Volúmenes DIstribuidos '!C3222="Azúcar",'Volúmenes DIstribuidos '!C3222="azúcar"),"Azúcar o dulce",IF('Volúmenes DIstribuidos '!C3222="Aceite","Aceite o grasas",IF('Volúmenes DIstribuidos '!C3222="Avena","Otros almidones",'Volúmenes DIstribuidos '!C3222)))</f>
        <v>Vegetales y hojas</v>
      </c>
      <c r="C5360" s="10" t="s">
        <v>29</v>
      </c>
      <c r="D5360" s="12">
        <f>'Volúmenes DIstribuidos '!D3222</f>
        <v>13.1</v>
      </c>
      <c r="E5360" s="12">
        <f>SUMIF('Parametros Inventario'!$A:$A,B5360,'Parametros Inventario'!$B:$B)+SUMIFS(D$2:D5360,B$2:B5360,B5360,C$2:C5360,"ENTRADA")-SUMIFS(D$2:D5360,B$2:B5360,B5360,C$2:C5360,"SALIDA")</f>
        <v>26965.167999999991</v>
      </c>
    </row>
    <row r="5361" spans="1:5" x14ac:dyDescent="0.3">
      <c r="A5361" s="9">
        <f>'Volúmenes DIstribuidos '!B3219</f>
        <v>45923</v>
      </c>
      <c r="B5361" s="10" t="str">
        <f>IF(OR('Volúmenes DIstribuidos '!C3223="Azúcar",'Volúmenes DIstribuidos '!C3223="azúcar"),"Azúcar o dulce",IF('Volúmenes DIstribuidos '!C3223="Aceite","Aceite o grasas",IF('Volúmenes DIstribuidos '!C3223="Avena","Otros almidones",'Volúmenes DIstribuidos '!C3223)))</f>
        <v>Lácteos</v>
      </c>
      <c r="C5361" s="10" t="s">
        <v>29</v>
      </c>
      <c r="D5361" s="12">
        <f>'Volúmenes DIstribuidos '!D3223</f>
        <v>13.26</v>
      </c>
      <c r="E5361" s="12">
        <f>SUMIF('Parametros Inventario'!$A:$A,B5361,'Parametros Inventario'!$B:$B)+SUMIFS(D$2:D5361,B$2:B5361,B5361,C$2:C5361,"ENTRADA")-SUMIFS(D$2:D5361,B$2:B5361,B5361,C$2:C5361,"SALIDA")</f>
        <v>25451.748000000007</v>
      </c>
    </row>
    <row r="5362" spans="1:5" x14ac:dyDescent="0.3">
      <c r="A5362" s="9">
        <f>'Volúmenes DIstribuidos '!B3219</f>
        <v>45923</v>
      </c>
      <c r="B5362" s="10" t="str">
        <f>IF(OR('Volúmenes DIstribuidos '!C3224="Azúcar",'Volúmenes DIstribuidos '!C3224="azúcar"),"Azúcar o dulce",IF('Volúmenes DIstribuidos '!C3224="Aceite","Aceite o grasas",IF('Volúmenes DIstribuidos '!C3224="Avena","Otros almidones",'Volúmenes DIstribuidos '!C3224)))</f>
        <v>Otros almidones</v>
      </c>
      <c r="C5362" s="10" t="s">
        <v>29</v>
      </c>
      <c r="D5362" s="12">
        <f>'Volúmenes DIstribuidos '!D3224</f>
        <v>14.88</v>
      </c>
      <c r="E5362" s="12">
        <f>SUMIF('Parametros Inventario'!$A:$A,B5362,'Parametros Inventario'!$B:$B)+SUMIFS(D$2:D5362,B$2:B5362,B5362,C$2:C5362,"ENTRADA")-SUMIFS(D$2:D5362,B$2:B5362,B5362,C$2:C5362,"SALIDA")</f>
        <v>28514.091000000004</v>
      </c>
    </row>
    <row r="5363" spans="1:5" x14ac:dyDescent="0.3">
      <c r="A5363" s="9">
        <v>45926</v>
      </c>
      <c r="B5363" s="10" t="s">
        <v>12</v>
      </c>
      <c r="C5363" s="10" t="s">
        <v>28</v>
      </c>
      <c r="D5363" s="12">
        <v>86.15</v>
      </c>
      <c r="E5363" s="12">
        <f>SUMIF('Parametros Inventario'!$A:$A,B5363,'Parametros Inventario'!$B:$B)+SUMIFS(D$2:D5363,B$2:B5363,B5363,C$2:C5363,"ENTRADA")-SUMIFS(D$2:D5363,B$2:B5363,B5363,C$2:C5363,"SALIDA")</f>
        <v>24993.839000000014</v>
      </c>
    </row>
    <row r="5364" spans="1:5" x14ac:dyDescent="0.3">
      <c r="A5364" s="9">
        <v>45926</v>
      </c>
      <c r="B5364" s="10" t="s">
        <v>16</v>
      </c>
      <c r="C5364" s="10" t="s">
        <v>28</v>
      </c>
      <c r="D5364" s="12">
        <v>216.02</v>
      </c>
      <c r="E5364" s="12">
        <f>SUMIF('Parametros Inventario'!$A:$A,B5364,'Parametros Inventario'!$B:$B)+SUMIFS(D$2:D5364,B$2:B5364,B5364,C$2:C5364,"ENTRADA")-SUMIFS(D$2:D5364,B$2:B5364,B5364,C$2:C5364,"SALIDA")</f>
        <v>25807.309999999983</v>
      </c>
    </row>
    <row r="5365" spans="1:5" x14ac:dyDescent="0.3">
      <c r="A5365" s="9">
        <v>45926</v>
      </c>
      <c r="B5365" s="10" t="s">
        <v>17</v>
      </c>
      <c r="C5365" s="10" t="s">
        <v>28</v>
      </c>
      <c r="D5365" s="12">
        <v>255.88</v>
      </c>
      <c r="E5365" s="12">
        <f>SUMIF('Parametros Inventario'!$A:$A,B5365,'Parametros Inventario'!$B:$B)+SUMIFS(D$2:D5365,B$2:B5365,B5365,C$2:C5365,"ENTRADA")-SUMIFS(D$2:D5365,B$2:B5365,B5365,C$2:C5365,"SALIDA")</f>
        <v>25707.628000000004</v>
      </c>
    </row>
    <row r="5366" spans="1:5" x14ac:dyDescent="0.3">
      <c r="A5366" s="9">
        <v>45926</v>
      </c>
      <c r="B5366" s="10" t="s">
        <v>18</v>
      </c>
      <c r="C5366" s="10" t="s">
        <v>28</v>
      </c>
      <c r="D5366" s="12">
        <v>233.59</v>
      </c>
      <c r="E5366" s="12">
        <f>SUMIF('Parametros Inventario'!$A:$A,B5366,'Parametros Inventario'!$B:$B)+SUMIFS(D$2:D5366,B$2:B5366,B5366,C$2:C5366,"ENTRADA")-SUMIFS(D$2:D5366,B$2:B5366,B5366,C$2:C5366,"SALIDA")</f>
        <v>25500.180999999975</v>
      </c>
    </row>
    <row r="5367" spans="1:5" x14ac:dyDescent="0.3">
      <c r="A5367" s="9">
        <v>45926</v>
      </c>
      <c r="B5367" s="10" t="s">
        <v>10</v>
      </c>
      <c r="C5367" s="10" t="s">
        <v>28</v>
      </c>
      <c r="D5367" s="12">
        <v>256.31</v>
      </c>
      <c r="E5367" s="12">
        <f>SUMIF('Parametros Inventario'!$A:$A,B5367,'Parametros Inventario'!$B:$B)+SUMIFS(D$2:D5367,B$2:B5367,B5367,C$2:C5367,"ENTRADA")-SUMIFS(D$2:D5367,B$2:B5367,B5367,C$2:C5367,"SALIDA")</f>
        <v>27221.477999999988</v>
      </c>
    </row>
    <row r="5368" spans="1:5" x14ac:dyDescent="0.3">
      <c r="A5368" s="9">
        <v>45926</v>
      </c>
      <c r="B5368" s="10" t="s">
        <v>8</v>
      </c>
      <c r="C5368" s="10" t="s">
        <v>28</v>
      </c>
      <c r="D5368" s="12">
        <v>233.28</v>
      </c>
      <c r="E5368" s="12">
        <f>SUMIF('Parametros Inventario'!$A:$A,B5368,'Parametros Inventario'!$B:$B)+SUMIFS(D$2:D5368,B$2:B5368,B5368,C$2:C5368,"ENTRADA")-SUMIFS(D$2:D5368,B$2:B5368,B5368,C$2:C5368,"SALIDA")</f>
        <v>25642.495000000003</v>
      </c>
    </row>
    <row r="5369" spans="1:5" x14ac:dyDescent="0.3">
      <c r="A5369" s="9">
        <f>'Volúmenes DIstribuidos '!B3225</f>
        <v>45926</v>
      </c>
      <c r="B5369" s="10" t="str">
        <f>IF(OR('Volúmenes DIstribuidos '!C3225="Azúcar",'Volúmenes DIstribuidos '!C3225="azúcar"),"Azúcar o dulce",IF('Volúmenes DIstribuidos '!C3225="Aceite","Aceite o grasas",IF('Volúmenes DIstribuidos '!C3225="Avena","Otros almidones",'Volúmenes DIstribuidos '!C3225)))</f>
        <v>Panadería</v>
      </c>
      <c r="C5369" s="10" t="s">
        <v>29</v>
      </c>
      <c r="D5369" s="12">
        <f>'Volúmenes DIstribuidos '!D3225</f>
        <v>3.8</v>
      </c>
      <c r="E5369" s="12">
        <f>SUMIF('Parametros Inventario'!$A:$A,B5369,'Parametros Inventario'!$B:$B)+SUMIFS(D$2:D5369,B$2:B5369,B5369,C$2:C5369,"ENTRADA")-SUMIFS(D$2:D5369,B$2:B5369,B5369,C$2:C5369,"SALIDA")</f>
        <v>24455.423000000003</v>
      </c>
    </row>
    <row r="5370" spans="1:5" x14ac:dyDescent="0.3">
      <c r="A5370" s="9">
        <f>'Volúmenes DIstribuidos '!B3225</f>
        <v>45926</v>
      </c>
      <c r="B5370" s="10" t="str">
        <f>IF(OR('Volúmenes DIstribuidos '!C3226="Azúcar",'Volúmenes DIstribuidos '!C3226="azúcar"),"Azúcar o dulce",IF('Volúmenes DIstribuidos '!C3226="Aceite","Aceite o grasas",IF('Volúmenes DIstribuidos '!C3226="Avena","Otros almidones",'Volúmenes DIstribuidos '!C3226)))</f>
        <v>Vegetales y hojas</v>
      </c>
      <c r="C5370" s="10" t="s">
        <v>29</v>
      </c>
      <c r="D5370" s="12">
        <f>'Volúmenes DIstribuidos '!D3226</f>
        <v>11.06</v>
      </c>
      <c r="E5370" s="12">
        <f>SUMIF('Parametros Inventario'!$A:$A,B5370,'Parametros Inventario'!$B:$B)+SUMIFS(D$2:D5370,B$2:B5370,B5370,C$2:C5370,"ENTRADA")-SUMIFS(D$2:D5370,B$2:B5370,B5370,C$2:C5370,"SALIDA")</f>
        <v>27210.417999999991</v>
      </c>
    </row>
    <row r="5371" spans="1:5" x14ac:dyDescent="0.3">
      <c r="A5371" s="9">
        <f>'Volúmenes DIstribuidos '!B3225</f>
        <v>45926</v>
      </c>
      <c r="B5371" s="10" t="str">
        <f>IF(OR('Volúmenes DIstribuidos '!C3227="Azúcar",'Volúmenes DIstribuidos '!C3227="azúcar"),"Azúcar o dulce",IF('Volúmenes DIstribuidos '!C3227="Aceite","Aceite o grasas",IF('Volúmenes DIstribuidos '!C3227="Avena","Otros almidones",'Volúmenes DIstribuidos '!C3227)))</f>
        <v>Aceite o grasas</v>
      </c>
      <c r="C5371" s="10" t="s">
        <v>29</v>
      </c>
      <c r="D5371" s="12">
        <f>'Volúmenes DIstribuidos '!D3227</f>
        <v>34</v>
      </c>
      <c r="E5371" s="12">
        <f>SUMIF('Parametros Inventario'!$A:$A,B5371,'Parametros Inventario'!$B:$B)+SUMIFS(D$2:D5371,B$2:B5371,B5371,C$2:C5371,"ENTRADA")-SUMIFS(D$2:D5371,B$2:B5371,B5371,C$2:C5371,"SALIDA")</f>
        <v>25608.495000000003</v>
      </c>
    </row>
    <row r="5372" spans="1:5" x14ac:dyDescent="0.3">
      <c r="A5372" s="9">
        <f>'Volúmenes DIstribuidos '!B3225</f>
        <v>45926</v>
      </c>
      <c r="B5372" s="10" t="str">
        <f>IF(OR('Volúmenes DIstribuidos '!C3228="Azúcar",'Volúmenes DIstribuidos '!C3228="azúcar"),"Azúcar o dulce",IF('Volúmenes DIstribuidos '!C3228="Aceite","Aceite o grasas",IF('Volúmenes DIstribuidos '!C3228="Avena","Otros almidones",'Volúmenes DIstribuidos '!C3228)))</f>
        <v>Fideo</v>
      </c>
      <c r="C5372" s="10" t="s">
        <v>29</v>
      </c>
      <c r="D5372" s="12">
        <f>'Volúmenes DIstribuidos '!D3228</f>
        <v>15.901</v>
      </c>
      <c r="E5372" s="12">
        <f>SUMIF('Parametros Inventario'!$A:$A,B5372,'Parametros Inventario'!$B:$B)+SUMIFS(D$2:D5372,B$2:B5372,B5372,C$2:C5372,"ENTRADA")-SUMIFS(D$2:D5372,B$2:B5372,B5372,C$2:C5372,"SALIDA")</f>
        <v>28943.742999999999</v>
      </c>
    </row>
    <row r="5373" spans="1:5" x14ac:dyDescent="0.3">
      <c r="A5373" s="9">
        <f>'Volúmenes DIstribuidos '!B3225</f>
        <v>45926</v>
      </c>
      <c r="B5373" s="10" t="str">
        <f>IF(OR('Volúmenes DIstribuidos '!C3229="Azúcar",'Volúmenes DIstribuidos '!C3229="azúcar"),"Azúcar o dulce",IF('Volúmenes DIstribuidos '!C3229="Aceite","Aceite o grasas",IF('Volúmenes DIstribuidos '!C3229="Avena","Otros almidones",'Volúmenes DIstribuidos '!C3229)))</f>
        <v>Menestras</v>
      </c>
      <c r="C5373" s="10" t="s">
        <v>29</v>
      </c>
      <c r="D5373" s="12">
        <f>'Volúmenes DIstribuidos '!D3229</f>
        <v>12.72</v>
      </c>
      <c r="E5373" s="12">
        <f>SUMIF('Parametros Inventario'!$A:$A,B5373,'Parametros Inventario'!$B:$B)+SUMIFS(D$2:D5373,B$2:B5373,B5373,C$2:C5373,"ENTRADA")-SUMIFS(D$2:D5373,B$2:B5373,B5373,C$2:C5373,"SALIDA")</f>
        <v>25572.819999999982</v>
      </c>
    </row>
    <row r="5374" spans="1:5" x14ac:dyDescent="0.3">
      <c r="A5374" s="9">
        <f>'Volúmenes DIstribuidos '!B3225</f>
        <v>45926</v>
      </c>
      <c r="B5374" s="10" t="str">
        <f>IF(OR('Volúmenes DIstribuidos '!C3230="Azúcar",'Volúmenes DIstribuidos '!C3230="azúcar"),"Azúcar o dulce",IF('Volúmenes DIstribuidos '!C3230="Aceite","Aceite o grasas",IF('Volúmenes DIstribuidos '!C3230="Avena","Otros almidones",'Volúmenes DIstribuidos '!C3230)))</f>
        <v>Lácteos</v>
      </c>
      <c r="C5374" s="10" t="s">
        <v>29</v>
      </c>
      <c r="D5374" s="12">
        <f>'Volúmenes DIstribuidos '!D3230</f>
        <v>11.15</v>
      </c>
      <c r="E5374" s="12">
        <f>SUMIF('Parametros Inventario'!$A:$A,B5374,'Parametros Inventario'!$B:$B)+SUMIFS(D$2:D5374,B$2:B5374,B5374,C$2:C5374,"ENTRADA")-SUMIFS(D$2:D5374,B$2:B5374,B5374,C$2:C5374,"SALIDA")</f>
        <v>25696.478000000003</v>
      </c>
    </row>
    <row r="5375" spans="1:5" x14ac:dyDescent="0.3">
      <c r="A5375" s="9">
        <v>45930</v>
      </c>
      <c r="B5375" s="10" t="s">
        <v>13</v>
      </c>
      <c r="C5375" s="10" t="s">
        <v>28</v>
      </c>
      <c r="D5375" s="12">
        <v>53.55</v>
      </c>
      <c r="E5375" s="12">
        <f>SUMIF('Parametros Inventario'!$A:$A,B5375,'Parametros Inventario'!$B:$B)+SUMIFS(D$2:D5375,B$2:B5375,B5375,C$2:C5375,"ENTRADA")-SUMIFS(D$2:D5375,B$2:B5375,B5375,C$2:C5375,"SALIDA")</f>
        <v>24694.280999999981</v>
      </c>
    </row>
    <row r="5376" spans="1:5" x14ac:dyDescent="0.3">
      <c r="A5376" s="9">
        <v>45930</v>
      </c>
      <c r="B5376" s="10" t="s">
        <v>15</v>
      </c>
      <c r="C5376" s="10" t="s">
        <v>28</v>
      </c>
      <c r="D5376" s="12">
        <v>274.13</v>
      </c>
      <c r="E5376" s="12">
        <f>SUMIF('Parametros Inventario'!$A:$A,B5376,'Parametros Inventario'!$B:$B)+SUMIFS(D$2:D5376,B$2:B5376,B5376,C$2:C5376,"ENTRADA")-SUMIFS(D$2:D5376,B$2:B5376,B5376,C$2:C5376,"SALIDA")</f>
        <v>28788.221000000001</v>
      </c>
    </row>
    <row r="5377" spans="1:5" x14ac:dyDescent="0.3">
      <c r="A5377" s="9">
        <v>45930</v>
      </c>
      <c r="B5377" s="10" t="s">
        <v>11</v>
      </c>
      <c r="C5377" s="10" t="s">
        <v>28</v>
      </c>
      <c r="D5377" s="12">
        <v>283.45</v>
      </c>
      <c r="E5377" s="12">
        <f>SUMIF('Parametros Inventario'!$A:$A,B5377,'Parametros Inventario'!$B:$B)+SUMIFS(D$2:D5377,B$2:B5377,B5377,C$2:C5377,"ENTRADA")-SUMIFS(D$2:D5377,B$2:B5377,B5377,C$2:C5377,"SALIDA")</f>
        <v>29227.192999999996</v>
      </c>
    </row>
    <row r="5378" spans="1:5" x14ac:dyDescent="0.3">
      <c r="A5378" s="9">
        <v>45930</v>
      </c>
      <c r="B5378" s="10" t="s">
        <v>9</v>
      </c>
      <c r="C5378" s="10" t="s">
        <v>28</v>
      </c>
      <c r="D5378" s="12">
        <v>174.86</v>
      </c>
      <c r="E5378" s="12">
        <f>SUMIF('Parametros Inventario'!$A:$A,B5378,'Parametros Inventario'!$B:$B)+SUMIFS(D$2:D5378,B$2:B5378,B5378,C$2:C5378,"ENTRADA")-SUMIFS(D$2:D5378,B$2:B5378,B5378,C$2:C5378,"SALIDA")</f>
        <v>24630.283000000003</v>
      </c>
    </row>
    <row r="5379" spans="1:5" x14ac:dyDescent="0.3">
      <c r="A5379" s="9">
        <v>45930</v>
      </c>
      <c r="B5379" s="10" t="s">
        <v>14</v>
      </c>
      <c r="C5379" s="10" t="s">
        <v>28</v>
      </c>
      <c r="D5379" s="12">
        <v>129.1</v>
      </c>
      <c r="E5379" s="12">
        <f>SUMIF('Parametros Inventario'!$A:$A,B5379,'Parametros Inventario'!$B:$B)+SUMIFS(D$2:D5379,B$2:B5379,B5379,C$2:C5379,"ENTRADA")-SUMIFS(D$2:D5379,B$2:B5379,B5379,C$2:C5379,"SALIDA")</f>
        <v>25701.91999999998</v>
      </c>
    </row>
    <row r="5380" spans="1:5" x14ac:dyDescent="0.3">
      <c r="A5380" s="9">
        <v>45930</v>
      </c>
      <c r="B5380" s="10" t="s">
        <v>12</v>
      </c>
      <c r="C5380" s="10" t="s">
        <v>28</v>
      </c>
      <c r="D5380" s="12">
        <v>248</v>
      </c>
      <c r="E5380" s="12">
        <f>SUMIF('Parametros Inventario'!$A:$A,B5380,'Parametros Inventario'!$B:$B)+SUMIFS(D$2:D5380,B$2:B5380,B5380,C$2:C5380,"ENTRADA")-SUMIFS(D$2:D5380,B$2:B5380,B5380,C$2:C5380,"SALIDA")</f>
        <v>25241.839000000014</v>
      </c>
    </row>
    <row r="5381" spans="1:5" x14ac:dyDescent="0.3">
      <c r="A5381" s="9">
        <v>45930</v>
      </c>
      <c r="B5381" s="10" t="s">
        <v>16</v>
      </c>
      <c r="C5381" s="10" t="s">
        <v>28</v>
      </c>
      <c r="D5381" s="12">
        <v>218.49</v>
      </c>
      <c r="E5381" s="12">
        <f>SUMIF('Parametros Inventario'!$A:$A,B5381,'Parametros Inventario'!$B:$B)+SUMIFS(D$2:D5381,B$2:B5381,B5381,C$2:C5381,"ENTRADA")-SUMIFS(D$2:D5381,B$2:B5381,B5381,C$2:C5381,"SALIDA")</f>
        <v>26025.799999999988</v>
      </c>
    </row>
    <row r="5382" spans="1:5" x14ac:dyDescent="0.3">
      <c r="A5382" s="9">
        <v>45930</v>
      </c>
      <c r="B5382" s="10" t="s">
        <v>17</v>
      </c>
      <c r="C5382" s="10" t="s">
        <v>28</v>
      </c>
      <c r="D5382" s="12">
        <v>115.7</v>
      </c>
      <c r="E5382" s="12">
        <f>SUMIF('Parametros Inventario'!$A:$A,B5382,'Parametros Inventario'!$B:$B)+SUMIFS(D$2:D5382,B$2:B5382,B5382,C$2:C5382,"ENTRADA")-SUMIFS(D$2:D5382,B$2:B5382,B5382,C$2:C5382,"SALIDA")</f>
        <v>25812.178</v>
      </c>
    </row>
    <row r="5383" spans="1:5" x14ac:dyDescent="0.3">
      <c r="A5383" s="9">
        <v>45930</v>
      </c>
      <c r="B5383" s="10" t="s">
        <v>18</v>
      </c>
      <c r="C5383" s="10" t="s">
        <v>28</v>
      </c>
      <c r="D5383" s="12">
        <v>230.57</v>
      </c>
      <c r="E5383" s="12">
        <f>SUMIF('Parametros Inventario'!$A:$A,B5383,'Parametros Inventario'!$B:$B)+SUMIFS(D$2:D5383,B$2:B5383,B5383,C$2:C5383,"ENTRADA")-SUMIFS(D$2:D5383,B$2:B5383,B5383,C$2:C5383,"SALIDA")</f>
        <v>25730.750999999975</v>
      </c>
    </row>
    <row r="5384" spans="1:5" x14ac:dyDescent="0.3">
      <c r="A5384" s="9">
        <f>'Volúmenes DIstribuidos '!B3231</f>
        <v>45930</v>
      </c>
      <c r="B5384" s="10" t="str">
        <f>IF(OR('Volúmenes DIstribuidos '!C3231="Azúcar",'Volúmenes DIstribuidos '!C3231="azúcar"),"Azúcar o dulce",IF('Volúmenes DIstribuidos '!C3231="Aceite","Aceite o grasas",IF('Volúmenes DIstribuidos '!C3231="Avena","Otros almidones",'Volúmenes DIstribuidos '!C3231)))</f>
        <v>Fideo</v>
      </c>
      <c r="C5384" s="10" t="s">
        <v>29</v>
      </c>
      <c r="D5384" s="12">
        <f>'Volúmenes DIstribuidos '!D3231</f>
        <v>12.26</v>
      </c>
      <c r="E5384" s="12">
        <f>SUMIF('Parametros Inventario'!$A:$A,B5384,'Parametros Inventario'!$B:$B)+SUMIFS(D$2:D5384,B$2:B5384,B5384,C$2:C5384,"ENTRADA")-SUMIFS(D$2:D5384,B$2:B5384,B5384,C$2:C5384,"SALIDA")</f>
        <v>29214.932999999994</v>
      </c>
    </row>
    <row r="5385" spans="1:5" x14ac:dyDescent="0.3">
      <c r="A5385" s="9">
        <f>'Volúmenes DIstribuidos '!B3231</f>
        <v>45930</v>
      </c>
      <c r="B5385" s="10" t="str">
        <f>IF(OR('Volúmenes DIstribuidos '!C3232="Azúcar",'Volúmenes DIstribuidos '!C3232="azúcar"),"Azúcar o dulce",IF('Volúmenes DIstribuidos '!C3232="Aceite","Aceite o grasas",IF('Volúmenes DIstribuidos '!C3232="Avena","Otros almidones",'Volúmenes DIstribuidos '!C3232)))</f>
        <v>Aceite o grasas</v>
      </c>
      <c r="C5385" s="10" t="s">
        <v>29</v>
      </c>
      <c r="D5385" s="12">
        <f>'Volúmenes DIstribuidos '!D3232</f>
        <v>17.353999999999999</v>
      </c>
      <c r="E5385" s="12">
        <f>SUMIF('Parametros Inventario'!$A:$A,B5385,'Parametros Inventario'!$B:$B)+SUMIFS(D$2:D5385,B$2:B5385,B5385,C$2:C5385,"ENTRADA")-SUMIFS(D$2:D5385,B$2:B5385,B5385,C$2:C5385,"SALIDA")</f>
        <v>25591.141000000003</v>
      </c>
    </row>
    <row r="5386" spans="1:5" x14ac:dyDescent="0.3">
      <c r="A5386" s="9">
        <f>'Volúmenes DIstribuidos '!B3231</f>
        <v>45930</v>
      </c>
      <c r="B5386" s="10" t="str">
        <f>IF(OR('Volúmenes DIstribuidos '!C3233="Azúcar",'Volúmenes DIstribuidos '!C3233="azúcar"),"Azúcar o dulce",IF('Volúmenes DIstribuidos '!C3233="Aceite","Aceite o grasas",IF('Volúmenes DIstribuidos '!C3233="Avena","Otros almidones",'Volúmenes DIstribuidos '!C3233)))</f>
        <v>Panadería</v>
      </c>
      <c r="C5386" s="10" t="s">
        <v>29</v>
      </c>
      <c r="D5386" s="12">
        <f>'Volúmenes DIstribuidos '!D3233</f>
        <v>4.1399999999999997</v>
      </c>
      <c r="E5386" s="12">
        <f>SUMIF('Parametros Inventario'!$A:$A,B5386,'Parametros Inventario'!$B:$B)+SUMIFS(D$2:D5386,B$2:B5386,B5386,C$2:C5386,"ENTRADA")-SUMIFS(D$2:D5386,B$2:B5386,B5386,C$2:C5386,"SALIDA")</f>
        <v>24626.143000000004</v>
      </c>
    </row>
    <row r="5387" spans="1:5" x14ac:dyDescent="0.3">
      <c r="A5387" s="9">
        <f>'Volúmenes DIstribuidos '!B3231</f>
        <v>45930</v>
      </c>
      <c r="B5387" s="10" t="str">
        <f>IF(OR('Volúmenes DIstribuidos '!C3234="Azúcar",'Volúmenes DIstribuidos '!C3234="azúcar"),"Azúcar o dulce",IF('Volúmenes DIstribuidos '!C3234="Aceite","Aceite o grasas",IF('Volúmenes DIstribuidos '!C3234="Avena","Otros almidones",'Volúmenes DIstribuidos '!C3234)))</f>
        <v>Carnes blancas</v>
      </c>
      <c r="C5387" s="10" t="s">
        <v>29</v>
      </c>
      <c r="D5387" s="12">
        <f>'Volúmenes DIstribuidos '!D3234</f>
        <v>3.5</v>
      </c>
      <c r="E5387" s="12">
        <f>SUMIF('Parametros Inventario'!$A:$A,B5387,'Parametros Inventario'!$B:$B)+SUMIFS(D$2:D5387,B$2:B5387,B5387,C$2:C5387,"ENTRADA")-SUMIFS(D$2:D5387,B$2:B5387,B5387,C$2:C5387,"SALIDA")</f>
        <v>26022.299999999988</v>
      </c>
    </row>
    <row r="5388" spans="1:5" x14ac:dyDescent="0.3">
      <c r="A5388" s="9">
        <f>'Volúmenes DIstribuidos '!B3231</f>
        <v>45930</v>
      </c>
      <c r="B5388" s="10" t="str">
        <f>IF(OR('Volúmenes DIstribuidos '!C3235="Azúcar",'Volúmenes DIstribuidos '!C3235="azúcar"),"Azúcar o dulce",IF('Volúmenes DIstribuidos '!C3235="Aceite","Aceite o grasas",IF('Volúmenes DIstribuidos '!C3235="Avena","Otros almidones",'Volúmenes DIstribuidos '!C3235)))</f>
        <v>Salsas</v>
      </c>
      <c r="C5388" s="10" t="s">
        <v>29</v>
      </c>
      <c r="D5388" s="12">
        <f>'Volúmenes DIstribuidos '!D3235</f>
        <v>13.96</v>
      </c>
      <c r="E5388" s="12">
        <f>SUMIF('Parametros Inventario'!$A:$A,B5388,'Parametros Inventario'!$B:$B)+SUMIFS(D$2:D5388,B$2:B5388,B5388,C$2:C5388,"ENTRADA")-SUMIFS(D$2:D5388,B$2:B5388,B5388,C$2:C5388,"SALIDA")</f>
        <v>25716.790999999976</v>
      </c>
    </row>
    <row r="5389" spans="1:5" x14ac:dyDescent="0.3">
      <c r="A5389" s="9">
        <f>'Volúmenes DIstribuidos '!B3231</f>
        <v>45930</v>
      </c>
      <c r="B5389" s="10" t="str">
        <f>IF(OR('Volúmenes DIstribuidos '!C3236="Azúcar",'Volúmenes DIstribuidos '!C3236="azúcar"),"Azúcar o dulce",IF('Volúmenes DIstribuidos '!C3236="Aceite","Aceite o grasas",IF('Volúmenes DIstribuidos '!C3236="Avena","Otros almidones",'Volúmenes DIstribuidos '!C3236)))</f>
        <v>Otros almidones</v>
      </c>
      <c r="C5389" s="10" t="s">
        <v>29</v>
      </c>
      <c r="D5389" s="12">
        <f>'Volúmenes DIstribuidos '!D3236</f>
        <v>34.509</v>
      </c>
      <c r="E5389" s="12">
        <f>SUMIF('Parametros Inventario'!$A:$A,B5389,'Parametros Inventario'!$B:$B)+SUMIFS(D$2:D5389,B$2:B5389,B5389,C$2:C5389,"ENTRADA")-SUMIFS(D$2:D5389,B$2:B5389,B5389,C$2:C5389,"SALIDA")</f>
        <v>28753.712</v>
      </c>
    </row>
    <row r="5390" spans="1:5" x14ac:dyDescent="0.3">
      <c r="A5390" s="9">
        <v>45933</v>
      </c>
      <c r="B5390" s="10" t="s">
        <v>10</v>
      </c>
      <c r="C5390" s="10" t="s">
        <v>28</v>
      </c>
      <c r="D5390" s="12">
        <v>297.06</v>
      </c>
      <c r="E5390" s="12">
        <f>SUMIF('Parametros Inventario'!$A:$A,B5390,'Parametros Inventario'!$B:$B)+SUMIFS(D$2:D5390,B$2:B5390,B5390,C$2:C5390,"ENTRADA")-SUMIFS(D$2:D5390,B$2:B5390,B5390,C$2:C5390,"SALIDA")</f>
        <v>27507.477999999988</v>
      </c>
    </row>
    <row r="5391" spans="1:5" x14ac:dyDescent="0.3">
      <c r="A5391" s="9">
        <v>45933</v>
      </c>
      <c r="B5391" s="10" t="s">
        <v>8</v>
      </c>
      <c r="C5391" s="10" t="s">
        <v>28</v>
      </c>
      <c r="D5391" s="12">
        <v>285.83</v>
      </c>
      <c r="E5391" s="12">
        <f>SUMIF('Parametros Inventario'!$A:$A,B5391,'Parametros Inventario'!$B:$B)+SUMIFS(D$2:D5391,B$2:B5391,B5391,C$2:C5391,"ENTRADA")-SUMIFS(D$2:D5391,B$2:B5391,B5391,C$2:C5391,"SALIDA")</f>
        <v>25876.971000000005</v>
      </c>
    </row>
    <row r="5392" spans="1:5" x14ac:dyDescent="0.3">
      <c r="A5392" s="9">
        <v>45933</v>
      </c>
      <c r="B5392" s="10" t="s">
        <v>13</v>
      </c>
      <c r="C5392" s="10" t="s">
        <v>28</v>
      </c>
      <c r="D5392" s="12">
        <v>264.32</v>
      </c>
      <c r="E5392" s="12">
        <f>SUMIF('Parametros Inventario'!$A:$A,B5392,'Parametros Inventario'!$B:$B)+SUMIFS(D$2:D5392,B$2:B5392,B5392,C$2:C5392,"ENTRADA")-SUMIFS(D$2:D5392,B$2:B5392,B5392,C$2:C5392,"SALIDA")</f>
        <v>24958.600999999988</v>
      </c>
    </row>
    <row r="5393" spans="1:5" x14ac:dyDescent="0.3">
      <c r="A5393" s="9">
        <v>45933</v>
      </c>
      <c r="B5393" s="10" t="s">
        <v>15</v>
      </c>
      <c r="C5393" s="10" t="s">
        <v>28</v>
      </c>
      <c r="D5393" s="12">
        <v>208.57</v>
      </c>
      <c r="E5393" s="12">
        <f>SUMIF('Parametros Inventario'!$A:$A,B5393,'Parametros Inventario'!$B:$B)+SUMIFS(D$2:D5393,B$2:B5393,B5393,C$2:C5393,"ENTRADA")-SUMIFS(D$2:D5393,B$2:B5393,B5393,C$2:C5393,"SALIDA")</f>
        <v>28962.281999999999</v>
      </c>
    </row>
    <row r="5394" spans="1:5" x14ac:dyDescent="0.3">
      <c r="A5394" s="9">
        <v>45933</v>
      </c>
      <c r="B5394" s="10" t="s">
        <v>11</v>
      </c>
      <c r="C5394" s="10" t="s">
        <v>28</v>
      </c>
      <c r="D5394" s="12">
        <v>209.73</v>
      </c>
      <c r="E5394" s="12">
        <f>SUMIF('Parametros Inventario'!$A:$A,B5394,'Parametros Inventario'!$B:$B)+SUMIFS(D$2:D5394,B$2:B5394,B5394,C$2:C5394,"ENTRADA")-SUMIFS(D$2:D5394,B$2:B5394,B5394,C$2:C5394,"SALIDA")</f>
        <v>29424.662999999997</v>
      </c>
    </row>
    <row r="5395" spans="1:5" x14ac:dyDescent="0.3">
      <c r="A5395" s="9">
        <v>45933</v>
      </c>
      <c r="B5395" s="10" t="s">
        <v>9</v>
      </c>
      <c r="C5395" s="10" t="s">
        <v>28</v>
      </c>
      <c r="D5395" s="12">
        <v>194.59</v>
      </c>
      <c r="E5395" s="12">
        <f>SUMIF('Parametros Inventario'!$A:$A,B5395,'Parametros Inventario'!$B:$B)+SUMIFS(D$2:D5395,B$2:B5395,B5395,C$2:C5395,"ENTRADA")-SUMIFS(D$2:D5395,B$2:B5395,B5395,C$2:C5395,"SALIDA")</f>
        <v>24820.733</v>
      </c>
    </row>
    <row r="5396" spans="1:5" x14ac:dyDescent="0.3">
      <c r="A5396" s="9">
        <v>45933</v>
      </c>
      <c r="B5396" s="10" t="s">
        <v>14</v>
      </c>
      <c r="C5396" s="10" t="s">
        <v>28</v>
      </c>
      <c r="D5396" s="12">
        <v>59.12</v>
      </c>
      <c r="E5396" s="12">
        <f>SUMIF('Parametros Inventario'!$A:$A,B5396,'Parametros Inventario'!$B:$B)+SUMIFS(D$2:D5396,B$2:B5396,B5396,C$2:C5396,"ENTRADA")-SUMIFS(D$2:D5396,B$2:B5396,B5396,C$2:C5396,"SALIDA")</f>
        <v>25761.039999999983</v>
      </c>
    </row>
    <row r="5397" spans="1:5" x14ac:dyDescent="0.3">
      <c r="A5397" s="9">
        <v>45933</v>
      </c>
      <c r="B5397" s="10" t="s">
        <v>12</v>
      </c>
      <c r="C5397" s="10" t="s">
        <v>28</v>
      </c>
      <c r="D5397" s="12">
        <v>236.43</v>
      </c>
      <c r="E5397" s="12">
        <f>SUMIF('Parametros Inventario'!$A:$A,B5397,'Parametros Inventario'!$B:$B)+SUMIFS(D$2:D5397,B$2:B5397,B5397,C$2:C5397,"ENTRADA")-SUMIFS(D$2:D5397,B$2:B5397,B5397,C$2:C5397,"SALIDA")</f>
        <v>25478.269000000008</v>
      </c>
    </row>
    <row r="5398" spans="1:5" x14ac:dyDescent="0.3">
      <c r="A5398" s="9">
        <f>'Volúmenes DIstribuidos '!B3237</f>
        <v>45933</v>
      </c>
      <c r="B5398" s="10" t="str">
        <f>IF(OR('Volúmenes DIstribuidos '!C3237="Azúcar",'Volúmenes DIstribuidos '!C3237="azúcar"),"Azúcar o dulce",IF('Volúmenes DIstribuidos '!C3237="Aceite","Aceite o grasas",IF('Volúmenes DIstribuidos '!C3237="Avena","Otros almidones",'Volúmenes DIstribuidos '!C3237)))</f>
        <v>Carnes blancas</v>
      </c>
      <c r="C5398" s="10" t="s">
        <v>29</v>
      </c>
      <c r="D5398" s="12">
        <f>'Volúmenes DIstribuidos '!D3237</f>
        <v>12.08</v>
      </c>
      <c r="E5398" s="12">
        <f>SUMIF('Parametros Inventario'!$A:$A,B5398,'Parametros Inventario'!$B:$B)+SUMIFS(D$2:D5398,B$2:B5398,B5398,C$2:C5398,"ENTRADA")-SUMIFS(D$2:D5398,B$2:B5398,B5398,C$2:C5398,"SALIDA")</f>
        <v>26010.219999999987</v>
      </c>
    </row>
    <row r="5399" spans="1:5" x14ac:dyDescent="0.3">
      <c r="A5399" s="9">
        <f>'Volúmenes DIstribuidos '!B3237</f>
        <v>45933</v>
      </c>
      <c r="B5399" s="10" t="str">
        <f>IF(OR('Volúmenes DIstribuidos '!C3238="Azúcar",'Volúmenes DIstribuidos '!C3238="azúcar"),"Azúcar o dulce",IF('Volúmenes DIstribuidos '!C3238="Aceite","Aceite o grasas",IF('Volúmenes DIstribuidos '!C3238="Avena","Otros almidones",'Volúmenes DIstribuidos '!C3238)))</f>
        <v>Lácteos</v>
      </c>
      <c r="C5399" s="10" t="s">
        <v>29</v>
      </c>
      <c r="D5399" s="12">
        <f>'Volúmenes DIstribuidos '!D3238</f>
        <v>25.98</v>
      </c>
      <c r="E5399" s="12">
        <f>SUMIF('Parametros Inventario'!$A:$A,B5399,'Parametros Inventario'!$B:$B)+SUMIFS(D$2:D5399,B$2:B5399,B5399,C$2:C5399,"ENTRADA")-SUMIFS(D$2:D5399,B$2:B5399,B5399,C$2:C5399,"SALIDA")</f>
        <v>25786.198</v>
      </c>
    </row>
    <row r="5400" spans="1:5" x14ac:dyDescent="0.3">
      <c r="A5400" s="9">
        <f>'Volúmenes DIstribuidos '!B3237</f>
        <v>45933</v>
      </c>
      <c r="B5400" s="10" t="str">
        <f>IF(OR('Volúmenes DIstribuidos '!C3239="Azúcar",'Volúmenes DIstribuidos '!C3239="azúcar"),"Azúcar o dulce",IF('Volúmenes DIstribuidos '!C3239="Aceite","Aceite o grasas",IF('Volúmenes DIstribuidos '!C3239="Avena","Otros almidones",'Volúmenes DIstribuidos '!C3239)))</f>
        <v>Menestras</v>
      </c>
      <c r="C5400" s="10" t="s">
        <v>29</v>
      </c>
      <c r="D5400" s="12">
        <f>'Volúmenes DIstribuidos '!D3239</f>
        <v>31.71</v>
      </c>
      <c r="E5400" s="12">
        <f>SUMIF('Parametros Inventario'!$A:$A,B5400,'Parametros Inventario'!$B:$B)+SUMIFS(D$2:D5400,B$2:B5400,B5400,C$2:C5400,"ENTRADA")-SUMIFS(D$2:D5400,B$2:B5400,B5400,C$2:C5400,"SALIDA")</f>
        <v>25729.329999999984</v>
      </c>
    </row>
    <row r="5401" spans="1:5" x14ac:dyDescent="0.3">
      <c r="A5401" s="9">
        <f>'Volúmenes DIstribuidos '!B3237</f>
        <v>45933</v>
      </c>
      <c r="B5401" s="10" t="str">
        <f>IF(OR('Volúmenes DIstribuidos '!C3240="Azúcar",'Volúmenes DIstribuidos '!C3240="azúcar"),"Azúcar o dulce",IF('Volúmenes DIstribuidos '!C3240="Aceite","Aceite o grasas",IF('Volúmenes DIstribuidos '!C3240="Avena","Otros almidones",'Volúmenes DIstribuidos '!C3240)))</f>
        <v>Otros almidones</v>
      </c>
      <c r="C5401" s="10" t="s">
        <v>29</v>
      </c>
      <c r="D5401" s="12">
        <f>'Volúmenes DIstribuidos '!D3240</f>
        <v>85.03</v>
      </c>
      <c r="E5401" s="12">
        <f>SUMIF('Parametros Inventario'!$A:$A,B5401,'Parametros Inventario'!$B:$B)+SUMIFS(D$2:D5401,B$2:B5401,B5401,C$2:C5401,"ENTRADA")-SUMIFS(D$2:D5401,B$2:B5401,B5401,C$2:C5401,"SALIDA")</f>
        <v>28877.252</v>
      </c>
    </row>
    <row r="5402" spans="1:5" x14ac:dyDescent="0.3">
      <c r="A5402" s="9">
        <f>'Volúmenes DIstribuidos '!B3237</f>
        <v>45933</v>
      </c>
      <c r="B5402" s="10" t="str">
        <f>IF(OR('Volúmenes DIstribuidos '!C3241="Azúcar",'Volúmenes DIstribuidos '!C3241="azúcar"),"Azúcar o dulce",IF('Volúmenes DIstribuidos '!C3241="Aceite","Aceite o grasas",IF('Volúmenes DIstribuidos '!C3241="Avena","Otros almidones",'Volúmenes DIstribuidos '!C3241)))</f>
        <v>Azúcar o dulce</v>
      </c>
      <c r="C5402" s="10" t="s">
        <v>29</v>
      </c>
      <c r="D5402" s="12">
        <f>'Volúmenes DIstribuidos '!D3241</f>
        <v>32.42</v>
      </c>
      <c r="E5402" s="12">
        <f>SUMIF('Parametros Inventario'!$A:$A,B5402,'Parametros Inventario'!$B:$B)+SUMIFS(D$2:D5402,B$2:B5402,B5402,C$2:C5402,"ENTRADA")-SUMIFS(D$2:D5402,B$2:B5402,B5402,C$2:C5402,"SALIDA")</f>
        <v>24926.18099999999</v>
      </c>
    </row>
    <row r="5403" spans="1:5" x14ac:dyDescent="0.3">
      <c r="A5403" s="9">
        <f>'Volúmenes DIstribuidos '!B3237</f>
        <v>45933</v>
      </c>
      <c r="B5403" s="10" t="str">
        <f>IF(OR('Volúmenes DIstribuidos '!C3242="Azúcar",'Volúmenes DIstribuidos '!C3242="azúcar"),"Azúcar o dulce",IF('Volúmenes DIstribuidos '!C3242="Aceite","Aceite o grasas",IF('Volúmenes DIstribuidos '!C3242="Avena","Otros almidones",'Volúmenes DIstribuidos '!C3242)))</f>
        <v>Vegetales y hojas</v>
      </c>
      <c r="C5403" s="10" t="s">
        <v>29</v>
      </c>
      <c r="D5403" s="12">
        <f>'Volúmenes DIstribuidos '!D3242</f>
        <v>29.213000000000001</v>
      </c>
      <c r="E5403" s="12">
        <f>SUMIF('Parametros Inventario'!$A:$A,B5403,'Parametros Inventario'!$B:$B)+SUMIFS(D$2:D5403,B$2:B5403,B5403,C$2:C5403,"ENTRADA")-SUMIFS(D$2:D5403,B$2:B5403,B5403,C$2:C5403,"SALIDA")</f>
        <v>27478.264999999985</v>
      </c>
    </row>
    <row r="5404" spans="1:5" x14ac:dyDescent="0.3">
      <c r="A5404" s="9">
        <f>'Volúmenes DIstribuidos '!B3243</f>
        <v>45937</v>
      </c>
      <c r="B5404" s="10" t="str">
        <f>IF(OR('Volúmenes DIstribuidos '!C3243="Azúcar",'Volúmenes DIstribuidos '!C3243="azúcar"),"Azúcar o dulce",IF('Volúmenes DIstribuidos '!C3243="Aceite","Aceite o grasas",IF('Volúmenes DIstribuidos '!C3243="Avena","Otros almidones",'Volúmenes DIstribuidos '!C3243)))</f>
        <v>Aceite o grasas</v>
      </c>
      <c r="C5404" s="10" t="s">
        <v>29</v>
      </c>
      <c r="D5404" s="12">
        <f>'Volúmenes DIstribuidos '!D3243</f>
        <v>54.27</v>
      </c>
      <c r="E5404" s="12">
        <f>SUMIF('Parametros Inventario'!$A:$A,B5404,'Parametros Inventario'!$B:$B)+SUMIFS(D$2:D5404,B$2:B5404,B5404,C$2:C5404,"ENTRADA")-SUMIFS(D$2:D5404,B$2:B5404,B5404,C$2:C5404,"SALIDA")</f>
        <v>25822.701000000005</v>
      </c>
    </row>
    <row r="5405" spans="1:5" x14ac:dyDescent="0.3">
      <c r="A5405" s="9">
        <f>'Volúmenes DIstribuidos '!B3243</f>
        <v>45937</v>
      </c>
      <c r="B5405" s="10" t="str">
        <f>IF(OR('Volúmenes DIstribuidos '!C3244="Azúcar",'Volúmenes DIstribuidos '!C3244="azúcar"),"Azúcar o dulce",IF('Volúmenes DIstribuidos '!C3244="Aceite","Aceite o grasas",IF('Volúmenes DIstribuidos '!C3244="Avena","Otros almidones",'Volúmenes DIstribuidos '!C3244)))</f>
        <v>Azúcar o dulce</v>
      </c>
      <c r="C5405" s="10" t="s">
        <v>29</v>
      </c>
      <c r="D5405" s="12">
        <f>'Volúmenes DIstribuidos '!D3244</f>
        <v>25.71</v>
      </c>
      <c r="E5405" s="12">
        <f>SUMIF('Parametros Inventario'!$A:$A,B5405,'Parametros Inventario'!$B:$B)+SUMIFS(D$2:D5405,B$2:B5405,B5405,C$2:C5405,"ENTRADA")-SUMIFS(D$2:D5405,B$2:B5405,B5405,C$2:C5405,"SALIDA")</f>
        <v>24900.47099999999</v>
      </c>
    </row>
    <row r="5406" spans="1:5" x14ac:dyDescent="0.3">
      <c r="A5406" s="9">
        <f>'Volúmenes DIstribuidos '!B3243</f>
        <v>45937</v>
      </c>
      <c r="B5406" s="10" t="str">
        <f>IF(OR('Volúmenes DIstribuidos '!C3245="Azúcar",'Volúmenes DIstribuidos '!C3245="azúcar"),"Azúcar o dulce",IF('Volúmenes DIstribuidos '!C3245="Aceite","Aceite o grasas",IF('Volúmenes DIstribuidos '!C3245="Avena","Otros almidones",'Volúmenes DIstribuidos '!C3245)))</f>
        <v>Menestras</v>
      </c>
      <c r="C5406" s="10" t="s">
        <v>29</v>
      </c>
      <c r="D5406" s="12">
        <f>'Volúmenes DIstribuidos '!D3245</f>
        <v>13.061999999999999</v>
      </c>
      <c r="E5406" s="12">
        <f>SUMIF('Parametros Inventario'!$A:$A,B5406,'Parametros Inventario'!$B:$B)+SUMIFS(D$2:D5406,B$2:B5406,B5406,C$2:C5406,"ENTRADA")-SUMIFS(D$2:D5406,B$2:B5406,B5406,C$2:C5406,"SALIDA")</f>
        <v>25716.267999999982</v>
      </c>
    </row>
    <row r="5407" spans="1:5" x14ac:dyDescent="0.3">
      <c r="A5407" s="9">
        <f>'Volúmenes DIstribuidos '!B3243</f>
        <v>45937</v>
      </c>
      <c r="B5407" s="10" t="str">
        <f>IF(OR('Volúmenes DIstribuidos '!C3246="Azúcar",'Volúmenes DIstribuidos '!C3246="azúcar"),"Azúcar o dulce",IF('Volúmenes DIstribuidos '!C3246="Aceite","Aceite o grasas",IF('Volúmenes DIstribuidos '!C3246="Avena","Otros almidones",'Volúmenes DIstribuidos '!C3246)))</f>
        <v>Carnes blancas</v>
      </c>
      <c r="C5407" s="10" t="s">
        <v>29</v>
      </c>
      <c r="D5407" s="12">
        <f>'Volúmenes DIstribuidos '!D3246</f>
        <v>5.0999999999999996</v>
      </c>
      <c r="E5407" s="12">
        <f>SUMIF('Parametros Inventario'!$A:$A,B5407,'Parametros Inventario'!$B:$B)+SUMIFS(D$2:D5407,B$2:B5407,B5407,C$2:C5407,"ENTRADA")-SUMIFS(D$2:D5407,B$2:B5407,B5407,C$2:C5407,"SALIDA")</f>
        <v>26005.119999999988</v>
      </c>
    </row>
    <row r="5408" spans="1:5" x14ac:dyDescent="0.3">
      <c r="A5408" s="9">
        <f>'Volúmenes DIstribuidos '!B3243</f>
        <v>45937</v>
      </c>
      <c r="B5408" s="10" t="str">
        <f>IF(OR('Volúmenes DIstribuidos '!C3247="Azúcar",'Volúmenes DIstribuidos '!C3247="azúcar"),"Azúcar o dulce",IF('Volúmenes DIstribuidos '!C3247="Aceite","Aceite o grasas",IF('Volúmenes DIstribuidos '!C3247="Avena","Otros almidones",'Volúmenes DIstribuidos '!C3247)))</f>
        <v>Vegetales y hojas</v>
      </c>
      <c r="C5408" s="10" t="s">
        <v>29</v>
      </c>
      <c r="D5408" s="12">
        <f>'Volúmenes DIstribuidos '!D3247</f>
        <v>22.59</v>
      </c>
      <c r="E5408" s="12">
        <f>SUMIF('Parametros Inventario'!$A:$A,B5408,'Parametros Inventario'!$B:$B)+SUMIFS(D$2:D5408,B$2:B5408,B5408,C$2:C5408,"ENTRADA")-SUMIFS(D$2:D5408,B$2:B5408,B5408,C$2:C5408,"SALIDA")</f>
        <v>27455.674999999988</v>
      </c>
    </row>
    <row r="5409" spans="1:5" x14ac:dyDescent="0.3">
      <c r="A5409" s="9">
        <f>'Volúmenes DIstribuidos '!B3243</f>
        <v>45937</v>
      </c>
      <c r="B5409" s="10" t="str">
        <f>IF(OR('Volúmenes DIstribuidos '!C3248="Azúcar",'Volúmenes DIstribuidos '!C3248="azúcar"),"Azúcar o dulce",IF('Volúmenes DIstribuidos '!C3248="Aceite","Aceite o grasas",IF('Volúmenes DIstribuidos '!C3248="Avena","Otros almidones",'Volúmenes DIstribuidos '!C3248)))</f>
        <v>Azúcar o dulce</v>
      </c>
      <c r="C5409" s="10" t="s">
        <v>29</v>
      </c>
      <c r="D5409" s="12">
        <f>'Volúmenes DIstribuidos '!D3248</f>
        <v>47.21</v>
      </c>
      <c r="E5409" s="12">
        <f>SUMIF('Parametros Inventario'!$A:$A,B5409,'Parametros Inventario'!$B:$B)+SUMIFS(D$2:D5409,B$2:B5409,B5409,C$2:C5409,"ENTRADA")-SUMIFS(D$2:D5409,B$2:B5409,B5409,C$2:C5409,"SALIDA")</f>
        <v>24853.260999999991</v>
      </c>
    </row>
    <row r="5410" spans="1:5" x14ac:dyDescent="0.3">
      <c r="A5410" s="9">
        <v>45940</v>
      </c>
      <c r="B5410" s="10" t="s">
        <v>16</v>
      </c>
      <c r="C5410" s="10" t="s">
        <v>28</v>
      </c>
      <c r="D5410" s="12">
        <v>96.91</v>
      </c>
      <c r="E5410" s="12">
        <f>SUMIF('Parametros Inventario'!$A:$A,B5410,'Parametros Inventario'!$B:$B)+SUMIFS(D$2:D5410,B$2:B5410,B5410,C$2:C5410,"ENTRADA")-SUMIFS(D$2:D5410,B$2:B5410,B5410,C$2:C5410,"SALIDA")</f>
        <v>26102.029999999992</v>
      </c>
    </row>
    <row r="5411" spans="1:5" x14ac:dyDescent="0.3">
      <c r="A5411" s="9">
        <v>45940</v>
      </c>
      <c r="B5411" s="10" t="s">
        <v>17</v>
      </c>
      <c r="C5411" s="10" t="s">
        <v>28</v>
      </c>
      <c r="D5411" s="12">
        <v>224.11</v>
      </c>
      <c r="E5411" s="12">
        <f>SUMIF('Parametros Inventario'!$A:$A,B5411,'Parametros Inventario'!$B:$B)+SUMIFS(D$2:D5411,B$2:B5411,B5411,C$2:C5411,"ENTRADA")-SUMIFS(D$2:D5411,B$2:B5411,B5411,C$2:C5411,"SALIDA")</f>
        <v>26010.308000000001</v>
      </c>
    </row>
    <row r="5412" spans="1:5" x14ac:dyDescent="0.3">
      <c r="A5412" s="9">
        <v>45940</v>
      </c>
      <c r="B5412" s="10" t="s">
        <v>18</v>
      </c>
      <c r="C5412" s="10" t="s">
        <v>28</v>
      </c>
      <c r="D5412" s="12">
        <v>243.6</v>
      </c>
      <c r="E5412" s="12">
        <f>SUMIF('Parametros Inventario'!$A:$A,B5412,'Parametros Inventario'!$B:$B)+SUMIFS(D$2:D5412,B$2:B5412,B5412,C$2:C5412,"ENTRADA")-SUMIFS(D$2:D5412,B$2:B5412,B5412,C$2:C5412,"SALIDA")</f>
        <v>25960.390999999974</v>
      </c>
    </row>
    <row r="5413" spans="1:5" x14ac:dyDescent="0.3">
      <c r="A5413" s="9">
        <v>45940</v>
      </c>
      <c r="B5413" s="10" t="s">
        <v>10</v>
      </c>
      <c r="C5413" s="10" t="s">
        <v>28</v>
      </c>
      <c r="D5413" s="12">
        <v>200.24</v>
      </c>
      <c r="E5413" s="12">
        <f>SUMIF('Parametros Inventario'!$A:$A,B5413,'Parametros Inventario'!$B:$B)+SUMIFS(D$2:D5413,B$2:B5413,B5413,C$2:C5413,"ENTRADA")-SUMIFS(D$2:D5413,B$2:B5413,B5413,C$2:C5413,"SALIDA")</f>
        <v>27655.914999999986</v>
      </c>
    </row>
    <row r="5414" spans="1:5" x14ac:dyDescent="0.3">
      <c r="A5414" s="9">
        <v>45940</v>
      </c>
      <c r="B5414" s="10" t="s">
        <v>8</v>
      </c>
      <c r="C5414" s="10" t="s">
        <v>28</v>
      </c>
      <c r="D5414" s="12">
        <v>104.03</v>
      </c>
      <c r="E5414" s="12">
        <f>SUMIF('Parametros Inventario'!$A:$A,B5414,'Parametros Inventario'!$B:$B)+SUMIFS(D$2:D5414,B$2:B5414,B5414,C$2:C5414,"ENTRADA")-SUMIFS(D$2:D5414,B$2:B5414,B5414,C$2:C5414,"SALIDA")</f>
        <v>25926.731000000003</v>
      </c>
    </row>
    <row r="5415" spans="1:5" x14ac:dyDescent="0.3">
      <c r="A5415" s="9">
        <v>45940</v>
      </c>
      <c r="B5415" s="10" t="s">
        <v>13</v>
      </c>
      <c r="C5415" s="10" t="s">
        <v>28</v>
      </c>
      <c r="D5415" s="12">
        <v>102.44</v>
      </c>
      <c r="E5415" s="12">
        <f>SUMIF('Parametros Inventario'!$A:$A,B5415,'Parametros Inventario'!$B:$B)+SUMIFS(D$2:D5415,B$2:B5415,B5415,C$2:C5415,"ENTRADA")-SUMIFS(D$2:D5415,B$2:B5415,B5415,C$2:C5415,"SALIDA")</f>
        <v>24955.700999999986</v>
      </c>
    </row>
    <row r="5416" spans="1:5" x14ac:dyDescent="0.3">
      <c r="A5416" s="9">
        <v>45940</v>
      </c>
      <c r="B5416" s="10" t="s">
        <v>15</v>
      </c>
      <c r="C5416" s="10" t="s">
        <v>28</v>
      </c>
      <c r="D5416" s="12">
        <v>97.79</v>
      </c>
      <c r="E5416" s="12">
        <f>SUMIF('Parametros Inventario'!$A:$A,B5416,'Parametros Inventario'!$B:$B)+SUMIFS(D$2:D5416,B$2:B5416,B5416,C$2:C5416,"ENTRADA")-SUMIFS(D$2:D5416,B$2:B5416,B5416,C$2:C5416,"SALIDA")</f>
        <v>28975.042000000001</v>
      </c>
    </row>
    <row r="5417" spans="1:5" x14ac:dyDescent="0.3">
      <c r="A5417" s="9">
        <v>45940</v>
      </c>
      <c r="B5417" s="10" t="s">
        <v>11</v>
      </c>
      <c r="C5417" s="10" t="s">
        <v>28</v>
      </c>
      <c r="D5417" s="12">
        <v>219.91</v>
      </c>
      <c r="E5417" s="12">
        <f>SUMIF('Parametros Inventario'!$A:$A,B5417,'Parametros Inventario'!$B:$B)+SUMIFS(D$2:D5417,B$2:B5417,B5417,C$2:C5417,"ENTRADA")-SUMIFS(D$2:D5417,B$2:B5417,B5417,C$2:C5417,"SALIDA")</f>
        <v>29644.573</v>
      </c>
    </row>
    <row r="5418" spans="1:5" x14ac:dyDescent="0.3">
      <c r="A5418" s="9">
        <v>45940</v>
      </c>
      <c r="B5418" s="10" t="s">
        <v>9</v>
      </c>
      <c r="C5418" s="10" t="s">
        <v>28</v>
      </c>
      <c r="D5418" s="12">
        <v>288.77999999999997</v>
      </c>
      <c r="E5418" s="12">
        <f>SUMIF('Parametros Inventario'!$A:$A,B5418,'Parametros Inventario'!$B:$B)+SUMIFS(D$2:D5418,B$2:B5418,B5418,C$2:C5418,"ENTRADA")-SUMIFS(D$2:D5418,B$2:B5418,B5418,C$2:C5418,"SALIDA")</f>
        <v>25109.512999999999</v>
      </c>
    </row>
    <row r="5419" spans="1:5" x14ac:dyDescent="0.3">
      <c r="A5419" s="9">
        <v>45940</v>
      </c>
      <c r="B5419" s="10" t="s">
        <v>14</v>
      </c>
      <c r="C5419" s="10" t="s">
        <v>28</v>
      </c>
      <c r="D5419" s="12">
        <v>142.56</v>
      </c>
      <c r="E5419" s="12">
        <f>SUMIF('Parametros Inventario'!$A:$A,B5419,'Parametros Inventario'!$B:$B)+SUMIFS(D$2:D5419,B$2:B5419,B5419,C$2:C5419,"ENTRADA")-SUMIFS(D$2:D5419,B$2:B5419,B5419,C$2:C5419,"SALIDA")</f>
        <v>25858.82799999998</v>
      </c>
    </row>
    <row r="5420" spans="1:5" x14ac:dyDescent="0.3">
      <c r="A5420" s="9">
        <f>'Volúmenes DIstribuidos '!B3249</f>
        <v>45940</v>
      </c>
      <c r="B5420" s="10" t="str">
        <f>IF(OR('Volúmenes DIstribuidos '!C3249="Azúcar",'Volúmenes DIstribuidos '!C3249="azúcar"),"Azúcar o dulce",IF('Volúmenes DIstribuidos '!C3249="Aceite","Aceite o grasas",IF('Volúmenes DIstribuidos '!C3249="Avena","Otros almidones",'Volúmenes DIstribuidos '!C3249)))</f>
        <v>Fideo</v>
      </c>
      <c r="C5420" s="10" t="s">
        <v>29</v>
      </c>
      <c r="D5420" s="12">
        <f>'Volúmenes DIstribuidos '!D3249</f>
        <v>16.353000000000002</v>
      </c>
      <c r="E5420" s="12">
        <f>SUMIF('Parametros Inventario'!$A:$A,B5420,'Parametros Inventario'!$B:$B)+SUMIFS(D$2:D5420,B$2:B5420,B5420,C$2:C5420,"ENTRADA")-SUMIFS(D$2:D5420,B$2:B5420,B5420,C$2:C5420,"SALIDA")</f>
        <v>29628.22</v>
      </c>
    </row>
    <row r="5421" spans="1:5" x14ac:dyDescent="0.3">
      <c r="A5421" s="9">
        <f>'Volúmenes DIstribuidos '!B3249</f>
        <v>45940</v>
      </c>
      <c r="B5421" s="10" t="str">
        <f>IF(OR('Volúmenes DIstribuidos '!C3250="Azúcar",'Volúmenes DIstribuidos '!C3250="azúcar"),"Azúcar o dulce",IF('Volúmenes DIstribuidos '!C3250="Aceite","Aceite o grasas",IF('Volúmenes DIstribuidos '!C3250="Avena","Otros almidones",'Volúmenes DIstribuidos '!C3250)))</f>
        <v>Lácteos</v>
      </c>
      <c r="C5421" s="10" t="s">
        <v>29</v>
      </c>
      <c r="D5421" s="12">
        <f>'Volúmenes DIstribuidos '!D3250</f>
        <v>11.01</v>
      </c>
      <c r="E5421" s="12">
        <f>SUMIF('Parametros Inventario'!$A:$A,B5421,'Parametros Inventario'!$B:$B)+SUMIFS(D$2:D5421,B$2:B5421,B5421,C$2:C5421,"ENTRADA")-SUMIFS(D$2:D5421,B$2:B5421,B5421,C$2:C5421,"SALIDA")</f>
        <v>25999.298000000003</v>
      </c>
    </row>
    <row r="5422" spans="1:5" x14ac:dyDescent="0.3">
      <c r="A5422" s="9">
        <f>'Volúmenes DIstribuidos '!B3249</f>
        <v>45940</v>
      </c>
      <c r="B5422" s="10" t="str">
        <f>IF(OR('Volúmenes DIstribuidos '!C3251="Azúcar",'Volúmenes DIstribuidos '!C3251="azúcar"),"Azúcar o dulce",IF('Volúmenes DIstribuidos '!C3251="Aceite","Aceite o grasas",IF('Volúmenes DIstribuidos '!C3251="Avena","Otros almidones",'Volúmenes DIstribuidos '!C3251)))</f>
        <v>Vegetales y hojas</v>
      </c>
      <c r="C5422" s="10" t="s">
        <v>29</v>
      </c>
      <c r="D5422" s="12">
        <f>'Volúmenes DIstribuidos '!D3251</f>
        <v>13.79</v>
      </c>
      <c r="E5422" s="12">
        <f>SUMIF('Parametros Inventario'!$A:$A,B5422,'Parametros Inventario'!$B:$B)+SUMIFS(D$2:D5422,B$2:B5422,B5422,C$2:C5422,"ENTRADA")-SUMIFS(D$2:D5422,B$2:B5422,B5422,C$2:C5422,"SALIDA")</f>
        <v>27642.124999999985</v>
      </c>
    </row>
    <row r="5423" spans="1:5" x14ac:dyDescent="0.3">
      <c r="A5423" s="9">
        <f>'Volúmenes DIstribuidos '!B3249</f>
        <v>45940</v>
      </c>
      <c r="B5423" s="10" t="str">
        <f>IF(OR('Volúmenes DIstribuidos '!C3252="Azúcar",'Volúmenes DIstribuidos '!C3252="azúcar"),"Azúcar o dulce",IF('Volúmenes DIstribuidos '!C3252="Aceite","Aceite o grasas",IF('Volúmenes DIstribuidos '!C3252="Avena","Otros almidones",'Volúmenes DIstribuidos '!C3252)))</f>
        <v>Carnes blancas</v>
      </c>
      <c r="C5423" s="10" t="s">
        <v>29</v>
      </c>
      <c r="D5423" s="12">
        <f>'Volúmenes DIstribuidos '!D3252</f>
        <v>45.34</v>
      </c>
      <c r="E5423" s="12">
        <f>SUMIF('Parametros Inventario'!$A:$A,B5423,'Parametros Inventario'!$B:$B)+SUMIFS(D$2:D5423,B$2:B5423,B5423,C$2:C5423,"ENTRADA")-SUMIFS(D$2:D5423,B$2:B5423,B5423,C$2:C5423,"SALIDA")</f>
        <v>26056.689999999991</v>
      </c>
    </row>
    <row r="5424" spans="1:5" x14ac:dyDescent="0.3">
      <c r="A5424" s="9">
        <f>'Volúmenes DIstribuidos '!B3249</f>
        <v>45940</v>
      </c>
      <c r="B5424" s="10" t="str">
        <f>IF(OR('Volúmenes DIstribuidos '!C3253="Azúcar",'Volúmenes DIstribuidos '!C3253="azúcar"),"Azúcar o dulce",IF('Volúmenes DIstribuidos '!C3253="Aceite","Aceite o grasas",IF('Volúmenes DIstribuidos '!C3253="Avena","Otros almidones",'Volúmenes DIstribuidos '!C3253)))</f>
        <v>Fideo</v>
      </c>
      <c r="C5424" s="10" t="s">
        <v>29</v>
      </c>
      <c r="D5424" s="12">
        <f>'Volúmenes DIstribuidos '!D3253</f>
        <v>27.11</v>
      </c>
      <c r="E5424" s="12">
        <f>SUMIF('Parametros Inventario'!$A:$A,B5424,'Parametros Inventario'!$B:$B)+SUMIFS(D$2:D5424,B$2:B5424,B5424,C$2:C5424,"ENTRADA")-SUMIFS(D$2:D5424,B$2:B5424,B5424,C$2:C5424,"SALIDA")</f>
        <v>29601.11</v>
      </c>
    </row>
    <row r="5425" spans="1:5" x14ac:dyDescent="0.3">
      <c r="A5425" s="9">
        <f>'Volúmenes DIstribuidos '!B3249</f>
        <v>45940</v>
      </c>
      <c r="B5425" s="10" t="str">
        <f>IF(OR('Volúmenes DIstribuidos '!C3254="Azúcar",'Volúmenes DIstribuidos '!C3254="azúcar"),"Azúcar o dulce",IF('Volúmenes DIstribuidos '!C3254="Aceite","Aceite o grasas",IF('Volúmenes DIstribuidos '!C3254="Avena","Otros almidones",'Volúmenes DIstribuidos '!C3254)))</f>
        <v>Salsas</v>
      </c>
      <c r="C5425" s="10" t="s">
        <v>29</v>
      </c>
      <c r="D5425" s="12">
        <f>'Volúmenes DIstribuidos '!D3254</f>
        <v>16.216999999999999</v>
      </c>
      <c r="E5425" s="12">
        <f>SUMIF('Parametros Inventario'!$A:$A,B5425,'Parametros Inventario'!$B:$B)+SUMIFS(D$2:D5425,B$2:B5425,B5425,C$2:C5425,"ENTRADA")-SUMIFS(D$2:D5425,B$2:B5425,B5425,C$2:C5425,"SALIDA")</f>
        <v>25944.173999999977</v>
      </c>
    </row>
    <row r="5426" spans="1:5" x14ac:dyDescent="0.3">
      <c r="A5426" s="9">
        <f>'Volúmenes DIstribuidos '!B3255</f>
        <v>45944</v>
      </c>
      <c r="B5426" s="10" t="str">
        <f>IF(OR('Volúmenes DIstribuidos '!C3255="Azúcar",'Volúmenes DIstribuidos '!C3255="azúcar"),"Azúcar o dulce",IF('Volúmenes DIstribuidos '!C3255="Aceite","Aceite o grasas",IF('Volúmenes DIstribuidos '!C3255="Avena","Otros almidones",'Volúmenes DIstribuidos '!C3255)))</f>
        <v>Menestras</v>
      </c>
      <c r="C5426" s="10" t="s">
        <v>29</v>
      </c>
      <c r="D5426" s="12">
        <f>'Volúmenes DIstribuidos '!D3255</f>
        <v>9.8800000000000008</v>
      </c>
      <c r="E5426" s="12">
        <f>SUMIF('Parametros Inventario'!$A:$A,B5426,'Parametros Inventario'!$B:$B)+SUMIFS(D$2:D5426,B$2:B5426,B5426,C$2:C5426,"ENTRADA")-SUMIFS(D$2:D5426,B$2:B5426,B5426,C$2:C5426,"SALIDA")</f>
        <v>25848.947999999982</v>
      </c>
    </row>
    <row r="5427" spans="1:5" x14ac:dyDescent="0.3">
      <c r="A5427" s="9">
        <f>'Volúmenes DIstribuidos '!B3255</f>
        <v>45944</v>
      </c>
      <c r="B5427" s="10" t="str">
        <f>IF(OR('Volúmenes DIstribuidos '!C3256="Azúcar",'Volúmenes DIstribuidos '!C3256="azúcar"),"Azúcar o dulce",IF('Volúmenes DIstribuidos '!C3256="Aceite","Aceite o grasas",IF('Volúmenes DIstribuidos '!C3256="Avena","Otros almidones",'Volúmenes DIstribuidos '!C3256)))</f>
        <v>Carnes rojas</v>
      </c>
      <c r="C5427" s="10" t="s">
        <v>29</v>
      </c>
      <c r="D5427" s="12">
        <f>'Volúmenes DIstribuidos '!D3256</f>
        <v>4.1500000000000004</v>
      </c>
      <c r="E5427" s="12">
        <f>SUMIF('Parametros Inventario'!$A:$A,B5427,'Parametros Inventario'!$B:$B)+SUMIFS(D$2:D5427,B$2:B5427,B5427,C$2:C5427,"ENTRADA")-SUMIFS(D$2:D5427,B$2:B5427,B5427,C$2:C5427,"SALIDA")</f>
        <v>25474.11900000001</v>
      </c>
    </row>
    <row r="5428" spans="1:5" x14ac:dyDescent="0.3">
      <c r="A5428" s="9">
        <f>'Volúmenes DIstribuidos '!B3255</f>
        <v>45944</v>
      </c>
      <c r="B5428" s="10" t="str">
        <f>IF(OR('Volúmenes DIstribuidos '!C3257="Azúcar",'Volúmenes DIstribuidos '!C3257="azúcar"),"Azúcar o dulce",IF('Volúmenes DIstribuidos '!C3257="Aceite","Aceite o grasas",IF('Volúmenes DIstribuidos '!C3257="Avena","Otros almidones",'Volúmenes DIstribuidos '!C3257)))</f>
        <v>Aceite o grasas</v>
      </c>
      <c r="C5428" s="10" t="s">
        <v>29</v>
      </c>
      <c r="D5428" s="12">
        <f>'Volúmenes DIstribuidos '!D3257</f>
        <v>9.8699999999999992</v>
      </c>
      <c r="E5428" s="12">
        <f>SUMIF('Parametros Inventario'!$A:$A,B5428,'Parametros Inventario'!$B:$B)+SUMIFS(D$2:D5428,B$2:B5428,B5428,C$2:C5428,"ENTRADA")-SUMIFS(D$2:D5428,B$2:B5428,B5428,C$2:C5428,"SALIDA")</f>
        <v>25916.861000000004</v>
      </c>
    </row>
    <row r="5429" spans="1:5" x14ac:dyDescent="0.3">
      <c r="A5429" s="9">
        <f>'Volúmenes DIstribuidos '!B3255</f>
        <v>45944</v>
      </c>
      <c r="B5429" s="10" t="str">
        <f>IF(OR('Volúmenes DIstribuidos '!C3258="Azúcar",'Volúmenes DIstribuidos '!C3258="azúcar"),"Azúcar o dulce",IF('Volúmenes DIstribuidos '!C3258="Aceite","Aceite o grasas",IF('Volúmenes DIstribuidos '!C3258="Avena","Otros almidones",'Volúmenes DIstribuidos '!C3258)))</f>
        <v>Vegetales y hojas</v>
      </c>
      <c r="C5429" s="10" t="s">
        <v>29</v>
      </c>
      <c r="D5429" s="12">
        <f>'Volúmenes DIstribuidos '!D3258</f>
        <v>6.18</v>
      </c>
      <c r="E5429" s="12">
        <f>SUMIF('Parametros Inventario'!$A:$A,B5429,'Parametros Inventario'!$B:$B)+SUMIFS(D$2:D5429,B$2:B5429,B5429,C$2:C5429,"ENTRADA")-SUMIFS(D$2:D5429,B$2:B5429,B5429,C$2:C5429,"SALIDA")</f>
        <v>27635.944999999985</v>
      </c>
    </row>
    <row r="5430" spans="1:5" x14ac:dyDescent="0.3">
      <c r="A5430" s="9">
        <f>'Volúmenes DIstribuidos '!B3255</f>
        <v>45944</v>
      </c>
      <c r="B5430" s="10" t="str">
        <f>IF(OR('Volúmenes DIstribuidos '!C3259="Azúcar",'Volúmenes DIstribuidos '!C3259="azúcar"),"Azúcar o dulce",IF('Volúmenes DIstribuidos '!C3259="Aceite","Aceite o grasas",IF('Volúmenes DIstribuidos '!C3259="Avena","Otros almidones",'Volúmenes DIstribuidos '!C3259)))</f>
        <v>Salsas</v>
      </c>
      <c r="C5430" s="10" t="s">
        <v>29</v>
      </c>
      <c r="D5430" s="12">
        <f>'Volúmenes DIstribuidos '!D3259</f>
        <v>48</v>
      </c>
      <c r="E5430" s="12">
        <f>SUMIF('Parametros Inventario'!$A:$A,B5430,'Parametros Inventario'!$B:$B)+SUMIFS(D$2:D5430,B$2:B5430,B5430,C$2:C5430,"ENTRADA")-SUMIFS(D$2:D5430,B$2:B5430,B5430,C$2:C5430,"SALIDA")</f>
        <v>25896.173999999977</v>
      </c>
    </row>
    <row r="5431" spans="1:5" x14ac:dyDescent="0.3">
      <c r="A5431" s="9">
        <f>'Volúmenes DIstribuidos '!B3255</f>
        <v>45944</v>
      </c>
      <c r="B5431" s="10" t="str">
        <f>IF(OR('Volúmenes DIstribuidos '!C3260="Azúcar",'Volúmenes DIstribuidos '!C3260="azúcar"),"Azúcar o dulce",IF('Volúmenes DIstribuidos '!C3260="Aceite","Aceite o grasas",IF('Volúmenes DIstribuidos '!C3260="Avena","Otros almidones",'Volúmenes DIstribuidos '!C3260)))</f>
        <v>Fideo</v>
      </c>
      <c r="C5431" s="10" t="s">
        <v>29</v>
      </c>
      <c r="D5431" s="12">
        <f>'Volúmenes DIstribuidos '!D3260</f>
        <v>8.8979999999999997</v>
      </c>
      <c r="E5431" s="12">
        <f>SUMIF('Parametros Inventario'!$A:$A,B5431,'Parametros Inventario'!$B:$B)+SUMIFS(D$2:D5431,B$2:B5431,B5431,C$2:C5431,"ENTRADA")-SUMIFS(D$2:D5431,B$2:B5431,B5431,C$2:C5431,"SALIDA")</f>
        <v>29592.212</v>
      </c>
    </row>
    <row r="5432" spans="1:5" x14ac:dyDescent="0.3">
      <c r="A5432" s="9">
        <v>45947</v>
      </c>
      <c r="B5432" s="10" t="s">
        <v>12</v>
      </c>
      <c r="C5432" s="10" t="s">
        <v>28</v>
      </c>
      <c r="D5432" s="12">
        <v>140.94999999999999</v>
      </c>
      <c r="E5432" s="12">
        <f>SUMIF('Parametros Inventario'!$A:$A,B5432,'Parametros Inventario'!$B:$B)+SUMIFS(D$2:D5432,B$2:B5432,B5432,C$2:C5432,"ENTRADA")-SUMIFS(D$2:D5432,B$2:B5432,B5432,C$2:C5432,"SALIDA")</f>
        <v>25615.069000000007</v>
      </c>
    </row>
    <row r="5433" spans="1:5" x14ac:dyDescent="0.3">
      <c r="A5433" s="9">
        <v>45947</v>
      </c>
      <c r="B5433" s="10" t="s">
        <v>16</v>
      </c>
      <c r="C5433" s="10" t="s">
        <v>28</v>
      </c>
      <c r="D5433" s="12">
        <v>125.49</v>
      </c>
      <c r="E5433" s="12">
        <f>SUMIF('Parametros Inventario'!$A:$A,B5433,'Parametros Inventario'!$B:$B)+SUMIFS(D$2:D5433,B$2:B5433,B5433,C$2:C5433,"ENTRADA")-SUMIFS(D$2:D5433,B$2:B5433,B5433,C$2:C5433,"SALIDA")</f>
        <v>26182.179999999989</v>
      </c>
    </row>
    <row r="5434" spans="1:5" x14ac:dyDescent="0.3">
      <c r="A5434" s="9">
        <v>45947</v>
      </c>
      <c r="B5434" s="10" t="s">
        <v>17</v>
      </c>
      <c r="C5434" s="10" t="s">
        <v>28</v>
      </c>
      <c r="D5434" s="12">
        <v>126.74</v>
      </c>
      <c r="E5434" s="12">
        <f>SUMIF('Parametros Inventario'!$A:$A,B5434,'Parametros Inventario'!$B:$B)+SUMIFS(D$2:D5434,B$2:B5434,B5434,C$2:C5434,"ENTRADA")-SUMIFS(D$2:D5434,B$2:B5434,B5434,C$2:C5434,"SALIDA")</f>
        <v>26126.038</v>
      </c>
    </row>
    <row r="5435" spans="1:5" x14ac:dyDescent="0.3">
      <c r="A5435" s="9">
        <v>45947</v>
      </c>
      <c r="B5435" s="10" t="s">
        <v>18</v>
      </c>
      <c r="C5435" s="10" t="s">
        <v>28</v>
      </c>
      <c r="D5435" s="12">
        <v>254.76</v>
      </c>
      <c r="E5435" s="12">
        <f>SUMIF('Parametros Inventario'!$A:$A,B5435,'Parametros Inventario'!$B:$B)+SUMIFS(D$2:D5435,B$2:B5435,B5435,C$2:C5435,"ENTRADA")-SUMIFS(D$2:D5435,B$2:B5435,B5435,C$2:C5435,"SALIDA")</f>
        <v>26150.933999999979</v>
      </c>
    </row>
    <row r="5436" spans="1:5" x14ac:dyDescent="0.3">
      <c r="A5436" s="9">
        <v>45947</v>
      </c>
      <c r="B5436" s="10" t="s">
        <v>10</v>
      </c>
      <c r="C5436" s="10" t="s">
        <v>28</v>
      </c>
      <c r="D5436" s="12">
        <v>81.19</v>
      </c>
      <c r="E5436" s="12">
        <f>SUMIF('Parametros Inventario'!$A:$A,B5436,'Parametros Inventario'!$B:$B)+SUMIFS(D$2:D5436,B$2:B5436,B5436,C$2:C5436,"ENTRADA")-SUMIFS(D$2:D5436,B$2:B5436,B5436,C$2:C5436,"SALIDA")</f>
        <v>27717.134999999987</v>
      </c>
    </row>
    <row r="5437" spans="1:5" x14ac:dyDescent="0.3">
      <c r="A5437" s="9">
        <v>45947</v>
      </c>
      <c r="B5437" s="10" t="s">
        <v>8</v>
      </c>
      <c r="C5437" s="10" t="s">
        <v>28</v>
      </c>
      <c r="D5437" s="12">
        <v>174.78</v>
      </c>
      <c r="E5437" s="12">
        <f>SUMIF('Parametros Inventario'!$A:$A,B5437,'Parametros Inventario'!$B:$B)+SUMIFS(D$2:D5437,B$2:B5437,B5437,C$2:C5437,"ENTRADA")-SUMIFS(D$2:D5437,B$2:B5437,B5437,C$2:C5437,"SALIDA")</f>
        <v>26091.641000000003</v>
      </c>
    </row>
    <row r="5438" spans="1:5" x14ac:dyDescent="0.3">
      <c r="A5438" s="9">
        <f>'Volúmenes DIstribuidos '!B3261</f>
        <v>45947</v>
      </c>
      <c r="B5438" s="10" t="str">
        <f>IF(OR('Volúmenes DIstribuidos '!C3261="Azúcar",'Volúmenes DIstribuidos '!C3261="azúcar"),"Azúcar o dulce",IF('Volúmenes DIstribuidos '!C3261="Aceite","Aceite o grasas",IF('Volúmenes DIstribuidos '!C3261="Avena","Otros almidones",'Volúmenes DIstribuidos '!C3261)))</f>
        <v>Salsas</v>
      </c>
      <c r="C5438" s="10" t="s">
        <v>29</v>
      </c>
      <c r="D5438" s="12">
        <f>'Volúmenes DIstribuidos '!D3261</f>
        <v>14.58</v>
      </c>
      <c r="E5438" s="12">
        <f>SUMIF('Parametros Inventario'!$A:$A,B5438,'Parametros Inventario'!$B:$B)+SUMIFS(D$2:D5438,B$2:B5438,B5438,C$2:C5438,"ENTRADA")-SUMIFS(D$2:D5438,B$2:B5438,B5438,C$2:C5438,"SALIDA")</f>
        <v>26136.353999999978</v>
      </c>
    </row>
    <row r="5439" spans="1:5" x14ac:dyDescent="0.3">
      <c r="A5439" s="9">
        <f>'Volúmenes DIstribuidos '!B3261</f>
        <v>45947</v>
      </c>
      <c r="B5439" s="10" t="str">
        <f>IF(OR('Volúmenes DIstribuidos '!C3262="Azúcar",'Volúmenes DIstribuidos '!C3262="azúcar"),"Azúcar o dulce",IF('Volúmenes DIstribuidos '!C3262="Aceite","Aceite o grasas",IF('Volúmenes DIstribuidos '!C3262="Avena","Otros almidones",'Volúmenes DIstribuidos '!C3262)))</f>
        <v>Azúcar o dulce</v>
      </c>
      <c r="C5439" s="10" t="s">
        <v>29</v>
      </c>
      <c r="D5439" s="12">
        <f>'Volúmenes DIstribuidos '!D3262</f>
        <v>14.4</v>
      </c>
      <c r="E5439" s="12">
        <f>SUMIF('Parametros Inventario'!$A:$A,B5439,'Parametros Inventario'!$B:$B)+SUMIFS(D$2:D5439,B$2:B5439,B5439,C$2:C5439,"ENTRADA")-SUMIFS(D$2:D5439,B$2:B5439,B5439,C$2:C5439,"SALIDA")</f>
        <v>24941.300999999985</v>
      </c>
    </row>
    <row r="5440" spans="1:5" x14ac:dyDescent="0.3">
      <c r="A5440" s="9">
        <f>'Volúmenes DIstribuidos '!B3261</f>
        <v>45947</v>
      </c>
      <c r="B5440" s="10" t="str">
        <f>IF(OR('Volúmenes DIstribuidos '!C3263="Azúcar",'Volúmenes DIstribuidos '!C3263="azúcar"),"Azúcar o dulce",IF('Volúmenes DIstribuidos '!C3263="Aceite","Aceite o grasas",IF('Volúmenes DIstribuidos '!C3263="Avena","Otros almidones",'Volúmenes DIstribuidos '!C3263)))</f>
        <v>Panadería</v>
      </c>
      <c r="C5440" s="10" t="s">
        <v>29</v>
      </c>
      <c r="D5440" s="12">
        <f>'Volúmenes DIstribuidos '!D3263</f>
        <v>16.54</v>
      </c>
      <c r="E5440" s="12">
        <f>SUMIF('Parametros Inventario'!$A:$A,B5440,'Parametros Inventario'!$B:$B)+SUMIFS(D$2:D5440,B$2:B5440,B5440,C$2:C5440,"ENTRADA")-SUMIFS(D$2:D5440,B$2:B5440,B5440,C$2:C5440,"SALIDA")</f>
        <v>25092.972999999998</v>
      </c>
    </row>
    <row r="5441" spans="1:5" x14ac:dyDescent="0.3">
      <c r="A5441" s="9">
        <f>'Volúmenes DIstribuidos '!B3261</f>
        <v>45947</v>
      </c>
      <c r="B5441" s="10" t="str">
        <f>IF(OR('Volúmenes DIstribuidos '!C3264="Azúcar",'Volúmenes DIstribuidos '!C3264="azúcar"),"Azúcar o dulce",IF('Volúmenes DIstribuidos '!C3264="Aceite","Aceite o grasas",IF('Volúmenes DIstribuidos '!C3264="Avena","Otros almidones",'Volúmenes DIstribuidos '!C3264)))</f>
        <v>Fideo</v>
      </c>
      <c r="C5441" s="10" t="s">
        <v>29</v>
      </c>
      <c r="D5441" s="12">
        <f>'Volúmenes DIstribuidos '!D3264</f>
        <v>7.17</v>
      </c>
      <c r="E5441" s="12">
        <f>SUMIF('Parametros Inventario'!$A:$A,B5441,'Parametros Inventario'!$B:$B)+SUMIFS(D$2:D5441,B$2:B5441,B5441,C$2:C5441,"ENTRADA")-SUMIFS(D$2:D5441,B$2:B5441,B5441,C$2:C5441,"SALIDA")</f>
        <v>29585.042000000001</v>
      </c>
    </row>
    <row r="5442" spans="1:5" x14ac:dyDescent="0.3">
      <c r="A5442" s="9">
        <f>'Volúmenes DIstribuidos '!B3261</f>
        <v>45947</v>
      </c>
      <c r="B5442" s="10" t="str">
        <f>IF(OR('Volúmenes DIstribuidos '!C3265="Azúcar",'Volúmenes DIstribuidos '!C3265="azúcar"),"Azúcar o dulce",IF('Volúmenes DIstribuidos '!C3265="Aceite","Aceite o grasas",IF('Volúmenes DIstribuidos '!C3265="Avena","Otros almidones",'Volúmenes DIstribuidos '!C3265)))</f>
        <v>Aceite o grasas</v>
      </c>
      <c r="C5442" s="10" t="s">
        <v>29</v>
      </c>
      <c r="D5442" s="12">
        <f>'Volúmenes DIstribuidos '!D3265</f>
        <v>9.82</v>
      </c>
      <c r="E5442" s="12">
        <f>SUMIF('Parametros Inventario'!$A:$A,B5442,'Parametros Inventario'!$B:$B)+SUMIFS(D$2:D5442,B$2:B5442,B5442,C$2:C5442,"ENTRADA")-SUMIFS(D$2:D5442,B$2:B5442,B5442,C$2:C5442,"SALIDA")</f>
        <v>26081.821000000004</v>
      </c>
    </row>
    <row r="5443" spans="1:5" x14ac:dyDescent="0.3">
      <c r="A5443" s="9">
        <f>'Volúmenes DIstribuidos '!B3261</f>
        <v>45947</v>
      </c>
      <c r="B5443" s="10" t="str">
        <f>IF(OR('Volúmenes DIstribuidos '!C3266="Azúcar",'Volúmenes DIstribuidos '!C3266="azúcar"),"Azúcar o dulce",IF('Volúmenes DIstribuidos '!C3266="Aceite","Aceite o grasas",IF('Volúmenes DIstribuidos '!C3266="Avena","Otros almidones",'Volúmenes DIstribuidos '!C3266)))</f>
        <v>Otros almidones</v>
      </c>
      <c r="C5443" s="10" t="s">
        <v>29</v>
      </c>
      <c r="D5443" s="12">
        <f>'Volúmenes DIstribuidos '!D3266</f>
        <v>12.456</v>
      </c>
      <c r="E5443" s="12">
        <f>SUMIF('Parametros Inventario'!$A:$A,B5443,'Parametros Inventario'!$B:$B)+SUMIFS(D$2:D5443,B$2:B5443,B5443,C$2:C5443,"ENTRADA")-SUMIFS(D$2:D5443,B$2:B5443,B5443,C$2:C5443,"SALIDA")</f>
        <v>28962.586000000003</v>
      </c>
    </row>
    <row r="5444" spans="1:5" x14ac:dyDescent="0.3">
      <c r="A5444" s="9">
        <v>45951</v>
      </c>
      <c r="B5444" s="10" t="s">
        <v>13</v>
      </c>
      <c r="C5444" s="10" t="s">
        <v>28</v>
      </c>
      <c r="D5444" s="12">
        <v>299.76</v>
      </c>
      <c r="E5444" s="12">
        <f>SUMIF('Parametros Inventario'!$A:$A,B5444,'Parametros Inventario'!$B:$B)+SUMIFS(D$2:D5444,B$2:B5444,B5444,C$2:C5444,"ENTRADA")-SUMIFS(D$2:D5444,B$2:B5444,B5444,C$2:C5444,"SALIDA")</f>
        <v>25241.060999999987</v>
      </c>
    </row>
    <row r="5445" spans="1:5" x14ac:dyDescent="0.3">
      <c r="A5445" s="9">
        <v>45951</v>
      </c>
      <c r="B5445" s="10" t="s">
        <v>15</v>
      </c>
      <c r="C5445" s="10" t="s">
        <v>28</v>
      </c>
      <c r="D5445" s="12">
        <v>153.51</v>
      </c>
      <c r="E5445" s="12">
        <f>SUMIF('Parametros Inventario'!$A:$A,B5445,'Parametros Inventario'!$B:$B)+SUMIFS(D$2:D5445,B$2:B5445,B5445,C$2:C5445,"ENTRADA")-SUMIFS(D$2:D5445,B$2:B5445,B5445,C$2:C5445,"SALIDA")</f>
        <v>29116.096000000005</v>
      </c>
    </row>
    <row r="5446" spans="1:5" x14ac:dyDescent="0.3">
      <c r="A5446" s="9">
        <v>45951</v>
      </c>
      <c r="B5446" s="10" t="s">
        <v>11</v>
      </c>
      <c r="C5446" s="10" t="s">
        <v>28</v>
      </c>
      <c r="D5446" s="12">
        <v>137.93</v>
      </c>
      <c r="E5446" s="12">
        <f>SUMIF('Parametros Inventario'!$A:$A,B5446,'Parametros Inventario'!$B:$B)+SUMIFS(D$2:D5446,B$2:B5446,B5446,C$2:C5446,"ENTRADA")-SUMIFS(D$2:D5446,B$2:B5446,B5446,C$2:C5446,"SALIDA")</f>
        <v>29722.972000000002</v>
      </c>
    </row>
    <row r="5447" spans="1:5" x14ac:dyDescent="0.3">
      <c r="A5447" s="9">
        <v>45951</v>
      </c>
      <c r="B5447" s="10" t="s">
        <v>9</v>
      </c>
      <c r="C5447" s="10" t="s">
        <v>28</v>
      </c>
      <c r="D5447" s="12">
        <v>257.05</v>
      </c>
      <c r="E5447" s="12">
        <f>SUMIF('Parametros Inventario'!$A:$A,B5447,'Parametros Inventario'!$B:$B)+SUMIFS(D$2:D5447,B$2:B5447,B5447,C$2:C5447,"ENTRADA")-SUMIFS(D$2:D5447,B$2:B5447,B5447,C$2:C5447,"SALIDA")</f>
        <v>25350.023000000001</v>
      </c>
    </row>
    <row r="5448" spans="1:5" x14ac:dyDescent="0.3">
      <c r="A5448" s="9">
        <v>45951</v>
      </c>
      <c r="B5448" s="10" t="s">
        <v>14</v>
      </c>
      <c r="C5448" s="10" t="s">
        <v>28</v>
      </c>
      <c r="D5448" s="12">
        <v>156.46</v>
      </c>
      <c r="E5448" s="12">
        <f>SUMIF('Parametros Inventario'!$A:$A,B5448,'Parametros Inventario'!$B:$B)+SUMIFS(D$2:D5448,B$2:B5448,B5448,C$2:C5448,"ENTRADA")-SUMIFS(D$2:D5448,B$2:B5448,B5448,C$2:C5448,"SALIDA")</f>
        <v>26005.407999999981</v>
      </c>
    </row>
    <row r="5449" spans="1:5" x14ac:dyDescent="0.3">
      <c r="A5449" s="9">
        <v>45951</v>
      </c>
      <c r="B5449" s="10" t="s">
        <v>12</v>
      </c>
      <c r="C5449" s="10" t="s">
        <v>28</v>
      </c>
      <c r="D5449" s="12">
        <v>293.52</v>
      </c>
      <c r="E5449" s="12">
        <f>SUMIF('Parametros Inventario'!$A:$A,B5449,'Parametros Inventario'!$B:$B)+SUMIFS(D$2:D5449,B$2:B5449,B5449,C$2:C5449,"ENTRADA")-SUMIFS(D$2:D5449,B$2:B5449,B5449,C$2:C5449,"SALIDA")</f>
        <v>25908.589000000004</v>
      </c>
    </row>
    <row r="5450" spans="1:5" x14ac:dyDescent="0.3">
      <c r="A5450" s="9">
        <v>45951</v>
      </c>
      <c r="B5450" s="10" t="s">
        <v>16</v>
      </c>
      <c r="C5450" s="10" t="s">
        <v>28</v>
      </c>
      <c r="D5450" s="12">
        <v>133.96</v>
      </c>
      <c r="E5450" s="12">
        <f>SUMIF('Parametros Inventario'!$A:$A,B5450,'Parametros Inventario'!$B:$B)+SUMIFS(D$2:D5450,B$2:B5450,B5450,C$2:C5450,"ENTRADA")-SUMIFS(D$2:D5450,B$2:B5450,B5450,C$2:C5450,"SALIDA")</f>
        <v>26316.139999999989</v>
      </c>
    </row>
    <row r="5451" spans="1:5" x14ac:dyDescent="0.3">
      <c r="A5451" s="9">
        <v>45951</v>
      </c>
      <c r="B5451" s="10" t="s">
        <v>17</v>
      </c>
      <c r="C5451" s="10" t="s">
        <v>28</v>
      </c>
      <c r="D5451" s="12">
        <v>281.58999999999997</v>
      </c>
      <c r="E5451" s="12">
        <f>SUMIF('Parametros Inventario'!$A:$A,B5451,'Parametros Inventario'!$B:$B)+SUMIFS(D$2:D5451,B$2:B5451,B5451,C$2:C5451,"ENTRADA")-SUMIFS(D$2:D5451,B$2:B5451,B5451,C$2:C5451,"SALIDA")</f>
        <v>26407.627999999997</v>
      </c>
    </row>
    <row r="5452" spans="1:5" x14ac:dyDescent="0.3">
      <c r="A5452" s="9">
        <v>45951</v>
      </c>
      <c r="B5452" s="10" t="s">
        <v>18</v>
      </c>
      <c r="C5452" s="10" t="s">
        <v>28</v>
      </c>
      <c r="D5452" s="12">
        <v>164.71</v>
      </c>
      <c r="E5452" s="12">
        <f>SUMIF('Parametros Inventario'!$A:$A,B5452,'Parametros Inventario'!$B:$B)+SUMIFS(D$2:D5452,B$2:B5452,B5452,C$2:C5452,"ENTRADA")-SUMIFS(D$2:D5452,B$2:B5452,B5452,C$2:C5452,"SALIDA")</f>
        <v>26301.063999999977</v>
      </c>
    </row>
    <row r="5453" spans="1:5" x14ac:dyDescent="0.3">
      <c r="A5453" s="9">
        <f>'Volúmenes DIstribuidos '!B3267</f>
        <v>45951</v>
      </c>
      <c r="B5453" s="10" t="str">
        <f>IF(OR('Volúmenes DIstribuidos '!C3267="Azúcar",'Volúmenes DIstribuidos '!C3267="azúcar"),"Azúcar o dulce",IF('Volúmenes DIstribuidos '!C3267="Aceite","Aceite o grasas",IF('Volúmenes DIstribuidos '!C3267="Avena","Otros almidones",'Volúmenes DIstribuidos '!C3267)))</f>
        <v>Lácteos</v>
      </c>
      <c r="C5453" s="10" t="s">
        <v>29</v>
      </c>
      <c r="D5453" s="12">
        <f>'Volúmenes DIstribuidos '!D3267</f>
        <v>10.15</v>
      </c>
      <c r="E5453" s="12">
        <f>SUMIF('Parametros Inventario'!$A:$A,B5453,'Parametros Inventario'!$B:$B)+SUMIFS(D$2:D5453,B$2:B5453,B5453,C$2:C5453,"ENTRADA")-SUMIFS(D$2:D5453,B$2:B5453,B5453,C$2:C5453,"SALIDA")</f>
        <v>26397.477999999996</v>
      </c>
    </row>
    <row r="5454" spans="1:5" x14ac:dyDescent="0.3">
      <c r="A5454" s="9">
        <f>'Volúmenes DIstribuidos '!B3267</f>
        <v>45951</v>
      </c>
      <c r="B5454" s="10" t="str">
        <f>IF(OR('Volúmenes DIstribuidos '!C3268="Azúcar",'Volúmenes DIstribuidos '!C3268="azúcar"),"Azúcar o dulce",IF('Volúmenes DIstribuidos '!C3268="Aceite","Aceite o grasas",IF('Volúmenes DIstribuidos '!C3268="Avena","Otros almidones",'Volúmenes DIstribuidos '!C3268)))</f>
        <v>Vegetales y hojas</v>
      </c>
      <c r="C5454" s="10" t="s">
        <v>29</v>
      </c>
      <c r="D5454" s="12">
        <f>'Volúmenes DIstribuidos '!D3268</f>
        <v>22.12</v>
      </c>
      <c r="E5454" s="12">
        <f>SUMIF('Parametros Inventario'!$A:$A,B5454,'Parametros Inventario'!$B:$B)+SUMIFS(D$2:D5454,B$2:B5454,B5454,C$2:C5454,"ENTRADA")-SUMIFS(D$2:D5454,B$2:B5454,B5454,C$2:C5454,"SALIDA")</f>
        <v>27695.014999999985</v>
      </c>
    </row>
    <row r="5455" spans="1:5" x14ac:dyDescent="0.3">
      <c r="A5455" s="9">
        <f>'Volúmenes DIstribuidos '!B3267</f>
        <v>45951</v>
      </c>
      <c r="B5455" s="10" t="str">
        <f>IF(OR('Volúmenes DIstribuidos '!C3269="Azúcar",'Volúmenes DIstribuidos '!C3269="azúcar"),"Azúcar o dulce",IF('Volúmenes DIstribuidos '!C3269="Aceite","Aceite o grasas",IF('Volúmenes DIstribuidos '!C3269="Avena","Otros almidones",'Volúmenes DIstribuidos '!C3269)))</f>
        <v>Salsas</v>
      </c>
      <c r="C5455" s="10" t="s">
        <v>29</v>
      </c>
      <c r="D5455" s="12">
        <f>'Volúmenes DIstribuidos '!D3269</f>
        <v>11.15</v>
      </c>
      <c r="E5455" s="12">
        <f>SUMIF('Parametros Inventario'!$A:$A,B5455,'Parametros Inventario'!$B:$B)+SUMIFS(D$2:D5455,B$2:B5455,B5455,C$2:C5455,"ENTRADA")-SUMIFS(D$2:D5455,B$2:B5455,B5455,C$2:C5455,"SALIDA")</f>
        <v>26289.913999999975</v>
      </c>
    </row>
    <row r="5456" spans="1:5" x14ac:dyDescent="0.3">
      <c r="A5456" s="9">
        <f>'Volúmenes DIstribuidos '!B3267</f>
        <v>45951</v>
      </c>
      <c r="B5456" s="10" t="str">
        <f>IF(OR('Volúmenes DIstribuidos '!C3270="Azúcar",'Volúmenes DIstribuidos '!C3270="azúcar"),"Azúcar o dulce",IF('Volúmenes DIstribuidos '!C3270="Aceite","Aceite o grasas",IF('Volúmenes DIstribuidos '!C3270="Avena","Otros almidones",'Volúmenes DIstribuidos '!C3270)))</f>
        <v>Aceite o grasas</v>
      </c>
      <c r="C5456" s="10" t="s">
        <v>29</v>
      </c>
      <c r="D5456" s="12">
        <f>'Volúmenes DIstribuidos '!D3270</f>
        <v>33.58</v>
      </c>
      <c r="E5456" s="12">
        <f>SUMIF('Parametros Inventario'!$A:$A,B5456,'Parametros Inventario'!$B:$B)+SUMIFS(D$2:D5456,B$2:B5456,B5456,C$2:C5456,"ENTRADA")-SUMIFS(D$2:D5456,B$2:B5456,B5456,C$2:C5456,"SALIDA")</f>
        <v>26048.241000000002</v>
      </c>
    </row>
    <row r="5457" spans="1:5" x14ac:dyDescent="0.3">
      <c r="A5457" s="9">
        <f>'Volúmenes DIstribuidos '!B3267</f>
        <v>45951</v>
      </c>
      <c r="B5457" s="10" t="str">
        <f>IF(OR('Volúmenes DIstribuidos '!C3271="Azúcar",'Volúmenes DIstribuidos '!C3271="azúcar"),"Azúcar o dulce",IF('Volúmenes DIstribuidos '!C3271="Aceite","Aceite o grasas",IF('Volúmenes DIstribuidos '!C3271="Avena","Otros almidones",'Volúmenes DIstribuidos '!C3271)))</f>
        <v>Panadería</v>
      </c>
      <c r="C5457" s="10" t="s">
        <v>29</v>
      </c>
      <c r="D5457" s="12">
        <f>'Volúmenes DIstribuidos '!D3271</f>
        <v>22.363</v>
      </c>
      <c r="E5457" s="12">
        <f>SUMIF('Parametros Inventario'!$A:$A,B5457,'Parametros Inventario'!$B:$B)+SUMIFS(D$2:D5457,B$2:B5457,B5457,C$2:C5457,"ENTRADA")-SUMIFS(D$2:D5457,B$2:B5457,B5457,C$2:C5457,"SALIDA")</f>
        <v>25327.66</v>
      </c>
    </row>
    <row r="5458" spans="1:5" x14ac:dyDescent="0.3">
      <c r="A5458" s="9">
        <f>'Volúmenes DIstribuidos '!B3267</f>
        <v>45951</v>
      </c>
      <c r="B5458" s="10" t="str">
        <f>IF(OR('Volúmenes DIstribuidos '!C3272="Azúcar",'Volúmenes DIstribuidos '!C3272="azúcar"),"Azúcar o dulce",IF('Volúmenes DIstribuidos '!C3272="Aceite","Aceite o grasas",IF('Volúmenes DIstribuidos '!C3272="Avena","Otros almidones",'Volúmenes DIstribuidos '!C3272)))</f>
        <v>Panadería</v>
      </c>
      <c r="C5458" s="10" t="s">
        <v>29</v>
      </c>
      <c r="D5458" s="12">
        <f>'Volúmenes DIstribuidos '!D3272</f>
        <v>32.53</v>
      </c>
      <c r="E5458" s="12">
        <f>SUMIF('Parametros Inventario'!$A:$A,B5458,'Parametros Inventario'!$B:$B)+SUMIFS(D$2:D5458,B$2:B5458,B5458,C$2:C5458,"ENTRADA")-SUMIFS(D$2:D5458,B$2:B5458,B5458,C$2:C5458,"SALIDA")</f>
        <v>25295.129999999997</v>
      </c>
    </row>
    <row r="5459" spans="1:5" x14ac:dyDescent="0.3">
      <c r="A5459" s="9">
        <v>45954</v>
      </c>
      <c r="B5459" s="10" t="s">
        <v>10</v>
      </c>
      <c r="C5459" s="10" t="s">
        <v>28</v>
      </c>
      <c r="D5459" s="12">
        <v>143.28</v>
      </c>
      <c r="E5459" s="12">
        <f>SUMIF('Parametros Inventario'!$A:$A,B5459,'Parametros Inventario'!$B:$B)+SUMIFS(D$2:D5459,B$2:B5459,B5459,C$2:C5459,"ENTRADA")-SUMIFS(D$2:D5459,B$2:B5459,B5459,C$2:C5459,"SALIDA")</f>
        <v>27838.294999999984</v>
      </c>
    </row>
    <row r="5460" spans="1:5" x14ac:dyDescent="0.3">
      <c r="A5460" s="9">
        <v>45954</v>
      </c>
      <c r="B5460" s="10" t="s">
        <v>8</v>
      </c>
      <c r="C5460" s="10" t="s">
        <v>28</v>
      </c>
      <c r="D5460" s="12">
        <v>188.19</v>
      </c>
      <c r="E5460" s="12">
        <f>SUMIF('Parametros Inventario'!$A:$A,B5460,'Parametros Inventario'!$B:$B)+SUMIFS(D$2:D5460,B$2:B5460,B5460,C$2:C5460,"ENTRADA")-SUMIFS(D$2:D5460,B$2:B5460,B5460,C$2:C5460,"SALIDA")</f>
        <v>26236.431000000004</v>
      </c>
    </row>
    <row r="5461" spans="1:5" x14ac:dyDescent="0.3">
      <c r="A5461" s="9">
        <v>45954</v>
      </c>
      <c r="B5461" s="10" t="s">
        <v>13</v>
      </c>
      <c r="C5461" s="10" t="s">
        <v>28</v>
      </c>
      <c r="D5461" s="12">
        <v>90.66</v>
      </c>
      <c r="E5461" s="12">
        <f>SUMIF('Parametros Inventario'!$A:$A,B5461,'Parametros Inventario'!$B:$B)+SUMIFS(D$2:D5461,B$2:B5461,B5461,C$2:C5461,"ENTRADA")-SUMIFS(D$2:D5461,B$2:B5461,B5461,C$2:C5461,"SALIDA")</f>
        <v>25331.720999999983</v>
      </c>
    </row>
    <row r="5462" spans="1:5" x14ac:dyDescent="0.3">
      <c r="A5462" s="9">
        <v>45954</v>
      </c>
      <c r="B5462" s="10" t="s">
        <v>15</v>
      </c>
      <c r="C5462" s="10" t="s">
        <v>28</v>
      </c>
      <c r="D5462" s="12">
        <v>158.97</v>
      </c>
      <c r="E5462" s="12">
        <f>SUMIF('Parametros Inventario'!$A:$A,B5462,'Parametros Inventario'!$B:$B)+SUMIFS(D$2:D5462,B$2:B5462,B5462,C$2:C5462,"ENTRADA")-SUMIFS(D$2:D5462,B$2:B5462,B5462,C$2:C5462,"SALIDA")</f>
        <v>29275.066000000006</v>
      </c>
    </row>
    <row r="5463" spans="1:5" x14ac:dyDescent="0.3">
      <c r="A5463" s="9">
        <v>45954</v>
      </c>
      <c r="B5463" s="10" t="s">
        <v>11</v>
      </c>
      <c r="C5463" s="10" t="s">
        <v>28</v>
      </c>
      <c r="D5463" s="12">
        <v>121.26</v>
      </c>
      <c r="E5463" s="12">
        <f>SUMIF('Parametros Inventario'!$A:$A,B5463,'Parametros Inventario'!$B:$B)+SUMIFS(D$2:D5463,B$2:B5463,B5463,C$2:C5463,"ENTRADA")-SUMIFS(D$2:D5463,B$2:B5463,B5463,C$2:C5463,"SALIDA")</f>
        <v>29844.232000000004</v>
      </c>
    </row>
    <row r="5464" spans="1:5" x14ac:dyDescent="0.3">
      <c r="A5464" s="9">
        <v>45954</v>
      </c>
      <c r="B5464" s="10" t="s">
        <v>9</v>
      </c>
      <c r="C5464" s="10" t="s">
        <v>28</v>
      </c>
      <c r="D5464" s="12">
        <v>214.9</v>
      </c>
      <c r="E5464" s="12">
        <f>SUMIF('Parametros Inventario'!$A:$A,B5464,'Parametros Inventario'!$B:$B)+SUMIFS(D$2:D5464,B$2:B5464,B5464,C$2:C5464,"ENTRADA")-SUMIFS(D$2:D5464,B$2:B5464,B5464,C$2:C5464,"SALIDA")</f>
        <v>25510.03</v>
      </c>
    </row>
    <row r="5465" spans="1:5" x14ac:dyDescent="0.3">
      <c r="A5465" s="9">
        <v>45954</v>
      </c>
      <c r="B5465" s="10" t="s">
        <v>14</v>
      </c>
      <c r="C5465" s="10" t="s">
        <v>28</v>
      </c>
      <c r="D5465" s="12">
        <v>220.07</v>
      </c>
      <c r="E5465" s="12">
        <f>SUMIF('Parametros Inventario'!$A:$A,B5465,'Parametros Inventario'!$B:$B)+SUMIFS(D$2:D5465,B$2:B5465,B5465,C$2:C5465,"ENTRADA")-SUMIFS(D$2:D5465,B$2:B5465,B5465,C$2:C5465,"SALIDA")</f>
        <v>26225.477999999981</v>
      </c>
    </row>
    <row r="5466" spans="1:5" x14ac:dyDescent="0.3">
      <c r="A5466" s="9">
        <v>45954</v>
      </c>
      <c r="B5466" s="10" t="s">
        <v>12</v>
      </c>
      <c r="C5466" s="10" t="s">
        <v>28</v>
      </c>
      <c r="D5466" s="12">
        <v>208.53</v>
      </c>
      <c r="E5466" s="12">
        <f>SUMIF('Parametros Inventario'!$A:$A,B5466,'Parametros Inventario'!$B:$B)+SUMIFS(D$2:D5466,B$2:B5466,B5466,C$2:C5466,"ENTRADA")-SUMIFS(D$2:D5466,B$2:B5466,B5466,C$2:C5466,"SALIDA")</f>
        <v>26117.119000000002</v>
      </c>
    </row>
    <row r="5467" spans="1:5" x14ac:dyDescent="0.3">
      <c r="A5467" s="9">
        <v>45954</v>
      </c>
      <c r="B5467" s="10" t="s">
        <v>16</v>
      </c>
      <c r="C5467" s="10" t="s">
        <v>28</v>
      </c>
      <c r="D5467" s="12">
        <v>225.52</v>
      </c>
      <c r="E5467" s="12">
        <f>SUMIF('Parametros Inventario'!$A:$A,B5467,'Parametros Inventario'!$B:$B)+SUMIFS(D$2:D5467,B$2:B5467,B5467,C$2:C5467,"ENTRADA")-SUMIFS(D$2:D5467,B$2:B5467,B5467,C$2:C5467,"SALIDA")</f>
        <v>26541.659999999985</v>
      </c>
    </row>
    <row r="5468" spans="1:5" x14ac:dyDescent="0.3">
      <c r="A5468" s="9">
        <f>'Volúmenes DIstribuidos '!B3273</f>
        <v>45954</v>
      </c>
      <c r="B5468" s="10" t="str">
        <f>IF(OR('Volúmenes DIstribuidos '!C3273="Azúcar",'Volúmenes DIstribuidos '!C3273="azúcar"),"Azúcar o dulce",IF('Volúmenes DIstribuidos '!C3273="Aceite","Aceite o grasas",IF('Volúmenes DIstribuidos '!C3273="Avena","Otros almidones",'Volúmenes DIstribuidos '!C3273)))</f>
        <v>Fideo</v>
      </c>
      <c r="C5468" s="10" t="s">
        <v>29</v>
      </c>
      <c r="D5468" s="12">
        <f>'Volúmenes DIstribuidos '!D3273</f>
        <v>9.1300000000000008</v>
      </c>
      <c r="E5468" s="12">
        <f>SUMIF('Parametros Inventario'!$A:$A,B5468,'Parametros Inventario'!$B:$B)+SUMIFS(D$2:D5468,B$2:B5468,B5468,C$2:C5468,"ENTRADA")-SUMIFS(D$2:D5468,B$2:B5468,B5468,C$2:C5468,"SALIDA")</f>
        <v>29835.102000000003</v>
      </c>
    </row>
    <row r="5469" spans="1:5" x14ac:dyDescent="0.3">
      <c r="A5469" s="9">
        <f>'Volúmenes DIstribuidos '!B3273</f>
        <v>45954</v>
      </c>
      <c r="B5469" s="10" t="str">
        <f>IF(OR('Volúmenes DIstribuidos '!C3274="Azúcar",'Volúmenes DIstribuidos '!C3274="azúcar"),"Azúcar o dulce",IF('Volúmenes DIstribuidos '!C3274="Aceite","Aceite o grasas",IF('Volúmenes DIstribuidos '!C3274="Avena","Otros almidones",'Volúmenes DIstribuidos '!C3274)))</f>
        <v>Vegetales y hojas</v>
      </c>
      <c r="C5469" s="10" t="s">
        <v>29</v>
      </c>
      <c r="D5469" s="12">
        <f>'Volúmenes DIstribuidos '!D3274</f>
        <v>6.87</v>
      </c>
      <c r="E5469" s="12">
        <f>SUMIF('Parametros Inventario'!$A:$A,B5469,'Parametros Inventario'!$B:$B)+SUMIFS(D$2:D5469,B$2:B5469,B5469,C$2:C5469,"ENTRADA")-SUMIFS(D$2:D5469,B$2:B5469,B5469,C$2:C5469,"SALIDA")</f>
        <v>27831.424999999981</v>
      </c>
    </row>
    <row r="5470" spans="1:5" x14ac:dyDescent="0.3">
      <c r="A5470" s="9">
        <f>'Volúmenes DIstribuidos '!B3273</f>
        <v>45954</v>
      </c>
      <c r="B5470" s="10" t="str">
        <f>IF(OR('Volúmenes DIstribuidos '!C3275="Azúcar",'Volúmenes DIstribuidos '!C3275="azúcar"),"Azúcar o dulce",IF('Volúmenes DIstribuidos '!C3275="Aceite","Aceite o grasas",IF('Volúmenes DIstribuidos '!C3275="Avena","Otros almidones",'Volúmenes DIstribuidos '!C3275)))</f>
        <v>Carnes rojas</v>
      </c>
      <c r="C5470" s="10" t="s">
        <v>29</v>
      </c>
      <c r="D5470" s="12">
        <f>'Volúmenes DIstribuidos '!D3275</f>
        <v>41.670999999999999</v>
      </c>
      <c r="E5470" s="12">
        <f>SUMIF('Parametros Inventario'!$A:$A,B5470,'Parametros Inventario'!$B:$B)+SUMIFS(D$2:D5470,B$2:B5470,B5470,C$2:C5470,"ENTRADA")-SUMIFS(D$2:D5470,B$2:B5470,B5470,C$2:C5470,"SALIDA")</f>
        <v>26075.448000000004</v>
      </c>
    </row>
    <row r="5471" spans="1:5" x14ac:dyDescent="0.3">
      <c r="A5471" s="9">
        <f>'Volúmenes DIstribuidos '!B3273</f>
        <v>45954</v>
      </c>
      <c r="B5471" s="10" t="str">
        <f>IF(OR('Volúmenes DIstribuidos '!C3276="Azúcar",'Volúmenes DIstribuidos '!C3276="azúcar"),"Azúcar o dulce",IF('Volúmenes DIstribuidos '!C3276="Aceite","Aceite o grasas",IF('Volúmenes DIstribuidos '!C3276="Avena","Otros almidones",'Volúmenes DIstribuidos '!C3276)))</f>
        <v>Azúcar o dulce</v>
      </c>
      <c r="C5471" s="10" t="s">
        <v>29</v>
      </c>
      <c r="D5471" s="12">
        <f>'Volúmenes DIstribuidos '!D3276</f>
        <v>22.41</v>
      </c>
      <c r="E5471" s="12">
        <f>SUMIF('Parametros Inventario'!$A:$A,B5471,'Parametros Inventario'!$B:$B)+SUMIFS(D$2:D5471,B$2:B5471,B5471,C$2:C5471,"ENTRADA")-SUMIFS(D$2:D5471,B$2:B5471,B5471,C$2:C5471,"SALIDA")</f>
        <v>25309.310999999987</v>
      </c>
    </row>
    <row r="5472" spans="1:5" x14ac:dyDescent="0.3">
      <c r="A5472" s="9">
        <f>'Volúmenes DIstribuidos '!B3273</f>
        <v>45954</v>
      </c>
      <c r="B5472" s="10" t="str">
        <f>IF(OR('Volúmenes DIstribuidos '!C3277="Azúcar",'Volúmenes DIstribuidos '!C3277="azúcar"),"Azúcar o dulce",IF('Volúmenes DIstribuidos '!C3277="Aceite","Aceite o grasas",IF('Volúmenes DIstribuidos '!C3277="Avena","Otros almidones",'Volúmenes DIstribuidos '!C3277)))</f>
        <v>Lácteos</v>
      </c>
      <c r="C5472" s="10" t="s">
        <v>29</v>
      </c>
      <c r="D5472" s="12">
        <f>'Volúmenes DIstribuidos '!D3277</f>
        <v>66.739999999999995</v>
      </c>
      <c r="E5472" s="12">
        <f>SUMIF('Parametros Inventario'!$A:$A,B5472,'Parametros Inventario'!$B:$B)+SUMIFS(D$2:D5472,B$2:B5472,B5472,C$2:C5472,"ENTRADA")-SUMIFS(D$2:D5472,B$2:B5472,B5472,C$2:C5472,"SALIDA")</f>
        <v>26330.737999999998</v>
      </c>
    </row>
    <row r="5473" spans="1:5" x14ac:dyDescent="0.3">
      <c r="A5473" s="9">
        <f>'Volúmenes DIstribuidos '!B3273</f>
        <v>45954</v>
      </c>
      <c r="B5473" s="10" t="str">
        <f>IF(OR('Volúmenes DIstribuidos '!C3278="Azúcar",'Volúmenes DIstribuidos '!C3278="azúcar"),"Azúcar o dulce",IF('Volúmenes DIstribuidos '!C3278="Aceite","Aceite o grasas",IF('Volúmenes DIstribuidos '!C3278="Avena","Otros almidones",'Volúmenes DIstribuidos '!C3278)))</f>
        <v>Fideo</v>
      </c>
      <c r="C5473" s="10" t="s">
        <v>29</v>
      </c>
      <c r="D5473" s="12">
        <f>'Volúmenes DIstribuidos '!D3278</f>
        <v>32.96</v>
      </c>
      <c r="E5473" s="12">
        <f>SUMIF('Parametros Inventario'!$A:$A,B5473,'Parametros Inventario'!$B:$B)+SUMIFS(D$2:D5473,B$2:B5473,B5473,C$2:C5473,"ENTRADA")-SUMIFS(D$2:D5473,B$2:B5473,B5473,C$2:C5473,"SALIDA")</f>
        <v>29802.142000000003</v>
      </c>
    </row>
    <row r="5474" spans="1:5" x14ac:dyDescent="0.3">
      <c r="A5474" s="9">
        <f>'Volúmenes DIstribuidos '!B3279</f>
        <v>45958</v>
      </c>
      <c r="B5474" s="10" t="str">
        <f>IF(OR('Volúmenes DIstribuidos '!C3279="Azúcar",'Volúmenes DIstribuidos '!C3279="azúcar"),"Azúcar o dulce",IF('Volúmenes DIstribuidos '!C3279="Aceite","Aceite o grasas",IF('Volúmenes DIstribuidos '!C3279="Avena","Otros almidones",'Volúmenes DIstribuidos '!C3279)))</f>
        <v>Menestras</v>
      </c>
      <c r="C5474" s="10" t="s">
        <v>29</v>
      </c>
      <c r="D5474" s="12">
        <f>'Volúmenes DIstribuidos '!D3279</f>
        <v>17.106999999999999</v>
      </c>
      <c r="E5474" s="12">
        <f>SUMIF('Parametros Inventario'!$A:$A,B5474,'Parametros Inventario'!$B:$B)+SUMIFS(D$2:D5474,B$2:B5474,B5474,C$2:C5474,"ENTRADA")-SUMIFS(D$2:D5474,B$2:B5474,B5474,C$2:C5474,"SALIDA")</f>
        <v>26208.370999999981</v>
      </c>
    </row>
    <row r="5475" spans="1:5" x14ac:dyDescent="0.3">
      <c r="A5475" s="9">
        <f>'Volúmenes DIstribuidos '!B3279</f>
        <v>45958</v>
      </c>
      <c r="B5475" s="10" t="str">
        <f>IF(OR('Volúmenes DIstribuidos '!C3280="Azúcar",'Volúmenes DIstribuidos '!C3280="azúcar"),"Azúcar o dulce",IF('Volúmenes DIstribuidos '!C3280="Aceite","Aceite o grasas",IF('Volúmenes DIstribuidos '!C3280="Avena","Otros almidones",'Volúmenes DIstribuidos '!C3280)))</f>
        <v>Azúcar o dulce</v>
      </c>
      <c r="C5475" s="10" t="s">
        <v>29</v>
      </c>
      <c r="D5475" s="12">
        <f>'Volúmenes DIstribuidos '!D3280</f>
        <v>10.49</v>
      </c>
      <c r="E5475" s="12">
        <f>SUMIF('Parametros Inventario'!$A:$A,B5475,'Parametros Inventario'!$B:$B)+SUMIFS(D$2:D5475,B$2:B5475,B5475,C$2:C5475,"ENTRADA")-SUMIFS(D$2:D5475,B$2:B5475,B5475,C$2:C5475,"SALIDA")</f>
        <v>25298.820999999985</v>
      </c>
    </row>
    <row r="5476" spans="1:5" x14ac:dyDescent="0.3">
      <c r="A5476" s="9">
        <f>'Volúmenes DIstribuidos '!B3279</f>
        <v>45958</v>
      </c>
      <c r="B5476" s="10" t="str">
        <f>IF(OR('Volúmenes DIstribuidos '!C3281="Azúcar",'Volúmenes DIstribuidos '!C3281="azúcar"),"Azúcar o dulce",IF('Volúmenes DIstribuidos '!C3281="Aceite","Aceite o grasas",IF('Volúmenes DIstribuidos '!C3281="Avena","Otros almidones",'Volúmenes DIstribuidos '!C3281)))</f>
        <v>Lácteos</v>
      </c>
      <c r="C5476" s="10" t="s">
        <v>29</v>
      </c>
      <c r="D5476" s="12">
        <f>'Volúmenes DIstribuidos '!D3281</f>
        <v>16.84</v>
      </c>
      <c r="E5476" s="12">
        <f>SUMIF('Parametros Inventario'!$A:$A,B5476,'Parametros Inventario'!$B:$B)+SUMIFS(D$2:D5476,B$2:B5476,B5476,C$2:C5476,"ENTRADA")-SUMIFS(D$2:D5476,B$2:B5476,B5476,C$2:C5476,"SALIDA")</f>
        <v>26313.897999999994</v>
      </c>
    </row>
    <row r="5477" spans="1:5" x14ac:dyDescent="0.3">
      <c r="A5477" s="9">
        <f>'Volúmenes DIstribuidos '!B3279</f>
        <v>45958</v>
      </c>
      <c r="B5477" s="10" t="str">
        <f>IF(OR('Volúmenes DIstribuidos '!C3282="Azúcar",'Volúmenes DIstribuidos '!C3282="azúcar"),"Azúcar o dulce",IF('Volúmenes DIstribuidos '!C3282="Aceite","Aceite o grasas",IF('Volúmenes DIstribuidos '!C3282="Avena","Otros almidones",'Volúmenes DIstribuidos '!C3282)))</f>
        <v>Carnes blancas</v>
      </c>
      <c r="C5477" s="10" t="s">
        <v>29</v>
      </c>
      <c r="D5477" s="12">
        <f>'Volúmenes DIstribuidos '!D3282</f>
        <v>7.2910000000000004</v>
      </c>
      <c r="E5477" s="12">
        <f>SUMIF('Parametros Inventario'!$A:$A,B5477,'Parametros Inventario'!$B:$B)+SUMIFS(D$2:D5477,B$2:B5477,B5477,C$2:C5477,"ENTRADA")-SUMIFS(D$2:D5477,B$2:B5477,B5477,C$2:C5477,"SALIDA")</f>
        <v>26534.368999999984</v>
      </c>
    </row>
    <row r="5478" spans="1:5" x14ac:dyDescent="0.3">
      <c r="A5478" s="9">
        <f>'Volúmenes DIstribuidos '!B3279</f>
        <v>45958</v>
      </c>
      <c r="B5478" s="10" t="str">
        <f>IF(OR('Volúmenes DIstribuidos '!C3283="Azúcar",'Volúmenes DIstribuidos '!C3283="azúcar"),"Azúcar o dulce",IF('Volúmenes DIstribuidos '!C3283="Aceite","Aceite o grasas",IF('Volúmenes DIstribuidos '!C3283="Avena","Otros almidones",'Volúmenes DIstribuidos '!C3283)))</f>
        <v>Carnes rojas</v>
      </c>
      <c r="C5478" s="10" t="s">
        <v>29</v>
      </c>
      <c r="D5478" s="12">
        <f>'Volúmenes DIstribuidos '!D3283</f>
        <v>7.09</v>
      </c>
      <c r="E5478" s="12">
        <f>SUMIF('Parametros Inventario'!$A:$A,B5478,'Parametros Inventario'!$B:$B)+SUMIFS(D$2:D5478,B$2:B5478,B5478,C$2:C5478,"ENTRADA")-SUMIFS(D$2:D5478,B$2:B5478,B5478,C$2:C5478,"SALIDA")</f>
        <v>26068.358</v>
      </c>
    </row>
    <row r="5479" spans="1:5" x14ac:dyDescent="0.3">
      <c r="A5479" s="9">
        <f>'Volúmenes DIstribuidos '!B3279</f>
        <v>45958</v>
      </c>
      <c r="B5479" s="10" t="str">
        <f>IF(OR('Volúmenes DIstribuidos '!C3284="Azúcar",'Volúmenes DIstribuidos '!C3284="azúcar"),"Azúcar o dulce",IF('Volúmenes DIstribuidos '!C3284="Aceite","Aceite o grasas",IF('Volúmenes DIstribuidos '!C3284="Avena","Otros almidones",'Volúmenes DIstribuidos '!C3284)))</f>
        <v>Salsas</v>
      </c>
      <c r="C5479" s="10" t="s">
        <v>29</v>
      </c>
      <c r="D5479" s="12">
        <f>'Volúmenes DIstribuidos '!D3284</f>
        <v>14.46</v>
      </c>
      <c r="E5479" s="12">
        <f>SUMIF('Parametros Inventario'!$A:$A,B5479,'Parametros Inventario'!$B:$B)+SUMIFS(D$2:D5479,B$2:B5479,B5479,C$2:C5479,"ENTRADA")-SUMIFS(D$2:D5479,B$2:B5479,B5479,C$2:C5479,"SALIDA")</f>
        <v>26275.453999999976</v>
      </c>
    </row>
    <row r="5480" spans="1:5" x14ac:dyDescent="0.3">
      <c r="A5480" s="9">
        <v>45961</v>
      </c>
      <c r="B5480" s="10" t="s">
        <v>17</v>
      </c>
      <c r="C5480" s="10" t="s">
        <v>28</v>
      </c>
      <c r="D5480" s="12">
        <v>284.48</v>
      </c>
      <c r="E5480" s="12">
        <f>SUMIF('Parametros Inventario'!$A:$A,B5480,'Parametros Inventario'!$B:$B)+SUMIFS(D$2:D5480,B$2:B5480,B5480,C$2:C5480,"ENTRADA")-SUMIFS(D$2:D5480,B$2:B5480,B5480,C$2:C5480,"SALIDA")</f>
        <v>26598.377999999997</v>
      </c>
    </row>
    <row r="5481" spans="1:5" x14ac:dyDescent="0.3">
      <c r="A5481" s="9">
        <v>45961</v>
      </c>
      <c r="B5481" s="10" t="s">
        <v>18</v>
      </c>
      <c r="C5481" s="10" t="s">
        <v>28</v>
      </c>
      <c r="D5481" s="12">
        <v>276.47000000000003</v>
      </c>
      <c r="E5481" s="12">
        <f>SUMIF('Parametros Inventario'!$A:$A,B5481,'Parametros Inventario'!$B:$B)+SUMIFS(D$2:D5481,B$2:B5481,B5481,C$2:C5481,"ENTRADA")-SUMIFS(D$2:D5481,B$2:B5481,B5481,C$2:C5481,"SALIDA")</f>
        <v>26551.923999999977</v>
      </c>
    </row>
    <row r="5482" spans="1:5" x14ac:dyDescent="0.3">
      <c r="A5482" s="9">
        <v>45961</v>
      </c>
      <c r="B5482" s="10" t="s">
        <v>10</v>
      </c>
      <c r="C5482" s="10" t="s">
        <v>28</v>
      </c>
      <c r="D5482" s="12">
        <v>74.81</v>
      </c>
      <c r="E5482" s="12">
        <f>SUMIF('Parametros Inventario'!$A:$A,B5482,'Parametros Inventario'!$B:$B)+SUMIFS(D$2:D5482,B$2:B5482,B5482,C$2:C5482,"ENTRADA")-SUMIFS(D$2:D5482,B$2:B5482,B5482,C$2:C5482,"SALIDA")</f>
        <v>27906.234999999979</v>
      </c>
    </row>
    <row r="5483" spans="1:5" x14ac:dyDescent="0.3">
      <c r="A5483" s="9">
        <v>45961</v>
      </c>
      <c r="B5483" s="10" t="s">
        <v>8</v>
      </c>
      <c r="C5483" s="10" t="s">
        <v>28</v>
      </c>
      <c r="D5483" s="12">
        <v>71.91</v>
      </c>
      <c r="E5483" s="12">
        <f>SUMIF('Parametros Inventario'!$A:$A,B5483,'Parametros Inventario'!$B:$B)+SUMIFS(D$2:D5483,B$2:B5483,B5483,C$2:C5483,"ENTRADA")-SUMIFS(D$2:D5483,B$2:B5483,B5483,C$2:C5483,"SALIDA")</f>
        <v>26308.341000000008</v>
      </c>
    </row>
    <row r="5484" spans="1:5" x14ac:dyDescent="0.3">
      <c r="A5484" s="9">
        <v>45961</v>
      </c>
      <c r="B5484" s="10" t="s">
        <v>13</v>
      </c>
      <c r="C5484" s="10" t="s">
        <v>28</v>
      </c>
      <c r="D5484" s="12">
        <v>259.31</v>
      </c>
      <c r="E5484" s="12">
        <f>SUMIF('Parametros Inventario'!$A:$A,B5484,'Parametros Inventario'!$B:$B)+SUMIFS(D$2:D5484,B$2:B5484,B5484,C$2:C5484,"ENTRADA")-SUMIFS(D$2:D5484,B$2:B5484,B5484,C$2:C5484,"SALIDA")</f>
        <v>25558.13099999999</v>
      </c>
    </row>
    <row r="5485" spans="1:5" x14ac:dyDescent="0.3">
      <c r="A5485" s="9">
        <v>45961</v>
      </c>
      <c r="B5485" s="10" t="s">
        <v>15</v>
      </c>
      <c r="C5485" s="10" t="s">
        <v>28</v>
      </c>
      <c r="D5485" s="12">
        <v>72.41</v>
      </c>
      <c r="E5485" s="12">
        <f>SUMIF('Parametros Inventario'!$A:$A,B5485,'Parametros Inventario'!$B:$B)+SUMIFS(D$2:D5485,B$2:B5485,B5485,C$2:C5485,"ENTRADA")-SUMIFS(D$2:D5485,B$2:B5485,B5485,C$2:C5485,"SALIDA")</f>
        <v>29347.47600000001</v>
      </c>
    </row>
    <row r="5486" spans="1:5" x14ac:dyDescent="0.3">
      <c r="A5486" s="9">
        <v>45961</v>
      </c>
      <c r="B5486" s="10" t="s">
        <v>11</v>
      </c>
      <c r="C5486" s="10" t="s">
        <v>28</v>
      </c>
      <c r="D5486" s="12">
        <v>54.11</v>
      </c>
      <c r="E5486" s="12">
        <f>SUMIF('Parametros Inventario'!$A:$A,B5486,'Parametros Inventario'!$B:$B)+SUMIFS(D$2:D5486,B$2:B5486,B5486,C$2:C5486,"ENTRADA")-SUMIFS(D$2:D5486,B$2:B5486,B5486,C$2:C5486,"SALIDA")</f>
        <v>29856.252000000004</v>
      </c>
    </row>
    <row r="5487" spans="1:5" x14ac:dyDescent="0.3">
      <c r="A5487" s="9">
        <v>45961</v>
      </c>
      <c r="B5487" s="10" t="s">
        <v>9</v>
      </c>
      <c r="C5487" s="10" t="s">
        <v>28</v>
      </c>
      <c r="D5487" s="12">
        <v>283.12</v>
      </c>
      <c r="E5487" s="12">
        <f>SUMIF('Parametros Inventario'!$A:$A,B5487,'Parametros Inventario'!$B:$B)+SUMIFS(D$2:D5487,B$2:B5487,B5487,C$2:C5487,"ENTRADA")-SUMIFS(D$2:D5487,B$2:B5487,B5487,C$2:C5487,"SALIDA")</f>
        <v>25793.15</v>
      </c>
    </row>
    <row r="5488" spans="1:5" x14ac:dyDescent="0.3">
      <c r="A5488" s="9">
        <v>45961</v>
      </c>
      <c r="B5488" s="10" t="s">
        <v>14</v>
      </c>
      <c r="C5488" s="10" t="s">
        <v>28</v>
      </c>
      <c r="D5488" s="12">
        <v>75.92</v>
      </c>
      <c r="E5488" s="12">
        <f>SUMIF('Parametros Inventario'!$A:$A,B5488,'Parametros Inventario'!$B:$B)+SUMIFS(D$2:D5488,B$2:B5488,B5488,C$2:C5488,"ENTRADA")-SUMIFS(D$2:D5488,B$2:B5488,B5488,C$2:C5488,"SALIDA")</f>
        <v>26284.290999999979</v>
      </c>
    </row>
    <row r="5489" spans="1:5" x14ac:dyDescent="0.3">
      <c r="A5489" s="9">
        <v>45961</v>
      </c>
      <c r="B5489" s="10" t="s">
        <v>12</v>
      </c>
      <c r="C5489" s="10" t="s">
        <v>28</v>
      </c>
      <c r="D5489" s="12">
        <v>237.49</v>
      </c>
      <c r="E5489" s="12">
        <f>SUMIF('Parametros Inventario'!$A:$A,B5489,'Parametros Inventario'!$B:$B)+SUMIFS(D$2:D5489,B$2:B5489,B5489,C$2:C5489,"ENTRADA")-SUMIFS(D$2:D5489,B$2:B5489,B5489,C$2:C5489,"SALIDA")</f>
        <v>26305.847999999998</v>
      </c>
    </row>
    <row r="5490" spans="1:5" x14ac:dyDescent="0.3">
      <c r="A5490" s="9">
        <v>45961</v>
      </c>
      <c r="B5490" s="10" t="s">
        <v>16</v>
      </c>
      <c r="C5490" s="10" t="s">
        <v>28</v>
      </c>
      <c r="D5490" s="12">
        <v>205.96</v>
      </c>
      <c r="E5490" s="12">
        <f>SUMIF('Parametros Inventario'!$A:$A,B5490,'Parametros Inventario'!$B:$B)+SUMIFS(D$2:D5490,B$2:B5490,B5490,C$2:C5490,"ENTRADA")-SUMIFS(D$2:D5490,B$2:B5490,B5490,C$2:C5490,"SALIDA")</f>
        <v>26740.328999999983</v>
      </c>
    </row>
    <row r="5491" spans="1:5" x14ac:dyDescent="0.3">
      <c r="A5491" s="9">
        <f>'Volúmenes DIstribuidos '!B3285</f>
        <v>45961</v>
      </c>
      <c r="B5491" s="10" t="str">
        <f>IF(OR('Volúmenes DIstribuidos '!C3285="Azúcar",'Volúmenes DIstribuidos '!C3285="azúcar"),"Azúcar o dulce",IF('Volúmenes DIstribuidos '!C3285="Aceite","Aceite o grasas",IF('Volúmenes DIstribuidos '!C3285="Avena","Otros almidones",'Volúmenes DIstribuidos '!C3285)))</f>
        <v>Aceite o grasas</v>
      </c>
      <c r="C5491" s="10" t="s">
        <v>29</v>
      </c>
      <c r="D5491" s="12">
        <f>'Volúmenes DIstribuidos '!D3285</f>
        <v>12.712</v>
      </c>
      <c r="E5491" s="12">
        <f>SUMIF('Parametros Inventario'!$A:$A,B5491,'Parametros Inventario'!$B:$B)+SUMIFS(D$2:D5491,B$2:B5491,B5491,C$2:C5491,"ENTRADA")-SUMIFS(D$2:D5491,B$2:B5491,B5491,C$2:C5491,"SALIDA")</f>
        <v>26295.629000000008</v>
      </c>
    </row>
    <row r="5492" spans="1:5" x14ac:dyDescent="0.3">
      <c r="A5492" s="9">
        <f>'Volúmenes DIstribuidos '!B3285</f>
        <v>45961</v>
      </c>
      <c r="B5492" s="10" t="str">
        <f>IF(OR('Volúmenes DIstribuidos '!C3286="Azúcar",'Volúmenes DIstribuidos '!C3286="azúcar"),"Azúcar o dulce",IF('Volúmenes DIstribuidos '!C3286="Aceite","Aceite o grasas",IF('Volúmenes DIstribuidos '!C3286="Avena","Otros almidones",'Volúmenes DIstribuidos '!C3286)))</f>
        <v>Vegetales y hojas</v>
      </c>
      <c r="C5492" s="10" t="s">
        <v>29</v>
      </c>
      <c r="D5492" s="12">
        <f>'Volúmenes DIstribuidos '!D3286</f>
        <v>48.99</v>
      </c>
      <c r="E5492" s="12">
        <f>SUMIF('Parametros Inventario'!$A:$A,B5492,'Parametros Inventario'!$B:$B)+SUMIFS(D$2:D5492,B$2:B5492,B5492,C$2:C5492,"ENTRADA")-SUMIFS(D$2:D5492,B$2:B5492,B5492,C$2:C5492,"SALIDA")</f>
        <v>27857.244999999981</v>
      </c>
    </row>
    <row r="5493" spans="1:5" x14ac:dyDescent="0.3">
      <c r="A5493" s="9">
        <f>'Volúmenes DIstribuidos '!B3285</f>
        <v>45961</v>
      </c>
      <c r="B5493" s="10" t="str">
        <f>IF(OR('Volúmenes DIstribuidos '!C3287="Azúcar",'Volúmenes DIstribuidos '!C3287="azúcar"),"Azúcar o dulce",IF('Volúmenes DIstribuidos '!C3287="Aceite","Aceite o grasas",IF('Volúmenes DIstribuidos '!C3287="Avena","Otros almidones",'Volúmenes DIstribuidos '!C3287)))</f>
        <v>Azúcar o dulce</v>
      </c>
      <c r="C5493" s="10" t="s">
        <v>29</v>
      </c>
      <c r="D5493" s="12">
        <f>'Volúmenes DIstribuidos '!D3287</f>
        <v>19.57</v>
      </c>
      <c r="E5493" s="12">
        <f>SUMIF('Parametros Inventario'!$A:$A,B5493,'Parametros Inventario'!$B:$B)+SUMIFS(D$2:D5493,B$2:B5493,B5493,C$2:C5493,"ENTRADA")-SUMIFS(D$2:D5493,B$2:B5493,B5493,C$2:C5493,"SALIDA")</f>
        <v>25538.560999999991</v>
      </c>
    </row>
    <row r="5494" spans="1:5" x14ac:dyDescent="0.3">
      <c r="A5494" s="9">
        <f>'Volúmenes DIstribuidos '!B3285</f>
        <v>45961</v>
      </c>
      <c r="B5494" s="10" t="str">
        <f>IF(OR('Volúmenes DIstribuidos '!C3288="Azúcar",'Volúmenes DIstribuidos '!C3288="azúcar"),"Azúcar o dulce",IF('Volúmenes DIstribuidos '!C3288="Aceite","Aceite o grasas",IF('Volúmenes DIstribuidos '!C3288="Avena","Otros almidones",'Volúmenes DIstribuidos '!C3288)))</f>
        <v>Lácteos</v>
      </c>
      <c r="C5494" s="10" t="s">
        <v>29</v>
      </c>
      <c r="D5494" s="12">
        <f>'Volúmenes DIstribuidos '!D3288</f>
        <v>20.66</v>
      </c>
      <c r="E5494" s="12">
        <f>SUMIF('Parametros Inventario'!$A:$A,B5494,'Parametros Inventario'!$B:$B)+SUMIFS(D$2:D5494,B$2:B5494,B5494,C$2:C5494,"ENTRADA")-SUMIFS(D$2:D5494,B$2:B5494,B5494,C$2:C5494,"SALIDA")</f>
        <v>26577.718000000001</v>
      </c>
    </row>
    <row r="5495" spans="1:5" x14ac:dyDescent="0.3">
      <c r="A5495" s="9">
        <f>'Volúmenes DIstribuidos '!B3285</f>
        <v>45961</v>
      </c>
      <c r="B5495" s="10" t="str">
        <f>IF(OR('Volúmenes DIstribuidos '!C3289="Azúcar",'Volúmenes DIstribuidos '!C3289="azúcar"),"Azúcar o dulce",IF('Volúmenes DIstribuidos '!C3289="Aceite","Aceite o grasas",IF('Volúmenes DIstribuidos '!C3289="Avena","Otros almidones",'Volúmenes DIstribuidos '!C3289)))</f>
        <v>Carnes rojas</v>
      </c>
      <c r="C5495" s="10" t="s">
        <v>29</v>
      </c>
      <c r="D5495" s="12">
        <f>'Volúmenes DIstribuidos '!D3289</f>
        <v>4.8600000000000003</v>
      </c>
      <c r="E5495" s="12">
        <f>SUMIF('Parametros Inventario'!$A:$A,B5495,'Parametros Inventario'!$B:$B)+SUMIFS(D$2:D5495,B$2:B5495,B5495,C$2:C5495,"ENTRADA")-SUMIFS(D$2:D5495,B$2:B5495,B5495,C$2:C5495,"SALIDA")</f>
        <v>26300.987999999998</v>
      </c>
    </row>
    <row r="5496" spans="1:5" x14ac:dyDescent="0.3">
      <c r="A5496" s="9">
        <f>'Volúmenes DIstribuidos '!B3285</f>
        <v>45961</v>
      </c>
      <c r="B5496" s="10" t="str">
        <f>IF(OR('Volúmenes DIstribuidos '!C3290="Azúcar",'Volúmenes DIstribuidos '!C3290="azúcar"),"Azúcar o dulce",IF('Volúmenes DIstribuidos '!C3290="Aceite","Aceite o grasas",IF('Volúmenes DIstribuidos '!C3290="Avena","Otros almidones",'Volúmenes DIstribuidos '!C3290)))</f>
        <v>Salsas</v>
      </c>
      <c r="C5496" s="10" t="s">
        <v>29</v>
      </c>
      <c r="D5496" s="12">
        <f>'Volúmenes DIstribuidos '!D3290</f>
        <v>30.039000000000001</v>
      </c>
      <c r="E5496" s="12">
        <f>SUMIF('Parametros Inventario'!$A:$A,B5496,'Parametros Inventario'!$B:$B)+SUMIFS(D$2:D5496,B$2:B5496,B5496,C$2:C5496,"ENTRADA")-SUMIFS(D$2:D5496,B$2:B5496,B5496,C$2:C5496,"SALIDA")</f>
        <v>26521.88499999998</v>
      </c>
    </row>
    <row r="5497" spans="1:5" x14ac:dyDescent="0.3">
      <c r="A5497" s="9">
        <f>'Volúmenes DIstribuidos '!B3291</f>
        <v>45965</v>
      </c>
      <c r="B5497" s="10" t="str">
        <f>IF(OR('Volúmenes DIstribuidos '!C3291="Azúcar",'Volúmenes DIstribuidos '!C3291="azúcar"),"Azúcar o dulce",IF('Volúmenes DIstribuidos '!C3291="Aceite","Aceite o grasas",IF('Volúmenes DIstribuidos '!C3291="Avena","Otros almidones",'Volúmenes DIstribuidos '!C3291)))</f>
        <v>Azúcar o dulce</v>
      </c>
      <c r="C5497" s="10" t="s">
        <v>29</v>
      </c>
      <c r="D5497" s="12">
        <f>'Volúmenes DIstribuidos '!D3291</f>
        <v>16.850000000000001</v>
      </c>
      <c r="E5497" s="12">
        <f>SUMIF('Parametros Inventario'!$A:$A,B5497,'Parametros Inventario'!$B:$B)+SUMIFS(D$2:D5497,B$2:B5497,B5497,C$2:C5497,"ENTRADA")-SUMIFS(D$2:D5497,B$2:B5497,B5497,C$2:C5497,"SALIDA")</f>
        <v>25521.710999999988</v>
      </c>
    </row>
    <row r="5498" spans="1:5" x14ac:dyDescent="0.3">
      <c r="A5498" s="9">
        <f>'Volúmenes DIstribuidos '!B3291</f>
        <v>45965</v>
      </c>
      <c r="B5498" s="10" t="str">
        <f>IF(OR('Volúmenes DIstribuidos '!C3292="Azúcar",'Volúmenes DIstribuidos '!C3292="azúcar"),"Azúcar o dulce",IF('Volúmenes DIstribuidos '!C3292="Aceite","Aceite o grasas",IF('Volúmenes DIstribuidos '!C3292="Avena","Otros almidones",'Volúmenes DIstribuidos '!C3292)))</f>
        <v>Carnes blancas</v>
      </c>
      <c r="C5498" s="10" t="s">
        <v>29</v>
      </c>
      <c r="D5498" s="12">
        <f>'Volúmenes DIstribuidos '!D3292</f>
        <v>15.13</v>
      </c>
      <c r="E5498" s="12">
        <f>SUMIF('Parametros Inventario'!$A:$A,B5498,'Parametros Inventario'!$B:$B)+SUMIFS(D$2:D5498,B$2:B5498,B5498,C$2:C5498,"ENTRADA")-SUMIFS(D$2:D5498,B$2:B5498,B5498,C$2:C5498,"SALIDA")</f>
        <v>26725.198999999986</v>
      </c>
    </row>
    <row r="5499" spans="1:5" x14ac:dyDescent="0.3">
      <c r="A5499" s="9">
        <f>'Volúmenes DIstribuidos '!B3291</f>
        <v>45965</v>
      </c>
      <c r="B5499" s="10" t="str">
        <f>IF(OR('Volúmenes DIstribuidos '!C3293="Azúcar",'Volúmenes DIstribuidos '!C3293="azúcar"),"Azúcar o dulce",IF('Volúmenes DIstribuidos '!C3293="Aceite","Aceite o grasas",IF('Volúmenes DIstribuidos '!C3293="Avena","Otros almidones",'Volúmenes DIstribuidos '!C3293)))</f>
        <v>Otros almidones</v>
      </c>
      <c r="C5499" s="10" t="s">
        <v>29</v>
      </c>
      <c r="D5499" s="12">
        <f>'Volúmenes DIstribuidos '!D3293</f>
        <v>25.95</v>
      </c>
      <c r="E5499" s="12">
        <f>SUMIF('Parametros Inventario'!$A:$A,B5499,'Parametros Inventario'!$B:$B)+SUMIFS(D$2:D5499,B$2:B5499,B5499,C$2:C5499,"ENTRADA")-SUMIFS(D$2:D5499,B$2:B5499,B5499,C$2:C5499,"SALIDA")</f>
        <v>29321.526000000005</v>
      </c>
    </row>
    <row r="5500" spans="1:5" x14ac:dyDescent="0.3">
      <c r="A5500" s="9">
        <f>'Volúmenes DIstribuidos '!B3291</f>
        <v>45965</v>
      </c>
      <c r="B5500" s="10" t="str">
        <f>IF(OR('Volúmenes DIstribuidos '!C3294="Azúcar",'Volúmenes DIstribuidos '!C3294="azúcar"),"Azúcar o dulce",IF('Volúmenes DIstribuidos '!C3294="Aceite","Aceite o grasas",IF('Volúmenes DIstribuidos '!C3294="Avena","Otros almidones",'Volúmenes DIstribuidos '!C3294)))</f>
        <v>Fideo</v>
      </c>
      <c r="C5500" s="10" t="s">
        <v>29</v>
      </c>
      <c r="D5500" s="12">
        <f>'Volúmenes DIstribuidos '!D3294</f>
        <v>6.4</v>
      </c>
      <c r="E5500" s="12">
        <f>SUMIF('Parametros Inventario'!$A:$A,B5500,'Parametros Inventario'!$B:$B)+SUMIFS(D$2:D5500,B$2:B5500,B5500,C$2:C5500,"ENTRADA")-SUMIFS(D$2:D5500,B$2:B5500,B5500,C$2:C5500,"SALIDA")</f>
        <v>29849.852000000006</v>
      </c>
    </row>
    <row r="5501" spans="1:5" x14ac:dyDescent="0.3">
      <c r="A5501" s="9">
        <f>'Volúmenes DIstribuidos '!B3291</f>
        <v>45965</v>
      </c>
      <c r="B5501" s="10" t="str">
        <f>IF(OR('Volúmenes DIstribuidos '!C3295="Azúcar",'Volúmenes DIstribuidos '!C3295="azúcar"),"Azúcar o dulce",IF('Volúmenes DIstribuidos '!C3295="Aceite","Aceite o grasas",IF('Volúmenes DIstribuidos '!C3295="Avena","Otros almidones",'Volúmenes DIstribuidos '!C3295)))</f>
        <v>Carnes rojas</v>
      </c>
      <c r="C5501" s="10" t="s">
        <v>29</v>
      </c>
      <c r="D5501" s="12">
        <f>'Volúmenes DIstribuidos '!D3295</f>
        <v>13.531000000000001</v>
      </c>
      <c r="E5501" s="12">
        <f>SUMIF('Parametros Inventario'!$A:$A,B5501,'Parametros Inventario'!$B:$B)+SUMIFS(D$2:D5501,B$2:B5501,B5501,C$2:C5501,"ENTRADA")-SUMIFS(D$2:D5501,B$2:B5501,B5501,C$2:C5501,"SALIDA")</f>
        <v>26287.456999999999</v>
      </c>
    </row>
    <row r="5502" spans="1:5" x14ac:dyDescent="0.3">
      <c r="A5502" s="9">
        <f>'Volúmenes DIstribuidos '!B3291</f>
        <v>45965</v>
      </c>
      <c r="B5502" s="10" t="str">
        <f>IF(OR('Volúmenes DIstribuidos '!C3296="Azúcar",'Volúmenes DIstribuidos '!C3296="azúcar"),"Azúcar o dulce",IF('Volúmenes DIstribuidos '!C3296="Aceite","Aceite o grasas",IF('Volúmenes DIstribuidos '!C3296="Avena","Otros almidones",'Volúmenes DIstribuidos '!C3296)))</f>
        <v>Carnes blancas</v>
      </c>
      <c r="C5502" s="10" t="s">
        <v>29</v>
      </c>
      <c r="D5502" s="12">
        <f>'Volúmenes DIstribuidos '!D3296</f>
        <v>55.63</v>
      </c>
      <c r="E5502" s="12">
        <f>SUMIF('Parametros Inventario'!$A:$A,B5502,'Parametros Inventario'!$B:$B)+SUMIFS(D$2:D5502,B$2:B5502,B5502,C$2:C5502,"ENTRADA")-SUMIFS(D$2:D5502,B$2:B5502,B5502,C$2:C5502,"SALIDA")</f>
        <v>26669.568999999989</v>
      </c>
    </row>
    <row r="5503" spans="1:5" x14ac:dyDescent="0.3">
      <c r="A5503" s="9">
        <v>45968</v>
      </c>
      <c r="B5503" s="10" t="s">
        <v>17</v>
      </c>
      <c r="C5503" s="10" t="s">
        <v>28</v>
      </c>
      <c r="D5503" s="12">
        <v>186.18</v>
      </c>
      <c r="E5503" s="12">
        <f>SUMIF('Parametros Inventario'!$A:$A,B5503,'Parametros Inventario'!$B:$B)+SUMIFS(D$2:D5503,B$2:B5503,B5503,C$2:C5503,"ENTRADA")-SUMIFS(D$2:D5503,B$2:B5503,B5503,C$2:C5503,"SALIDA")</f>
        <v>26763.898000000001</v>
      </c>
    </row>
    <row r="5504" spans="1:5" x14ac:dyDescent="0.3">
      <c r="A5504" s="9">
        <v>45968</v>
      </c>
      <c r="B5504" s="10" t="s">
        <v>18</v>
      </c>
      <c r="C5504" s="10" t="s">
        <v>28</v>
      </c>
      <c r="D5504" s="12">
        <v>208.38</v>
      </c>
      <c r="E5504" s="12">
        <f>SUMIF('Parametros Inventario'!$A:$A,B5504,'Parametros Inventario'!$B:$B)+SUMIFS(D$2:D5504,B$2:B5504,B5504,C$2:C5504,"ENTRADA")-SUMIFS(D$2:D5504,B$2:B5504,B5504,C$2:C5504,"SALIDA")</f>
        <v>26730.264999999978</v>
      </c>
    </row>
    <row r="5505" spans="1:5" x14ac:dyDescent="0.3">
      <c r="A5505" s="9">
        <v>45968</v>
      </c>
      <c r="B5505" s="10" t="s">
        <v>10</v>
      </c>
      <c r="C5505" s="10" t="s">
        <v>28</v>
      </c>
      <c r="D5505" s="12">
        <v>175.84</v>
      </c>
      <c r="E5505" s="12">
        <f>SUMIF('Parametros Inventario'!$A:$A,B5505,'Parametros Inventario'!$B:$B)+SUMIFS(D$2:D5505,B$2:B5505,B5505,C$2:C5505,"ENTRADA")-SUMIFS(D$2:D5505,B$2:B5505,B5505,C$2:C5505,"SALIDA")</f>
        <v>28033.084999999977</v>
      </c>
    </row>
    <row r="5506" spans="1:5" x14ac:dyDescent="0.3">
      <c r="A5506" s="9">
        <v>45968</v>
      </c>
      <c r="B5506" s="10" t="s">
        <v>8</v>
      </c>
      <c r="C5506" s="10" t="s">
        <v>28</v>
      </c>
      <c r="D5506" s="12">
        <v>251.47</v>
      </c>
      <c r="E5506" s="12">
        <f>SUMIF('Parametros Inventario'!$A:$A,B5506,'Parametros Inventario'!$B:$B)+SUMIFS(D$2:D5506,B$2:B5506,B5506,C$2:C5506,"ENTRADA")-SUMIFS(D$2:D5506,B$2:B5506,B5506,C$2:C5506,"SALIDA")</f>
        <v>26547.099000000009</v>
      </c>
    </row>
    <row r="5507" spans="1:5" x14ac:dyDescent="0.3">
      <c r="A5507" s="9">
        <v>45968</v>
      </c>
      <c r="B5507" s="10" t="s">
        <v>13</v>
      </c>
      <c r="C5507" s="10" t="s">
        <v>28</v>
      </c>
      <c r="D5507" s="12">
        <v>216.93</v>
      </c>
      <c r="E5507" s="12">
        <f>SUMIF('Parametros Inventario'!$A:$A,B5507,'Parametros Inventario'!$B:$B)+SUMIFS(D$2:D5507,B$2:B5507,B5507,C$2:C5507,"ENTRADA")-SUMIFS(D$2:D5507,B$2:B5507,B5507,C$2:C5507,"SALIDA")</f>
        <v>25738.640999999981</v>
      </c>
    </row>
    <row r="5508" spans="1:5" x14ac:dyDescent="0.3">
      <c r="A5508" s="9">
        <v>45968</v>
      </c>
      <c r="B5508" s="10" t="s">
        <v>15</v>
      </c>
      <c r="C5508" s="10" t="s">
        <v>28</v>
      </c>
      <c r="D5508" s="12">
        <v>262.93</v>
      </c>
      <c r="E5508" s="12">
        <f>SUMIF('Parametros Inventario'!$A:$A,B5508,'Parametros Inventario'!$B:$B)+SUMIFS(D$2:D5508,B$2:B5508,B5508,C$2:C5508,"ENTRADA")-SUMIFS(D$2:D5508,B$2:B5508,B5508,C$2:C5508,"SALIDA")</f>
        <v>29584.456000000006</v>
      </c>
    </row>
    <row r="5509" spans="1:5" x14ac:dyDescent="0.3">
      <c r="A5509" s="9">
        <v>45968</v>
      </c>
      <c r="B5509" s="10" t="s">
        <v>11</v>
      </c>
      <c r="C5509" s="10" t="s">
        <v>28</v>
      </c>
      <c r="D5509" s="12">
        <v>102.97</v>
      </c>
      <c r="E5509" s="12">
        <f>SUMIF('Parametros Inventario'!$A:$A,B5509,'Parametros Inventario'!$B:$B)+SUMIFS(D$2:D5509,B$2:B5509,B5509,C$2:C5509,"ENTRADA")-SUMIFS(D$2:D5509,B$2:B5509,B5509,C$2:C5509,"SALIDA")</f>
        <v>29952.822000000007</v>
      </c>
    </row>
    <row r="5510" spans="1:5" x14ac:dyDescent="0.3">
      <c r="A5510" s="9">
        <v>45968</v>
      </c>
      <c r="B5510" s="10" t="s">
        <v>9</v>
      </c>
      <c r="C5510" s="10" t="s">
        <v>28</v>
      </c>
      <c r="D5510" s="12">
        <v>244.22</v>
      </c>
      <c r="E5510" s="12">
        <f>SUMIF('Parametros Inventario'!$A:$A,B5510,'Parametros Inventario'!$B:$B)+SUMIFS(D$2:D5510,B$2:B5510,B5510,C$2:C5510,"ENTRADA")-SUMIFS(D$2:D5510,B$2:B5510,B5510,C$2:C5510,"SALIDA")</f>
        <v>26037.370000000003</v>
      </c>
    </row>
    <row r="5511" spans="1:5" x14ac:dyDescent="0.3">
      <c r="A5511" s="9">
        <v>45968</v>
      </c>
      <c r="B5511" s="10" t="s">
        <v>14</v>
      </c>
      <c r="C5511" s="10" t="s">
        <v>28</v>
      </c>
      <c r="D5511" s="12">
        <v>187.9</v>
      </c>
      <c r="E5511" s="12">
        <f>SUMIF('Parametros Inventario'!$A:$A,B5511,'Parametros Inventario'!$B:$B)+SUMIFS(D$2:D5511,B$2:B5511,B5511,C$2:C5511,"ENTRADA")-SUMIFS(D$2:D5511,B$2:B5511,B5511,C$2:C5511,"SALIDA")</f>
        <v>26472.190999999981</v>
      </c>
    </row>
    <row r="5512" spans="1:5" x14ac:dyDescent="0.3">
      <c r="A5512" s="9">
        <v>45968</v>
      </c>
      <c r="B5512" s="10" t="s">
        <v>12</v>
      </c>
      <c r="C5512" s="10" t="s">
        <v>28</v>
      </c>
      <c r="D5512" s="12">
        <v>78.63</v>
      </c>
      <c r="E5512" s="12">
        <f>SUMIF('Parametros Inventario'!$A:$A,B5512,'Parametros Inventario'!$B:$B)+SUMIFS(D$2:D5512,B$2:B5512,B5512,C$2:C5512,"ENTRADA")-SUMIFS(D$2:D5512,B$2:B5512,B5512,C$2:C5512,"SALIDA")</f>
        <v>26366.086999999996</v>
      </c>
    </row>
    <row r="5513" spans="1:5" x14ac:dyDescent="0.3">
      <c r="A5513" s="9">
        <v>45968</v>
      </c>
      <c r="B5513" s="10" t="s">
        <v>16</v>
      </c>
      <c r="C5513" s="10" t="s">
        <v>28</v>
      </c>
      <c r="D5513" s="12">
        <v>264.08999999999997</v>
      </c>
      <c r="E5513" s="12">
        <f>SUMIF('Parametros Inventario'!$A:$A,B5513,'Parametros Inventario'!$B:$B)+SUMIFS(D$2:D5513,B$2:B5513,B5513,C$2:C5513,"ENTRADA")-SUMIFS(D$2:D5513,B$2:B5513,B5513,C$2:C5513,"SALIDA")</f>
        <v>26933.658999999985</v>
      </c>
    </row>
    <row r="5514" spans="1:5" x14ac:dyDescent="0.3">
      <c r="A5514" s="9">
        <v>45968</v>
      </c>
      <c r="B5514" s="10" t="s">
        <v>17</v>
      </c>
      <c r="C5514" s="10" t="s">
        <v>28</v>
      </c>
      <c r="D5514" s="12">
        <v>287.64</v>
      </c>
      <c r="E5514" s="12">
        <f>SUMIF('Parametros Inventario'!$A:$A,B5514,'Parametros Inventario'!$B:$B)+SUMIFS(D$2:D5514,B$2:B5514,B5514,C$2:C5514,"ENTRADA")-SUMIFS(D$2:D5514,B$2:B5514,B5514,C$2:C5514,"SALIDA")</f>
        <v>27051.538</v>
      </c>
    </row>
    <row r="5515" spans="1:5" x14ac:dyDescent="0.3">
      <c r="A5515" s="9">
        <f>'Volúmenes DIstribuidos '!B3297</f>
        <v>45968</v>
      </c>
      <c r="B5515" s="10" t="str">
        <f>IF(OR('Volúmenes DIstribuidos '!C3297="Azúcar",'Volúmenes DIstribuidos '!C3297="azúcar"),"Azúcar o dulce",IF('Volúmenes DIstribuidos '!C3297="Aceite","Aceite o grasas",IF('Volúmenes DIstribuidos '!C3297="Avena","Otros almidones",'Volúmenes DIstribuidos '!C3297)))</f>
        <v>Fideo</v>
      </c>
      <c r="C5515" s="10" t="s">
        <v>29</v>
      </c>
      <c r="D5515" s="12">
        <f>'Volúmenes DIstribuidos '!D3297</f>
        <v>31.92</v>
      </c>
      <c r="E5515" s="12">
        <f>SUMIF('Parametros Inventario'!$A:$A,B5515,'Parametros Inventario'!$B:$B)+SUMIFS(D$2:D5515,B$2:B5515,B5515,C$2:C5515,"ENTRADA")-SUMIFS(D$2:D5515,B$2:B5515,B5515,C$2:C5515,"SALIDA")</f>
        <v>29920.902000000006</v>
      </c>
    </row>
    <row r="5516" spans="1:5" x14ac:dyDescent="0.3">
      <c r="A5516" s="9">
        <f>'Volúmenes DIstribuidos '!B3297</f>
        <v>45968</v>
      </c>
      <c r="B5516" s="10" t="str">
        <f>IF(OR('Volúmenes DIstribuidos '!C3298="Azúcar",'Volúmenes DIstribuidos '!C3298="azúcar"),"Azúcar o dulce",IF('Volúmenes DIstribuidos '!C3298="Aceite","Aceite o grasas",IF('Volúmenes DIstribuidos '!C3298="Avena","Otros almidones",'Volúmenes DIstribuidos '!C3298)))</f>
        <v>Lácteos</v>
      </c>
      <c r="C5516" s="10" t="s">
        <v>29</v>
      </c>
      <c r="D5516" s="12">
        <f>'Volúmenes DIstribuidos '!D3298</f>
        <v>23.51</v>
      </c>
      <c r="E5516" s="12">
        <f>SUMIF('Parametros Inventario'!$A:$A,B5516,'Parametros Inventario'!$B:$B)+SUMIFS(D$2:D5516,B$2:B5516,B5516,C$2:C5516,"ENTRADA")-SUMIFS(D$2:D5516,B$2:B5516,B5516,C$2:C5516,"SALIDA")</f>
        <v>27028.027999999998</v>
      </c>
    </row>
    <row r="5517" spans="1:5" x14ac:dyDescent="0.3">
      <c r="A5517" s="9">
        <f>'Volúmenes DIstribuidos '!B3297</f>
        <v>45968</v>
      </c>
      <c r="B5517" s="10" t="str">
        <f>IF(OR('Volúmenes DIstribuidos '!C3299="Azúcar",'Volúmenes DIstribuidos '!C3299="azúcar"),"Azúcar o dulce",IF('Volúmenes DIstribuidos '!C3299="Aceite","Aceite o grasas",IF('Volúmenes DIstribuidos '!C3299="Avena","Otros almidones",'Volúmenes DIstribuidos '!C3299)))</f>
        <v>Vegetales y hojas</v>
      </c>
      <c r="C5517" s="10" t="s">
        <v>29</v>
      </c>
      <c r="D5517" s="12">
        <f>'Volúmenes DIstribuidos '!D3299</f>
        <v>13.471</v>
      </c>
      <c r="E5517" s="12">
        <f>SUMIF('Parametros Inventario'!$A:$A,B5517,'Parametros Inventario'!$B:$B)+SUMIFS(D$2:D5517,B$2:B5517,B5517,C$2:C5517,"ENTRADA")-SUMIFS(D$2:D5517,B$2:B5517,B5517,C$2:C5517,"SALIDA")</f>
        <v>28019.61399999998</v>
      </c>
    </row>
    <row r="5518" spans="1:5" x14ac:dyDescent="0.3">
      <c r="A5518" s="9">
        <f>'Volúmenes DIstribuidos '!B3297</f>
        <v>45968</v>
      </c>
      <c r="B5518" s="10" t="str">
        <f>IF(OR('Volúmenes DIstribuidos '!C3300="Azúcar",'Volúmenes DIstribuidos '!C3300="azúcar"),"Azúcar o dulce",IF('Volúmenes DIstribuidos '!C3300="Aceite","Aceite o grasas",IF('Volúmenes DIstribuidos '!C3300="Avena","Otros almidones",'Volúmenes DIstribuidos '!C3300)))</f>
        <v>Otros almidones</v>
      </c>
      <c r="C5518" s="10" t="s">
        <v>29</v>
      </c>
      <c r="D5518" s="12">
        <f>'Volúmenes DIstribuidos '!D3300</f>
        <v>15.23</v>
      </c>
      <c r="E5518" s="12">
        <f>SUMIF('Parametros Inventario'!$A:$A,B5518,'Parametros Inventario'!$B:$B)+SUMIFS(D$2:D5518,B$2:B5518,B5518,C$2:C5518,"ENTRADA")-SUMIFS(D$2:D5518,B$2:B5518,B5518,C$2:C5518,"SALIDA")</f>
        <v>29569.22600000001</v>
      </c>
    </row>
    <row r="5519" spans="1:5" x14ac:dyDescent="0.3">
      <c r="A5519" s="9">
        <f>'Volúmenes DIstribuidos '!B3297</f>
        <v>45968</v>
      </c>
      <c r="B5519" s="10" t="str">
        <f>IF(OR('Volúmenes DIstribuidos '!C3301="Azúcar",'Volúmenes DIstribuidos '!C3301="azúcar"),"Azúcar o dulce",IF('Volúmenes DIstribuidos '!C3301="Aceite","Aceite o grasas",IF('Volúmenes DIstribuidos '!C3301="Avena","Otros almidones",'Volúmenes DIstribuidos '!C3301)))</f>
        <v>Carnes rojas</v>
      </c>
      <c r="C5519" s="10" t="s">
        <v>29</v>
      </c>
      <c r="D5519" s="12">
        <f>'Volúmenes DIstribuidos '!D3301</f>
        <v>15.25</v>
      </c>
      <c r="E5519" s="12">
        <f>SUMIF('Parametros Inventario'!$A:$A,B5519,'Parametros Inventario'!$B:$B)+SUMIFS(D$2:D5519,B$2:B5519,B5519,C$2:C5519,"ENTRADA")-SUMIFS(D$2:D5519,B$2:B5519,B5519,C$2:C5519,"SALIDA")</f>
        <v>26350.836999999996</v>
      </c>
    </row>
    <row r="5520" spans="1:5" x14ac:dyDescent="0.3">
      <c r="A5520" s="9">
        <f>'Volúmenes DIstribuidos '!B3297</f>
        <v>45968</v>
      </c>
      <c r="B5520" s="10" t="str">
        <f>IF(OR('Volúmenes DIstribuidos '!C3302="Azúcar",'Volúmenes DIstribuidos '!C3302="azúcar"),"Azúcar o dulce",IF('Volúmenes DIstribuidos '!C3302="Aceite","Aceite o grasas",IF('Volúmenes DIstribuidos '!C3302="Avena","Otros almidones",'Volúmenes DIstribuidos '!C3302)))</f>
        <v>Panadería</v>
      </c>
      <c r="C5520" s="10" t="s">
        <v>29</v>
      </c>
      <c r="D5520" s="12">
        <f>'Volúmenes DIstribuidos '!D3302</f>
        <v>10.61</v>
      </c>
      <c r="E5520" s="12">
        <f>SUMIF('Parametros Inventario'!$A:$A,B5520,'Parametros Inventario'!$B:$B)+SUMIFS(D$2:D5520,B$2:B5520,B5520,C$2:C5520,"ENTRADA")-SUMIFS(D$2:D5520,B$2:B5520,B5520,C$2:C5520,"SALIDA")</f>
        <v>26026.760000000002</v>
      </c>
    </row>
    <row r="5521" spans="1:5" x14ac:dyDescent="0.3">
      <c r="A5521" s="9">
        <f>'Volúmenes DIstribuidos '!B3303</f>
        <v>45972</v>
      </c>
      <c r="B5521" s="10" t="str">
        <f>IF(OR('Volúmenes DIstribuidos '!C3303="Azúcar",'Volúmenes DIstribuidos '!C3303="azúcar"),"Azúcar o dulce",IF('Volúmenes DIstribuidos '!C3303="Aceite","Aceite o grasas",IF('Volúmenes DIstribuidos '!C3303="Avena","Otros almidones",'Volúmenes DIstribuidos '!C3303)))</f>
        <v>Carnes blancas</v>
      </c>
      <c r="C5521" s="10" t="s">
        <v>29</v>
      </c>
      <c r="D5521" s="12">
        <f>'Volúmenes DIstribuidos '!D3303</f>
        <v>9.14</v>
      </c>
      <c r="E5521" s="12">
        <f>SUMIF('Parametros Inventario'!$A:$A,B5521,'Parametros Inventario'!$B:$B)+SUMIFS(D$2:D5521,B$2:B5521,B5521,C$2:C5521,"ENTRADA")-SUMIFS(D$2:D5521,B$2:B5521,B5521,C$2:C5521,"SALIDA")</f>
        <v>26924.518999999986</v>
      </c>
    </row>
    <row r="5522" spans="1:5" x14ac:dyDescent="0.3">
      <c r="A5522" s="9">
        <f>'Volúmenes DIstribuidos '!B3303</f>
        <v>45972</v>
      </c>
      <c r="B5522" s="10" t="str">
        <f>IF(OR('Volúmenes DIstribuidos '!C3304="Azúcar",'Volúmenes DIstribuidos '!C3304="azúcar"),"Azúcar o dulce",IF('Volúmenes DIstribuidos '!C3304="Aceite","Aceite o grasas",IF('Volúmenes DIstribuidos '!C3304="Avena","Otros almidones",'Volúmenes DIstribuidos '!C3304)))</f>
        <v>Salsas</v>
      </c>
      <c r="C5522" s="10" t="s">
        <v>29</v>
      </c>
      <c r="D5522" s="12">
        <f>'Volúmenes DIstribuidos '!D3304</f>
        <v>21.91</v>
      </c>
      <c r="E5522" s="12">
        <f>SUMIF('Parametros Inventario'!$A:$A,B5522,'Parametros Inventario'!$B:$B)+SUMIFS(D$2:D5522,B$2:B5522,B5522,C$2:C5522,"ENTRADA")-SUMIFS(D$2:D5522,B$2:B5522,B5522,C$2:C5522,"SALIDA")</f>
        <v>26708.354999999974</v>
      </c>
    </row>
    <row r="5523" spans="1:5" x14ac:dyDescent="0.3">
      <c r="A5523" s="9">
        <f>'Volúmenes DIstribuidos '!B3303</f>
        <v>45972</v>
      </c>
      <c r="B5523" s="10" t="str">
        <f>IF(OR('Volúmenes DIstribuidos '!C3305="Azúcar",'Volúmenes DIstribuidos '!C3305="azúcar"),"Azúcar o dulce",IF('Volúmenes DIstribuidos '!C3305="Aceite","Aceite o grasas",IF('Volúmenes DIstribuidos '!C3305="Avena","Otros almidones",'Volúmenes DIstribuidos '!C3305)))</f>
        <v>Azúcar o dulce</v>
      </c>
      <c r="C5523" s="10" t="s">
        <v>29</v>
      </c>
      <c r="D5523" s="12">
        <f>'Volúmenes DIstribuidos '!D3305</f>
        <v>17.007000000000001</v>
      </c>
      <c r="E5523" s="12">
        <f>SUMIF('Parametros Inventario'!$A:$A,B5523,'Parametros Inventario'!$B:$B)+SUMIFS(D$2:D5523,B$2:B5523,B5523,C$2:C5523,"ENTRADA")-SUMIFS(D$2:D5523,B$2:B5523,B5523,C$2:C5523,"SALIDA")</f>
        <v>25721.633999999984</v>
      </c>
    </row>
    <row r="5524" spans="1:5" x14ac:dyDescent="0.3">
      <c r="A5524" s="9">
        <f>'Volúmenes DIstribuidos '!B3303</f>
        <v>45972</v>
      </c>
      <c r="B5524" s="10" t="str">
        <f>IF(OR('Volúmenes DIstribuidos '!C3306="Azúcar",'Volúmenes DIstribuidos '!C3306="azúcar"),"Azúcar o dulce",IF('Volúmenes DIstribuidos '!C3306="Aceite","Aceite o grasas",IF('Volúmenes DIstribuidos '!C3306="Avena","Otros almidones",'Volúmenes DIstribuidos '!C3306)))</f>
        <v>Vegetales y hojas</v>
      </c>
      <c r="C5524" s="10" t="s">
        <v>29</v>
      </c>
      <c r="D5524" s="12">
        <f>'Volúmenes DIstribuidos '!D3306</f>
        <v>24.57</v>
      </c>
      <c r="E5524" s="12">
        <f>SUMIF('Parametros Inventario'!$A:$A,B5524,'Parametros Inventario'!$B:$B)+SUMIFS(D$2:D5524,B$2:B5524,B5524,C$2:C5524,"ENTRADA")-SUMIFS(D$2:D5524,B$2:B5524,B5524,C$2:C5524,"SALIDA")</f>
        <v>27995.04399999998</v>
      </c>
    </row>
    <row r="5525" spans="1:5" x14ac:dyDescent="0.3">
      <c r="A5525" s="9">
        <f>'Volúmenes DIstribuidos '!B3303</f>
        <v>45972</v>
      </c>
      <c r="B5525" s="10" t="str">
        <f>IF(OR('Volúmenes DIstribuidos '!C3307="Azúcar",'Volúmenes DIstribuidos '!C3307="azúcar"),"Azúcar o dulce",IF('Volúmenes DIstribuidos '!C3307="Aceite","Aceite o grasas",IF('Volúmenes DIstribuidos '!C3307="Avena","Otros almidones",'Volúmenes DIstribuidos '!C3307)))</f>
        <v>Carnes blancas</v>
      </c>
      <c r="C5525" s="10" t="s">
        <v>29</v>
      </c>
      <c r="D5525" s="12">
        <f>'Volúmenes DIstribuidos '!D3307</f>
        <v>19.72</v>
      </c>
      <c r="E5525" s="12">
        <f>SUMIF('Parametros Inventario'!$A:$A,B5525,'Parametros Inventario'!$B:$B)+SUMIFS(D$2:D5525,B$2:B5525,B5525,C$2:C5525,"ENTRADA")-SUMIFS(D$2:D5525,B$2:B5525,B5525,C$2:C5525,"SALIDA")</f>
        <v>26904.798999999985</v>
      </c>
    </row>
    <row r="5526" spans="1:5" x14ac:dyDescent="0.3">
      <c r="A5526" s="9">
        <f>'Volúmenes DIstribuidos '!B3303</f>
        <v>45972</v>
      </c>
      <c r="B5526" s="10" t="str">
        <f>IF(OR('Volúmenes DIstribuidos '!C3308="Azúcar",'Volúmenes DIstribuidos '!C3308="azúcar"),"Azúcar o dulce",IF('Volúmenes DIstribuidos '!C3308="Aceite","Aceite o grasas",IF('Volúmenes DIstribuidos '!C3308="Avena","Otros almidones",'Volúmenes DIstribuidos '!C3308)))</f>
        <v>Carnes rojas</v>
      </c>
      <c r="C5526" s="10" t="s">
        <v>29</v>
      </c>
      <c r="D5526" s="12">
        <f>'Volúmenes DIstribuidos '!D3308</f>
        <v>5.2549999999999999</v>
      </c>
      <c r="E5526" s="12">
        <f>SUMIF('Parametros Inventario'!$A:$A,B5526,'Parametros Inventario'!$B:$B)+SUMIFS(D$2:D5526,B$2:B5526,B5526,C$2:C5526,"ENTRADA")-SUMIFS(D$2:D5526,B$2:B5526,B5526,C$2:C5526,"SALIDA")</f>
        <v>26345.581999999995</v>
      </c>
    </row>
    <row r="5527" spans="1:5" x14ac:dyDescent="0.3">
      <c r="A5527" s="9">
        <f>'Volúmenes DIstribuidos '!B3309</f>
        <v>45975</v>
      </c>
      <c r="B5527" s="10" t="str">
        <f>IF(OR('Volúmenes DIstribuidos '!C3309="Azúcar",'Volúmenes DIstribuidos '!C3309="azúcar"),"Azúcar o dulce",IF('Volúmenes DIstribuidos '!C3309="Aceite","Aceite o grasas",IF('Volúmenes DIstribuidos '!C3309="Avena","Otros almidones",'Volúmenes DIstribuidos '!C3309)))</f>
        <v>Carnes blancas</v>
      </c>
      <c r="C5527" s="10" t="s">
        <v>29</v>
      </c>
      <c r="D5527" s="12">
        <f>'Volúmenes DIstribuidos '!D3309</f>
        <v>6.45</v>
      </c>
      <c r="E5527" s="12">
        <f>SUMIF('Parametros Inventario'!$A:$A,B5527,'Parametros Inventario'!$B:$B)+SUMIFS(D$2:D5527,B$2:B5527,B5527,C$2:C5527,"ENTRADA")-SUMIFS(D$2:D5527,B$2:B5527,B5527,C$2:C5527,"SALIDA")</f>
        <v>26898.348999999984</v>
      </c>
    </row>
    <row r="5528" spans="1:5" x14ac:dyDescent="0.3">
      <c r="A5528" s="9">
        <f>'Volúmenes DIstribuidos '!B3309</f>
        <v>45975</v>
      </c>
      <c r="B5528" s="10" t="str">
        <f>IF(OR('Volúmenes DIstribuidos '!C3310="Azúcar",'Volúmenes DIstribuidos '!C3310="azúcar"),"Azúcar o dulce",IF('Volúmenes DIstribuidos '!C3310="Aceite","Aceite o grasas",IF('Volúmenes DIstribuidos '!C3310="Avena","Otros almidones",'Volúmenes DIstribuidos '!C3310)))</f>
        <v>Salsas</v>
      </c>
      <c r="C5528" s="10" t="s">
        <v>29</v>
      </c>
      <c r="D5528" s="12">
        <f>'Volúmenes DIstribuidos '!D3310</f>
        <v>17.940000000000001</v>
      </c>
      <c r="E5528" s="12">
        <f>SUMIF('Parametros Inventario'!$A:$A,B5528,'Parametros Inventario'!$B:$B)+SUMIFS(D$2:D5528,B$2:B5528,B5528,C$2:C5528,"ENTRADA")-SUMIFS(D$2:D5528,B$2:B5528,B5528,C$2:C5528,"SALIDA")</f>
        <v>26690.414999999975</v>
      </c>
    </row>
    <row r="5529" spans="1:5" x14ac:dyDescent="0.3">
      <c r="A5529" s="9">
        <f>'Volúmenes DIstribuidos '!B3309</f>
        <v>45975</v>
      </c>
      <c r="B5529" s="10" t="str">
        <f>IF(OR('Volúmenes DIstribuidos '!C3311="Azúcar",'Volúmenes DIstribuidos '!C3311="azúcar"),"Azúcar o dulce",IF('Volúmenes DIstribuidos '!C3311="Aceite","Aceite o grasas",IF('Volúmenes DIstribuidos '!C3311="Avena","Otros almidones",'Volúmenes DIstribuidos '!C3311)))</f>
        <v>Panadería</v>
      </c>
      <c r="C5529" s="10" t="s">
        <v>29</v>
      </c>
      <c r="D5529" s="12">
        <f>'Volúmenes DIstribuidos '!D3311</f>
        <v>13.36</v>
      </c>
      <c r="E5529" s="12">
        <f>SUMIF('Parametros Inventario'!$A:$A,B5529,'Parametros Inventario'!$B:$B)+SUMIFS(D$2:D5529,B$2:B5529,B5529,C$2:C5529,"ENTRADA")-SUMIFS(D$2:D5529,B$2:B5529,B5529,C$2:C5529,"SALIDA")</f>
        <v>26013.4</v>
      </c>
    </row>
    <row r="5530" spans="1:5" x14ac:dyDescent="0.3">
      <c r="A5530" s="9">
        <f>'Volúmenes DIstribuidos '!B3309</f>
        <v>45975</v>
      </c>
      <c r="B5530" s="10" t="str">
        <f>IF(OR('Volúmenes DIstribuidos '!C3312="Azúcar",'Volúmenes DIstribuidos '!C3312="azúcar"),"Azúcar o dulce",IF('Volúmenes DIstribuidos '!C3312="Aceite","Aceite o grasas",IF('Volúmenes DIstribuidos '!C3312="Avena","Otros almidones",'Volúmenes DIstribuidos '!C3312)))</f>
        <v>Fideo</v>
      </c>
      <c r="C5530" s="10" t="s">
        <v>29</v>
      </c>
      <c r="D5530" s="12">
        <f>'Volúmenes DIstribuidos '!D3312</f>
        <v>7.18</v>
      </c>
      <c r="E5530" s="12">
        <f>SUMIF('Parametros Inventario'!$A:$A,B5530,'Parametros Inventario'!$B:$B)+SUMIFS(D$2:D5530,B$2:B5530,B5530,C$2:C5530,"ENTRADA")-SUMIFS(D$2:D5530,B$2:B5530,B5530,C$2:C5530,"SALIDA")</f>
        <v>29913.722000000005</v>
      </c>
    </row>
    <row r="5531" spans="1:5" x14ac:dyDescent="0.3">
      <c r="A5531" s="9">
        <f>'Volúmenes DIstribuidos '!B3309</f>
        <v>45975</v>
      </c>
      <c r="B5531" s="10" t="str">
        <f>IF(OR('Volúmenes DIstribuidos '!C3313="Azúcar",'Volúmenes DIstribuidos '!C3313="azúcar"),"Azúcar o dulce",IF('Volúmenes DIstribuidos '!C3313="Aceite","Aceite o grasas",IF('Volúmenes DIstribuidos '!C3313="Avena","Otros almidones",'Volúmenes DIstribuidos '!C3313)))</f>
        <v>Vegetales y hojas</v>
      </c>
      <c r="C5531" s="10" t="s">
        <v>29</v>
      </c>
      <c r="D5531" s="12">
        <f>'Volúmenes DIstribuidos '!D3313</f>
        <v>25.643999999999998</v>
      </c>
      <c r="E5531" s="12">
        <f>SUMIF('Parametros Inventario'!$A:$A,B5531,'Parametros Inventario'!$B:$B)+SUMIFS(D$2:D5531,B$2:B5531,B5531,C$2:C5531,"ENTRADA")-SUMIFS(D$2:D5531,B$2:B5531,B5531,C$2:C5531,"SALIDA")</f>
        <v>27969.39999999998</v>
      </c>
    </row>
    <row r="5532" spans="1:5" x14ac:dyDescent="0.3">
      <c r="A5532" s="9">
        <f>'Volúmenes DIstribuidos '!B3309</f>
        <v>45975</v>
      </c>
      <c r="B5532" s="10" t="str">
        <f>IF(OR('Volúmenes DIstribuidos '!C3314="Azúcar",'Volúmenes DIstribuidos '!C3314="azúcar"),"Azúcar o dulce",IF('Volúmenes DIstribuidos '!C3314="Aceite","Aceite o grasas",IF('Volúmenes DIstribuidos '!C3314="Avena","Otros almidones",'Volúmenes DIstribuidos '!C3314)))</f>
        <v>Otros almidones</v>
      </c>
      <c r="C5532" s="10" t="s">
        <v>29</v>
      </c>
      <c r="D5532" s="12">
        <f>'Volúmenes DIstribuidos '!D3314</f>
        <v>15.36</v>
      </c>
      <c r="E5532" s="12">
        <f>SUMIF('Parametros Inventario'!$A:$A,B5532,'Parametros Inventario'!$B:$B)+SUMIFS(D$2:D5532,B$2:B5532,B5532,C$2:C5532,"ENTRADA")-SUMIFS(D$2:D5532,B$2:B5532,B5532,C$2:C5532,"SALIDA")</f>
        <v>29553.866000000009</v>
      </c>
    </row>
    <row r="5533" spans="1:5" x14ac:dyDescent="0.3">
      <c r="A5533" s="9">
        <f>'Volúmenes DIstribuidos '!B3315</f>
        <v>45979</v>
      </c>
      <c r="B5533" s="10" t="str">
        <f>IF(OR('Volúmenes DIstribuidos '!C3315="Azúcar",'Volúmenes DIstribuidos '!C3315="azúcar"),"Azúcar o dulce",IF('Volúmenes DIstribuidos '!C3315="Aceite","Aceite o grasas",IF('Volúmenes DIstribuidos '!C3315="Avena","Otros almidones",'Volúmenes DIstribuidos '!C3315)))</f>
        <v>Carnes rojas</v>
      </c>
      <c r="C5533" s="10" t="s">
        <v>29</v>
      </c>
      <c r="D5533" s="12">
        <f>'Volúmenes DIstribuidos '!D3315</f>
        <v>15.46</v>
      </c>
      <c r="E5533" s="12">
        <f>SUMIF('Parametros Inventario'!$A:$A,B5533,'Parametros Inventario'!$B:$B)+SUMIFS(D$2:D5533,B$2:B5533,B5533,C$2:C5533,"ENTRADA")-SUMIFS(D$2:D5533,B$2:B5533,B5533,C$2:C5533,"SALIDA")</f>
        <v>26330.121999999996</v>
      </c>
    </row>
    <row r="5534" spans="1:5" x14ac:dyDescent="0.3">
      <c r="A5534" s="9">
        <f>'Volúmenes DIstribuidos '!B3315</f>
        <v>45979</v>
      </c>
      <c r="B5534" s="10" t="str">
        <f>IF(OR('Volúmenes DIstribuidos '!C3316="Azúcar",'Volúmenes DIstribuidos '!C3316="azúcar"),"Azúcar o dulce",IF('Volúmenes DIstribuidos '!C3316="Aceite","Aceite o grasas",IF('Volúmenes DIstribuidos '!C3316="Avena","Otros almidones",'Volúmenes DIstribuidos '!C3316)))</f>
        <v>Panadería</v>
      </c>
      <c r="C5534" s="10" t="s">
        <v>29</v>
      </c>
      <c r="D5534" s="12">
        <f>'Volúmenes DIstribuidos '!D3316</f>
        <v>5.45</v>
      </c>
      <c r="E5534" s="12">
        <f>SUMIF('Parametros Inventario'!$A:$A,B5534,'Parametros Inventario'!$B:$B)+SUMIFS(D$2:D5534,B$2:B5534,B5534,C$2:C5534,"ENTRADA")-SUMIFS(D$2:D5534,B$2:B5534,B5534,C$2:C5534,"SALIDA")</f>
        <v>26007.950000000004</v>
      </c>
    </row>
    <row r="5535" spans="1:5" x14ac:dyDescent="0.3">
      <c r="A5535" s="9">
        <f>'Volúmenes DIstribuidos '!B3315</f>
        <v>45979</v>
      </c>
      <c r="B5535" s="10" t="str">
        <f>IF(OR('Volúmenes DIstribuidos '!C3317="Azúcar",'Volúmenes DIstribuidos '!C3317="azúcar"),"Azúcar o dulce",IF('Volúmenes DIstribuidos '!C3317="Aceite","Aceite o grasas",IF('Volúmenes DIstribuidos '!C3317="Avena","Otros almidones",'Volúmenes DIstribuidos '!C3317)))</f>
        <v>Vegetales y hojas</v>
      </c>
      <c r="C5535" s="10" t="s">
        <v>29</v>
      </c>
      <c r="D5535" s="12">
        <f>'Volúmenes DIstribuidos '!D3317</f>
        <v>4.6399999999999997</v>
      </c>
      <c r="E5535" s="12">
        <f>SUMIF('Parametros Inventario'!$A:$A,B5535,'Parametros Inventario'!$B:$B)+SUMIFS(D$2:D5535,B$2:B5535,B5535,C$2:C5535,"ENTRADA")-SUMIFS(D$2:D5535,B$2:B5535,B5535,C$2:C5535,"SALIDA")</f>
        <v>27964.75999999998</v>
      </c>
    </row>
    <row r="5536" spans="1:5" x14ac:dyDescent="0.3">
      <c r="A5536" s="9">
        <f>'Volúmenes DIstribuidos '!B3315</f>
        <v>45979</v>
      </c>
      <c r="B5536" s="10" t="str">
        <f>IF(OR('Volúmenes DIstribuidos '!C3318="Azúcar",'Volúmenes DIstribuidos '!C3318="azúcar"),"Azúcar o dulce",IF('Volúmenes DIstribuidos '!C3318="Aceite","Aceite o grasas",IF('Volúmenes DIstribuidos '!C3318="Avena","Otros almidones",'Volúmenes DIstribuidos '!C3318)))</f>
        <v>Carnes blancas</v>
      </c>
      <c r="C5536" s="10" t="s">
        <v>29</v>
      </c>
      <c r="D5536" s="12">
        <f>'Volúmenes DIstribuidos '!D3318</f>
        <v>3.07</v>
      </c>
      <c r="E5536" s="12">
        <f>SUMIF('Parametros Inventario'!$A:$A,B5536,'Parametros Inventario'!$B:$B)+SUMIFS(D$2:D5536,B$2:B5536,B5536,C$2:C5536,"ENTRADA")-SUMIFS(D$2:D5536,B$2:B5536,B5536,C$2:C5536,"SALIDA")</f>
        <v>26895.278999999984</v>
      </c>
    </row>
    <row r="5537" spans="1:5" x14ac:dyDescent="0.3">
      <c r="A5537" s="9">
        <f>'Volúmenes DIstribuidos '!B3315</f>
        <v>45979</v>
      </c>
      <c r="B5537" s="10" t="str">
        <f>IF(OR('Volúmenes DIstribuidos '!C3319="Azúcar",'Volúmenes DIstribuidos '!C3319="azúcar"),"Azúcar o dulce",IF('Volúmenes DIstribuidos '!C3319="Aceite","Aceite o grasas",IF('Volúmenes DIstribuidos '!C3319="Avena","Otros almidones",'Volúmenes DIstribuidos '!C3319)))</f>
        <v>Salsas</v>
      </c>
      <c r="C5537" s="10" t="s">
        <v>29</v>
      </c>
      <c r="D5537" s="12">
        <f>'Volúmenes DIstribuidos '!D3319</f>
        <v>82.206999999999994</v>
      </c>
      <c r="E5537" s="12">
        <f>SUMIF('Parametros Inventario'!$A:$A,B5537,'Parametros Inventario'!$B:$B)+SUMIFS(D$2:D5537,B$2:B5537,B5537,C$2:C5537,"ENTRADA")-SUMIFS(D$2:D5537,B$2:B5537,B5537,C$2:C5537,"SALIDA")</f>
        <v>26608.207999999977</v>
      </c>
    </row>
    <row r="5538" spans="1:5" x14ac:dyDescent="0.3">
      <c r="A5538" s="9">
        <f>'Volúmenes DIstribuidos '!B3315</f>
        <v>45979</v>
      </c>
      <c r="B5538" s="10" t="str">
        <f>IF(OR('Volúmenes DIstribuidos '!C3320="Azúcar",'Volúmenes DIstribuidos '!C3320="azúcar"),"Azúcar o dulce",IF('Volúmenes DIstribuidos '!C3320="Aceite","Aceite o grasas",IF('Volúmenes DIstribuidos '!C3320="Avena","Otros almidones",'Volúmenes DIstribuidos '!C3320)))</f>
        <v>Azúcar o dulce</v>
      </c>
      <c r="C5538" s="10" t="s">
        <v>29</v>
      </c>
      <c r="D5538" s="12">
        <f>'Volúmenes DIstribuidos '!D3320</f>
        <v>36.909999999999997</v>
      </c>
      <c r="E5538" s="12">
        <f>SUMIF('Parametros Inventario'!$A:$A,B5538,'Parametros Inventario'!$B:$B)+SUMIFS(D$2:D5538,B$2:B5538,B5538,C$2:C5538,"ENTRADA")-SUMIFS(D$2:D5538,B$2:B5538,B5538,C$2:C5538,"SALIDA")</f>
        <v>25684.723999999984</v>
      </c>
    </row>
    <row r="5539" spans="1:5" x14ac:dyDescent="0.3">
      <c r="A5539" s="9">
        <f>'Volúmenes DIstribuidos '!B3321</f>
        <v>45982</v>
      </c>
      <c r="B5539" s="10" t="str">
        <f>IF(OR('Volúmenes DIstribuidos '!C3321="Azúcar",'Volúmenes DIstribuidos '!C3321="azúcar"),"Azúcar o dulce",IF('Volúmenes DIstribuidos '!C3321="Aceite","Aceite o grasas",IF('Volúmenes DIstribuidos '!C3321="Avena","Otros almidones",'Volúmenes DIstribuidos '!C3321)))</f>
        <v>Lácteos</v>
      </c>
      <c r="C5539" s="10" t="s">
        <v>29</v>
      </c>
      <c r="D5539" s="12">
        <f>'Volúmenes DIstribuidos '!D3321</f>
        <v>72.489999999999995</v>
      </c>
      <c r="E5539" s="12">
        <f>SUMIF('Parametros Inventario'!$A:$A,B5539,'Parametros Inventario'!$B:$B)+SUMIFS(D$2:D5539,B$2:B5539,B5539,C$2:C5539,"ENTRADA")-SUMIFS(D$2:D5539,B$2:B5539,B5539,C$2:C5539,"SALIDA")</f>
        <v>26955.538</v>
      </c>
    </row>
    <row r="5540" spans="1:5" x14ac:dyDescent="0.3">
      <c r="A5540" s="9">
        <f>'Volúmenes DIstribuidos '!B3321</f>
        <v>45982</v>
      </c>
      <c r="B5540" s="10" t="str">
        <f>IF(OR('Volúmenes DIstribuidos '!C3322="Azúcar",'Volúmenes DIstribuidos '!C3322="azúcar"),"Azúcar o dulce",IF('Volúmenes DIstribuidos '!C3322="Aceite","Aceite o grasas",IF('Volúmenes DIstribuidos '!C3322="Avena","Otros almidones",'Volúmenes DIstribuidos '!C3322)))</f>
        <v>Fideo</v>
      </c>
      <c r="C5540" s="10" t="s">
        <v>29</v>
      </c>
      <c r="D5540" s="12">
        <f>'Volúmenes DIstribuidos '!D3322</f>
        <v>15.88</v>
      </c>
      <c r="E5540" s="12">
        <f>SUMIF('Parametros Inventario'!$A:$A,B5540,'Parametros Inventario'!$B:$B)+SUMIFS(D$2:D5540,B$2:B5540,B5540,C$2:C5540,"ENTRADA")-SUMIFS(D$2:D5540,B$2:B5540,B5540,C$2:C5540,"SALIDA")</f>
        <v>29897.842000000004</v>
      </c>
    </row>
    <row r="5541" spans="1:5" x14ac:dyDescent="0.3">
      <c r="A5541" s="9">
        <f>'Volúmenes DIstribuidos '!B3321</f>
        <v>45982</v>
      </c>
      <c r="B5541" s="10" t="str">
        <f>IF(OR('Volúmenes DIstribuidos '!C3323="Azúcar",'Volúmenes DIstribuidos '!C3323="azúcar"),"Azúcar o dulce",IF('Volúmenes DIstribuidos '!C3323="Aceite","Aceite o grasas",IF('Volúmenes DIstribuidos '!C3323="Avena","Otros almidones",'Volúmenes DIstribuidos '!C3323)))</f>
        <v>Salsas</v>
      </c>
      <c r="C5541" s="10" t="s">
        <v>29</v>
      </c>
      <c r="D5541" s="12">
        <f>'Volúmenes DIstribuidos '!D3323</f>
        <v>18.37</v>
      </c>
      <c r="E5541" s="12">
        <f>SUMIF('Parametros Inventario'!$A:$A,B5541,'Parametros Inventario'!$B:$B)+SUMIFS(D$2:D5541,B$2:B5541,B5541,C$2:C5541,"ENTRADA")-SUMIFS(D$2:D5541,B$2:B5541,B5541,C$2:C5541,"SALIDA")</f>
        <v>26589.837999999974</v>
      </c>
    </row>
    <row r="5542" spans="1:5" x14ac:dyDescent="0.3">
      <c r="A5542" s="9">
        <f>'Volúmenes DIstribuidos '!B3321</f>
        <v>45982</v>
      </c>
      <c r="B5542" s="10" t="str">
        <f>IF(OR('Volúmenes DIstribuidos '!C3324="Azúcar",'Volúmenes DIstribuidos '!C3324="azúcar"),"Azúcar o dulce",IF('Volúmenes DIstribuidos '!C3324="Aceite","Aceite o grasas",IF('Volúmenes DIstribuidos '!C3324="Avena","Otros almidones",'Volúmenes DIstribuidos '!C3324)))</f>
        <v>Carnes blancas</v>
      </c>
      <c r="C5542" s="10" t="s">
        <v>29</v>
      </c>
      <c r="D5542" s="12">
        <f>'Volúmenes DIstribuidos '!D3324</f>
        <v>27.12</v>
      </c>
      <c r="E5542" s="12">
        <f>SUMIF('Parametros Inventario'!$A:$A,B5542,'Parametros Inventario'!$B:$B)+SUMIFS(D$2:D5542,B$2:B5542,B5542,C$2:C5542,"ENTRADA")-SUMIFS(D$2:D5542,B$2:B5542,B5542,C$2:C5542,"SALIDA")</f>
        <v>26868.158999999985</v>
      </c>
    </row>
    <row r="5543" spans="1:5" x14ac:dyDescent="0.3">
      <c r="A5543" s="9">
        <f>'Volúmenes DIstribuidos '!B3321</f>
        <v>45982</v>
      </c>
      <c r="B5543" s="10" t="str">
        <f>IF(OR('Volúmenes DIstribuidos '!C3325="Azúcar",'Volúmenes DIstribuidos '!C3325="azúcar"),"Azúcar o dulce",IF('Volúmenes DIstribuidos '!C3325="Aceite","Aceite o grasas",IF('Volúmenes DIstribuidos '!C3325="Avena","Otros almidones",'Volúmenes DIstribuidos '!C3325)))</f>
        <v>Aceite o grasas</v>
      </c>
      <c r="C5543" s="10" t="s">
        <v>29</v>
      </c>
      <c r="D5543" s="12">
        <f>'Volúmenes DIstribuidos '!D3325</f>
        <v>62.469000000000001</v>
      </c>
      <c r="E5543" s="12">
        <f>SUMIF('Parametros Inventario'!$A:$A,B5543,'Parametros Inventario'!$B:$B)+SUMIFS(D$2:D5543,B$2:B5543,B5543,C$2:C5543,"ENTRADA")-SUMIFS(D$2:D5543,B$2:B5543,B5543,C$2:C5543,"SALIDA")</f>
        <v>26484.630000000012</v>
      </c>
    </row>
    <row r="5544" spans="1:5" x14ac:dyDescent="0.3">
      <c r="A5544" s="9">
        <f>'Volúmenes DIstribuidos '!B3321</f>
        <v>45982</v>
      </c>
      <c r="B5544" s="10" t="str">
        <f>IF(OR('Volúmenes DIstribuidos '!C3326="Azúcar",'Volúmenes DIstribuidos '!C3326="azúcar"),"Azúcar o dulce",IF('Volúmenes DIstribuidos '!C3326="Aceite","Aceite o grasas",IF('Volúmenes DIstribuidos '!C3326="Avena","Otros almidones",'Volúmenes DIstribuidos '!C3326)))</f>
        <v>Otros almidones</v>
      </c>
      <c r="C5544" s="10" t="s">
        <v>29</v>
      </c>
      <c r="D5544" s="12">
        <f>'Volúmenes DIstribuidos '!D3326</f>
        <v>37.31</v>
      </c>
      <c r="E5544" s="12">
        <f>SUMIF('Parametros Inventario'!$A:$A,B5544,'Parametros Inventario'!$B:$B)+SUMIFS(D$2:D5544,B$2:B5544,B5544,C$2:C5544,"ENTRADA")-SUMIFS(D$2:D5544,B$2:B5544,B5544,C$2:C5544,"SALIDA")</f>
        <v>29516.556000000008</v>
      </c>
    </row>
    <row r="5545" spans="1:5" x14ac:dyDescent="0.3">
      <c r="A5545" s="9">
        <f>'Volúmenes DIstribuidos '!B3327</f>
        <v>45986</v>
      </c>
      <c r="B5545" s="10" t="str">
        <f>IF(OR('Volúmenes DIstribuidos '!C3327="Azúcar",'Volúmenes DIstribuidos '!C3327="azúcar"),"Azúcar o dulce",IF('Volúmenes DIstribuidos '!C3327="Aceite","Aceite o grasas",IF('Volúmenes DIstribuidos '!C3327="Avena","Otros almidones",'Volúmenes DIstribuidos '!C3327)))</f>
        <v>Panadería</v>
      </c>
      <c r="C5545" s="10" t="s">
        <v>29</v>
      </c>
      <c r="D5545" s="12">
        <f>'Volúmenes DIstribuidos '!D3327</f>
        <v>26.72</v>
      </c>
      <c r="E5545" s="12">
        <f>SUMIF('Parametros Inventario'!$A:$A,B5545,'Parametros Inventario'!$B:$B)+SUMIFS(D$2:D5545,B$2:B5545,B5545,C$2:C5545,"ENTRADA")-SUMIFS(D$2:D5545,B$2:B5545,B5545,C$2:C5545,"SALIDA")</f>
        <v>25981.230000000003</v>
      </c>
    </row>
    <row r="5546" spans="1:5" x14ac:dyDescent="0.3">
      <c r="A5546" s="9">
        <f>'Volúmenes DIstribuidos '!B3327</f>
        <v>45986</v>
      </c>
      <c r="B5546" s="10" t="str">
        <f>IF(OR('Volúmenes DIstribuidos '!C3328="Azúcar",'Volúmenes DIstribuidos '!C3328="azúcar"),"Azúcar o dulce",IF('Volúmenes DIstribuidos '!C3328="Aceite","Aceite o grasas",IF('Volúmenes DIstribuidos '!C3328="Avena","Otros almidones",'Volúmenes DIstribuidos '!C3328)))</f>
        <v>Aceite o grasas</v>
      </c>
      <c r="C5546" s="10" t="s">
        <v>29</v>
      </c>
      <c r="D5546" s="12">
        <f>'Volúmenes DIstribuidos '!D3328</f>
        <v>20.87</v>
      </c>
      <c r="E5546" s="12">
        <f>SUMIF('Parametros Inventario'!$A:$A,B5546,'Parametros Inventario'!$B:$B)+SUMIFS(D$2:D5546,B$2:B5546,B5546,C$2:C5546,"ENTRADA")-SUMIFS(D$2:D5546,B$2:B5546,B5546,C$2:C5546,"SALIDA")</f>
        <v>26463.760000000009</v>
      </c>
    </row>
    <row r="5547" spans="1:5" x14ac:dyDescent="0.3">
      <c r="A5547" s="9">
        <f>'Volúmenes DIstribuidos '!B3327</f>
        <v>45986</v>
      </c>
      <c r="B5547" s="10" t="str">
        <f>IF(OR('Volúmenes DIstribuidos '!C3329="Azúcar",'Volúmenes DIstribuidos '!C3329="azúcar"),"Azúcar o dulce",IF('Volúmenes DIstribuidos '!C3329="Aceite","Aceite o grasas",IF('Volúmenes DIstribuidos '!C3329="Avena","Otros almidones",'Volúmenes DIstribuidos '!C3329)))</f>
        <v>Lácteos</v>
      </c>
      <c r="C5547" s="10" t="s">
        <v>29</v>
      </c>
      <c r="D5547" s="12">
        <f>'Volúmenes DIstribuidos '!D3329</f>
        <v>78.69</v>
      </c>
      <c r="E5547" s="12">
        <f>SUMIF('Parametros Inventario'!$A:$A,B5547,'Parametros Inventario'!$B:$B)+SUMIFS(D$2:D5547,B$2:B5547,B5547,C$2:C5547,"ENTRADA")-SUMIFS(D$2:D5547,B$2:B5547,B5547,C$2:C5547,"SALIDA")</f>
        <v>26876.847999999998</v>
      </c>
    </row>
    <row r="5548" spans="1:5" x14ac:dyDescent="0.3">
      <c r="A5548" s="9">
        <f>'Volúmenes DIstribuidos '!B3327</f>
        <v>45986</v>
      </c>
      <c r="B5548" s="10" t="str">
        <f>IF(OR('Volúmenes DIstribuidos '!C3330="Azúcar",'Volúmenes DIstribuidos '!C3330="azúcar"),"Azúcar o dulce",IF('Volúmenes DIstribuidos '!C3330="Aceite","Aceite o grasas",IF('Volúmenes DIstribuidos '!C3330="Avena","Otros almidones",'Volúmenes DIstribuidos '!C3330)))</f>
        <v>Azúcar o dulce</v>
      </c>
      <c r="C5548" s="10" t="s">
        <v>29</v>
      </c>
      <c r="D5548" s="12">
        <f>'Volúmenes DIstribuidos '!D3330</f>
        <v>22.9</v>
      </c>
      <c r="E5548" s="12">
        <f>SUMIF('Parametros Inventario'!$A:$A,B5548,'Parametros Inventario'!$B:$B)+SUMIFS(D$2:D5548,B$2:B5548,B5548,C$2:C5548,"ENTRADA")-SUMIFS(D$2:D5548,B$2:B5548,B5548,C$2:C5548,"SALIDA")</f>
        <v>25661.823999999986</v>
      </c>
    </row>
    <row r="5549" spans="1:5" x14ac:dyDescent="0.3">
      <c r="A5549" s="9">
        <f>'Volúmenes DIstribuidos '!B3327</f>
        <v>45986</v>
      </c>
      <c r="B5549" s="10" t="str">
        <f>IF(OR('Volúmenes DIstribuidos '!C3331="Azúcar",'Volúmenes DIstribuidos '!C3331="azúcar"),"Azúcar o dulce",IF('Volúmenes DIstribuidos '!C3331="Aceite","Aceite o grasas",IF('Volúmenes DIstribuidos '!C3331="Avena","Otros almidones",'Volúmenes DIstribuidos '!C3331)))</f>
        <v>Salsas</v>
      </c>
      <c r="C5549" s="10" t="s">
        <v>29</v>
      </c>
      <c r="D5549" s="12">
        <f>'Volúmenes DIstribuidos '!D3331</f>
        <v>65.171000000000006</v>
      </c>
      <c r="E5549" s="12">
        <f>SUMIF('Parametros Inventario'!$A:$A,B5549,'Parametros Inventario'!$B:$B)+SUMIFS(D$2:D5549,B$2:B5549,B5549,C$2:C5549,"ENTRADA")-SUMIFS(D$2:D5549,B$2:B5549,B5549,C$2:C5549,"SALIDA")</f>
        <v>26524.666999999972</v>
      </c>
    </row>
    <row r="5550" spans="1:5" x14ac:dyDescent="0.3">
      <c r="A5550" s="9">
        <f>'Volúmenes DIstribuidos '!B3327</f>
        <v>45986</v>
      </c>
      <c r="B5550" s="10" t="str">
        <f>IF(OR('Volúmenes DIstribuidos '!C3332="Azúcar",'Volúmenes DIstribuidos '!C3332="azúcar"),"Azúcar o dulce",IF('Volúmenes DIstribuidos '!C3332="Aceite","Aceite o grasas",IF('Volúmenes DIstribuidos '!C3332="Avena","Otros almidones",'Volúmenes DIstribuidos '!C3332)))</f>
        <v>Lácteos</v>
      </c>
      <c r="C5550" s="10" t="s">
        <v>29</v>
      </c>
      <c r="D5550" s="12">
        <f>'Volúmenes DIstribuidos '!D3332</f>
        <v>30.34</v>
      </c>
      <c r="E5550" s="12">
        <f>SUMIF('Parametros Inventario'!$A:$A,B5550,'Parametros Inventario'!$B:$B)+SUMIFS(D$2:D5550,B$2:B5550,B5550,C$2:C5550,"ENTRADA")-SUMIFS(D$2:D5550,B$2:B5550,B5550,C$2:C5550,"SALIDA")</f>
        <v>26846.507999999998</v>
      </c>
    </row>
    <row r="5551" spans="1:5" x14ac:dyDescent="0.3">
      <c r="A5551" s="9">
        <f>'Volúmenes DIstribuidos '!B3333</f>
        <v>45989</v>
      </c>
      <c r="B5551" s="10" t="str">
        <f>IF(OR('Volúmenes DIstribuidos '!C3333="Azúcar",'Volúmenes DIstribuidos '!C3333="azúcar"),"Azúcar o dulce",IF('Volúmenes DIstribuidos '!C3333="Aceite","Aceite o grasas",IF('Volúmenes DIstribuidos '!C3333="Avena","Otros almidones",'Volúmenes DIstribuidos '!C3333)))</f>
        <v>Carnes rojas</v>
      </c>
      <c r="C5551" s="10" t="s">
        <v>29</v>
      </c>
      <c r="D5551" s="12">
        <f>'Volúmenes DIstribuidos '!D3333</f>
        <v>200</v>
      </c>
      <c r="E5551" s="12">
        <f>SUMIF('Parametros Inventario'!$A:$A,B5551,'Parametros Inventario'!$B:$B)+SUMIFS(D$2:D5551,B$2:B5551,B5551,C$2:C5551,"ENTRADA")-SUMIFS(D$2:D5551,B$2:B5551,B5551,C$2:C5551,"SALIDA")</f>
        <v>26130.121999999996</v>
      </c>
    </row>
    <row r="5552" spans="1:5" x14ac:dyDescent="0.3">
      <c r="A5552" s="9">
        <f>'Volúmenes DIstribuidos '!B3333</f>
        <v>45989</v>
      </c>
      <c r="B5552" s="10" t="str">
        <f>IF(OR('Volúmenes DIstribuidos '!C3334="Azúcar",'Volúmenes DIstribuidos '!C3334="azúcar"),"Azúcar o dulce",IF('Volúmenes DIstribuidos '!C3334="Aceite","Aceite o grasas",IF('Volúmenes DIstribuidos '!C3334="Avena","Otros almidones",'Volúmenes DIstribuidos '!C3334)))</f>
        <v>Fideo</v>
      </c>
      <c r="C5552" s="10" t="s">
        <v>29</v>
      </c>
      <c r="D5552" s="12">
        <f>'Volúmenes DIstribuidos '!D3334</f>
        <v>61.12</v>
      </c>
      <c r="E5552" s="12">
        <f>SUMIF('Parametros Inventario'!$A:$A,B5552,'Parametros Inventario'!$B:$B)+SUMIFS(D$2:D5552,B$2:B5552,B5552,C$2:C5552,"ENTRADA")-SUMIFS(D$2:D5552,B$2:B5552,B5552,C$2:C5552,"SALIDA")</f>
        <v>29836.722000000005</v>
      </c>
    </row>
    <row r="5553" spans="1:5" x14ac:dyDescent="0.3">
      <c r="A5553" s="9">
        <f>'Volúmenes DIstribuidos '!B3333</f>
        <v>45989</v>
      </c>
      <c r="B5553" s="10" t="str">
        <f>IF(OR('Volúmenes DIstribuidos '!C3335="Azúcar",'Volúmenes DIstribuidos '!C3335="azúcar"),"Azúcar o dulce",IF('Volúmenes DIstribuidos '!C3335="Aceite","Aceite o grasas",IF('Volúmenes DIstribuidos '!C3335="Avena","Otros almidones",'Volúmenes DIstribuidos '!C3335)))</f>
        <v>Panadería</v>
      </c>
      <c r="C5553" s="10" t="s">
        <v>29</v>
      </c>
      <c r="D5553" s="12">
        <f>'Volúmenes DIstribuidos '!D3335</f>
        <v>110</v>
      </c>
      <c r="E5553" s="12">
        <f>SUMIF('Parametros Inventario'!$A:$A,B5553,'Parametros Inventario'!$B:$B)+SUMIFS(D$2:D5553,B$2:B5553,B5553,C$2:C5553,"ENTRADA")-SUMIFS(D$2:D5553,B$2:B5553,B5553,C$2:C5553,"SALIDA")</f>
        <v>25871.230000000003</v>
      </c>
    </row>
    <row r="5554" spans="1:5" x14ac:dyDescent="0.3">
      <c r="A5554" s="9">
        <f>'Volúmenes DIstribuidos '!B3333</f>
        <v>45989</v>
      </c>
      <c r="B5554" s="10" t="str">
        <f>IF(OR('Volúmenes DIstribuidos '!C3336="Azúcar",'Volúmenes DIstribuidos '!C3336="azúcar"),"Azúcar o dulce",IF('Volúmenes DIstribuidos '!C3336="Aceite","Aceite o grasas",IF('Volúmenes DIstribuidos '!C3336="Avena","Otros almidones",'Volúmenes DIstribuidos '!C3336)))</f>
        <v>Otros almidones</v>
      </c>
      <c r="C5554" s="10" t="s">
        <v>29</v>
      </c>
      <c r="D5554" s="12">
        <f>'Volúmenes DIstribuidos '!D3336</f>
        <v>11.214</v>
      </c>
      <c r="E5554" s="12">
        <f>SUMIF('Parametros Inventario'!$A:$A,B5554,'Parametros Inventario'!$B:$B)+SUMIFS(D$2:D5554,B$2:B5554,B5554,C$2:C5554,"ENTRADA")-SUMIFS(D$2:D5554,B$2:B5554,B5554,C$2:C5554,"SALIDA")</f>
        <v>29505.342000000008</v>
      </c>
    </row>
    <row r="5555" spans="1:5" x14ac:dyDescent="0.3">
      <c r="A5555" s="9">
        <f>'Volúmenes DIstribuidos '!B3333</f>
        <v>45989</v>
      </c>
      <c r="B5555" s="10" t="str">
        <f>IF(OR('Volúmenes DIstribuidos '!C3337="Azúcar",'Volúmenes DIstribuidos '!C3337="azúcar"),"Azúcar o dulce",IF('Volúmenes DIstribuidos '!C3337="Aceite","Aceite o grasas",IF('Volúmenes DIstribuidos '!C3337="Avena","Otros almidones",'Volúmenes DIstribuidos '!C3337)))</f>
        <v>Carnes blancas</v>
      </c>
      <c r="C5555" s="10" t="s">
        <v>29</v>
      </c>
      <c r="D5555" s="12">
        <f>'Volúmenes DIstribuidos '!D3337</f>
        <v>4.1500000000000004</v>
      </c>
      <c r="E5555" s="12">
        <f>SUMIF('Parametros Inventario'!$A:$A,B5555,'Parametros Inventario'!$B:$B)+SUMIFS(D$2:D5555,B$2:B5555,B5555,C$2:C5555,"ENTRADA")-SUMIFS(D$2:D5555,B$2:B5555,B5555,C$2:C5555,"SALIDA")</f>
        <v>26864.008999999984</v>
      </c>
    </row>
    <row r="5556" spans="1:5" x14ac:dyDescent="0.3">
      <c r="A5556" s="9">
        <f>'Volúmenes DIstribuidos '!B3333</f>
        <v>45989</v>
      </c>
      <c r="B5556" s="10" t="str">
        <f>IF(OR('Volúmenes DIstribuidos '!C3338="Azúcar",'Volúmenes DIstribuidos '!C3338="azúcar"),"Azúcar o dulce",IF('Volúmenes DIstribuidos '!C3338="Aceite","Aceite o grasas",IF('Volúmenes DIstribuidos '!C3338="Avena","Otros almidones",'Volúmenes DIstribuidos '!C3338)))</f>
        <v>Lácteos</v>
      </c>
      <c r="C5556" s="10" t="s">
        <v>29</v>
      </c>
      <c r="D5556" s="12">
        <f>'Volúmenes DIstribuidos '!D3338</f>
        <v>20.62</v>
      </c>
      <c r="E5556" s="12">
        <f>SUMIF('Parametros Inventario'!$A:$A,B5556,'Parametros Inventario'!$B:$B)+SUMIFS(D$2:D5556,B$2:B5556,B5556,C$2:C5556,"ENTRADA")-SUMIFS(D$2:D5556,B$2:B5556,B5556,C$2:C5556,"SALIDA")</f>
        <v>26825.887999999999</v>
      </c>
    </row>
    <row r="5557" spans="1:5" x14ac:dyDescent="0.3">
      <c r="A5557" s="9">
        <f>'Volúmenes DIstribuidos '!B3339</f>
        <v>45993</v>
      </c>
      <c r="B5557" s="10" t="str">
        <f>IF(OR('Volúmenes DIstribuidos '!C3339="Azúcar",'Volúmenes DIstribuidos '!C3339="azúcar"),"Azúcar o dulce",IF('Volúmenes DIstribuidos '!C3339="Aceite","Aceite o grasas",IF('Volúmenes DIstribuidos '!C3339="Avena","Otros almidones",'Volúmenes DIstribuidos '!C3339)))</f>
        <v>Otros almidones</v>
      </c>
      <c r="C5557" s="10" t="s">
        <v>29</v>
      </c>
      <c r="D5557" s="12">
        <f>'Volúmenes DIstribuidos '!D3339</f>
        <v>18.576000000000001</v>
      </c>
      <c r="E5557" s="12">
        <f>SUMIF('Parametros Inventario'!$A:$A,B5557,'Parametros Inventario'!$B:$B)+SUMIFS(D$2:D5557,B$2:B5557,B5557,C$2:C5557,"ENTRADA")-SUMIFS(D$2:D5557,B$2:B5557,B5557,C$2:C5557,"SALIDA")</f>
        <v>29486.766000000011</v>
      </c>
    </row>
    <row r="5558" spans="1:5" x14ac:dyDescent="0.3">
      <c r="A5558" s="9">
        <f>'Volúmenes DIstribuidos '!B3339</f>
        <v>45993</v>
      </c>
      <c r="B5558" s="10" t="str">
        <f>IF(OR('Volúmenes DIstribuidos '!C3340="Azúcar",'Volúmenes DIstribuidos '!C3340="azúcar"),"Azúcar o dulce",IF('Volúmenes DIstribuidos '!C3340="Aceite","Aceite o grasas",IF('Volúmenes DIstribuidos '!C3340="Avena","Otros almidones",'Volúmenes DIstribuidos '!C3340)))</f>
        <v>Lácteos</v>
      </c>
      <c r="C5558" s="10" t="s">
        <v>29</v>
      </c>
      <c r="D5558" s="12">
        <f>'Volúmenes DIstribuidos '!D3340</f>
        <v>10.1</v>
      </c>
      <c r="E5558" s="12">
        <f>SUMIF('Parametros Inventario'!$A:$A,B5558,'Parametros Inventario'!$B:$B)+SUMIFS(D$2:D5558,B$2:B5558,B5558,C$2:C5558,"ENTRADA")-SUMIFS(D$2:D5558,B$2:B5558,B5558,C$2:C5558,"SALIDA")</f>
        <v>26815.787999999997</v>
      </c>
    </row>
    <row r="5559" spans="1:5" x14ac:dyDescent="0.3">
      <c r="A5559" s="9">
        <f>'Volúmenes DIstribuidos '!B3339</f>
        <v>45993</v>
      </c>
      <c r="B5559" s="10" t="str">
        <f>IF(OR('Volúmenes DIstribuidos '!C3341="Azúcar",'Volúmenes DIstribuidos '!C3341="azúcar"),"Azúcar o dulce",IF('Volúmenes DIstribuidos '!C3341="Aceite","Aceite o grasas",IF('Volúmenes DIstribuidos '!C3341="Avena","Otros almidones",'Volúmenes DIstribuidos '!C3341)))</f>
        <v>Menestras</v>
      </c>
      <c r="C5559" s="10" t="s">
        <v>29</v>
      </c>
      <c r="D5559" s="12">
        <f>'Volúmenes DIstribuidos '!D3341</f>
        <v>9.32</v>
      </c>
      <c r="E5559" s="12">
        <f>SUMIF('Parametros Inventario'!$A:$A,B5559,'Parametros Inventario'!$B:$B)+SUMIFS(D$2:D5559,B$2:B5559,B5559,C$2:C5559,"ENTRADA")-SUMIFS(D$2:D5559,B$2:B5559,B5559,C$2:C5559,"SALIDA")</f>
        <v>26462.870999999981</v>
      </c>
    </row>
    <row r="5560" spans="1:5" x14ac:dyDescent="0.3">
      <c r="A5560" s="9">
        <f>'Volúmenes DIstribuidos '!B3339</f>
        <v>45993</v>
      </c>
      <c r="B5560" s="10" t="str">
        <f>IF(OR('Volúmenes DIstribuidos '!C3342="Azúcar",'Volúmenes DIstribuidos '!C3342="azúcar"),"Azúcar o dulce",IF('Volúmenes DIstribuidos '!C3342="Aceite","Aceite o grasas",IF('Volúmenes DIstribuidos '!C3342="Avena","Otros almidones",'Volúmenes DIstribuidos '!C3342)))</f>
        <v>Carnes rojas</v>
      </c>
      <c r="C5560" s="10" t="s">
        <v>29</v>
      </c>
      <c r="D5560" s="12">
        <f>'Volúmenes DIstribuidos '!D3342</f>
        <v>10.52</v>
      </c>
      <c r="E5560" s="12">
        <f>SUMIF('Parametros Inventario'!$A:$A,B5560,'Parametros Inventario'!$B:$B)+SUMIFS(D$2:D5560,B$2:B5560,B5560,C$2:C5560,"ENTRADA")-SUMIFS(D$2:D5560,B$2:B5560,B5560,C$2:C5560,"SALIDA")</f>
        <v>26119.601999999999</v>
      </c>
    </row>
    <row r="5561" spans="1:5" x14ac:dyDescent="0.3">
      <c r="A5561" s="9">
        <f>'Volúmenes DIstribuidos '!B3339</f>
        <v>45993</v>
      </c>
      <c r="B5561" s="10" t="str">
        <f>IF(OR('Volúmenes DIstribuidos '!C3343="Azúcar",'Volúmenes DIstribuidos '!C3343="azúcar"),"Azúcar o dulce",IF('Volúmenes DIstribuidos '!C3343="Aceite","Aceite o grasas",IF('Volúmenes DIstribuidos '!C3343="Avena","Otros almidones",'Volúmenes DIstribuidos '!C3343)))</f>
        <v>Carnes blancas</v>
      </c>
      <c r="C5561" s="10" t="s">
        <v>29</v>
      </c>
      <c r="D5561" s="12">
        <f>'Volúmenes DIstribuidos '!D3343</f>
        <v>13.79</v>
      </c>
      <c r="E5561" s="12">
        <f>SUMIF('Parametros Inventario'!$A:$A,B5561,'Parametros Inventario'!$B:$B)+SUMIFS(D$2:D5561,B$2:B5561,B5561,C$2:C5561,"ENTRADA")-SUMIFS(D$2:D5561,B$2:B5561,B5561,C$2:C5561,"SALIDA")</f>
        <v>26850.218999999983</v>
      </c>
    </row>
    <row r="5562" spans="1:5" x14ac:dyDescent="0.3">
      <c r="A5562" s="9">
        <f>'Volúmenes DIstribuidos '!B3339</f>
        <v>45993</v>
      </c>
      <c r="B5562" s="10" t="str">
        <f>IF(OR('Volúmenes DIstribuidos '!C3344="Azúcar",'Volúmenes DIstribuidos '!C3344="azúcar"),"Azúcar o dulce",IF('Volúmenes DIstribuidos '!C3344="Aceite","Aceite o grasas",IF('Volúmenes DIstribuidos '!C3344="Avena","Otros almidones",'Volúmenes DIstribuidos '!C3344)))</f>
        <v>Salsas</v>
      </c>
      <c r="C5562" s="10" t="s">
        <v>29</v>
      </c>
      <c r="D5562" s="12">
        <f>'Volúmenes DIstribuidos '!D3344</f>
        <v>60.55</v>
      </c>
      <c r="E5562" s="12">
        <f>SUMIF('Parametros Inventario'!$A:$A,B5562,'Parametros Inventario'!$B:$B)+SUMIFS(D$2:D5562,B$2:B5562,B5562,C$2:C5562,"ENTRADA")-SUMIFS(D$2:D5562,B$2:B5562,B5562,C$2:C5562,"SALIDA")</f>
        <v>26464.116999999977</v>
      </c>
    </row>
    <row r="5563" spans="1:5" x14ac:dyDescent="0.3">
      <c r="A5563" s="9">
        <f>'Volúmenes DIstribuidos '!B3345</f>
        <v>45996</v>
      </c>
      <c r="B5563" s="10" t="str">
        <f>IF(OR('Volúmenes DIstribuidos '!C3345="Azúcar",'Volúmenes DIstribuidos '!C3345="azúcar"),"Azúcar o dulce",IF('Volúmenes DIstribuidos '!C3345="Aceite","Aceite o grasas",IF('Volúmenes DIstribuidos '!C3345="Avena","Otros almidones",'Volúmenes DIstribuidos '!C3345)))</f>
        <v>Fideo</v>
      </c>
      <c r="C5563" s="10" t="s">
        <v>29</v>
      </c>
      <c r="D5563" s="12">
        <f>'Volúmenes DIstribuidos '!D3345</f>
        <v>39.923999999999999</v>
      </c>
      <c r="E5563" s="12">
        <f>SUMIF('Parametros Inventario'!$A:$A,B5563,'Parametros Inventario'!$B:$B)+SUMIFS(D$2:D5563,B$2:B5563,B5563,C$2:C5563,"ENTRADA")-SUMIFS(D$2:D5563,B$2:B5563,B5563,C$2:C5563,"SALIDA")</f>
        <v>29796.798000000006</v>
      </c>
    </row>
    <row r="5564" spans="1:5" x14ac:dyDescent="0.3">
      <c r="A5564" s="9">
        <f>'Volúmenes DIstribuidos '!B3345</f>
        <v>45996</v>
      </c>
      <c r="B5564" s="10" t="str">
        <f>IF(OR('Volúmenes DIstribuidos '!C3346="Azúcar",'Volúmenes DIstribuidos '!C3346="azúcar"),"Azúcar o dulce",IF('Volúmenes DIstribuidos '!C3346="Aceite","Aceite o grasas",IF('Volúmenes DIstribuidos '!C3346="Avena","Otros almidones",'Volúmenes DIstribuidos '!C3346)))</f>
        <v>Panadería</v>
      </c>
      <c r="C5564" s="10" t="s">
        <v>29</v>
      </c>
      <c r="D5564" s="12">
        <f>'Volúmenes DIstribuidos '!D3346</f>
        <v>10.38</v>
      </c>
      <c r="E5564" s="12">
        <f>SUMIF('Parametros Inventario'!$A:$A,B5564,'Parametros Inventario'!$B:$B)+SUMIFS(D$2:D5564,B$2:B5564,B5564,C$2:C5564,"ENTRADA")-SUMIFS(D$2:D5564,B$2:B5564,B5564,C$2:C5564,"SALIDA")</f>
        <v>25860.850000000006</v>
      </c>
    </row>
    <row r="5565" spans="1:5" x14ac:dyDescent="0.3">
      <c r="A5565" s="9">
        <f>'Volúmenes DIstribuidos '!B3345</f>
        <v>45996</v>
      </c>
      <c r="B5565" s="10" t="str">
        <f>IF(OR('Volúmenes DIstribuidos '!C3347="Azúcar",'Volúmenes DIstribuidos '!C3347="azúcar"),"Azúcar o dulce",IF('Volúmenes DIstribuidos '!C3347="Aceite","Aceite o grasas",IF('Volúmenes DIstribuidos '!C3347="Avena","Otros almidones",'Volúmenes DIstribuidos '!C3347)))</f>
        <v>Salsas</v>
      </c>
      <c r="C5565" s="10" t="s">
        <v>29</v>
      </c>
      <c r="D5565" s="12">
        <f>'Volúmenes DIstribuidos '!D3347</f>
        <v>63.08</v>
      </c>
      <c r="E5565" s="12">
        <f>SUMIF('Parametros Inventario'!$A:$A,B5565,'Parametros Inventario'!$B:$B)+SUMIFS(D$2:D5565,B$2:B5565,B5565,C$2:C5565,"ENTRADA")-SUMIFS(D$2:D5565,B$2:B5565,B5565,C$2:C5565,"SALIDA")</f>
        <v>26401.036999999975</v>
      </c>
    </row>
    <row r="5566" spans="1:5" x14ac:dyDescent="0.3">
      <c r="A5566" s="9">
        <f>'Volúmenes DIstribuidos '!B3345</f>
        <v>45996</v>
      </c>
      <c r="B5566" s="10" t="str">
        <f>IF(OR('Volúmenes DIstribuidos '!C3348="Azúcar",'Volúmenes DIstribuidos '!C3348="azúcar"),"Azúcar o dulce",IF('Volúmenes DIstribuidos '!C3348="Aceite","Aceite o grasas",IF('Volúmenes DIstribuidos '!C3348="Avena","Otros almidones",'Volúmenes DIstribuidos '!C3348)))</f>
        <v>Fideo</v>
      </c>
      <c r="C5566" s="10" t="s">
        <v>29</v>
      </c>
      <c r="D5566" s="12">
        <f>'Volúmenes DIstribuidos '!D3348</f>
        <v>30.33</v>
      </c>
      <c r="E5566" s="12">
        <f>SUMIF('Parametros Inventario'!$A:$A,B5566,'Parametros Inventario'!$B:$B)+SUMIFS(D$2:D5566,B$2:B5566,B5566,C$2:C5566,"ENTRADA")-SUMIFS(D$2:D5566,B$2:B5566,B5566,C$2:C5566,"SALIDA")</f>
        <v>29766.468000000004</v>
      </c>
    </row>
    <row r="5567" spans="1:5" x14ac:dyDescent="0.3">
      <c r="A5567" s="9">
        <f>'Volúmenes DIstribuidos '!B3345</f>
        <v>45996</v>
      </c>
      <c r="B5567" s="10" t="str">
        <f>IF(OR('Volúmenes DIstribuidos '!C3349="Azúcar",'Volúmenes DIstribuidos '!C3349="azúcar"),"Azúcar o dulce",IF('Volúmenes DIstribuidos '!C3349="Aceite","Aceite o grasas",IF('Volúmenes DIstribuidos '!C3349="Avena","Otros almidones",'Volúmenes DIstribuidos '!C3349)))</f>
        <v>Menestras</v>
      </c>
      <c r="C5567" s="10" t="s">
        <v>29</v>
      </c>
      <c r="D5567" s="12">
        <f>'Volúmenes DIstribuidos '!D3349</f>
        <v>25.542999999999999</v>
      </c>
      <c r="E5567" s="12">
        <f>SUMIF('Parametros Inventario'!$A:$A,B5567,'Parametros Inventario'!$B:$B)+SUMIFS(D$2:D5567,B$2:B5567,B5567,C$2:C5567,"ENTRADA")-SUMIFS(D$2:D5567,B$2:B5567,B5567,C$2:C5567,"SALIDA")</f>
        <v>26437.32799999998</v>
      </c>
    </row>
    <row r="5568" spans="1:5" x14ac:dyDescent="0.3">
      <c r="A5568" s="9">
        <f>'Volúmenes DIstribuidos '!B3345</f>
        <v>45996</v>
      </c>
      <c r="B5568" s="10" t="str">
        <f>IF(OR('Volúmenes DIstribuidos '!C3350="Azúcar",'Volúmenes DIstribuidos '!C3350="azúcar"),"Azúcar o dulce",IF('Volúmenes DIstribuidos '!C3350="Aceite","Aceite o grasas",IF('Volúmenes DIstribuidos '!C3350="Avena","Otros almidones",'Volúmenes DIstribuidos '!C3350)))</f>
        <v>Panadería</v>
      </c>
      <c r="C5568" s="10" t="s">
        <v>29</v>
      </c>
      <c r="D5568" s="12">
        <f>'Volúmenes DIstribuidos '!D3350</f>
        <v>63.25</v>
      </c>
      <c r="E5568" s="12">
        <f>SUMIF('Parametros Inventario'!$A:$A,B5568,'Parametros Inventario'!$B:$B)+SUMIFS(D$2:D5568,B$2:B5568,B5568,C$2:C5568,"ENTRADA")-SUMIFS(D$2:D5568,B$2:B5568,B5568,C$2:C5568,"SALIDA")</f>
        <v>25797.600000000006</v>
      </c>
    </row>
    <row r="5569" spans="1:5" x14ac:dyDescent="0.3">
      <c r="A5569" s="9">
        <f>'Volúmenes DIstribuidos '!B3351</f>
        <v>46000</v>
      </c>
      <c r="B5569" s="10" t="str">
        <f>IF(OR('Volúmenes DIstribuidos '!C3351="Azúcar",'Volúmenes DIstribuidos '!C3351="azúcar"),"Azúcar o dulce",IF('Volúmenes DIstribuidos '!C3351="Aceite","Aceite o grasas",IF('Volúmenes DIstribuidos '!C3351="Avena","Otros almidones",'Volúmenes DIstribuidos '!C3351)))</f>
        <v>Fideo</v>
      </c>
      <c r="C5569" s="10" t="s">
        <v>29</v>
      </c>
      <c r="D5569" s="12">
        <f>'Volúmenes DIstribuidos '!D3351</f>
        <v>13.84</v>
      </c>
      <c r="E5569" s="12">
        <f>SUMIF('Parametros Inventario'!$A:$A,B5569,'Parametros Inventario'!$B:$B)+SUMIFS(D$2:D5569,B$2:B5569,B5569,C$2:C5569,"ENTRADA")-SUMIFS(D$2:D5569,B$2:B5569,B5569,C$2:C5569,"SALIDA")</f>
        <v>29752.628000000004</v>
      </c>
    </row>
    <row r="5570" spans="1:5" x14ac:dyDescent="0.3">
      <c r="A5570" s="9">
        <f>'Volúmenes DIstribuidos '!B3351</f>
        <v>46000</v>
      </c>
      <c r="B5570" s="10" t="str">
        <f>IF(OR('Volúmenes DIstribuidos '!C3352="Azúcar",'Volúmenes DIstribuidos '!C3352="azúcar"),"Azúcar o dulce",IF('Volúmenes DIstribuidos '!C3352="Aceite","Aceite o grasas",IF('Volúmenes DIstribuidos '!C3352="Avena","Otros almidones",'Volúmenes DIstribuidos '!C3352)))</f>
        <v>Salsas</v>
      </c>
      <c r="C5570" s="10" t="s">
        <v>29</v>
      </c>
      <c r="D5570" s="12">
        <f>'Volúmenes DIstribuidos '!D3352</f>
        <v>44.57</v>
      </c>
      <c r="E5570" s="12">
        <f>SUMIF('Parametros Inventario'!$A:$A,B5570,'Parametros Inventario'!$B:$B)+SUMIFS(D$2:D5570,B$2:B5570,B5570,C$2:C5570,"ENTRADA")-SUMIFS(D$2:D5570,B$2:B5570,B5570,C$2:C5570,"SALIDA")</f>
        <v>26356.466999999975</v>
      </c>
    </row>
    <row r="5571" spans="1:5" x14ac:dyDescent="0.3">
      <c r="A5571" s="9">
        <f>'Volúmenes DIstribuidos '!B3351</f>
        <v>46000</v>
      </c>
      <c r="B5571" s="10" t="str">
        <f>IF(OR('Volúmenes DIstribuidos '!C3353="Azúcar",'Volúmenes DIstribuidos '!C3353="azúcar"),"Azúcar o dulce",IF('Volúmenes DIstribuidos '!C3353="Aceite","Aceite o grasas",IF('Volúmenes DIstribuidos '!C3353="Avena","Otros almidones",'Volúmenes DIstribuidos '!C3353)))</f>
        <v>Lácteos</v>
      </c>
      <c r="C5571" s="10" t="s">
        <v>29</v>
      </c>
      <c r="D5571" s="12">
        <f>'Volúmenes DIstribuidos '!D3353</f>
        <v>129.57</v>
      </c>
      <c r="E5571" s="12">
        <f>SUMIF('Parametros Inventario'!$A:$A,B5571,'Parametros Inventario'!$B:$B)+SUMIFS(D$2:D5571,B$2:B5571,B5571,C$2:C5571,"ENTRADA")-SUMIFS(D$2:D5571,B$2:B5571,B5571,C$2:C5571,"SALIDA")</f>
        <v>26686.217999999997</v>
      </c>
    </row>
    <row r="5572" spans="1:5" x14ac:dyDescent="0.3">
      <c r="A5572" s="9">
        <f>'Volúmenes DIstribuidos '!B3351</f>
        <v>46000</v>
      </c>
      <c r="B5572" s="10" t="str">
        <f>IF(OR('Volúmenes DIstribuidos '!C3354="Azúcar",'Volúmenes DIstribuidos '!C3354="azúcar"),"Azúcar o dulce",IF('Volúmenes DIstribuidos '!C3354="Aceite","Aceite o grasas",IF('Volúmenes DIstribuidos '!C3354="Avena","Otros almidones",'Volúmenes DIstribuidos '!C3354)))</f>
        <v>Azúcar o dulce</v>
      </c>
      <c r="C5572" s="10" t="s">
        <v>29</v>
      </c>
      <c r="D5572" s="12">
        <f>'Volúmenes DIstribuidos '!D3354</f>
        <v>27.42</v>
      </c>
      <c r="E5572" s="12">
        <f>SUMIF('Parametros Inventario'!$A:$A,B5572,'Parametros Inventario'!$B:$B)+SUMIFS(D$2:D5572,B$2:B5572,B5572,C$2:C5572,"ENTRADA")-SUMIFS(D$2:D5572,B$2:B5572,B5572,C$2:C5572,"SALIDA")</f>
        <v>25634.403999999984</v>
      </c>
    </row>
    <row r="5573" spans="1:5" x14ac:dyDescent="0.3">
      <c r="A5573" s="9">
        <f>'Volúmenes DIstribuidos '!B3351</f>
        <v>46000</v>
      </c>
      <c r="B5573" s="10" t="str">
        <f>IF(OR('Volúmenes DIstribuidos '!C3355="Azúcar",'Volúmenes DIstribuidos '!C3355="azúcar"),"Azúcar o dulce",IF('Volúmenes DIstribuidos '!C3355="Aceite","Aceite o grasas",IF('Volúmenes DIstribuidos '!C3355="Avena","Otros almidones",'Volúmenes DIstribuidos '!C3355)))</f>
        <v>Vegetales y hojas</v>
      </c>
      <c r="C5573" s="10" t="s">
        <v>29</v>
      </c>
      <c r="D5573" s="12">
        <f>'Volúmenes DIstribuidos '!D3355</f>
        <v>10.436999999999999</v>
      </c>
      <c r="E5573" s="12">
        <f>SUMIF('Parametros Inventario'!$A:$A,B5573,'Parametros Inventario'!$B:$B)+SUMIFS(D$2:D5573,B$2:B5573,B5573,C$2:C5573,"ENTRADA")-SUMIFS(D$2:D5573,B$2:B5573,B5573,C$2:C5573,"SALIDA")</f>
        <v>27954.322999999978</v>
      </c>
    </row>
    <row r="5574" spans="1:5" x14ac:dyDescent="0.3">
      <c r="A5574" s="9">
        <f>'Volúmenes DIstribuidos '!B3351</f>
        <v>46000</v>
      </c>
      <c r="B5574" s="10" t="str">
        <f>IF(OR('Volúmenes DIstribuidos '!C3356="Azúcar",'Volúmenes DIstribuidos '!C3356="azúcar"),"Azúcar o dulce",IF('Volúmenes DIstribuidos '!C3356="Aceite","Aceite o grasas",IF('Volúmenes DIstribuidos '!C3356="Avena","Otros almidones",'Volúmenes DIstribuidos '!C3356)))</f>
        <v>Lácteos</v>
      </c>
      <c r="C5574" s="10" t="s">
        <v>29</v>
      </c>
      <c r="D5574" s="12">
        <f>'Volúmenes DIstribuidos '!D3356</f>
        <v>10.01</v>
      </c>
      <c r="E5574" s="12">
        <f>SUMIF('Parametros Inventario'!$A:$A,B5574,'Parametros Inventario'!$B:$B)+SUMIFS(D$2:D5574,B$2:B5574,B5574,C$2:C5574,"ENTRADA")-SUMIFS(D$2:D5574,B$2:B5574,B5574,C$2:C5574,"SALIDA")</f>
        <v>26676.207999999999</v>
      </c>
    </row>
    <row r="5575" spans="1:5" x14ac:dyDescent="0.3">
      <c r="A5575" s="9">
        <v>46003</v>
      </c>
      <c r="B5575" s="10" t="s">
        <v>18</v>
      </c>
      <c r="C5575" s="10" t="s">
        <v>28</v>
      </c>
      <c r="D5575" s="12">
        <v>137.65</v>
      </c>
      <c r="E5575" s="12">
        <f>SUMIF('Parametros Inventario'!$A:$A,B5575,'Parametros Inventario'!$B:$B)+SUMIFS(D$2:D5575,B$2:B5575,B5575,C$2:C5575,"ENTRADA")-SUMIFS(D$2:D5575,B$2:B5575,B5575,C$2:C5575,"SALIDA")</f>
        <v>26494.116999999977</v>
      </c>
    </row>
    <row r="5576" spans="1:5" x14ac:dyDescent="0.3">
      <c r="A5576" s="9">
        <v>46003</v>
      </c>
      <c r="B5576" s="10" t="s">
        <v>10</v>
      </c>
      <c r="C5576" s="10" t="s">
        <v>28</v>
      </c>
      <c r="D5576" s="12">
        <v>248.44</v>
      </c>
      <c r="E5576" s="12">
        <f>SUMIF('Parametros Inventario'!$A:$A,B5576,'Parametros Inventario'!$B:$B)+SUMIFS(D$2:D5576,B$2:B5576,B5576,C$2:C5576,"ENTRADA")-SUMIFS(D$2:D5576,B$2:B5576,B5576,C$2:C5576,"SALIDA")</f>
        <v>28202.762999999981</v>
      </c>
    </row>
    <row r="5577" spans="1:5" x14ac:dyDescent="0.3">
      <c r="A5577" s="9">
        <v>46003</v>
      </c>
      <c r="B5577" s="10" t="s">
        <v>8</v>
      </c>
      <c r="C5577" s="10" t="s">
        <v>28</v>
      </c>
      <c r="D5577" s="12">
        <v>165.99</v>
      </c>
      <c r="E5577" s="12">
        <f>SUMIF('Parametros Inventario'!$A:$A,B5577,'Parametros Inventario'!$B:$B)+SUMIFS(D$2:D5577,B$2:B5577,B5577,C$2:C5577,"ENTRADA")-SUMIFS(D$2:D5577,B$2:B5577,B5577,C$2:C5577,"SALIDA")</f>
        <v>26629.750000000007</v>
      </c>
    </row>
    <row r="5578" spans="1:5" x14ac:dyDescent="0.3">
      <c r="A5578" s="9">
        <v>46003</v>
      </c>
      <c r="B5578" s="10" t="s">
        <v>13</v>
      </c>
      <c r="C5578" s="10" t="s">
        <v>28</v>
      </c>
      <c r="D5578" s="12">
        <v>277</v>
      </c>
      <c r="E5578" s="12">
        <f>SUMIF('Parametros Inventario'!$A:$A,B5578,'Parametros Inventario'!$B:$B)+SUMIFS(D$2:D5578,B$2:B5578,B5578,C$2:C5578,"ENTRADA")-SUMIFS(D$2:D5578,B$2:B5578,B5578,C$2:C5578,"SALIDA")</f>
        <v>25911.403999999984</v>
      </c>
    </row>
    <row r="5579" spans="1:5" x14ac:dyDescent="0.3">
      <c r="A5579" s="9">
        <v>46003</v>
      </c>
      <c r="B5579" s="10" t="s">
        <v>15</v>
      </c>
      <c r="C5579" s="10" t="s">
        <v>28</v>
      </c>
      <c r="D5579" s="12">
        <v>211.21</v>
      </c>
      <c r="E5579" s="12">
        <f>SUMIF('Parametros Inventario'!$A:$A,B5579,'Parametros Inventario'!$B:$B)+SUMIFS(D$2:D5579,B$2:B5579,B5579,C$2:C5579,"ENTRADA")-SUMIFS(D$2:D5579,B$2:B5579,B5579,C$2:C5579,"SALIDA")</f>
        <v>29697.97600000001</v>
      </c>
    </row>
    <row r="5580" spans="1:5" x14ac:dyDescent="0.3">
      <c r="A5580" s="9">
        <v>46003</v>
      </c>
      <c r="B5580" s="10" t="s">
        <v>11</v>
      </c>
      <c r="C5580" s="10" t="s">
        <v>28</v>
      </c>
      <c r="D5580" s="12">
        <v>246.16</v>
      </c>
      <c r="E5580" s="12">
        <f>SUMIF('Parametros Inventario'!$A:$A,B5580,'Parametros Inventario'!$B:$B)+SUMIFS(D$2:D5580,B$2:B5580,B5580,C$2:C5580,"ENTRADA")-SUMIFS(D$2:D5580,B$2:B5580,B5580,C$2:C5580,"SALIDA")</f>
        <v>29998.788000000008</v>
      </c>
    </row>
    <row r="5581" spans="1:5" x14ac:dyDescent="0.3">
      <c r="A5581" s="9">
        <v>46003</v>
      </c>
      <c r="B5581" s="10" t="s">
        <v>9</v>
      </c>
      <c r="C5581" s="10" t="s">
        <v>28</v>
      </c>
      <c r="D5581" s="12">
        <v>148.94999999999999</v>
      </c>
      <c r="E5581" s="12">
        <f>SUMIF('Parametros Inventario'!$A:$A,B5581,'Parametros Inventario'!$B:$B)+SUMIFS(D$2:D5581,B$2:B5581,B5581,C$2:C5581,"ENTRADA")-SUMIFS(D$2:D5581,B$2:B5581,B5581,C$2:C5581,"SALIDA")</f>
        <v>25946.550000000003</v>
      </c>
    </row>
    <row r="5582" spans="1:5" x14ac:dyDescent="0.3">
      <c r="A5582" s="9">
        <v>46003</v>
      </c>
      <c r="B5582" s="10" t="s">
        <v>14</v>
      </c>
      <c r="C5582" s="10" t="s">
        <v>28</v>
      </c>
      <c r="D5582" s="12">
        <v>284.89999999999998</v>
      </c>
      <c r="E5582" s="12">
        <f>SUMIF('Parametros Inventario'!$A:$A,B5582,'Parametros Inventario'!$B:$B)+SUMIFS(D$2:D5582,B$2:B5582,B5582,C$2:C5582,"ENTRADA")-SUMIFS(D$2:D5582,B$2:B5582,B5582,C$2:C5582,"SALIDA")</f>
        <v>26722.227999999981</v>
      </c>
    </row>
    <row r="5583" spans="1:5" x14ac:dyDescent="0.3">
      <c r="A5583" s="9">
        <v>46003</v>
      </c>
      <c r="B5583" s="10" t="s">
        <v>12</v>
      </c>
      <c r="C5583" s="10" t="s">
        <v>28</v>
      </c>
      <c r="D5583" s="12">
        <v>245.55</v>
      </c>
      <c r="E5583" s="12">
        <f>SUMIF('Parametros Inventario'!$A:$A,B5583,'Parametros Inventario'!$B:$B)+SUMIFS(D$2:D5583,B$2:B5583,B5583,C$2:C5583,"ENTRADA")-SUMIFS(D$2:D5583,B$2:B5583,B5583,C$2:C5583,"SALIDA")</f>
        <v>26365.152000000002</v>
      </c>
    </row>
    <row r="5584" spans="1:5" x14ac:dyDescent="0.3">
      <c r="A5584" s="9">
        <v>46003</v>
      </c>
      <c r="B5584" s="10" t="s">
        <v>16</v>
      </c>
      <c r="C5584" s="10" t="s">
        <v>28</v>
      </c>
      <c r="D5584" s="12">
        <v>176.89</v>
      </c>
      <c r="E5584" s="12">
        <f>SUMIF('Parametros Inventario'!$A:$A,B5584,'Parametros Inventario'!$B:$B)+SUMIFS(D$2:D5584,B$2:B5584,B5584,C$2:C5584,"ENTRADA")-SUMIFS(D$2:D5584,B$2:B5584,B5584,C$2:C5584,"SALIDA")</f>
        <v>27027.108999999982</v>
      </c>
    </row>
    <row r="5585" spans="1:5" x14ac:dyDescent="0.3">
      <c r="A5585" s="9">
        <v>46003</v>
      </c>
      <c r="B5585" s="10" t="s">
        <v>17</v>
      </c>
      <c r="C5585" s="10" t="s">
        <v>28</v>
      </c>
      <c r="D5585" s="12">
        <v>116.9</v>
      </c>
      <c r="E5585" s="12">
        <f>SUMIF('Parametros Inventario'!$A:$A,B5585,'Parametros Inventario'!$B:$B)+SUMIFS(D$2:D5585,B$2:B5585,B5585,C$2:C5585,"ENTRADA")-SUMIFS(D$2:D5585,B$2:B5585,B5585,C$2:C5585,"SALIDA")</f>
        <v>26793.108</v>
      </c>
    </row>
    <row r="5586" spans="1:5" x14ac:dyDescent="0.3">
      <c r="A5586" s="9">
        <v>46003</v>
      </c>
      <c r="B5586" s="10" t="s">
        <v>18</v>
      </c>
      <c r="C5586" s="10" t="s">
        <v>28</v>
      </c>
      <c r="D5586" s="12">
        <v>214.67</v>
      </c>
      <c r="E5586" s="12">
        <f>SUMIF('Parametros Inventario'!$A:$A,B5586,'Parametros Inventario'!$B:$B)+SUMIFS(D$2:D5586,B$2:B5586,B5586,C$2:C5586,"ENTRADA")-SUMIFS(D$2:D5586,B$2:B5586,B5586,C$2:C5586,"SALIDA")</f>
        <v>26708.786999999975</v>
      </c>
    </row>
    <row r="5587" spans="1:5" x14ac:dyDescent="0.3">
      <c r="A5587" s="9">
        <f>'Volúmenes DIstribuidos '!B3357</f>
        <v>46003</v>
      </c>
      <c r="B5587" s="10" t="str">
        <f>IF(OR('Volúmenes DIstribuidos '!C3357="Azúcar",'Volúmenes DIstribuidos '!C3357="azúcar"),"Azúcar o dulce",IF('Volúmenes DIstribuidos '!C3357="Aceite","Aceite o grasas",IF('Volúmenes DIstribuidos '!C3357="Avena","Otros almidones",'Volúmenes DIstribuidos '!C3357)))</f>
        <v>Menestras</v>
      </c>
      <c r="C5587" s="10" t="s">
        <v>29</v>
      </c>
      <c r="D5587" s="12">
        <f>'Volúmenes DIstribuidos '!D3357</f>
        <v>5.39</v>
      </c>
      <c r="E5587" s="12">
        <f>SUMIF('Parametros Inventario'!$A:$A,B5587,'Parametros Inventario'!$B:$B)+SUMIFS(D$2:D5587,B$2:B5587,B5587,C$2:C5587,"ENTRADA")-SUMIFS(D$2:D5587,B$2:B5587,B5587,C$2:C5587,"SALIDA")</f>
        <v>26716.837999999982</v>
      </c>
    </row>
    <row r="5588" spans="1:5" x14ac:dyDescent="0.3">
      <c r="A5588" s="9">
        <f>'Volúmenes DIstribuidos '!B3357</f>
        <v>46003</v>
      </c>
      <c r="B5588" s="10" t="str">
        <f>IF(OR('Volúmenes DIstribuidos '!C3358="Azúcar",'Volúmenes DIstribuidos '!C3358="azúcar"),"Azúcar o dulce",IF('Volúmenes DIstribuidos '!C3358="Aceite","Aceite o grasas",IF('Volúmenes DIstribuidos '!C3358="Avena","Otros almidones",'Volúmenes DIstribuidos '!C3358)))</f>
        <v>Carnes blancas</v>
      </c>
      <c r="C5588" s="10" t="s">
        <v>29</v>
      </c>
      <c r="D5588" s="12">
        <f>'Volúmenes DIstribuidos '!D3358</f>
        <v>31.19</v>
      </c>
      <c r="E5588" s="12">
        <f>SUMIF('Parametros Inventario'!$A:$A,B5588,'Parametros Inventario'!$B:$B)+SUMIFS(D$2:D5588,B$2:B5588,B5588,C$2:C5588,"ENTRADA")-SUMIFS(D$2:D5588,B$2:B5588,B5588,C$2:C5588,"SALIDA")</f>
        <v>26995.91899999998</v>
      </c>
    </row>
    <row r="5589" spans="1:5" x14ac:dyDescent="0.3">
      <c r="A5589" s="9">
        <f>'Volúmenes DIstribuidos '!B3357</f>
        <v>46003</v>
      </c>
      <c r="B5589" s="10" t="str">
        <f>IF(OR('Volúmenes DIstribuidos '!C3359="Azúcar",'Volúmenes DIstribuidos '!C3359="azúcar"),"Azúcar o dulce",IF('Volúmenes DIstribuidos '!C3359="Aceite","Aceite o grasas",IF('Volúmenes DIstribuidos '!C3359="Avena","Otros almidones",'Volúmenes DIstribuidos '!C3359)))</f>
        <v>Azúcar o dulce</v>
      </c>
      <c r="C5589" s="10" t="s">
        <v>29</v>
      </c>
      <c r="D5589" s="12">
        <f>'Volúmenes DIstribuidos '!D3359</f>
        <v>17.222999999999999</v>
      </c>
      <c r="E5589" s="12">
        <f>SUMIF('Parametros Inventario'!$A:$A,B5589,'Parametros Inventario'!$B:$B)+SUMIFS(D$2:D5589,B$2:B5589,B5589,C$2:C5589,"ENTRADA")-SUMIFS(D$2:D5589,B$2:B5589,B5589,C$2:C5589,"SALIDA")</f>
        <v>25894.180999999982</v>
      </c>
    </row>
    <row r="5590" spans="1:5" x14ac:dyDescent="0.3">
      <c r="A5590" s="9">
        <f>'Volúmenes DIstribuidos '!B3357</f>
        <v>46003</v>
      </c>
      <c r="B5590" s="10" t="str">
        <f>IF(OR('Volúmenes DIstribuidos '!C3360="Azúcar",'Volúmenes DIstribuidos '!C3360="azúcar"),"Azúcar o dulce",IF('Volúmenes DIstribuidos '!C3360="Aceite","Aceite o grasas",IF('Volúmenes DIstribuidos '!C3360="Avena","Otros almidones",'Volúmenes DIstribuidos '!C3360)))</f>
        <v>Carnes blancas</v>
      </c>
      <c r="C5590" s="10" t="s">
        <v>29</v>
      </c>
      <c r="D5590" s="12">
        <f>'Volúmenes DIstribuidos '!D3360</f>
        <v>6.5</v>
      </c>
      <c r="E5590" s="12">
        <f>SUMIF('Parametros Inventario'!$A:$A,B5590,'Parametros Inventario'!$B:$B)+SUMIFS(D$2:D5590,B$2:B5590,B5590,C$2:C5590,"ENTRADA")-SUMIFS(D$2:D5590,B$2:B5590,B5590,C$2:C5590,"SALIDA")</f>
        <v>26989.41899999998</v>
      </c>
    </row>
    <row r="5591" spans="1:5" x14ac:dyDescent="0.3">
      <c r="A5591" s="9">
        <f>'Volúmenes DIstribuidos '!B3357</f>
        <v>46003</v>
      </c>
      <c r="B5591" s="10" t="str">
        <f>IF(OR('Volúmenes DIstribuidos '!C3361="Azúcar",'Volúmenes DIstribuidos '!C3361="azúcar"),"Azúcar o dulce",IF('Volúmenes DIstribuidos '!C3361="Aceite","Aceite o grasas",IF('Volúmenes DIstribuidos '!C3361="Avena","Otros almidones",'Volúmenes DIstribuidos '!C3361)))</f>
        <v>Aceite o grasas</v>
      </c>
      <c r="C5591" s="10" t="s">
        <v>29</v>
      </c>
      <c r="D5591" s="12">
        <f>'Volúmenes DIstribuidos '!D3361</f>
        <v>7.63</v>
      </c>
      <c r="E5591" s="12">
        <f>SUMIF('Parametros Inventario'!$A:$A,B5591,'Parametros Inventario'!$B:$B)+SUMIFS(D$2:D5591,B$2:B5591,B5591,C$2:C5591,"ENTRADA")-SUMIFS(D$2:D5591,B$2:B5591,B5591,C$2:C5591,"SALIDA")</f>
        <v>26622.12000000001</v>
      </c>
    </row>
    <row r="5592" spans="1:5" x14ac:dyDescent="0.3">
      <c r="A5592" s="9">
        <f>'Volúmenes DIstribuidos '!B3357</f>
        <v>46003</v>
      </c>
      <c r="B5592" s="10" t="str">
        <f>IF(OR('Volúmenes DIstribuidos '!C3362="Azúcar",'Volúmenes DIstribuidos '!C3362="azúcar"),"Azúcar o dulce",IF('Volúmenes DIstribuidos '!C3362="Aceite","Aceite o grasas",IF('Volúmenes DIstribuidos '!C3362="Avena","Otros almidones",'Volúmenes DIstribuidos '!C3362)))</f>
        <v>Vegetales y hojas</v>
      </c>
      <c r="C5592" s="10" t="s">
        <v>29</v>
      </c>
      <c r="D5592" s="12">
        <f>'Volúmenes DIstribuidos '!D3362</f>
        <v>15.87</v>
      </c>
      <c r="E5592" s="12">
        <f>SUMIF('Parametros Inventario'!$A:$A,B5592,'Parametros Inventario'!$B:$B)+SUMIFS(D$2:D5592,B$2:B5592,B5592,C$2:C5592,"ENTRADA")-SUMIFS(D$2:D5592,B$2:B5592,B5592,C$2:C5592,"SALIDA")</f>
        <v>28186.892999999982</v>
      </c>
    </row>
    <row r="5593" spans="1:5" x14ac:dyDescent="0.3">
      <c r="A5593" s="9">
        <f>'Volúmenes DIstribuidos '!B3363</f>
        <v>46007</v>
      </c>
      <c r="B5593" s="10" t="str">
        <f>IF(OR('Volúmenes DIstribuidos '!C3363="Azúcar",'Volúmenes DIstribuidos '!C3363="azúcar"),"Azúcar o dulce",IF('Volúmenes DIstribuidos '!C3363="Aceite","Aceite o grasas",IF('Volúmenes DIstribuidos '!C3363="Avena","Otros almidones",'Volúmenes DIstribuidos '!C3363)))</f>
        <v>Menestras</v>
      </c>
      <c r="C5593" s="10" t="s">
        <v>29</v>
      </c>
      <c r="D5593" s="12">
        <f>'Volúmenes DIstribuidos '!D3363</f>
        <v>33.380000000000003</v>
      </c>
      <c r="E5593" s="12">
        <f>SUMIF('Parametros Inventario'!$A:$A,B5593,'Parametros Inventario'!$B:$B)+SUMIFS(D$2:D5593,B$2:B5593,B5593,C$2:C5593,"ENTRADA")-SUMIFS(D$2:D5593,B$2:B5593,B5593,C$2:C5593,"SALIDA")</f>
        <v>26683.457999999984</v>
      </c>
    </row>
    <row r="5594" spans="1:5" x14ac:dyDescent="0.3">
      <c r="A5594" s="9">
        <f>'Volúmenes DIstribuidos '!B3363</f>
        <v>46007</v>
      </c>
      <c r="B5594" s="10" t="str">
        <f>IF(OR('Volúmenes DIstribuidos '!C3364="Azúcar",'Volúmenes DIstribuidos '!C3364="azúcar"),"Azúcar o dulce",IF('Volúmenes DIstribuidos '!C3364="Aceite","Aceite o grasas",IF('Volúmenes DIstribuidos '!C3364="Avena","Otros almidones",'Volúmenes DIstribuidos '!C3364)))</f>
        <v>Azúcar o dulce</v>
      </c>
      <c r="C5594" s="10" t="s">
        <v>29</v>
      </c>
      <c r="D5594" s="12">
        <f>'Volúmenes DIstribuidos '!D3364</f>
        <v>23.1</v>
      </c>
      <c r="E5594" s="12">
        <f>SUMIF('Parametros Inventario'!$A:$A,B5594,'Parametros Inventario'!$B:$B)+SUMIFS(D$2:D5594,B$2:B5594,B5594,C$2:C5594,"ENTRADA")-SUMIFS(D$2:D5594,B$2:B5594,B5594,C$2:C5594,"SALIDA")</f>
        <v>25871.080999999984</v>
      </c>
    </row>
    <row r="5595" spans="1:5" x14ac:dyDescent="0.3">
      <c r="A5595" s="9">
        <f>'Volúmenes DIstribuidos '!B3363</f>
        <v>46007</v>
      </c>
      <c r="B5595" s="10" t="str">
        <f>IF(OR('Volúmenes DIstribuidos '!C3365="Azúcar",'Volúmenes DIstribuidos '!C3365="azúcar"),"Azúcar o dulce",IF('Volúmenes DIstribuidos '!C3365="Aceite","Aceite o grasas",IF('Volúmenes DIstribuidos '!C3365="Avena","Otros almidones",'Volúmenes DIstribuidos '!C3365)))</f>
        <v>Panadería</v>
      </c>
      <c r="C5595" s="10" t="s">
        <v>29</v>
      </c>
      <c r="D5595" s="12">
        <f>'Volúmenes DIstribuidos '!D3365</f>
        <v>27.513999999999999</v>
      </c>
      <c r="E5595" s="12">
        <f>SUMIF('Parametros Inventario'!$A:$A,B5595,'Parametros Inventario'!$B:$B)+SUMIFS(D$2:D5595,B$2:B5595,B5595,C$2:C5595,"ENTRADA")-SUMIFS(D$2:D5595,B$2:B5595,B5595,C$2:C5595,"SALIDA")</f>
        <v>25919.036</v>
      </c>
    </row>
    <row r="5596" spans="1:5" x14ac:dyDescent="0.3">
      <c r="A5596" s="9">
        <f>'Volúmenes DIstribuidos '!B3363</f>
        <v>46007</v>
      </c>
      <c r="B5596" s="10" t="str">
        <f>IF(OR('Volúmenes DIstribuidos '!C3366="Azúcar",'Volúmenes DIstribuidos '!C3366="azúcar"),"Azúcar o dulce",IF('Volúmenes DIstribuidos '!C3366="Aceite","Aceite o grasas",IF('Volúmenes DIstribuidos '!C3366="Avena","Otros almidones",'Volúmenes DIstribuidos '!C3366)))</f>
        <v>Lácteos</v>
      </c>
      <c r="C5596" s="10" t="s">
        <v>29</v>
      </c>
      <c r="D5596" s="12">
        <f>'Volúmenes DIstribuidos '!D3366</f>
        <v>28.22</v>
      </c>
      <c r="E5596" s="12">
        <f>SUMIF('Parametros Inventario'!$A:$A,B5596,'Parametros Inventario'!$B:$B)+SUMIFS(D$2:D5596,B$2:B5596,B5596,C$2:C5596,"ENTRADA")-SUMIFS(D$2:D5596,B$2:B5596,B5596,C$2:C5596,"SALIDA")</f>
        <v>26764.887999999999</v>
      </c>
    </row>
    <row r="5597" spans="1:5" x14ac:dyDescent="0.3">
      <c r="A5597" s="9">
        <f>'Volúmenes DIstribuidos '!B3363</f>
        <v>46007</v>
      </c>
      <c r="B5597" s="10" t="str">
        <f>IF(OR('Volúmenes DIstribuidos '!C3367="Azúcar",'Volúmenes DIstribuidos '!C3367="azúcar"),"Azúcar o dulce",IF('Volúmenes DIstribuidos '!C3367="Aceite","Aceite o grasas",IF('Volúmenes DIstribuidos '!C3367="Avena","Otros almidones",'Volúmenes DIstribuidos '!C3367)))</f>
        <v>Vegetales y hojas</v>
      </c>
      <c r="C5597" s="10" t="s">
        <v>29</v>
      </c>
      <c r="D5597" s="12">
        <f>'Volúmenes DIstribuidos '!D3367</f>
        <v>75.16</v>
      </c>
      <c r="E5597" s="12">
        <f>SUMIF('Parametros Inventario'!$A:$A,B5597,'Parametros Inventario'!$B:$B)+SUMIFS(D$2:D5597,B$2:B5597,B5597,C$2:C5597,"ENTRADA")-SUMIFS(D$2:D5597,B$2:B5597,B5597,C$2:C5597,"SALIDA")</f>
        <v>28111.732999999978</v>
      </c>
    </row>
    <row r="5598" spans="1:5" x14ac:dyDescent="0.3">
      <c r="A5598" s="9">
        <f>'Volúmenes DIstribuidos '!B3363</f>
        <v>46007</v>
      </c>
      <c r="B5598" s="10" t="str">
        <f>IF(OR('Volúmenes DIstribuidos '!C3368="Azúcar",'Volúmenes DIstribuidos '!C3368="azúcar"),"Azúcar o dulce",IF('Volúmenes DIstribuidos '!C3368="Aceite","Aceite o grasas",IF('Volúmenes DIstribuidos '!C3368="Avena","Otros almidones",'Volúmenes DIstribuidos '!C3368)))</f>
        <v>Azúcar o dulce</v>
      </c>
      <c r="C5598" s="10" t="s">
        <v>29</v>
      </c>
      <c r="D5598" s="12">
        <f>'Volúmenes DIstribuidos '!D3368</f>
        <v>18</v>
      </c>
      <c r="E5598" s="12">
        <f>SUMIF('Parametros Inventario'!$A:$A,B5598,'Parametros Inventario'!$B:$B)+SUMIFS(D$2:D5598,B$2:B5598,B5598,C$2:C5598,"ENTRADA")-SUMIFS(D$2:D5598,B$2:B5598,B5598,C$2:C5598,"SALIDA")</f>
        <v>25853.080999999984</v>
      </c>
    </row>
    <row r="5599" spans="1:5" x14ac:dyDescent="0.3">
      <c r="A5599" s="9">
        <v>46010</v>
      </c>
      <c r="B5599" s="10" t="s">
        <v>10</v>
      </c>
      <c r="C5599" s="10" t="s">
        <v>28</v>
      </c>
      <c r="D5599" s="12">
        <v>126.85</v>
      </c>
      <c r="E5599" s="12">
        <f>SUMIF('Parametros Inventario'!$A:$A,B5599,'Parametros Inventario'!$B:$B)+SUMIFS(D$2:D5599,B$2:B5599,B5599,C$2:C5599,"ENTRADA")-SUMIFS(D$2:D5599,B$2:B5599,B5599,C$2:C5599,"SALIDA")</f>
        <v>28238.582999999977</v>
      </c>
    </row>
    <row r="5600" spans="1:5" x14ac:dyDescent="0.3">
      <c r="A5600" s="9">
        <v>46010</v>
      </c>
      <c r="B5600" s="10" t="s">
        <v>8</v>
      </c>
      <c r="C5600" s="10" t="s">
        <v>28</v>
      </c>
      <c r="D5600" s="12">
        <v>275.67</v>
      </c>
      <c r="E5600" s="12">
        <f>SUMIF('Parametros Inventario'!$A:$A,B5600,'Parametros Inventario'!$B:$B)+SUMIFS(D$2:D5600,B$2:B5600,B5600,C$2:C5600,"ENTRADA")-SUMIFS(D$2:D5600,B$2:B5600,B5600,C$2:C5600,"SALIDA")</f>
        <v>26897.790000000008</v>
      </c>
    </row>
    <row r="5601" spans="1:5" x14ac:dyDescent="0.3">
      <c r="A5601" s="9">
        <v>46010</v>
      </c>
      <c r="B5601" s="10" t="s">
        <v>13</v>
      </c>
      <c r="C5601" s="10" t="s">
        <v>28</v>
      </c>
      <c r="D5601" s="12">
        <v>277.33</v>
      </c>
      <c r="E5601" s="12">
        <f>SUMIF('Parametros Inventario'!$A:$A,B5601,'Parametros Inventario'!$B:$B)+SUMIFS(D$2:D5601,B$2:B5601,B5601,C$2:C5601,"ENTRADA")-SUMIFS(D$2:D5601,B$2:B5601,B5601,C$2:C5601,"SALIDA")</f>
        <v>26130.410999999986</v>
      </c>
    </row>
    <row r="5602" spans="1:5" x14ac:dyDescent="0.3">
      <c r="A5602" s="9">
        <v>46010</v>
      </c>
      <c r="B5602" s="10" t="s">
        <v>15</v>
      </c>
      <c r="C5602" s="10" t="s">
        <v>28</v>
      </c>
      <c r="D5602" s="12">
        <v>218.33</v>
      </c>
      <c r="E5602" s="12">
        <f>SUMIF('Parametros Inventario'!$A:$A,B5602,'Parametros Inventario'!$B:$B)+SUMIFS(D$2:D5602,B$2:B5602,B5602,C$2:C5602,"ENTRADA")-SUMIFS(D$2:D5602,B$2:B5602,B5602,C$2:C5602,"SALIDA")</f>
        <v>29916.306000000011</v>
      </c>
    </row>
    <row r="5603" spans="1:5" x14ac:dyDescent="0.3">
      <c r="A5603" s="9">
        <v>46010</v>
      </c>
      <c r="B5603" s="10" t="s">
        <v>11</v>
      </c>
      <c r="C5603" s="10" t="s">
        <v>28</v>
      </c>
      <c r="D5603" s="12">
        <v>51.04</v>
      </c>
      <c r="E5603" s="12">
        <f>SUMIF('Parametros Inventario'!$A:$A,B5603,'Parametros Inventario'!$B:$B)+SUMIFS(D$2:D5603,B$2:B5603,B5603,C$2:C5603,"ENTRADA")-SUMIFS(D$2:D5603,B$2:B5603,B5603,C$2:C5603,"SALIDA")</f>
        <v>30049.828000000009</v>
      </c>
    </row>
    <row r="5604" spans="1:5" x14ac:dyDescent="0.3">
      <c r="A5604" s="9">
        <v>46010</v>
      </c>
      <c r="B5604" s="10" t="s">
        <v>9</v>
      </c>
      <c r="C5604" s="10" t="s">
        <v>28</v>
      </c>
      <c r="D5604" s="12">
        <v>277.26</v>
      </c>
      <c r="E5604" s="12">
        <f>SUMIF('Parametros Inventario'!$A:$A,B5604,'Parametros Inventario'!$B:$B)+SUMIFS(D$2:D5604,B$2:B5604,B5604,C$2:C5604,"ENTRADA")-SUMIFS(D$2:D5604,B$2:B5604,B5604,C$2:C5604,"SALIDA")</f>
        <v>26196.296000000002</v>
      </c>
    </row>
    <row r="5605" spans="1:5" x14ac:dyDescent="0.3">
      <c r="A5605" s="9">
        <v>46010</v>
      </c>
      <c r="B5605" s="10" t="s">
        <v>14</v>
      </c>
      <c r="C5605" s="10" t="s">
        <v>28</v>
      </c>
      <c r="D5605" s="12">
        <v>58.17</v>
      </c>
      <c r="E5605" s="12">
        <f>SUMIF('Parametros Inventario'!$A:$A,B5605,'Parametros Inventario'!$B:$B)+SUMIFS(D$2:D5605,B$2:B5605,B5605,C$2:C5605,"ENTRADA")-SUMIFS(D$2:D5605,B$2:B5605,B5605,C$2:C5605,"SALIDA")</f>
        <v>26741.627999999982</v>
      </c>
    </row>
    <row r="5606" spans="1:5" x14ac:dyDescent="0.3">
      <c r="A5606" s="9">
        <v>46010</v>
      </c>
      <c r="B5606" s="10" t="s">
        <v>12</v>
      </c>
      <c r="C5606" s="10" t="s">
        <v>28</v>
      </c>
      <c r="D5606" s="12">
        <v>56.56</v>
      </c>
      <c r="E5606" s="12">
        <f>SUMIF('Parametros Inventario'!$A:$A,B5606,'Parametros Inventario'!$B:$B)+SUMIFS(D$2:D5606,B$2:B5606,B5606,C$2:C5606,"ENTRADA")-SUMIFS(D$2:D5606,B$2:B5606,B5606,C$2:C5606,"SALIDA")</f>
        <v>26421.712</v>
      </c>
    </row>
    <row r="5607" spans="1:5" x14ac:dyDescent="0.3">
      <c r="A5607" s="9">
        <v>46010</v>
      </c>
      <c r="B5607" s="10" t="s">
        <v>16</v>
      </c>
      <c r="C5607" s="10" t="s">
        <v>28</v>
      </c>
      <c r="D5607" s="12">
        <v>247.63</v>
      </c>
      <c r="E5607" s="12">
        <f>SUMIF('Parametros Inventario'!$A:$A,B5607,'Parametros Inventario'!$B:$B)+SUMIFS(D$2:D5607,B$2:B5607,B5607,C$2:C5607,"ENTRADA")-SUMIFS(D$2:D5607,B$2:B5607,B5607,C$2:C5607,"SALIDA")</f>
        <v>27237.048999999977</v>
      </c>
    </row>
    <row r="5608" spans="1:5" x14ac:dyDescent="0.3">
      <c r="A5608" s="9">
        <v>46010</v>
      </c>
      <c r="B5608" s="10" t="s">
        <v>17</v>
      </c>
      <c r="C5608" s="10" t="s">
        <v>28</v>
      </c>
      <c r="D5608" s="12">
        <v>260.19</v>
      </c>
      <c r="E5608" s="12">
        <f>SUMIF('Parametros Inventario'!$A:$A,B5608,'Parametros Inventario'!$B:$B)+SUMIFS(D$2:D5608,B$2:B5608,B5608,C$2:C5608,"ENTRADA")-SUMIFS(D$2:D5608,B$2:B5608,B5608,C$2:C5608,"SALIDA")</f>
        <v>27025.078000000001</v>
      </c>
    </row>
    <row r="5609" spans="1:5" x14ac:dyDescent="0.3">
      <c r="A5609" s="9">
        <v>46010</v>
      </c>
      <c r="B5609" s="10" t="s">
        <v>18</v>
      </c>
      <c r="C5609" s="10" t="s">
        <v>28</v>
      </c>
      <c r="D5609" s="12">
        <v>179.74</v>
      </c>
      <c r="E5609" s="12">
        <f>SUMIF('Parametros Inventario'!$A:$A,B5609,'Parametros Inventario'!$B:$B)+SUMIFS(D$2:D5609,B$2:B5609,B5609,C$2:C5609,"ENTRADA")-SUMIFS(D$2:D5609,B$2:B5609,B5609,C$2:C5609,"SALIDA")</f>
        <v>26888.526999999973</v>
      </c>
    </row>
    <row r="5610" spans="1:5" x14ac:dyDescent="0.3">
      <c r="A5610" s="9">
        <v>46010</v>
      </c>
      <c r="B5610" s="10" t="s">
        <v>10</v>
      </c>
      <c r="C5610" s="10" t="s">
        <v>28</v>
      </c>
      <c r="D5610" s="12">
        <v>235.31</v>
      </c>
      <c r="E5610" s="12">
        <f>SUMIF('Parametros Inventario'!$A:$A,B5610,'Parametros Inventario'!$B:$B)+SUMIFS(D$2:D5610,B$2:B5610,B5610,C$2:C5610,"ENTRADA")-SUMIFS(D$2:D5610,B$2:B5610,B5610,C$2:C5610,"SALIDA")</f>
        <v>28473.892999999975</v>
      </c>
    </row>
    <row r="5611" spans="1:5" x14ac:dyDescent="0.3">
      <c r="A5611" s="9">
        <f>'Volúmenes DIstribuidos '!B3369</f>
        <v>46010</v>
      </c>
      <c r="B5611" s="10" t="str">
        <f>IF(OR('Volúmenes DIstribuidos '!C3369="Azúcar",'Volúmenes DIstribuidos '!C3369="azúcar"),"Azúcar o dulce",IF('Volúmenes DIstribuidos '!C3369="Aceite","Aceite o grasas",IF('Volúmenes DIstribuidos '!C3369="Avena","Otros almidones",'Volúmenes DIstribuidos '!C3369)))</f>
        <v>Otros almidones</v>
      </c>
      <c r="C5611" s="10" t="s">
        <v>29</v>
      </c>
      <c r="D5611" s="12">
        <f>'Volúmenes DIstribuidos '!D3369</f>
        <v>7.14</v>
      </c>
      <c r="E5611" s="12">
        <f>SUMIF('Parametros Inventario'!$A:$A,B5611,'Parametros Inventario'!$B:$B)+SUMIFS(D$2:D5611,B$2:B5611,B5611,C$2:C5611,"ENTRADA")-SUMIFS(D$2:D5611,B$2:B5611,B5611,C$2:C5611,"SALIDA")</f>
        <v>29909.166000000012</v>
      </c>
    </row>
    <row r="5612" spans="1:5" x14ac:dyDescent="0.3">
      <c r="A5612" s="9">
        <f>'Volúmenes DIstribuidos '!B3369</f>
        <v>46010</v>
      </c>
      <c r="B5612" s="10" t="str">
        <f>IF(OR('Volúmenes DIstribuidos '!C3370="Azúcar",'Volúmenes DIstribuidos '!C3370="azúcar"),"Azúcar o dulce",IF('Volúmenes DIstribuidos '!C3370="Aceite","Aceite o grasas",IF('Volúmenes DIstribuidos '!C3370="Avena","Otros almidones",'Volúmenes DIstribuidos '!C3370)))</f>
        <v>Salsas</v>
      </c>
      <c r="C5612" s="10" t="s">
        <v>29</v>
      </c>
      <c r="D5612" s="12">
        <f>'Volúmenes DIstribuidos '!D3370</f>
        <v>53.06</v>
      </c>
      <c r="E5612" s="12">
        <f>SUMIF('Parametros Inventario'!$A:$A,B5612,'Parametros Inventario'!$B:$B)+SUMIFS(D$2:D5612,B$2:B5612,B5612,C$2:C5612,"ENTRADA")-SUMIFS(D$2:D5612,B$2:B5612,B5612,C$2:C5612,"SALIDA")</f>
        <v>26835.466999999975</v>
      </c>
    </row>
    <row r="5613" spans="1:5" x14ac:dyDescent="0.3">
      <c r="A5613" s="9">
        <f>'Volúmenes DIstribuidos '!B3369</f>
        <v>46010</v>
      </c>
      <c r="B5613" s="10" t="str">
        <f>IF(OR('Volúmenes DIstribuidos '!C3371="Azúcar",'Volúmenes DIstribuidos '!C3371="azúcar"),"Azúcar o dulce",IF('Volúmenes DIstribuidos '!C3371="Aceite","Aceite o grasas",IF('Volúmenes DIstribuidos '!C3371="Avena","Otros almidones",'Volúmenes DIstribuidos '!C3371)))</f>
        <v>Fideo</v>
      </c>
      <c r="C5613" s="10" t="s">
        <v>29</v>
      </c>
      <c r="D5613" s="12">
        <f>'Volúmenes DIstribuidos '!D3371</f>
        <v>3.79</v>
      </c>
      <c r="E5613" s="12">
        <f>SUMIF('Parametros Inventario'!$A:$A,B5613,'Parametros Inventario'!$B:$B)+SUMIFS(D$2:D5613,B$2:B5613,B5613,C$2:C5613,"ENTRADA")-SUMIFS(D$2:D5613,B$2:B5613,B5613,C$2:C5613,"SALIDA")</f>
        <v>30046.038000000008</v>
      </c>
    </row>
    <row r="5614" spans="1:5" x14ac:dyDescent="0.3">
      <c r="A5614" s="9">
        <f>'Volúmenes DIstribuidos '!B3369</f>
        <v>46010</v>
      </c>
      <c r="B5614" s="10" t="str">
        <f>IF(OR('Volúmenes DIstribuidos '!C3372="Azúcar",'Volúmenes DIstribuidos '!C3372="azúcar"),"Azúcar o dulce",IF('Volúmenes DIstribuidos '!C3372="Aceite","Aceite o grasas",IF('Volúmenes DIstribuidos '!C3372="Avena","Otros almidones",'Volúmenes DIstribuidos '!C3372)))</f>
        <v>Aceite o grasas</v>
      </c>
      <c r="C5614" s="10" t="s">
        <v>29</v>
      </c>
      <c r="D5614" s="12">
        <f>'Volúmenes DIstribuidos '!D3372</f>
        <v>11.04</v>
      </c>
      <c r="E5614" s="12">
        <f>SUMIF('Parametros Inventario'!$A:$A,B5614,'Parametros Inventario'!$B:$B)+SUMIFS(D$2:D5614,B$2:B5614,B5614,C$2:C5614,"ENTRADA")-SUMIFS(D$2:D5614,B$2:B5614,B5614,C$2:C5614,"SALIDA")</f>
        <v>26886.750000000007</v>
      </c>
    </row>
    <row r="5615" spans="1:5" x14ac:dyDescent="0.3">
      <c r="A5615" s="9">
        <f>'Volúmenes DIstribuidos '!B3369</f>
        <v>46010</v>
      </c>
      <c r="B5615" s="10" t="str">
        <f>IF(OR('Volúmenes DIstribuidos '!C3373="Azúcar",'Volúmenes DIstribuidos '!C3373="azúcar"),"Azúcar o dulce",IF('Volúmenes DIstribuidos '!C3373="Aceite","Aceite o grasas",IF('Volúmenes DIstribuidos '!C3373="Avena","Otros almidones",'Volúmenes DIstribuidos '!C3373)))</f>
        <v>Carnes rojas</v>
      </c>
      <c r="C5615" s="10" t="s">
        <v>29</v>
      </c>
      <c r="D5615" s="12">
        <f>'Volúmenes DIstribuidos '!D3373</f>
        <v>9.23</v>
      </c>
      <c r="E5615" s="12">
        <f>SUMIF('Parametros Inventario'!$A:$A,B5615,'Parametros Inventario'!$B:$B)+SUMIFS(D$2:D5615,B$2:B5615,B5615,C$2:C5615,"ENTRADA")-SUMIFS(D$2:D5615,B$2:B5615,B5615,C$2:C5615,"SALIDA")</f>
        <v>26412.481999999996</v>
      </c>
    </row>
    <row r="5616" spans="1:5" x14ac:dyDescent="0.3">
      <c r="A5616" s="9">
        <f>'Volúmenes DIstribuidos '!B3369</f>
        <v>46010</v>
      </c>
      <c r="B5616" s="10" t="str">
        <f>IF(OR('Volúmenes DIstribuidos '!C3374="Azúcar",'Volúmenes DIstribuidos '!C3374="azúcar"),"Azúcar o dulce",IF('Volúmenes DIstribuidos '!C3374="Aceite","Aceite o grasas",IF('Volúmenes DIstribuidos '!C3374="Avena","Otros almidones",'Volúmenes DIstribuidos '!C3374)))</f>
        <v>Carnes blancas</v>
      </c>
      <c r="C5616" s="10" t="s">
        <v>29</v>
      </c>
      <c r="D5616" s="12">
        <f>'Volúmenes DIstribuidos '!D3374</f>
        <v>35.692</v>
      </c>
      <c r="E5616" s="12">
        <f>SUMIF('Parametros Inventario'!$A:$A,B5616,'Parametros Inventario'!$B:$B)+SUMIFS(D$2:D5616,B$2:B5616,B5616,C$2:C5616,"ENTRADA")-SUMIFS(D$2:D5616,B$2:B5616,B5616,C$2:C5616,"SALIDA")</f>
        <v>27201.356999999982</v>
      </c>
    </row>
    <row r="5617" spans="1:5" x14ac:dyDescent="0.3">
      <c r="A5617" s="9">
        <f>'Volúmenes DIstribuidos '!B3375</f>
        <v>46014</v>
      </c>
      <c r="B5617" s="10" t="str">
        <f>IF(OR('Volúmenes DIstribuidos '!C3375="Azúcar",'Volúmenes DIstribuidos '!C3375="azúcar"),"Azúcar o dulce",IF('Volúmenes DIstribuidos '!C3375="Aceite","Aceite o grasas",IF('Volúmenes DIstribuidos '!C3375="Avena","Otros almidones",'Volúmenes DIstribuidos '!C3375)))</f>
        <v>Carnes rojas</v>
      </c>
      <c r="C5617" s="10" t="s">
        <v>29</v>
      </c>
      <c r="D5617" s="12">
        <f>'Volúmenes DIstribuidos '!D3375</f>
        <v>13.72</v>
      </c>
      <c r="E5617" s="12">
        <f>SUMIF('Parametros Inventario'!$A:$A,B5617,'Parametros Inventario'!$B:$B)+SUMIFS(D$2:D5617,B$2:B5617,B5617,C$2:C5617,"ENTRADA")-SUMIFS(D$2:D5617,B$2:B5617,B5617,C$2:C5617,"SALIDA")</f>
        <v>26398.761999999999</v>
      </c>
    </row>
    <row r="5618" spans="1:5" x14ac:dyDescent="0.3">
      <c r="A5618" s="9">
        <f>'Volúmenes DIstribuidos '!B3375</f>
        <v>46014</v>
      </c>
      <c r="B5618" s="10" t="str">
        <f>IF(OR('Volúmenes DIstribuidos '!C3376="Azúcar",'Volúmenes DIstribuidos '!C3376="azúcar"),"Azúcar o dulce",IF('Volúmenes DIstribuidos '!C3376="Aceite","Aceite o grasas",IF('Volúmenes DIstribuidos '!C3376="Avena","Otros almidones",'Volúmenes DIstribuidos '!C3376)))</f>
        <v>Aceite o grasas</v>
      </c>
      <c r="C5618" s="10" t="s">
        <v>29</v>
      </c>
      <c r="D5618" s="12">
        <f>'Volúmenes DIstribuidos '!D3376</f>
        <v>28.66</v>
      </c>
      <c r="E5618" s="12">
        <f>SUMIF('Parametros Inventario'!$A:$A,B5618,'Parametros Inventario'!$B:$B)+SUMIFS(D$2:D5618,B$2:B5618,B5618,C$2:C5618,"ENTRADA")-SUMIFS(D$2:D5618,B$2:B5618,B5618,C$2:C5618,"SALIDA")</f>
        <v>26858.090000000004</v>
      </c>
    </row>
    <row r="5619" spans="1:5" x14ac:dyDescent="0.3">
      <c r="A5619" s="9">
        <f>'Volúmenes DIstribuidos '!B3375</f>
        <v>46014</v>
      </c>
      <c r="B5619" s="10" t="str">
        <f>IF(OR('Volúmenes DIstribuidos '!C3377="Azúcar",'Volúmenes DIstribuidos '!C3377="azúcar"),"Azúcar o dulce",IF('Volúmenes DIstribuidos '!C3377="Aceite","Aceite o grasas",IF('Volúmenes DIstribuidos '!C3377="Avena","Otros almidones",'Volúmenes DIstribuidos '!C3377)))</f>
        <v>Carnes blancas</v>
      </c>
      <c r="C5619" s="10" t="s">
        <v>29</v>
      </c>
      <c r="D5619" s="12">
        <f>'Volúmenes DIstribuidos '!D3377</f>
        <v>28.21</v>
      </c>
      <c r="E5619" s="12">
        <f>SUMIF('Parametros Inventario'!$A:$A,B5619,'Parametros Inventario'!$B:$B)+SUMIFS(D$2:D5619,B$2:B5619,B5619,C$2:C5619,"ENTRADA")-SUMIFS(D$2:D5619,B$2:B5619,B5619,C$2:C5619,"SALIDA")</f>
        <v>27173.146999999983</v>
      </c>
    </row>
    <row r="5620" spans="1:5" x14ac:dyDescent="0.3">
      <c r="A5620" s="9">
        <f>'Volúmenes DIstribuidos '!B3375</f>
        <v>46014</v>
      </c>
      <c r="B5620" s="10" t="str">
        <f>IF(OR('Volúmenes DIstribuidos '!C3378="Azúcar",'Volúmenes DIstribuidos '!C3378="azúcar"),"Azúcar o dulce",IF('Volúmenes DIstribuidos '!C3378="Aceite","Aceite o grasas",IF('Volúmenes DIstribuidos '!C3378="Avena","Otros almidones",'Volúmenes DIstribuidos '!C3378)))</f>
        <v>Salsas</v>
      </c>
      <c r="C5620" s="10" t="s">
        <v>29</v>
      </c>
      <c r="D5620" s="12">
        <f>'Volúmenes DIstribuidos '!D3378</f>
        <v>51.838000000000001</v>
      </c>
      <c r="E5620" s="12">
        <f>SUMIF('Parametros Inventario'!$A:$A,B5620,'Parametros Inventario'!$B:$B)+SUMIFS(D$2:D5620,B$2:B5620,B5620,C$2:C5620,"ENTRADA")-SUMIFS(D$2:D5620,B$2:B5620,B5620,C$2:C5620,"SALIDA")</f>
        <v>26783.628999999972</v>
      </c>
    </row>
    <row r="5621" spans="1:5" x14ac:dyDescent="0.3">
      <c r="A5621" s="9">
        <f>'Volúmenes DIstribuidos '!B3375</f>
        <v>46014</v>
      </c>
      <c r="B5621" s="10" t="str">
        <f>IF(OR('Volúmenes DIstribuidos '!C3379="Azúcar",'Volúmenes DIstribuidos '!C3379="azúcar"),"Azúcar o dulce",IF('Volúmenes DIstribuidos '!C3379="Aceite","Aceite o grasas",IF('Volúmenes DIstribuidos '!C3379="Avena","Otros almidones",'Volúmenes DIstribuidos '!C3379)))</f>
        <v>Carnes blancas</v>
      </c>
      <c r="C5621" s="10" t="s">
        <v>29</v>
      </c>
      <c r="D5621" s="12">
        <f>'Volúmenes DIstribuidos '!D3379</f>
        <v>26.11</v>
      </c>
      <c r="E5621" s="12">
        <f>SUMIF('Parametros Inventario'!$A:$A,B5621,'Parametros Inventario'!$B:$B)+SUMIFS(D$2:D5621,B$2:B5621,B5621,C$2:C5621,"ENTRADA")-SUMIFS(D$2:D5621,B$2:B5621,B5621,C$2:C5621,"SALIDA")</f>
        <v>27147.036999999982</v>
      </c>
    </row>
    <row r="5622" spans="1:5" x14ac:dyDescent="0.3">
      <c r="A5622" s="9">
        <f>'Volúmenes DIstribuidos '!B3375</f>
        <v>46014</v>
      </c>
      <c r="B5622" s="10" t="str">
        <f>IF(OR('Volúmenes DIstribuidos '!C3380="Azúcar",'Volúmenes DIstribuidos '!C3380="azúcar"),"Azúcar o dulce",IF('Volúmenes DIstribuidos '!C3380="Aceite","Aceite o grasas",IF('Volúmenes DIstribuidos '!C3380="Avena","Otros almidones",'Volúmenes DIstribuidos '!C3380)))</f>
        <v>Salsas</v>
      </c>
      <c r="C5622" s="10" t="s">
        <v>29</v>
      </c>
      <c r="D5622" s="12">
        <f>'Volúmenes DIstribuidos '!D3380</f>
        <v>45.72</v>
      </c>
      <c r="E5622" s="12">
        <f>SUMIF('Parametros Inventario'!$A:$A,B5622,'Parametros Inventario'!$B:$B)+SUMIFS(D$2:D5622,B$2:B5622,B5622,C$2:C5622,"ENTRADA")-SUMIFS(D$2:D5622,B$2:B5622,B5622,C$2:C5622,"SALIDA")</f>
        <v>26737.908999999974</v>
      </c>
    </row>
    <row r="5623" spans="1:5" x14ac:dyDescent="0.3">
      <c r="A5623" s="9">
        <f>'Volúmenes DIstribuidos '!B3381</f>
        <v>46017</v>
      </c>
      <c r="B5623" s="10" t="str">
        <f>IF(OR('Volúmenes DIstribuidos '!C3381="Azúcar",'Volúmenes DIstribuidos '!C3381="azúcar"),"Azúcar o dulce",IF('Volúmenes DIstribuidos '!C3381="Aceite","Aceite o grasas",IF('Volúmenes DIstribuidos '!C3381="Avena","Otros almidones",'Volúmenes DIstribuidos '!C3381)))</f>
        <v>Fideo</v>
      </c>
      <c r="C5623" s="10" t="s">
        <v>29</v>
      </c>
      <c r="D5623" s="12">
        <f>'Volúmenes DIstribuidos '!D3381</f>
        <v>49.84</v>
      </c>
      <c r="E5623" s="12">
        <f>SUMIF('Parametros Inventario'!$A:$A,B5623,'Parametros Inventario'!$B:$B)+SUMIFS(D$2:D5623,B$2:B5623,B5623,C$2:C5623,"ENTRADA")-SUMIFS(D$2:D5623,B$2:B5623,B5623,C$2:C5623,"SALIDA")</f>
        <v>29996.198000000011</v>
      </c>
    </row>
    <row r="5624" spans="1:5" x14ac:dyDescent="0.3">
      <c r="A5624" s="9">
        <f>'Volúmenes DIstribuidos '!B3381</f>
        <v>46017</v>
      </c>
      <c r="B5624" s="10" t="str">
        <f>IF(OR('Volúmenes DIstribuidos '!C3382="Azúcar",'Volúmenes DIstribuidos '!C3382="azúcar"),"Azúcar o dulce",IF('Volúmenes DIstribuidos '!C3382="Aceite","Aceite o grasas",IF('Volúmenes DIstribuidos '!C3382="Avena","Otros almidones",'Volúmenes DIstribuidos '!C3382)))</f>
        <v>Panadería</v>
      </c>
      <c r="C5624" s="10" t="s">
        <v>29</v>
      </c>
      <c r="D5624" s="12">
        <f>'Volúmenes DIstribuidos '!D3382</f>
        <v>14.39</v>
      </c>
      <c r="E5624" s="12">
        <f>SUMIF('Parametros Inventario'!$A:$A,B5624,'Parametros Inventario'!$B:$B)+SUMIFS(D$2:D5624,B$2:B5624,B5624,C$2:C5624,"ENTRADA")-SUMIFS(D$2:D5624,B$2:B5624,B5624,C$2:C5624,"SALIDA")</f>
        <v>26181.906000000003</v>
      </c>
    </row>
    <row r="5625" spans="1:5" x14ac:dyDescent="0.3">
      <c r="A5625" s="9">
        <f>'Volúmenes DIstribuidos '!B3381</f>
        <v>46017</v>
      </c>
      <c r="B5625" s="10" t="str">
        <f>IF(OR('Volúmenes DIstribuidos '!C3383="Azúcar",'Volúmenes DIstribuidos '!C3383="azúcar"),"Azúcar o dulce",IF('Volúmenes DIstribuidos '!C3383="Aceite","Aceite o grasas",IF('Volúmenes DIstribuidos '!C3383="Avena","Otros almidones",'Volúmenes DIstribuidos '!C3383)))</f>
        <v>Vegetales y hojas</v>
      </c>
      <c r="C5625" s="10" t="s">
        <v>29</v>
      </c>
      <c r="D5625" s="12">
        <f>'Volúmenes DIstribuidos '!D3383</f>
        <v>68.459999999999994</v>
      </c>
      <c r="E5625" s="12">
        <f>SUMIF('Parametros Inventario'!$A:$A,B5625,'Parametros Inventario'!$B:$B)+SUMIFS(D$2:D5625,B$2:B5625,B5625,C$2:C5625,"ENTRADA")-SUMIFS(D$2:D5625,B$2:B5625,B5625,C$2:C5625,"SALIDA")</f>
        <v>28405.432999999975</v>
      </c>
    </row>
    <row r="5626" spans="1:5" x14ac:dyDescent="0.3">
      <c r="A5626" s="9">
        <f>'Volúmenes DIstribuidos '!B3381</f>
        <v>46017</v>
      </c>
      <c r="B5626" s="10" t="str">
        <f>IF(OR('Volúmenes DIstribuidos '!C3384="Azúcar",'Volúmenes DIstribuidos '!C3384="azúcar"),"Azúcar o dulce",IF('Volúmenes DIstribuidos '!C3384="Aceite","Aceite o grasas",IF('Volúmenes DIstribuidos '!C3384="Avena","Otros almidones",'Volúmenes DIstribuidos '!C3384)))</f>
        <v>Fideo</v>
      </c>
      <c r="C5626" s="10" t="s">
        <v>29</v>
      </c>
      <c r="D5626" s="12">
        <f>'Volúmenes DIstribuidos '!D3384</f>
        <v>14.68</v>
      </c>
      <c r="E5626" s="12">
        <f>SUMIF('Parametros Inventario'!$A:$A,B5626,'Parametros Inventario'!$B:$B)+SUMIFS(D$2:D5626,B$2:B5626,B5626,C$2:C5626,"ENTRADA")-SUMIFS(D$2:D5626,B$2:B5626,B5626,C$2:C5626,"SALIDA")</f>
        <v>29981.518000000011</v>
      </c>
    </row>
    <row r="5627" spans="1:5" x14ac:dyDescent="0.3">
      <c r="A5627" s="9">
        <f>'Volúmenes DIstribuidos '!B3381</f>
        <v>46017</v>
      </c>
      <c r="B5627" s="10" t="str">
        <f>IF(OR('Volúmenes DIstribuidos '!C3385="Azúcar",'Volúmenes DIstribuidos '!C3385="azúcar"),"Azúcar o dulce",IF('Volúmenes DIstribuidos '!C3385="Aceite","Aceite o grasas",IF('Volúmenes DIstribuidos '!C3385="Avena","Otros almidones",'Volúmenes DIstribuidos '!C3385)))</f>
        <v>Lácteos</v>
      </c>
      <c r="C5627" s="10" t="s">
        <v>29</v>
      </c>
      <c r="D5627" s="12">
        <f>'Volúmenes DIstribuidos '!D3385</f>
        <v>8.14</v>
      </c>
      <c r="E5627" s="12">
        <f>SUMIF('Parametros Inventario'!$A:$A,B5627,'Parametros Inventario'!$B:$B)+SUMIFS(D$2:D5627,B$2:B5627,B5627,C$2:C5627,"ENTRADA")-SUMIFS(D$2:D5627,B$2:B5627,B5627,C$2:C5627,"SALIDA")</f>
        <v>27016.938000000002</v>
      </c>
    </row>
    <row r="5628" spans="1:5" x14ac:dyDescent="0.3">
      <c r="A5628" s="9">
        <f>'Volúmenes DIstribuidos '!B3381</f>
        <v>46017</v>
      </c>
      <c r="B5628" s="10" t="str">
        <f>IF(OR('Volúmenes DIstribuidos '!C3386="Azúcar",'Volúmenes DIstribuidos '!C3386="azúcar"),"Azúcar o dulce",IF('Volúmenes DIstribuidos '!C3386="Aceite","Aceite o grasas",IF('Volúmenes DIstribuidos '!C3386="Avena","Otros almidones",'Volúmenes DIstribuidos '!C3386)))</f>
        <v>Salsas</v>
      </c>
      <c r="C5628" s="10" t="s">
        <v>29</v>
      </c>
      <c r="D5628" s="12">
        <f>'Volúmenes DIstribuidos '!D3386</f>
        <v>55.97</v>
      </c>
      <c r="E5628" s="12">
        <f>SUMIF('Parametros Inventario'!$A:$A,B5628,'Parametros Inventario'!$B:$B)+SUMIFS(D$2:D5628,B$2:B5628,B5628,C$2:C5628,"ENTRADA")-SUMIFS(D$2:D5628,B$2:B5628,B5628,C$2:C5628,"SALIDA")</f>
        <v>26681.938999999977</v>
      </c>
    </row>
    <row r="5629" spans="1:5" x14ac:dyDescent="0.3">
      <c r="A5629" s="9">
        <f>'Volúmenes DIstribuidos '!B3387</f>
        <v>46021</v>
      </c>
      <c r="B5629" s="10" t="str">
        <f>IF(OR('Volúmenes DIstribuidos '!C3387="Azúcar",'Volúmenes DIstribuidos '!C3387="azúcar"),"Azúcar o dulce",IF('Volúmenes DIstribuidos '!C3387="Aceite","Aceite o grasas",IF('Volúmenes DIstribuidos '!C3387="Avena","Otros almidones",'Volúmenes DIstribuidos '!C3387)))</f>
        <v>Azúcar o dulce</v>
      </c>
      <c r="C5629" s="10" t="s">
        <v>29</v>
      </c>
      <c r="D5629" s="12">
        <f>'Volúmenes DIstribuidos '!D3387</f>
        <v>24.28</v>
      </c>
      <c r="E5629" s="12">
        <f>SUMIF('Parametros Inventario'!$A:$A,B5629,'Parametros Inventario'!$B:$B)+SUMIFS(D$2:D5629,B$2:B5629,B5629,C$2:C5629,"ENTRADA")-SUMIFS(D$2:D5629,B$2:B5629,B5629,C$2:C5629,"SALIDA")</f>
        <v>26106.130999999987</v>
      </c>
    </row>
    <row r="5630" spans="1:5" x14ac:dyDescent="0.3">
      <c r="A5630" s="9">
        <f>'Volúmenes DIstribuidos '!B3387</f>
        <v>46021</v>
      </c>
      <c r="B5630" s="10" t="str">
        <f>IF(OR('Volúmenes DIstribuidos '!C3388="Azúcar",'Volúmenes DIstribuidos '!C3388="azúcar"),"Azúcar o dulce",IF('Volúmenes DIstribuidos '!C3388="Aceite","Aceite o grasas",IF('Volúmenes DIstribuidos '!C3388="Avena","Otros almidones",'Volúmenes DIstribuidos '!C3388)))</f>
        <v>Carnes rojas</v>
      </c>
      <c r="C5630" s="10" t="s">
        <v>29</v>
      </c>
      <c r="D5630" s="12">
        <f>'Volúmenes DIstribuidos '!D3388</f>
        <v>25.72</v>
      </c>
      <c r="E5630" s="12">
        <f>SUMIF('Parametros Inventario'!$A:$A,B5630,'Parametros Inventario'!$B:$B)+SUMIFS(D$2:D5630,B$2:B5630,B5630,C$2:C5630,"ENTRADA")-SUMIFS(D$2:D5630,B$2:B5630,B5630,C$2:C5630,"SALIDA")</f>
        <v>26373.042000000001</v>
      </c>
    </row>
    <row r="5631" spans="1:5" x14ac:dyDescent="0.3">
      <c r="A5631" s="9">
        <f>'Volúmenes DIstribuidos '!B3387</f>
        <v>46021</v>
      </c>
      <c r="B5631" s="10" t="str">
        <f>IF(OR('Volúmenes DIstribuidos '!C3389="Azúcar",'Volúmenes DIstribuidos '!C3389="azúcar"),"Azúcar o dulce",IF('Volúmenes DIstribuidos '!C3389="Aceite","Aceite o grasas",IF('Volúmenes DIstribuidos '!C3389="Avena","Otros almidones",'Volúmenes DIstribuidos '!C3389)))</f>
        <v>Carnes blancas</v>
      </c>
      <c r="C5631" s="10" t="s">
        <v>29</v>
      </c>
      <c r="D5631" s="12">
        <f>'Volúmenes DIstribuidos '!D3389</f>
        <v>9.02</v>
      </c>
      <c r="E5631" s="12">
        <f>SUMIF('Parametros Inventario'!$A:$A,B5631,'Parametros Inventario'!$B:$B)+SUMIFS(D$2:D5631,B$2:B5631,B5631,C$2:C5631,"ENTRADA")-SUMIFS(D$2:D5631,B$2:B5631,B5631,C$2:C5631,"SALIDA")</f>
        <v>27138.016999999978</v>
      </c>
    </row>
    <row r="5632" spans="1:5" x14ac:dyDescent="0.3">
      <c r="A5632" s="9">
        <f>'Volúmenes DIstribuidos '!B3387</f>
        <v>46021</v>
      </c>
      <c r="B5632" s="10" t="str">
        <f>IF(OR('Volúmenes DIstribuidos '!C3390="Azúcar",'Volúmenes DIstribuidos '!C3390="azúcar"),"Azúcar o dulce",IF('Volúmenes DIstribuidos '!C3390="Aceite","Aceite o grasas",IF('Volúmenes DIstribuidos '!C3390="Avena","Otros almidones",'Volúmenes DIstribuidos '!C3390)))</f>
        <v>Panadería</v>
      </c>
      <c r="C5632" s="10" t="s">
        <v>29</v>
      </c>
      <c r="D5632" s="12">
        <f>'Volúmenes DIstribuidos '!D3390</f>
        <v>20.07</v>
      </c>
      <c r="E5632" s="12">
        <f>SUMIF('Parametros Inventario'!$A:$A,B5632,'Parametros Inventario'!$B:$B)+SUMIFS(D$2:D5632,B$2:B5632,B5632,C$2:C5632,"ENTRADA")-SUMIFS(D$2:D5632,B$2:B5632,B5632,C$2:C5632,"SALIDA")</f>
        <v>26161.836000000003</v>
      </c>
    </row>
    <row r="5633" spans="1:5" x14ac:dyDescent="0.3">
      <c r="A5633" s="9">
        <f>'Volúmenes DIstribuidos '!B3387</f>
        <v>46021</v>
      </c>
      <c r="B5633" s="10" t="str">
        <f>IF(OR('Volúmenes DIstribuidos '!C3391="Azúcar",'Volúmenes DIstribuidos '!C3391="azúcar"),"Azúcar o dulce",IF('Volúmenes DIstribuidos '!C3391="Aceite","Aceite o grasas",IF('Volúmenes DIstribuidos '!C3391="Avena","Otros almidones",'Volúmenes DIstribuidos '!C3391)))</f>
        <v>Fideo</v>
      </c>
      <c r="C5633" s="10" t="s">
        <v>29</v>
      </c>
      <c r="D5633" s="12">
        <f>'Volúmenes DIstribuidos '!D3391</f>
        <v>6.6459999999999999</v>
      </c>
      <c r="E5633" s="12">
        <f>SUMIF('Parametros Inventario'!$A:$A,B5633,'Parametros Inventario'!$B:$B)+SUMIFS(D$2:D5633,B$2:B5633,B5633,C$2:C5633,"ENTRADA")-SUMIFS(D$2:D5633,B$2:B5633,B5633,C$2:C5633,"SALIDA")</f>
        <v>29974.87200000001</v>
      </c>
    </row>
    <row r="5634" spans="1:5" x14ac:dyDescent="0.3">
      <c r="A5634" s="9">
        <f>'Volúmenes DIstribuidos '!B3387</f>
        <v>46021</v>
      </c>
      <c r="B5634" s="10" t="str">
        <f>IF(OR('Volúmenes DIstribuidos '!C3392="Azúcar",'Volúmenes DIstribuidos '!C3392="azúcar"),"Azúcar o dulce",IF('Volúmenes DIstribuidos '!C3392="Aceite","Aceite o grasas",IF('Volúmenes DIstribuidos '!C3392="Avena","Otros almidones",'Volúmenes DIstribuidos '!C3392)))</f>
        <v>Carnes blancas</v>
      </c>
      <c r="C5634" s="10" t="s">
        <v>29</v>
      </c>
      <c r="D5634" s="12">
        <f>'Volúmenes DIstribuidos '!D3392</f>
        <v>20.67</v>
      </c>
      <c r="E5634" s="12">
        <f>SUMIF('Parametros Inventario'!$A:$A,B5634,'Parametros Inventario'!$B:$B)+SUMIFS(D$2:D5634,B$2:B5634,B5634,C$2:C5634,"ENTRADA")-SUMIFS(D$2:D5634,B$2:B5634,B5634,C$2:C5634,"SALIDA")</f>
        <v>27117.34699999998</v>
      </c>
    </row>
    <row r="5635" spans="1:5" x14ac:dyDescent="0.3">
      <c r="A5635" s="9">
        <v>46024</v>
      </c>
      <c r="B5635" s="10" t="s">
        <v>8</v>
      </c>
      <c r="C5635" s="10" t="s">
        <v>28</v>
      </c>
      <c r="D5635" s="12">
        <v>129.37</v>
      </c>
      <c r="E5635" s="12">
        <f>SUMIF('Parametros Inventario'!$A:$A,B5635,'Parametros Inventario'!$B:$B)+SUMIFS(D$2:D5635,B$2:B5635,B5635,C$2:C5635,"ENTRADA")-SUMIFS(D$2:D5635,B$2:B5635,B5635,C$2:C5635,"SALIDA")</f>
        <v>26987.460000000006</v>
      </c>
    </row>
    <row r="5636" spans="1:5" x14ac:dyDescent="0.3">
      <c r="A5636" s="9">
        <v>46024</v>
      </c>
      <c r="B5636" s="10" t="s">
        <v>13</v>
      </c>
      <c r="C5636" s="10" t="s">
        <v>28</v>
      </c>
      <c r="D5636" s="12">
        <v>92.6</v>
      </c>
      <c r="E5636" s="12">
        <f>SUMIF('Parametros Inventario'!$A:$A,B5636,'Parametros Inventario'!$B:$B)+SUMIFS(D$2:D5636,B$2:B5636,B5636,C$2:C5636,"ENTRADA")-SUMIFS(D$2:D5636,B$2:B5636,B5636,C$2:C5636,"SALIDA")</f>
        <v>26198.730999999985</v>
      </c>
    </row>
    <row r="5637" spans="1:5" x14ac:dyDescent="0.3">
      <c r="A5637" s="9">
        <v>46024</v>
      </c>
      <c r="B5637" s="10" t="s">
        <v>15</v>
      </c>
      <c r="C5637" s="10" t="s">
        <v>28</v>
      </c>
      <c r="D5637" s="12">
        <v>193.05</v>
      </c>
      <c r="E5637" s="12">
        <f>SUMIF('Parametros Inventario'!$A:$A,B5637,'Parametros Inventario'!$B:$B)+SUMIFS(D$2:D5637,B$2:B5637,B5637,C$2:C5637,"ENTRADA")-SUMIFS(D$2:D5637,B$2:B5637,B5637,C$2:C5637,"SALIDA")</f>
        <v>30102.216000000015</v>
      </c>
    </row>
    <row r="5638" spans="1:5" x14ac:dyDescent="0.3">
      <c r="A5638" s="9">
        <v>46024</v>
      </c>
      <c r="B5638" s="10" t="s">
        <v>11</v>
      </c>
      <c r="C5638" s="10" t="s">
        <v>28</v>
      </c>
      <c r="D5638" s="12">
        <v>157.5</v>
      </c>
      <c r="E5638" s="12">
        <f>SUMIF('Parametros Inventario'!$A:$A,B5638,'Parametros Inventario'!$B:$B)+SUMIFS(D$2:D5638,B$2:B5638,B5638,C$2:C5638,"ENTRADA")-SUMIFS(D$2:D5638,B$2:B5638,B5638,C$2:C5638,"SALIDA")</f>
        <v>30132.37200000001</v>
      </c>
    </row>
    <row r="5639" spans="1:5" x14ac:dyDescent="0.3">
      <c r="A5639" s="9">
        <v>46024</v>
      </c>
      <c r="B5639" s="10" t="s">
        <v>9</v>
      </c>
      <c r="C5639" s="10" t="s">
        <v>28</v>
      </c>
      <c r="D5639" s="12">
        <v>188.93</v>
      </c>
      <c r="E5639" s="12">
        <f>SUMIF('Parametros Inventario'!$A:$A,B5639,'Parametros Inventario'!$B:$B)+SUMIFS(D$2:D5639,B$2:B5639,B5639,C$2:C5639,"ENTRADA")-SUMIFS(D$2:D5639,B$2:B5639,B5639,C$2:C5639,"SALIDA")</f>
        <v>26350.766000000003</v>
      </c>
    </row>
    <row r="5640" spans="1:5" x14ac:dyDescent="0.3">
      <c r="A5640" s="9">
        <v>46024</v>
      </c>
      <c r="B5640" s="10" t="s">
        <v>14</v>
      </c>
      <c r="C5640" s="10" t="s">
        <v>28</v>
      </c>
      <c r="D5640" s="12">
        <v>147.84</v>
      </c>
      <c r="E5640" s="12">
        <f>SUMIF('Parametros Inventario'!$A:$A,B5640,'Parametros Inventario'!$B:$B)+SUMIFS(D$2:D5640,B$2:B5640,B5640,C$2:C5640,"ENTRADA")-SUMIFS(D$2:D5640,B$2:B5640,B5640,C$2:C5640,"SALIDA")</f>
        <v>26889.467999999979</v>
      </c>
    </row>
    <row r="5641" spans="1:5" x14ac:dyDescent="0.3">
      <c r="A5641" s="9">
        <v>46024</v>
      </c>
      <c r="B5641" s="10" t="s">
        <v>12</v>
      </c>
      <c r="C5641" s="10" t="s">
        <v>28</v>
      </c>
      <c r="D5641" s="12">
        <v>204.07</v>
      </c>
      <c r="E5641" s="12">
        <f>SUMIF('Parametros Inventario'!$A:$A,B5641,'Parametros Inventario'!$B:$B)+SUMIFS(D$2:D5641,B$2:B5641,B5641,C$2:C5641,"ENTRADA")-SUMIFS(D$2:D5641,B$2:B5641,B5641,C$2:C5641,"SALIDA")</f>
        <v>26577.112000000001</v>
      </c>
    </row>
    <row r="5642" spans="1:5" x14ac:dyDescent="0.3">
      <c r="A5642" s="9">
        <v>46024</v>
      </c>
      <c r="B5642" s="10" t="s">
        <v>16</v>
      </c>
      <c r="C5642" s="10" t="s">
        <v>28</v>
      </c>
      <c r="D5642" s="12">
        <v>148.33000000000001</v>
      </c>
      <c r="E5642" s="12">
        <f>SUMIF('Parametros Inventario'!$A:$A,B5642,'Parametros Inventario'!$B:$B)+SUMIFS(D$2:D5642,B$2:B5642,B5642,C$2:C5642,"ENTRADA")-SUMIFS(D$2:D5642,B$2:B5642,B5642,C$2:C5642,"SALIDA")</f>
        <v>27265.676999999981</v>
      </c>
    </row>
    <row r="5643" spans="1:5" x14ac:dyDescent="0.3">
      <c r="A5643" s="9">
        <v>46024</v>
      </c>
      <c r="B5643" s="10" t="s">
        <v>17</v>
      </c>
      <c r="C5643" s="10" t="s">
        <v>28</v>
      </c>
      <c r="D5643" s="12">
        <v>62.9</v>
      </c>
      <c r="E5643" s="12">
        <f>SUMIF('Parametros Inventario'!$A:$A,B5643,'Parametros Inventario'!$B:$B)+SUMIFS(D$2:D5643,B$2:B5643,B5643,C$2:C5643,"ENTRADA")-SUMIFS(D$2:D5643,B$2:B5643,B5643,C$2:C5643,"SALIDA")</f>
        <v>27079.838000000003</v>
      </c>
    </row>
    <row r="5644" spans="1:5" x14ac:dyDescent="0.3">
      <c r="A5644" s="9">
        <v>46024</v>
      </c>
      <c r="B5644" s="10" t="s">
        <v>18</v>
      </c>
      <c r="C5644" s="10" t="s">
        <v>28</v>
      </c>
      <c r="D5644" s="12">
        <v>282.99</v>
      </c>
      <c r="E5644" s="12">
        <f>SUMIF('Parametros Inventario'!$A:$A,B5644,'Parametros Inventario'!$B:$B)+SUMIFS(D$2:D5644,B$2:B5644,B5644,C$2:C5644,"ENTRADA")-SUMIFS(D$2:D5644,B$2:B5644,B5644,C$2:C5644,"SALIDA")</f>
        <v>26964.928999999975</v>
      </c>
    </row>
    <row r="5645" spans="1:5" x14ac:dyDescent="0.3">
      <c r="A5645" s="9">
        <v>46024</v>
      </c>
      <c r="B5645" s="10" t="s">
        <v>10</v>
      </c>
      <c r="C5645" s="10" t="s">
        <v>28</v>
      </c>
      <c r="D5645" s="12">
        <v>157.28</v>
      </c>
      <c r="E5645" s="12">
        <f>SUMIF('Parametros Inventario'!$A:$A,B5645,'Parametros Inventario'!$B:$B)+SUMIFS(D$2:D5645,B$2:B5645,B5645,C$2:C5645,"ENTRADA")-SUMIFS(D$2:D5645,B$2:B5645,B5645,C$2:C5645,"SALIDA")</f>
        <v>28562.712999999974</v>
      </c>
    </row>
    <row r="5646" spans="1:5" x14ac:dyDescent="0.3">
      <c r="A5646" s="9">
        <v>46024</v>
      </c>
      <c r="B5646" s="10" t="s">
        <v>8</v>
      </c>
      <c r="C5646" s="10" t="s">
        <v>28</v>
      </c>
      <c r="D5646" s="12">
        <v>284.85000000000002</v>
      </c>
      <c r="E5646" s="12">
        <f>SUMIF('Parametros Inventario'!$A:$A,B5646,'Parametros Inventario'!$B:$B)+SUMIFS(D$2:D5646,B$2:B5646,B5646,C$2:C5646,"ENTRADA")-SUMIFS(D$2:D5646,B$2:B5646,B5646,C$2:C5646,"SALIDA")</f>
        <v>27272.310000000005</v>
      </c>
    </row>
    <row r="5647" spans="1:5" x14ac:dyDescent="0.3">
      <c r="A5647" s="9">
        <f>'Volúmenes DIstribuidos '!B3393</f>
        <v>46024</v>
      </c>
      <c r="B5647" s="10" t="str">
        <f>IF(OR('Volúmenes DIstribuidos '!C3393="Azúcar",'Volúmenes DIstribuidos '!C3393="azúcar"),"Azúcar o dulce",IF('Volúmenes DIstribuidos '!C3393="Aceite","Aceite o grasas",IF('Volúmenes DIstribuidos '!C3393="Avena","Otros almidones",'Volúmenes DIstribuidos '!C3393)))</f>
        <v>Otros almidones</v>
      </c>
      <c r="C5647" s="10" t="s">
        <v>29</v>
      </c>
      <c r="D5647" s="12">
        <f>'Volúmenes DIstribuidos '!D3393</f>
        <v>14.92</v>
      </c>
      <c r="E5647" s="12">
        <f>SUMIF('Parametros Inventario'!$A:$A,B5647,'Parametros Inventario'!$B:$B)+SUMIFS(D$2:D5647,B$2:B5647,B5647,C$2:C5647,"ENTRADA")-SUMIFS(D$2:D5647,B$2:B5647,B5647,C$2:C5647,"SALIDA")</f>
        <v>30087.296000000013</v>
      </c>
    </row>
    <row r="5648" spans="1:5" x14ac:dyDescent="0.3">
      <c r="A5648" s="9">
        <f>'Volúmenes DIstribuidos '!B3393</f>
        <v>46024</v>
      </c>
      <c r="B5648" s="10" t="str">
        <f>IF(OR('Volúmenes DIstribuidos '!C3394="Azúcar",'Volúmenes DIstribuidos '!C3394="azúcar"),"Azúcar o dulce",IF('Volúmenes DIstribuidos '!C3394="Aceite","Aceite o grasas",IF('Volúmenes DIstribuidos '!C3394="Avena","Otros almidones",'Volúmenes DIstribuidos '!C3394)))</f>
        <v>Vegetales y hojas</v>
      </c>
      <c r="C5648" s="10" t="s">
        <v>29</v>
      </c>
      <c r="D5648" s="12">
        <f>'Volúmenes DIstribuidos '!D3394</f>
        <v>24.84</v>
      </c>
      <c r="E5648" s="12">
        <f>SUMIF('Parametros Inventario'!$A:$A,B5648,'Parametros Inventario'!$B:$B)+SUMIFS(D$2:D5648,B$2:B5648,B5648,C$2:C5648,"ENTRADA")-SUMIFS(D$2:D5648,B$2:B5648,B5648,C$2:C5648,"SALIDA")</f>
        <v>28537.872999999978</v>
      </c>
    </row>
    <row r="5649" spans="1:5" x14ac:dyDescent="0.3">
      <c r="A5649" s="9">
        <f>'Volúmenes DIstribuidos '!B3393</f>
        <v>46024</v>
      </c>
      <c r="B5649" s="10" t="str">
        <f>IF(OR('Volúmenes DIstribuidos '!C3395="Azúcar",'Volúmenes DIstribuidos '!C3395="azúcar"),"Azúcar o dulce",IF('Volúmenes DIstribuidos '!C3395="Aceite","Aceite o grasas",IF('Volúmenes DIstribuidos '!C3395="Avena","Otros almidones",'Volúmenes DIstribuidos '!C3395)))</f>
        <v>Panadería</v>
      </c>
      <c r="C5649" s="10" t="s">
        <v>29</v>
      </c>
      <c r="D5649" s="12">
        <f>'Volúmenes DIstribuidos '!D3395</f>
        <v>58.505000000000003</v>
      </c>
      <c r="E5649" s="12">
        <f>SUMIF('Parametros Inventario'!$A:$A,B5649,'Parametros Inventario'!$B:$B)+SUMIFS(D$2:D5649,B$2:B5649,B5649,C$2:C5649,"ENTRADA")-SUMIFS(D$2:D5649,B$2:B5649,B5649,C$2:C5649,"SALIDA")</f>
        <v>26292.261000000006</v>
      </c>
    </row>
    <row r="5650" spans="1:5" x14ac:dyDescent="0.3">
      <c r="A5650" s="9">
        <f>'Volúmenes DIstribuidos '!B3393</f>
        <v>46024</v>
      </c>
      <c r="B5650" s="10" t="str">
        <f>IF(OR('Volúmenes DIstribuidos '!C3396="Azúcar",'Volúmenes DIstribuidos '!C3396="azúcar"),"Azúcar o dulce",IF('Volúmenes DIstribuidos '!C3396="Aceite","Aceite o grasas",IF('Volúmenes DIstribuidos '!C3396="Avena","Otros almidones",'Volúmenes DIstribuidos '!C3396)))</f>
        <v>Azúcar o dulce</v>
      </c>
      <c r="C5650" s="10" t="s">
        <v>29</v>
      </c>
      <c r="D5650" s="12">
        <f>'Volúmenes DIstribuidos '!D3396</f>
        <v>12.02</v>
      </c>
      <c r="E5650" s="12">
        <f>SUMIF('Parametros Inventario'!$A:$A,B5650,'Parametros Inventario'!$B:$B)+SUMIFS(D$2:D5650,B$2:B5650,B5650,C$2:C5650,"ENTRADA")-SUMIFS(D$2:D5650,B$2:B5650,B5650,C$2:C5650,"SALIDA")</f>
        <v>26186.710999999981</v>
      </c>
    </row>
    <row r="5651" spans="1:5" x14ac:dyDescent="0.3">
      <c r="A5651" s="9">
        <f>'Volúmenes DIstribuidos '!B3393</f>
        <v>46024</v>
      </c>
      <c r="B5651" s="10" t="str">
        <f>IF(OR('Volúmenes DIstribuidos '!C3397="Azúcar",'Volúmenes DIstribuidos '!C3397="azúcar"),"Azúcar o dulce",IF('Volúmenes DIstribuidos '!C3397="Aceite","Aceite o grasas",IF('Volúmenes DIstribuidos '!C3397="Avena","Otros almidones",'Volúmenes DIstribuidos '!C3397)))</f>
        <v>Panadería</v>
      </c>
      <c r="C5651" s="10" t="s">
        <v>29</v>
      </c>
      <c r="D5651" s="12">
        <f>'Volúmenes DIstribuidos '!D3397</f>
        <v>23.93</v>
      </c>
      <c r="E5651" s="12">
        <f>SUMIF('Parametros Inventario'!$A:$A,B5651,'Parametros Inventario'!$B:$B)+SUMIFS(D$2:D5651,B$2:B5651,B5651,C$2:C5651,"ENTRADA")-SUMIFS(D$2:D5651,B$2:B5651,B5651,C$2:C5651,"SALIDA")</f>
        <v>26268.331000000006</v>
      </c>
    </row>
    <row r="5652" spans="1:5" x14ac:dyDescent="0.3">
      <c r="A5652" s="9">
        <f>'Volúmenes DIstribuidos '!B3393</f>
        <v>46024</v>
      </c>
      <c r="B5652" s="10" t="str">
        <f>IF(OR('Volúmenes DIstribuidos '!C3398="Azúcar",'Volúmenes DIstribuidos '!C3398="azúcar"),"Azúcar o dulce",IF('Volúmenes DIstribuidos '!C3398="Aceite","Aceite o grasas",IF('Volúmenes DIstribuidos '!C3398="Avena","Otros almidones",'Volúmenes DIstribuidos '!C3398)))</f>
        <v>Vegetales y hojas</v>
      </c>
      <c r="C5652" s="10" t="s">
        <v>29</v>
      </c>
      <c r="D5652" s="12">
        <f>'Volúmenes DIstribuidos '!D3398</f>
        <v>83.92</v>
      </c>
      <c r="E5652" s="12">
        <f>SUMIF('Parametros Inventario'!$A:$A,B5652,'Parametros Inventario'!$B:$B)+SUMIFS(D$2:D5652,B$2:B5652,B5652,C$2:C5652,"ENTRADA")-SUMIFS(D$2:D5652,B$2:B5652,B5652,C$2:C5652,"SALIDA")</f>
        <v>28453.952999999976</v>
      </c>
    </row>
    <row r="5653" spans="1:5" x14ac:dyDescent="0.3">
      <c r="A5653" s="9">
        <f>'Volúmenes DIstribuidos '!B3399</f>
        <v>46028</v>
      </c>
      <c r="B5653" s="10" t="str">
        <f>IF(OR('Volúmenes DIstribuidos '!C3399="Azúcar",'Volúmenes DIstribuidos '!C3399="azúcar"),"Azúcar o dulce",IF('Volúmenes DIstribuidos '!C3399="Aceite","Aceite o grasas",IF('Volúmenes DIstribuidos '!C3399="Avena","Otros almidones",'Volúmenes DIstribuidos '!C3399)))</f>
        <v>Fideo</v>
      </c>
      <c r="C5653" s="10" t="s">
        <v>29</v>
      </c>
      <c r="D5653" s="12">
        <f>'Volúmenes DIstribuidos '!D3399</f>
        <v>33.99</v>
      </c>
      <c r="E5653" s="12">
        <f>SUMIF('Parametros Inventario'!$A:$A,B5653,'Parametros Inventario'!$B:$B)+SUMIFS(D$2:D5653,B$2:B5653,B5653,C$2:C5653,"ENTRADA")-SUMIFS(D$2:D5653,B$2:B5653,B5653,C$2:C5653,"SALIDA")</f>
        <v>30098.382000000009</v>
      </c>
    </row>
    <row r="5654" spans="1:5" x14ac:dyDescent="0.3">
      <c r="A5654" s="9">
        <f>'Volúmenes DIstribuidos '!B3399</f>
        <v>46028</v>
      </c>
      <c r="B5654" s="10" t="str">
        <f>IF(OR('Volúmenes DIstribuidos '!C3400="Azúcar",'Volúmenes DIstribuidos '!C3400="azúcar"),"Azúcar o dulce",IF('Volúmenes DIstribuidos '!C3400="Aceite","Aceite o grasas",IF('Volúmenes DIstribuidos '!C3400="Avena","Otros almidones",'Volúmenes DIstribuidos '!C3400)))</f>
        <v>Carnes blancas</v>
      </c>
      <c r="C5654" s="10" t="s">
        <v>29</v>
      </c>
      <c r="D5654" s="12">
        <f>'Volúmenes DIstribuidos '!D3400</f>
        <v>97.176000000000002</v>
      </c>
      <c r="E5654" s="12">
        <f>SUMIF('Parametros Inventario'!$A:$A,B5654,'Parametros Inventario'!$B:$B)+SUMIFS(D$2:D5654,B$2:B5654,B5654,C$2:C5654,"ENTRADA")-SUMIFS(D$2:D5654,B$2:B5654,B5654,C$2:C5654,"SALIDA")</f>
        <v>27168.500999999982</v>
      </c>
    </row>
    <row r="5655" spans="1:5" x14ac:dyDescent="0.3">
      <c r="A5655" s="9">
        <f>'Volúmenes DIstribuidos '!B3399</f>
        <v>46028</v>
      </c>
      <c r="B5655" s="10" t="str">
        <f>IF(OR('Volúmenes DIstribuidos '!C3401="Azúcar",'Volúmenes DIstribuidos '!C3401="azúcar"),"Azúcar o dulce",IF('Volúmenes DIstribuidos '!C3401="Aceite","Aceite o grasas",IF('Volúmenes DIstribuidos '!C3401="Avena","Otros almidones",'Volúmenes DIstribuidos '!C3401)))</f>
        <v>Otros almidones</v>
      </c>
      <c r="C5655" s="10" t="s">
        <v>29</v>
      </c>
      <c r="D5655" s="12">
        <f>'Volúmenes DIstribuidos '!D3401</f>
        <v>27.26</v>
      </c>
      <c r="E5655" s="12">
        <f>SUMIF('Parametros Inventario'!$A:$A,B5655,'Parametros Inventario'!$B:$B)+SUMIFS(D$2:D5655,B$2:B5655,B5655,C$2:C5655,"ENTRADA")-SUMIFS(D$2:D5655,B$2:B5655,B5655,C$2:C5655,"SALIDA")</f>
        <v>30060.036000000015</v>
      </c>
    </row>
    <row r="5656" spans="1:5" x14ac:dyDescent="0.3">
      <c r="A5656" s="9">
        <f>'Volúmenes DIstribuidos '!B3399</f>
        <v>46028</v>
      </c>
      <c r="B5656" s="10" t="str">
        <f>IF(OR('Volúmenes DIstribuidos '!C3402="Azúcar",'Volúmenes DIstribuidos '!C3402="azúcar"),"Azúcar o dulce",IF('Volúmenes DIstribuidos '!C3402="Aceite","Aceite o grasas",IF('Volúmenes DIstribuidos '!C3402="Avena","Otros almidones",'Volúmenes DIstribuidos '!C3402)))</f>
        <v>Vegetales y hojas</v>
      </c>
      <c r="C5656" s="10" t="s">
        <v>29</v>
      </c>
      <c r="D5656" s="12">
        <f>'Volúmenes DIstribuidos '!D3402</f>
        <v>51.03</v>
      </c>
      <c r="E5656" s="12">
        <f>SUMIF('Parametros Inventario'!$A:$A,B5656,'Parametros Inventario'!$B:$B)+SUMIFS(D$2:D5656,B$2:B5656,B5656,C$2:C5656,"ENTRADA")-SUMIFS(D$2:D5656,B$2:B5656,B5656,C$2:C5656,"SALIDA")</f>
        <v>28402.922999999973</v>
      </c>
    </row>
    <row r="5657" spans="1:5" x14ac:dyDescent="0.3">
      <c r="A5657" s="9">
        <f>'Volúmenes DIstribuidos '!B3399</f>
        <v>46028</v>
      </c>
      <c r="B5657" s="10" t="str">
        <f>IF(OR('Volúmenes DIstribuidos '!C3403="Azúcar",'Volúmenes DIstribuidos '!C3403="azúcar"),"Azúcar o dulce",IF('Volúmenes DIstribuidos '!C3403="Aceite","Aceite o grasas",IF('Volúmenes DIstribuidos '!C3403="Avena","Otros almidones",'Volúmenes DIstribuidos '!C3403)))</f>
        <v>Azúcar o dulce</v>
      </c>
      <c r="C5657" s="10" t="s">
        <v>29</v>
      </c>
      <c r="D5657" s="12">
        <f>'Volúmenes DIstribuidos '!D3403</f>
        <v>24.917000000000002</v>
      </c>
      <c r="E5657" s="12">
        <f>SUMIF('Parametros Inventario'!$A:$A,B5657,'Parametros Inventario'!$B:$B)+SUMIFS(D$2:D5657,B$2:B5657,B5657,C$2:C5657,"ENTRADA")-SUMIFS(D$2:D5657,B$2:B5657,B5657,C$2:C5657,"SALIDA")</f>
        <v>26161.793999999983</v>
      </c>
    </row>
    <row r="5658" spans="1:5" x14ac:dyDescent="0.3">
      <c r="A5658" s="9">
        <f>'Volúmenes DIstribuidos '!B3399</f>
        <v>46028</v>
      </c>
      <c r="B5658" s="10" t="str">
        <f>IF(OR('Volúmenes DIstribuidos '!C3404="Azúcar",'Volúmenes DIstribuidos '!C3404="azúcar"),"Azúcar o dulce",IF('Volúmenes DIstribuidos '!C3404="Aceite","Aceite o grasas",IF('Volúmenes DIstribuidos '!C3404="Avena","Otros almidones",'Volúmenes DIstribuidos '!C3404)))</f>
        <v>Otros almidones</v>
      </c>
      <c r="C5658" s="10" t="s">
        <v>29</v>
      </c>
      <c r="D5658" s="12">
        <f>'Volúmenes DIstribuidos '!D3404</f>
        <v>15.12</v>
      </c>
      <c r="E5658" s="12">
        <f>SUMIF('Parametros Inventario'!$A:$A,B5658,'Parametros Inventario'!$B:$B)+SUMIFS(D$2:D5658,B$2:B5658,B5658,C$2:C5658,"ENTRADA")-SUMIFS(D$2:D5658,B$2:B5658,B5658,C$2:C5658,"SALIDA")</f>
        <v>30044.916000000012</v>
      </c>
    </row>
    <row r="5659" spans="1:5" x14ac:dyDescent="0.3">
      <c r="A5659" s="9">
        <f>'Volúmenes DIstribuidos '!B3405</f>
        <v>46031</v>
      </c>
      <c r="B5659" s="10" t="str">
        <f>IF(OR('Volúmenes DIstribuidos '!C3405="Azúcar",'Volúmenes DIstribuidos '!C3405="azúcar"),"Azúcar o dulce",IF('Volúmenes DIstribuidos '!C3405="Aceite","Aceite o grasas",IF('Volúmenes DIstribuidos '!C3405="Avena","Otros almidones",'Volúmenes DIstribuidos '!C3405)))</f>
        <v>Panadería</v>
      </c>
      <c r="C5659" s="10" t="s">
        <v>29</v>
      </c>
      <c r="D5659" s="12">
        <f>'Volúmenes DIstribuidos '!D3405</f>
        <v>13.89</v>
      </c>
      <c r="E5659" s="12">
        <f>SUMIF('Parametros Inventario'!$A:$A,B5659,'Parametros Inventario'!$B:$B)+SUMIFS(D$2:D5659,B$2:B5659,B5659,C$2:C5659,"ENTRADA")-SUMIFS(D$2:D5659,B$2:B5659,B5659,C$2:C5659,"SALIDA")</f>
        <v>26254.441000000006</v>
      </c>
    </row>
    <row r="5660" spans="1:5" x14ac:dyDescent="0.3">
      <c r="A5660" s="9">
        <f>'Volúmenes DIstribuidos '!B3405</f>
        <v>46031</v>
      </c>
      <c r="B5660" s="10" t="str">
        <f>IF(OR('Volúmenes DIstribuidos '!C3406="Azúcar",'Volúmenes DIstribuidos '!C3406="azúcar"),"Azúcar o dulce",IF('Volúmenes DIstribuidos '!C3406="Aceite","Aceite o grasas",IF('Volúmenes DIstribuidos '!C3406="Avena","Otros almidones",'Volúmenes DIstribuidos '!C3406)))</f>
        <v>Carnes rojas</v>
      </c>
      <c r="C5660" s="10" t="s">
        <v>29</v>
      </c>
      <c r="D5660" s="12">
        <f>'Volúmenes DIstribuidos '!D3406</f>
        <v>3.24</v>
      </c>
      <c r="E5660" s="12">
        <f>SUMIF('Parametros Inventario'!$A:$A,B5660,'Parametros Inventario'!$B:$B)+SUMIFS(D$2:D5660,B$2:B5660,B5660,C$2:C5660,"ENTRADA")-SUMIFS(D$2:D5660,B$2:B5660,B5660,C$2:C5660,"SALIDA")</f>
        <v>26573.871999999999</v>
      </c>
    </row>
    <row r="5661" spans="1:5" x14ac:dyDescent="0.3">
      <c r="A5661" s="9">
        <f>'Volúmenes DIstribuidos '!B3405</f>
        <v>46031</v>
      </c>
      <c r="B5661" s="10" t="str">
        <f>IF(OR('Volúmenes DIstribuidos '!C3407="Azúcar",'Volúmenes DIstribuidos '!C3407="azúcar"),"Azúcar o dulce",IF('Volúmenes DIstribuidos '!C3407="Aceite","Aceite o grasas",IF('Volúmenes DIstribuidos '!C3407="Avena","Otros almidones",'Volúmenes DIstribuidos '!C3407)))</f>
        <v>Salsas</v>
      </c>
      <c r="C5661" s="10" t="s">
        <v>29</v>
      </c>
      <c r="D5661" s="12">
        <f>'Volúmenes DIstribuidos '!D3407</f>
        <v>11.12</v>
      </c>
      <c r="E5661" s="12">
        <f>SUMIF('Parametros Inventario'!$A:$A,B5661,'Parametros Inventario'!$B:$B)+SUMIFS(D$2:D5661,B$2:B5661,B5661,C$2:C5661,"ENTRADA")-SUMIFS(D$2:D5661,B$2:B5661,B5661,C$2:C5661,"SALIDA")</f>
        <v>26953.808999999972</v>
      </c>
    </row>
    <row r="5662" spans="1:5" x14ac:dyDescent="0.3">
      <c r="A5662" s="9">
        <f>'Volúmenes DIstribuidos '!B3405</f>
        <v>46031</v>
      </c>
      <c r="B5662" s="10" t="str">
        <f>IF(OR('Volúmenes DIstribuidos '!C3408="Azúcar",'Volúmenes DIstribuidos '!C3408="azúcar"),"Azúcar o dulce",IF('Volúmenes DIstribuidos '!C3408="Aceite","Aceite o grasas",IF('Volúmenes DIstribuidos '!C3408="Avena","Otros almidones",'Volúmenes DIstribuidos '!C3408)))</f>
        <v>Lácteos</v>
      </c>
      <c r="C5662" s="10" t="s">
        <v>29</v>
      </c>
      <c r="D5662" s="12">
        <f>'Volúmenes DIstribuidos '!D3408</f>
        <v>33.128999999999998</v>
      </c>
      <c r="E5662" s="12">
        <f>SUMIF('Parametros Inventario'!$A:$A,B5662,'Parametros Inventario'!$B:$B)+SUMIFS(D$2:D5662,B$2:B5662,B5662,C$2:C5662,"ENTRADA")-SUMIFS(D$2:D5662,B$2:B5662,B5662,C$2:C5662,"SALIDA")</f>
        <v>27046.709000000003</v>
      </c>
    </row>
    <row r="5663" spans="1:5" x14ac:dyDescent="0.3">
      <c r="A5663" s="9">
        <f>'Volúmenes DIstribuidos '!B3405</f>
        <v>46031</v>
      </c>
      <c r="B5663" s="10" t="str">
        <f>IF(OR('Volúmenes DIstribuidos '!C3409="Azúcar",'Volúmenes DIstribuidos '!C3409="azúcar"),"Azúcar o dulce",IF('Volúmenes DIstribuidos '!C3409="Aceite","Aceite o grasas",IF('Volúmenes DIstribuidos '!C3409="Avena","Otros almidones",'Volúmenes DIstribuidos '!C3409)))</f>
        <v>Carnes rojas</v>
      </c>
      <c r="C5663" s="10" t="s">
        <v>29</v>
      </c>
      <c r="D5663" s="12">
        <f>'Volúmenes DIstribuidos '!D3409</f>
        <v>53.66</v>
      </c>
      <c r="E5663" s="12">
        <f>SUMIF('Parametros Inventario'!$A:$A,B5663,'Parametros Inventario'!$B:$B)+SUMIFS(D$2:D5663,B$2:B5663,B5663,C$2:C5663,"ENTRADA")-SUMIFS(D$2:D5663,B$2:B5663,B5663,C$2:C5663,"SALIDA")</f>
        <v>26520.212</v>
      </c>
    </row>
    <row r="5664" spans="1:5" x14ac:dyDescent="0.3">
      <c r="A5664" s="9">
        <f>'Volúmenes DIstribuidos '!B3405</f>
        <v>46031</v>
      </c>
      <c r="B5664" s="10" t="str">
        <f>IF(OR('Volúmenes DIstribuidos '!C3410="Azúcar",'Volúmenes DIstribuidos '!C3410="azúcar"),"Azúcar o dulce",IF('Volúmenes DIstribuidos '!C3410="Aceite","Aceite o grasas",IF('Volúmenes DIstribuidos '!C3410="Avena","Otros almidones",'Volúmenes DIstribuidos '!C3410)))</f>
        <v>Panadería</v>
      </c>
      <c r="C5664" s="10" t="s">
        <v>29</v>
      </c>
      <c r="D5664" s="12">
        <f>'Volúmenes DIstribuidos '!D3410</f>
        <v>18.190000000000001</v>
      </c>
      <c r="E5664" s="12">
        <f>SUMIF('Parametros Inventario'!$A:$A,B5664,'Parametros Inventario'!$B:$B)+SUMIFS(D$2:D5664,B$2:B5664,B5664,C$2:C5664,"ENTRADA")-SUMIFS(D$2:D5664,B$2:B5664,B5664,C$2:C5664,"SALIDA")</f>
        <v>26236.251000000004</v>
      </c>
    </row>
    <row r="5665" spans="1:5" x14ac:dyDescent="0.3">
      <c r="A5665" s="9">
        <f>'Volúmenes DIstribuidos '!B3411</f>
        <v>46035</v>
      </c>
      <c r="B5665" s="10" t="str">
        <f>IF(OR('Volúmenes DIstribuidos '!C3411="Azúcar",'Volúmenes DIstribuidos '!C3411="azúcar"),"Azúcar o dulce",IF('Volúmenes DIstribuidos '!C3411="Aceite","Aceite o grasas",IF('Volúmenes DIstribuidos '!C3411="Avena","Otros almidones",'Volúmenes DIstribuidos '!C3411)))</f>
        <v>Salsas</v>
      </c>
      <c r="C5665" s="10" t="s">
        <v>29</v>
      </c>
      <c r="D5665" s="12">
        <f>'Volúmenes DIstribuidos '!D3411</f>
        <v>16.132999999999999</v>
      </c>
      <c r="E5665" s="12">
        <f>SUMIF('Parametros Inventario'!$A:$A,B5665,'Parametros Inventario'!$B:$B)+SUMIFS(D$2:D5665,B$2:B5665,B5665,C$2:C5665,"ENTRADA")-SUMIFS(D$2:D5665,B$2:B5665,B5665,C$2:C5665,"SALIDA")</f>
        <v>26937.67599999997</v>
      </c>
    </row>
    <row r="5666" spans="1:5" x14ac:dyDescent="0.3">
      <c r="A5666" s="9">
        <f>'Volúmenes DIstribuidos '!B3411</f>
        <v>46035</v>
      </c>
      <c r="B5666" s="10" t="str">
        <f>IF(OR('Volúmenes DIstribuidos '!C3412="Azúcar",'Volúmenes DIstribuidos '!C3412="azúcar"),"Azúcar o dulce",IF('Volúmenes DIstribuidos '!C3412="Aceite","Aceite o grasas",IF('Volúmenes DIstribuidos '!C3412="Avena","Otros almidones",'Volúmenes DIstribuidos '!C3412)))</f>
        <v>Azúcar o dulce</v>
      </c>
      <c r="C5666" s="10" t="s">
        <v>29</v>
      </c>
      <c r="D5666" s="12">
        <f>'Volúmenes DIstribuidos '!D3412</f>
        <v>9.0299999999999994</v>
      </c>
      <c r="E5666" s="12">
        <f>SUMIF('Parametros Inventario'!$A:$A,B5666,'Parametros Inventario'!$B:$B)+SUMIFS(D$2:D5666,B$2:B5666,B5666,C$2:C5666,"ENTRADA")-SUMIFS(D$2:D5666,B$2:B5666,B5666,C$2:C5666,"SALIDA")</f>
        <v>26152.763999999981</v>
      </c>
    </row>
    <row r="5667" spans="1:5" x14ac:dyDescent="0.3">
      <c r="A5667" s="9">
        <f>'Volúmenes DIstribuidos '!B3411</f>
        <v>46035</v>
      </c>
      <c r="B5667" s="10" t="str">
        <f>IF(OR('Volúmenes DIstribuidos '!C3413="Azúcar",'Volúmenes DIstribuidos '!C3413="azúcar"),"Azúcar o dulce",IF('Volúmenes DIstribuidos '!C3413="Aceite","Aceite o grasas",IF('Volúmenes DIstribuidos '!C3413="Avena","Otros almidones",'Volúmenes DIstribuidos '!C3413)))</f>
        <v>Carnes blancas</v>
      </c>
      <c r="C5667" s="10" t="s">
        <v>29</v>
      </c>
      <c r="D5667" s="12">
        <f>'Volúmenes DIstribuidos '!D3413</f>
        <v>14.19</v>
      </c>
      <c r="E5667" s="12">
        <f>SUMIF('Parametros Inventario'!$A:$A,B5667,'Parametros Inventario'!$B:$B)+SUMIFS(D$2:D5667,B$2:B5667,B5667,C$2:C5667,"ENTRADA")-SUMIFS(D$2:D5667,B$2:B5667,B5667,C$2:C5667,"SALIDA")</f>
        <v>27154.31099999998</v>
      </c>
    </row>
    <row r="5668" spans="1:5" x14ac:dyDescent="0.3">
      <c r="A5668" s="9">
        <f>'Volúmenes DIstribuidos '!B3411</f>
        <v>46035</v>
      </c>
      <c r="B5668" s="10" t="str">
        <f>IF(OR('Volúmenes DIstribuidos '!C3414="Azúcar",'Volúmenes DIstribuidos '!C3414="azúcar"),"Azúcar o dulce",IF('Volúmenes DIstribuidos '!C3414="Aceite","Aceite o grasas",IF('Volúmenes DIstribuidos '!C3414="Avena","Otros almidones",'Volúmenes DIstribuidos '!C3414)))</f>
        <v>Carnes rojas</v>
      </c>
      <c r="C5668" s="10" t="s">
        <v>29</v>
      </c>
      <c r="D5668" s="12">
        <f>'Volúmenes DIstribuidos '!D3414</f>
        <v>12.21</v>
      </c>
      <c r="E5668" s="12">
        <f>SUMIF('Parametros Inventario'!$A:$A,B5668,'Parametros Inventario'!$B:$B)+SUMIFS(D$2:D5668,B$2:B5668,B5668,C$2:C5668,"ENTRADA")-SUMIFS(D$2:D5668,B$2:B5668,B5668,C$2:C5668,"SALIDA")</f>
        <v>26508.002</v>
      </c>
    </row>
    <row r="5669" spans="1:5" x14ac:dyDescent="0.3">
      <c r="A5669" s="9">
        <f>'Volúmenes DIstribuidos '!B3411</f>
        <v>46035</v>
      </c>
      <c r="B5669" s="10" t="str">
        <f>IF(OR('Volúmenes DIstribuidos '!C3415="Azúcar",'Volúmenes DIstribuidos '!C3415="azúcar"),"Azúcar o dulce",IF('Volúmenes DIstribuidos '!C3415="Aceite","Aceite o grasas",IF('Volúmenes DIstribuidos '!C3415="Avena","Otros almidones",'Volúmenes DIstribuidos '!C3415)))</f>
        <v>Panadería</v>
      </c>
      <c r="C5669" s="10" t="s">
        <v>29</v>
      </c>
      <c r="D5669" s="12">
        <f>'Volúmenes DIstribuidos '!D3415</f>
        <v>20.8</v>
      </c>
      <c r="E5669" s="12">
        <f>SUMIF('Parametros Inventario'!$A:$A,B5669,'Parametros Inventario'!$B:$B)+SUMIFS(D$2:D5669,B$2:B5669,B5669,C$2:C5669,"ENTRADA")-SUMIFS(D$2:D5669,B$2:B5669,B5669,C$2:C5669,"SALIDA")</f>
        <v>26215.451000000008</v>
      </c>
    </row>
    <row r="5670" spans="1:5" x14ac:dyDescent="0.3">
      <c r="A5670" s="9">
        <f>'Volúmenes DIstribuidos '!B3411</f>
        <v>46035</v>
      </c>
      <c r="B5670" s="10" t="str">
        <f>IF(OR('Volúmenes DIstribuidos '!C3416="Azúcar",'Volúmenes DIstribuidos '!C3416="azúcar"),"Azúcar o dulce",IF('Volúmenes DIstribuidos '!C3416="Aceite","Aceite o grasas",IF('Volúmenes DIstribuidos '!C3416="Avena","Otros almidones",'Volúmenes DIstribuidos '!C3416)))</f>
        <v>Otros almidones</v>
      </c>
      <c r="C5670" s="10" t="s">
        <v>29</v>
      </c>
      <c r="D5670" s="12">
        <f>'Volúmenes DIstribuidos '!D3416</f>
        <v>3.64</v>
      </c>
      <c r="E5670" s="12">
        <f>SUMIF('Parametros Inventario'!$A:$A,B5670,'Parametros Inventario'!$B:$B)+SUMIFS(D$2:D5670,B$2:B5670,B5670,C$2:C5670,"ENTRADA")-SUMIFS(D$2:D5670,B$2:B5670,B5670,C$2:C5670,"SALIDA")</f>
        <v>30041.276000000013</v>
      </c>
    </row>
    <row r="5671" spans="1:5" x14ac:dyDescent="0.3">
      <c r="A5671" s="9">
        <f>'Volúmenes DIstribuidos '!B3417</f>
        <v>46038</v>
      </c>
      <c r="B5671" s="10" t="str">
        <f>IF(OR('Volúmenes DIstribuidos '!C3417="Azúcar",'Volúmenes DIstribuidos '!C3417="azúcar"),"Azúcar o dulce",IF('Volúmenes DIstribuidos '!C3417="Aceite","Aceite o grasas",IF('Volúmenes DIstribuidos '!C3417="Avena","Otros almidones",'Volúmenes DIstribuidos '!C3417)))</f>
        <v>Salsas</v>
      </c>
      <c r="C5671" s="10" t="s">
        <v>29</v>
      </c>
      <c r="D5671" s="12">
        <f>'Volúmenes DIstribuidos '!D3417</f>
        <v>5.6630000000000003</v>
      </c>
      <c r="E5671" s="12">
        <f>SUMIF('Parametros Inventario'!$A:$A,B5671,'Parametros Inventario'!$B:$B)+SUMIFS(D$2:D5671,B$2:B5671,B5671,C$2:C5671,"ENTRADA")-SUMIFS(D$2:D5671,B$2:B5671,B5671,C$2:C5671,"SALIDA")</f>
        <v>26932.01299999997</v>
      </c>
    </row>
    <row r="5672" spans="1:5" x14ac:dyDescent="0.3">
      <c r="A5672" s="9">
        <f>'Volúmenes DIstribuidos '!B3417</f>
        <v>46038</v>
      </c>
      <c r="B5672" s="10" t="str">
        <f>IF(OR('Volúmenes DIstribuidos '!C3418="Azúcar",'Volúmenes DIstribuidos '!C3418="azúcar"),"Azúcar o dulce",IF('Volúmenes DIstribuidos '!C3418="Aceite","Aceite o grasas",IF('Volúmenes DIstribuidos '!C3418="Avena","Otros almidones",'Volúmenes DIstribuidos '!C3418)))</f>
        <v>Salsas</v>
      </c>
      <c r="C5672" s="10" t="s">
        <v>29</v>
      </c>
      <c r="D5672" s="12">
        <f>'Volúmenes DIstribuidos '!D3418</f>
        <v>46.72</v>
      </c>
      <c r="E5672" s="12">
        <f>SUMIF('Parametros Inventario'!$A:$A,B5672,'Parametros Inventario'!$B:$B)+SUMIFS(D$2:D5672,B$2:B5672,B5672,C$2:C5672,"ENTRADA")-SUMIFS(D$2:D5672,B$2:B5672,B5672,C$2:C5672,"SALIDA")</f>
        <v>26885.292999999972</v>
      </c>
    </row>
    <row r="5673" spans="1:5" x14ac:dyDescent="0.3">
      <c r="A5673" s="9">
        <f>'Volúmenes DIstribuidos '!B3417</f>
        <v>46038</v>
      </c>
      <c r="B5673" s="10" t="str">
        <f>IF(OR('Volúmenes DIstribuidos '!C3419="Azúcar",'Volúmenes DIstribuidos '!C3419="azúcar"),"Azúcar o dulce",IF('Volúmenes DIstribuidos '!C3419="Aceite","Aceite o grasas",IF('Volúmenes DIstribuidos '!C3419="Avena","Otros almidones",'Volúmenes DIstribuidos '!C3419)))</f>
        <v>Fideo</v>
      </c>
      <c r="C5673" s="10" t="s">
        <v>29</v>
      </c>
      <c r="D5673" s="12">
        <f>'Volúmenes DIstribuidos '!D3419</f>
        <v>16.12</v>
      </c>
      <c r="E5673" s="12">
        <f>SUMIF('Parametros Inventario'!$A:$A,B5673,'Parametros Inventario'!$B:$B)+SUMIFS(D$2:D5673,B$2:B5673,B5673,C$2:C5673,"ENTRADA")-SUMIFS(D$2:D5673,B$2:B5673,B5673,C$2:C5673,"SALIDA")</f>
        <v>30082.26200000001</v>
      </c>
    </row>
    <row r="5674" spans="1:5" x14ac:dyDescent="0.3">
      <c r="A5674" s="9">
        <f>'Volúmenes DIstribuidos '!B3417</f>
        <v>46038</v>
      </c>
      <c r="B5674" s="10" t="str">
        <f>IF(OR('Volúmenes DIstribuidos '!C3420="Azúcar",'Volúmenes DIstribuidos '!C3420="azúcar"),"Azúcar o dulce",IF('Volúmenes DIstribuidos '!C3420="Aceite","Aceite o grasas",IF('Volúmenes DIstribuidos '!C3420="Avena","Otros almidones",'Volúmenes DIstribuidos '!C3420)))</f>
        <v>Carnes blancas</v>
      </c>
      <c r="C5674" s="10" t="s">
        <v>29</v>
      </c>
      <c r="D5674" s="12">
        <f>'Volúmenes DIstribuidos '!D3420</f>
        <v>12.02</v>
      </c>
      <c r="E5674" s="12">
        <f>SUMIF('Parametros Inventario'!$A:$A,B5674,'Parametros Inventario'!$B:$B)+SUMIFS(D$2:D5674,B$2:B5674,B5674,C$2:C5674,"ENTRADA")-SUMIFS(D$2:D5674,B$2:B5674,B5674,C$2:C5674,"SALIDA")</f>
        <v>27142.290999999983</v>
      </c>
    </row>
    <row r="5675" spans="1:5" x14ac:dyDescent="0.3">
      <c r="A5675" s="9">
        <f>'Volúmenes DIstribuidos '!B3417</f>
        <v>46038</v>
      </c>
      <c r="B5675" s="10" t="str">
        <f>IF(OR('Volúmenes DIstribuidos '!C3421="Azúcar",'Volúmenes DIstribuidos '!C3421="azúcar"),"Azúcar o dulce",IF('Volúmenes DIstribuidos '!C3421="Aceite","Aceite o grasas",IF('Volúmenes DIstribuidos '!C3421="Avena","Otros almidones",'Volúmenes DIstribuidos '!C3421)))</f>
        <v>Vegetales y hojas</v>
      </c>
      <c r="C5675" s="10" t="s">
        <v>29</v>
      </c>
      <c r="D5675" s="12">
        <f>'Volúmenes DIstribuidos '!D3421</f>
        <v>16.919</v>
      </c>
      <c r="E5675" s="12">
        <f>SUMIF('Parametros Inventario'!$A:$A,B5675,'Parametros Inventario'!$B:$B)+SUMIFS(D$2:D5675,B$2:B5675,B5675,C$2:C5675,"ENTRADA")-SUMIFS(D$2:D5675,B$2:B5675,B5675,C$2:C5675,"SALIDA")</f>
        <v>28386.003999999975</v>
      </c>
    </row>
    <row r="5676" spans="1:5" x14ac:dyDescent="0.3">
      <c r="A5676" s="9">
        <f>'Volúmenes DIstribuidos '!B3417</f>
        <v>46038</v>
      </c>
      <c r="B5676" s="10" t="str">
        <f>IF(OR('Volúmenes DIstribuidos '!C3422="Azúcar",'Volúmenes DIstribuidos '!C3422="azúcar"),"Azúcar o dulce",IF('Volúmenes DIstribuidos '!C3422="Aceite","Aceite o grasas",IF('Volúmenes DIstribuidos '!C3422="Avena","Otros almidones",'Volúmenes DIstribuidos '!C3422)))</f>
        <v>Salsas</v>
      </c>
      <c r="C5676" s="10" t="s">
        <v>29</v>
      </c>
      <c r="D5676" s="12">
        <f>'Volúmenes DIstribuidos '!D3422</f>
        <v>20.5</v>
      </c>
      <c r="E5676" s="12">
        <f>SUMIF('Parametros Inventario'!$A:$A,B5676,'Parametros Inventario'!$B:$B)+SUMIFS(D$2:D5676,B$2:B5676,B5676,C$2:C5676,"ENTRADA")-SUMIFS(D$2:D5676,B$2:B5676,B5676,C$2:C5676,"SALIDA")</f>
        <v>26864.792999999972</v>
      </c>
    </row>
    <row r="5677" spans="1:5" x14ac:dyDescent="0.3">
      <c r="A5677" s="9">
        <f>'Volúmenes DIstribuidos '!B3423</f>
        <v>46042</v>
      </c>
      <c r="B5677" s="10" t="str">
        <f>IF(OR('Volúmenes DIstribuidos '!C3423="Azúcar",'Volúmenes DIstribuidos '!C3423="azúcar"),"Azúcar o dulce",IF('Volúmenes DIstribuidos '!C3423="Aceite","Aceite o grasas",IF('Volúmenes DIstribuidos '!C3423="Avena","Otros almidones",'Volúmenes DIstribuidos '!C3423)))</f>
        <v>Azúcar o dulce</v>
      </c>
      <c r="C5677" s="10" t="s">
        <v>29</v>
      </c>
      <c r="D5677" s="12">
        <f>'Volúmenes DIstribuidos '!D3423</f>
        <v>25.74</v>
      </c>
      <c r="E5677" s="12">
        <f>SUMIF('Parametros Inventario'!$A:$A,B5677,'Parametros Inventario'!$B:$B)+SUMIFS(D$2:D5677,B$2:B5677,B5677,C$2:C5677,"ENTRADA")-SUMIFS(D$2:D5677,B$2:B5677,B5677,C$2:C5677,"SALIDA")</f>
        <v>26127.023999999983</v>
      </c>
    </row>
    <row r="5678" spans="1:5" x14ac:dyDescent="0.3">
      <c r="A5678" s="9">
        <f>'Volúmenes DIstribuidos '!B3423</f>
        <v>46042</v>
      </c>
      <c r="B5678" s="10" t="str">
        <f>IF(OR('Volúmenes DIstribuidos '!C3424="Azúcar",'Volúmenes DIstribuidos '!C3424="azúcar"),"Azúcar o dulce",IF('Volúmenes DIstribuidos '!C3424="Aceite","Aceite o grasas",IF('Volúmenes DIstribuidos '!C3424="Avena","Otros almidones",'Volúmenes DIstribuidos '!C3424)))</f>
        <v>Lácteos</v>
      </c>
      <c r="C5678" s="10" t="s">
        <v>29</v>
      </c>
      <c r="D5678" s="12">
        <f>'Volúmenes DIstribuidos '!D3424</f>
        <v>95.49</v>
      </c>
      <c r="E5678" s="12">
        <f>SUMIF('Parametros Inventario'!$A:$A,B5678,'Parametros Inventario'!$B:$B)+SUMIFS(D$2:D5678,B$2:B5678,B5678,C$2:C5678,"ENTRADA")-SUMIFS(D$2:D5678,B$2:B5678,B5678,C$2:C5678,"SALIDA")</f>
        <v>26951.219000000005</v>
      </c>
    </row>
    <row r="5679" spans="1:5" x14ac:dyDescent="0.3">
      <c r="A5679" s="9">
        <f>'Volúmenes DIstribuidos '!B3423</f>
        <v>46042</v>
      </c>
      <c r="B5679" s="10" t="str">
        <f>IF(OR('Volúmenes DIstribuidos '!C3425="Azúcar",'Volúmenes DIstribuidos '!C3425="azúcar"),"Azúcar o dulce",IF('Volúmenes DIstribuidos '!C3425="Aceite","Aceite o grasas",IF('Volúmenes DIstribuidos '!C3425="Avena","Otros almidones",'Volúmenes DIstribuidos '!C3425)))</f>
        <v>Fideo</v>
      </c>
      <c r="C5679" s="10" t="s">
        <v>29</v>
      </c>
      <c r="D5679" s="12">
        <f>'Volúmenes DIstribuidos '!D3425</f>
        <v>10.29</v>
      </c>
      <c r="E5679" s="12">
        <f>SUMIF('Parametros Inventario'!$A:$A,B5679,'Parametros Inventario'!$B:$B)+SUMIFS(D$2:D5679,B$2:B5679,B5679,C$2:C5679,"ENTRADA")-SUMIFS(D$2:D5679,B$2:B5679,B5679,C$2:C5679,"SALIDA")</f>
        <v>30071.972000000009</v>
      </c>
    </row>
    <row r="5680" spans="1:5" x14ac:dyDescent="0.3">
      <c r="A5680" s="9">
        <f>'Volúmenes DIstribuidos '!B3423</f>
        <v>46042</v>
      </c>
      <c r="B5680" s="10" t="str">
        <f>IF(OR('Volúmenes DIstribuidos '!C3426="Azúcar",'Volúmenes DIstribuidos '!C3426="azúcar"),"Azúcar o dulce",IF('Volúmenes DIstribuidos '!C3426="Aceite","Aceite o grasas",IF('Volúmenes DIstribuidos '!C3426="Avena","Otros almidones",'Volúmenes DIstribuidos '!C3426)))</f>
        <v>Carnes blancas</v>
      </c>
      <c r="C5680" s="10" t="s">
        <v>29</v>
      </c>
      <c r="D5680" s="12">
        <f>'Volúmenes DIstribuidos '!D3426</f>
        <v>9.4220000000000006</v>
      </c>
      <c r="E5680" s="12">
        <f>SUMIF('Parametros Inventario'!$A:$A,B5680,'Parametros Inventario'!$B:$B)+SUMIFS(D$2:D5680,B$2:B5680,B5680,C$2:C5680,"ENTRADA")-SUMIFS(D$2:D5680,B$2:B5680,B5680,C$2:C5680,"SALIDA")</f>
        <v>27132.868999999981</v>
      </c>
    </row>
    <row r="5681" spans="1:5" x14ac:dyDescent="0.3">
      <c r="A5681" s="9">
        <f>'Volúmenes DIstribuidos '!B3423</f>
        <v>46042</v>
      </c>
      <c r="B5681" s="10" t="str">
        <f>IF(OR('Volúmenes DIstribuidos '!C3427="Azúcar",'Volúmenes DIstribuidos '!C3427="azúcar"),"Azúcar o dulce",IF('Volúmenes DIstribuidos '!C3427="Aceite","Aceite o grasas",IF('Volúmenes DIstribuidos '!C3427="Avena","Otros almidones",'Volúmenes DIstribuidos '!C3427)))</f>
        <v>Carnes rojas</v>
      </c>
      <c r="C5681" s="10" t="s">
        <v>29</v>
      </c>
      <c r="D5681" s="12">
        <f>'Volúmenes DIstribuidos '!D3427</f>
        <v>12.35</v>
      </c>
      <c r="E5681" s="12">
        <f>SUMIF('Parametros Inventario'!$A:$A,B5681,'Parametros Inventario'!$B:$B)+SUMIFS(D$2:D5681,B$2:B5681,B5681,C$2:C5681,"ENTRADA")-SUMIFS(D$2:D5681,B$2:B5681,B5681,C$2:C5681,"SALIDA")</f>
        <v>26495.652000000002</v>
      </c>
    </row>
    <row r="5682" spans="1:5" x14ac:dyDescent="0.3">
      <c r="A5682" s="9">
        <f>'Volúmenes DIstribuidos '!B3423</f>
        <v>46042</v>
      </c>
      <c r="B5682" s="10" t="str">
        <f>IF(OR('Volúmenes DIstribuidos '!C3428="Azúcar",'Volúmenes DIstribuidos '!C3428="azúcar"),"Azúcar o dulce",IF('Volúmenes DIstribuidos '!C3428="Aceite","Aceite o grasas",IF('Volúmenes DIstribuidos '!C3428="Avena","Otros almidones",'Volúmenes DIstribuidos '!C3428)))</f>
        <v>Lácteos</v>
      </c>
      <c r="C5682" s="10" t="s">
        <v>29</v>
      </c>
      <c r="D5682" s="12">
        <f>'Volúmenes DIstribuidos '!D3428</f>
        <v>26.5</v>
      </c>
      <c r="E5682" s="12">
        <f>SUMIF('Parametros Inventario'!$A:$A,B5682,'Parametros Inventario'!$B:$B)+SUMIFS(D$2:D5682,B$2:B5682,B5682,C$2:C5682,"ENTRADA")-SUMIFS(D$2:D5682,B$2:B5682,B5682,C$2:C5682,"SALIDA")</f>
        <v>26924.719000000005</v>
      </c>
    </row>
    <row r="5683" spans="1:5" x14ac:dyDescent="0.3">
      <c r="A5683" s="9">
        <f>'Volúmenes DIstribuidos '!B3429</f>
        <v>46045</v>
      </c>
      <c r="B5683" s="10" t="str">
        <f>IF(OR('Volúmenes DIstribuidos '!C3429="Azúcar",'Volúmenes DIstribuidos '!C3429="azúcar"),"Azúcar o dulce",IF('Volúmenes DIstribuidos '!C3429="Aceite","Aceite o grasas",IF('Volúmenes DIstribuidos '!C3429="Avena","Otros almidones",'Volúmenes DIstribuidos '!C3429)))</f>
        <v>Azúcar o dulce</v>
      </c>
      <c r="C5683" s="10" t="s">
        <v>29</v>
      </c>
      <c r="D5683" s="12">
        <f>'Volúmenes DIstribuidos '!D3429</f>
        <v>8.91</v>
      </c>
      <c r="E5683" s="12">
        <f>SUMIF('Parametros Inventario'!$A:$A,B5683,'Parametros Inventario'!$B:$B)+SUMIFS(D$2:D5683,B$2:B5683,B5683,C$2:C5683,"ENTRADA")-SUMIFS(D$2:D5683,B$2:B5683,B5683,C$2:C5683,"SALIDA")</f>
        <v>26118.113999999983</v>
      </c>
    </row>
    <row r="5684" spans="1:5" x14ac:dyDescent="0.3">
      <c r="A5684" s="9">
        <f>'Volúmenes DIstribuidos '!B3429</f>
        <v>46045</v>
      </c>
      <c r="B5684" s="10" t="str">
        <f>IF(OR('Volúmenes DIstribuidos '!C3430="Azúcar",'Volúmenes DIstribuidos '!C3430="azúcar"),"Azúcar o dulce",IF('Volúmenes DIstribuidos '!C3430="Aceite","Aceite o grasas",IF('Volúmenes DIstribuidos '!C3430="Avena","Otros almidones",'Volúmenes DIstribuidos '!C3430)))</f>
        <v>Aceite o grasas</v>
      </c>
      <c r="C5684" s="10" t="s">
        <v>29</v>
      </c>
      <c r="D5684" s="12">
        <f>'Volúmenes DIstribuidos '!D3430</f>
        <v>17.236999999999998</v>
      </c>
      <c r="E5684" s="12">
        <f>SUMIF('Parametros Inventario'!$A:$A,B5684,'Parametros Inventario'!$B:$B)+SUMIFS(D$2:D5684,B$2:B5684,B5684,C$2:C5684,"ENTRADA")-SUMIFS(D$2:D5684,B$2:B5684,B5684,C$2:C5684,"SALIDA")</f>
        <v>27255.073000000008</v>
      </c>
    </row>
    <row r="5685" spans="1:5" x14ac:dyDescent="0.3">
      <c r="A5685" s="9">
        <f>'Volúmenes DIstribuidos '!B3429</f>
        <v>46045</v>
      </c>
      <c r="B5685" s="10" t="str">
        <f>IF(OR('Volúmenes DIstribuidos '!C3431="Azúcar",'Volúmenes DIstribuidos '!C3431="azúcar"),"Azúcar o dulce",IF('Volúmenes DIstribuidos '!C3431="Aceite","Aceite o grasas",IF('Volúmenes DIstribuidos '!C3431="Avena","Otros almidones",'Volúmenes DIstribuidos '!C3431)))</f>
        <v>Vegetales y hojas</v>
      </c>
      <c r="C5685" s="10" t="s">
        <v>29</v>
      </c>
      <c r="D5685" s="12">
        <f>'Volúmenes DIstribuidos '!D3431</f>
        <v>70</v>
      </c>
      <c r="E5685" s="12">
        <f>SUMIF('Parametros Inventario'!$A:$A,B5685,'Parametros Inventario'!$B:$B)+SUMIFS(D$2:D5685,B$2:B5685,B5685,C$2:C5685,"ENTRADA")-SUMIFS(D$2:D5685,B$2:B5685,B5685,C$2:C5685,"SALIDA")</f>
        <v>28316.003999999975</v>
      </c>
    </row>
    <row r="5686" spans="1:5" x14ac:dyDescent="0.3">
      <c r="A5686" s="9">
        <f>'Volúmenes DIstribuidos '!B3429</f>
        <v>46045</v>
      </c>
      <c r="B5686" s="10" t="str">
        <f>IF(OR('Volúmenes DIstribuidos '!C3432="Azúcar",'Volúmenes DIstribuidos '!C3432="azúcar"),"Azúcar o dulce",IF('Volúmenes DIstribuidos '!C3432="Aceite","Aceite o grasas",IF('Volúmenes DIstribuidos '!C3432="Avena","Otros almidones",'Volúmenes DIstribuidos '!C3432)))</f>
        <v>Carnes blancas</v>
      </c>
      <c r="C5686" s="10" t="s">
        <v>29</v>
      </c>
      <c r="D5686" s="12">
        <f>'Volúmenes DIstribuidos '!D3432</f>
        <v>50</v>
      </c>
      <c r="E5686" s="12">
        <f>SUMIF('Parametros Inventario'!$A:$A,B5686,'Parametros Inventario'!$B:$B)+SUMIFS(D$2:D5686,B$2:B5686,B5686,C$2:C5686,"ENTRADA")-SUMIFS(D$2:D5686,B$2:B5686,B5686,C$2:C5686,"SALIDA")</f>
        <v>27082.868999999981</v>
      </c>
    </row>
    <row r="5687" spans="1:5" x14ac:dyDescent="0.3">
      <c r="A5687" s="9">
        <f>'Volúmenes DIstribuidos '!B3429</f>
        <v>46045</v>
      </c>
      <c r="B5687" s="10" t="str">
        <f>IF(OR('Volúmenes DIstribuidos '!C3433="Azúcar",'Volúmenes DIstribuidos '!C3433="azúcar"),"Azúcar o dulce",IF('Volúmenes DIstribuidos '!C3433="Aceite","Aceite o grasas",IF('Volúmenes DIstribuidos '!C3433="Avena","Otros almidones",'Volúmenes DIstribuidos '!C3433)))</f>
        <v>Aceite o grasas</v>
      </c>
      <c r="C5687" s="10" t="s">
        <v>29</v>
      </c>
      <c r="D5687" s="12">
        <f>'Volúmenes DIstribuidos '!D3433</f>
        <v>28.66</v>
      </c>
      <c r="E5687" s="12">
        <f>SUMIF('Parametros Inventario'!$A:$A,B5687,'Parametros Inventario'!$B:$B)+SUMIFS(D$2:D5687,B$2:B5687,B5687,C$2:C5687,"ENTRADA")-SUMIFS(D$2:D5687,B$2:B5687,B5687,C$2:C5687,"SALIDA")</f>
        <v>27226.413000000008</v>
      </c>
    </row>
    <row r="5688" spans="1:5" x14ac:dyDescent="0.3">
      <c r="A5688" s="9">
        <f>'Volúmenes DIstribuidos '!B3429</f>
        <v>46045</v>
      </c>
      <c r="B5688" s="10" t="str">
        <f>IF(OR('Volúmenes DIstribuidos '!C3434="Azúcar",'Volúmenes DIstribuidos '!C3434="azúcar"),"Azúcar o dulce",IF('Volúmenes DIstribuidos '!C3434="Aceite","Aceite o grasas",IF('Volúmenes DIstribuidos '!C3434="Avena","Otros almidones",'Volúmenes DIstribuidos '!C3434)))</f>
        <v>Menestras</v>
      </c>
      <c r="C5688" s="10" t="s">
        <v>29</v>
      </c>
      <c r="D5688" s="12">
        <f>'Volúmenes DIstribuidos '!D3434</f>
        <v>43.55</v>
      </c>
      <c r="E5688" s="12">
        <f>SUMIF('Parametros Inventario'!$A:$A,B5688,'Parametros Inventario'!$B:$B)+SUMIFS(D$2:D5688,B$2:B5688,B5688,C$2:C5688,"ENTRADA")-SUMIFS(D$2:D5688,B$2:B5688,B5688,C$2:C5688,"SALIDA")</f>
        <v>26845.91799999998</v>
      </c>
    </row>
    <row r="5689" spans="1:5" x14ac:dyDescent="0.3">
      <c r="A5689" s="9">
        <f>'Volúmenes DIstribuidos '!B3435</f>
        <v>46049</v>
      </c>
      <c r="B5689" s="10" t="str">
        <f>IF(OR('Volúmenes DIstribuidos '!C3435="Azúcar",'Volúmenes DIstribuidos '!C3435="azúcar"),"Azúcar o dulce",IF('Volúmenes DIstribuidos '!C3435="Aceite","Aceite o grasas",IF('Volúmenes DIstribuidos '!C3435="Avena","Otros almidones",'Volúmenes DIstribuidos '!C3435)))</f>
        <v>Carnes rojas</v>
      </c>
      <c r="C5689" s="10" t="s">
        <v>29</v>
      </c>
      <c r="D5689" s="12">
        <f>'Volúmenes DIstribuidos '!D3435</f>
        <v>7.0780000000000003</v>
      </c>
      <c r="E5689" s="12">
        <f>SUMIF('Parametros Inventario'!$A:$A,B5689,'Parametros Inventario'!$B:$B)+SUMIFS(D$2:D5689,B$2:B5689,B5689,C$2:C5689,"ENTRADA")-SUMIFS(D$2:D5689,B$2:B5689,B5689,C$2:C5689,"SALIDA")</f>
        <v>26488.574000000001</v>
      </c>
    </row>
    <row r="5690" spans="1:5" x14ac:dyDescent="0.3">
      <c r="A5690" s="9">
        <f>'Volúmenes DIstribuidos '!B3435</f>
        <v>46049</v>
      </c>
      <c r="B5690" s="10" t="str">
        <f>IF(OR('Volúmenes DIstribuidos '!C3436="Azúcar",'Volúmenes DIstribuidos '!C3436="azúcar"),"Azúcar o dulce",IF('Volúmenes DIstribuidos '!C3436="Aceite","Aceite o grasas",IF('Volúmenes DIstribuidos '!C3436="Avena","Otros almidones",'Volúmenes DIstribuidos '!C3436)))</f>
        <v>Salsas</v>
      </c>
      <c r="C5690" s="10" t="s">
        <v>29</v>
      </c>
      <c r="D5690" s="12">
        <f>'Volúmenes DIstribuidos '!D3436</f>
        <v>15.98</v>
      </c>
      <c r="E5690" s="12">
        <f>SUMIF('Parametros Inventario'!$A:$A,B5690,'Parametros Inventario'!$B:$B)+SUMIFS(D$2:D5690,B$2:B5690,B5690,C$2:C5690,"ENTRADA")-SUMIFS(D$2:D5690,B$2:B5690,B5690,C$2:C5690,"SALIDA")</f>
        <v>26848.812999999973</v>
      </c>
    </row>
    <row r="5691" spans="1:5" x14ac:dyDescent="0.3">
      <c r="A5691" s="9">
        <f>'Volúmenes DIstribuidos '!B3435</f>
        <v>46049</v>
      </c>
      <c r="B5691" s="10" t="str">
        <f>IF(OR('Volúmenes DIstribuidos '!C3437="Azúcar",'Volúmenes DIstribuidos '!C3437="azúcar"),"Azúcar o dulce",IF('Volúmenes DIstribuidos '!C3437="Aceite","Aceite o grasas",IF('Volúmenes DIstribuidos '!C3437="Avena","Otros almidones",'Volúmenes DIstribuidos '!C3437)))</f>
        <v>Carnes blancas</v>
      </c>
      <c r="C5691" s="10" t="s">
        <v>29</v>
      </c>
      <c r="D5691" s="12">
        <f>'Volúmenes DIstribuidos '!D3437</f>
        <v>10.87</v>
      </c>
      <c r="E5691" s="12">
        <f>SUMIF('Parametros Inventario'!$A:$A,B5691,'Parametros Inventario'!$B:$B)+SUMIFS(D$2:D5691,B$2:B5691,B5691,C$2:C5691,"ENTRADA")-SUMIFS(D$2:D5691,B$2:B5691,B5691,C$2:C5691,"SALIDA")</f>
        <v>27071.998999999982</v>
      </c>
    </row>
    <row r="5692" spans="1:5" x14ac:dyDescent="0.3">
      <c r="A5692" s="9">
        <f>'Volúmenes DIstribuidos '!B3435</f>
        <v>46049</v>
      </c>
      <c r="B5692" s="10" t="str">
        <f>IF(OR('Volúmenes DIstribuidos '!C3438="Azúcar",'Volúmenes DIstribuidos '!C3438="azúcar"),"Azúcar o dulce",IF('Volúmenes DIstribuidos '!C3438="Aceite","Aceite o grasas",IF('Volúmenes DIstribuidos '!C3438="Avena","Otros almidones",'Volúmenes DIstribuidos '!C3438)))</f>
        <v>Lácteos</v>
      </c>
      <c r="C5692" s="10" t="s">
        <v>29</v>
      </c>
      <c r="D5692" s="12">
        <f>'Volúmenes DIstribuidos '!D3438</f>
        <v>17.36</v>
      </c>
      <c r="E5692" s="12">
        <f>SUMIF('Parametros Inventario'!$A:$A,B5692,'Parametros Inventario'!$B:$B)+SUMIFS(D$2:D5692,B$2:B5692,B5692,C$2:C5692,"ENTRADA")-SUMIFS(D$2:D5692,B$2:B5692,B5692,C$2:C5692,"SALIDA")</f>
        <v>26907.359000000004</v>
      </c>
    </row>
    <row r="5693" spans="1:5" x14ac:dyDescent="0.3">
      <c r="A5693" s="9">
        <f>'Volúmenes DIstribuidos '!B3435</f>
        <v>46049</v>
      </c>
      <c r="B5693" s="10" t="str">
        <f>IF(OR('Volúmenes DIstribuidos '!C3439="Azúcar",'Volúmenes DIstribuidos '!C3439="azúcar"),"Azúcar o dulce",IF('Volúmenes DIstribuidos '!C3439="Aceite","Aceite o grasas",IF('Volúmenes DIstribuidos '!C3439="Avena","Otros almidones",'Volúmenes DIstribuidos '!C3439)))</f>
        <v>Panadería</v>
      </c>
      <c r="C5693" s="10" t="s">
        <v>29</v>
      </c>
      <c r="D5693" s="12">
        <f>'Volúmenes DIstribuidos '!D3439</f>
        <v>23.344000000000001</v>
      </c>
      <c r="E5693" s="12">
        <f>SUMIF('Parametros Inventario'!$A:$A,B5693,'Parametros Inventario'!$B:$B)+SUMIFS(D$2:D5693,B$2:B5693,B5693,C$2:C5693,"ENTRADA")-SUMIFS(D$2:D5693,B$2:B5693,B5693,C$2:C5693,"SALIDA")</f>
        <v>26192.107000000007</v>
      </c>
    </row>
    <row r="5694" spans="1:5" x14ac:dyDescent="0.3">
      <c r="A5694" s="9">
        <f>'Volúmenes DIstribuidos '!B3435</f>
        <v>46049</v>
      </c>
      <c r="B5694" s="10" t="str">
        <f>IF(OR('Volúmenes DIstribuidos '!C3440="Azúcar",'Volúmenes DIstribuidos '!C3440="azúcar"),"Azúcar o dulce",IF('Volúmenes DIstribuidos '!C3440="Aceite","Aceite o grasas",IF('Volúmenes DIstribuidos '!C3440="Avena","Otros almidones",'Volúmenes DIstribuidos '!C3440)))</f>
        <v>Lácteos</v>
      </c>
      <c r="C5694" s="10" t="s">
        <v>29</v>
      </c>
      <c r="D5694" s="12">
        <f>'Volúmenes DIstribuidos '!D3440</f>
        <v>23.38</v>
      </c>
      <c r="E5694" s="12">
        <f>SUMIF('Parametros Inventario'!$A:$A,B5694,'Parametros Inventario'!$B:$B)+SUMIFS(D$2:D5694,B$2:B5694,B5694,C$2:C5694,"ENTRADA")-SUMIFS(D$2:D5694,B$2:B5694,B5694,C$2:C5694,"SALIDA")</f>
        <v>26883.979000000003</v>
      </c>
    </row>
    <row r="5695" spans="1:5" x14ac:dyDescent="0.3">
      <c r="A5695" s="9">
        <f>'Volúmenes DIstribuidos '!B3441</f>
        <v>46052</v>
      </c>
      <c r="B5695" s="10" t="str">
        <f>IF(OR('Volúmenes DIstribuidos '!C3441="Azúcar",'Volúmenes DIstribuidos '!C3441="azúcar"),"Azúcar o dulce",IF('Volúmenes DIstribuidos '!C3441="Aceite","Aceite o grasas",IF('Volúmenes DIstribuidos '!C3441="Avena","Otros almidones",'Volúmenes DIstribuidos '!C3441)))</f>
        <v>Panadería</v>
      </c>
      <c r="C5695" s="10" t="s">
        <v>29</v>
      </c>
      <c r="D5695" s="12">
        <f>'Volúmenes DIstribuidos '!D3441</f>
        <v>31.75</v>
      </c>
      <c r="E5695" s="12">
        <f>SUMIF('Parametros Inventario'!$A:$A,B5695,'Parametros Inventario'!$B:$B)+SUMIFS(D$2:D5695,B$2:B5695,B5695,C$2:C5695,"ENTRADA")-SUMIFS(D$2:D5695,B$2:B5695,B5695,C$2:C5695,"SALIDA")</f>
        <v>26160.357000000007</v>
      </c>
    </row>
    <row r="5696" spans="1:5" x14ac:dyDescent="0.3">
      <c r="A5696" s="9">
        <f>'Volúmenes DIstribuidos '!B3441</f>
        <v>46052</v>
      </c>
      <c r="B5696" s="10" t="str">
        <f>IF(OR('Volúmenes DIstribuidos '!C3442="Azúcar",'Volúmenes DIstribuidos '!C3442="azúcar"),"Azúcar o dulce",IF('Volúmenes DIstribuidos '!C3442="Aceite","Aceite o grasas",IF('Volúmenes DIstribuidos '!C3442="Avena","Otros almidones",'Volúmenes DIstribuidos '!C3442)))</f>
        <v>Menestras</v>
      </c>
      <c r="C5696" s="10" t="s">
        <v>29</v>
      </c>
      <c r="D5696" s="12">
        <f>'Volúmenes DIstribuidos '!D3442</f>
        <v>44.6</v>
      </c>
      <c r="E5696" s="12">
        <f>SUMIF('Parametros Inventario'!$A:$A,B5696,'Parametros Inventario'!$B:$B)+SUMIFS(D$2:D5696,B$2:B5696,B5696,C$2:C5696,"ENTRADA")-SUMIFS(D$2:D5696,B$2:B5696,B5696,C$2:C5696,"SALIDA")</f>
        <v>26801.317999999977</v>
      </c>
    </row>
    <row r="5697" spans="1:5" x14ac:dyDescent="0.3">
      <c r="A5697" s="9">
        <f>'Volúmenes DIstribuidos '!B3441</f>
        <v>46052</v>
      </c>
      <c r="B5697" s="10" t="str">
        <f>IF(OR('Volúmenes DIstribuidos '!C3443="Azúcar",'Volúmenes DIstribuidos '!C3443="azúcar"),"Azúcar o dulce",IF('Volúmenes DIstribuidos '!C3443="Aceite","Aceite o grasas",IF('Volúmenes DIstribuidos '!C3443="Avena","Otros almidones",'Volúmenes DIstribuidos '!C3443)))</f>
        <v>Otros almidones</v>
      </c>
      <c r="C5697" s="10" t="s">
        <v>29</v>
      </c>
      <c r="D5697" s="12">
        <f>'Volúmenes DIstribuidos '!D3443</f>
        <v>26.3</v>
      </c>
      <c r="E5697" s="12">
        <f>SUMIF('Parametros Inventario'!$A:$A,B5697,'Parametros Inventario'!$B:$B)+SUMIFS(D$2:D5697,B$2:B5697,B5697,C$2:C5697,"ENTRADA")-SUMIFS(D$2:D5697,B$2:B5697,B5697,C$2:C5697,"SALIDA")</f>
        <v>30014.976000000013</v>
      </c>
    </row>
    <row r="5698" spans="1:5" x14ac:dyDescent="0.3">
      <c r="A5698" s="9">
        <f>'Volúmenes DIstribuidos '!B3441</f>
        <v>46052</v>
      </c>
      <c r="B5698" s="10" t="str">
        <f>IF(OR('Volúmenes DIstribuidos '!C3444="Azúcar",'Volúmenes DIstribuidos '!C3444="azúcar"),"Azúcar o dulce",IF('Volúmenes DIstribuidos '!C3444="Aceite","Aceite o grasas",IF('Volúmenes DIstribuidos '!C3444="Avena","Otros almidones",'Volúmenes DIstribuidos '!C3444)))</f>
        <v>Azúcar o dulce</v>
      </c>
      <c r="C5698" s="10" t="s">
        <v>29</v>
      </c>
      <c r="D5698" s="12">
        <f>'Volúmenes DIstribuidos '!D3444</f>
        <v>24.84</v>
      </c>
      <c r="E5698" s="12">
        <f>SUMIF('Parametros Inventario'!$A:$A,B5698,'Parametros Inventario'!$B:$B)+SUMIFS(D$2:D5698,B$2:B5698,B5698,C$2:C5698,"ENTRADA")-SUMIFS(D$2:D5698,B$2:B5698,B5698,C$2:C5698,"SALIDA")</f>
        <v>26093.273999999983</v>
      </c>
    </row>
    <row r="5699" spans="1:5" x14ac:dyDescent="0.3">
      <c r="A5699" s="9">
        <f>'Volúmenes DIstribuidos '!B3441</f>
        <v>46052</v>
      </c>
      <c r="B5699" s="10" t="str">
        <f>IF(OR('Volúmenes DIstribuidos '!C3445="Azúcar",'Volúmenes DIstribuidos '!C3445="azúcar"),"Azúcar o dulce",IF('Volúmenes DIstribuidos '!C3445="Aceite","Aceite o grasas",IF('Volúmenes DIstribuidos '!C3445="Avena","Otros almidones",'Volúmenes DIstribuidos '!C3445)))</f>
        <v>Vegetales y hojas</v>
      </c>
      <c r="C5699" s="10" t="s">
        <v>29</v>
      </c>
      <c r="D5699" s="12">
        <f>'Volúmenes DIstribuidos '!D3445</f>
        <v>32.823999999999998</v>
      </c>
      <c r="E5699" s="12">
        <f>SUMIF('Parametros Inventario'!$A:$A,B5699,'Parametros Inventario'!$B:$B)+SUMIFS(D$2:D5699,B$2:B5699,B5699,C$2:C5699,"ENTRADA")-SUMIFS(D$2:D5699,B$2:B5699,B5699,C$2:C5699,"SALIDA")</f>
        <v>28283.179999999975</v>
      </c>
    </row>
    <row r="5700" spans="1:5" x14ac:dyDescent="0.3">
      <c r="A5700" s="9">
        <f>'Volúmenes DIstribuidos '!B3441</f>
        <v>46052</v>
      </c>
      <c r="B5700" s="10" t="str">
        <f>IF(OR('Volúmenes DIstribuidos '!C3446="Azúcar",'Volúmenes DIstribuidos '!C3446="azúcar"),"Azúcar o dulce",IF('Volúmenes DIstribuidos '!C3446="Aceite","Aceite o grasas",IF('Volúmenes DIstribuidos '!C3446="Avena","Otros almidones",'Volúmenes DIstribuidos '!C3446)))</f>
        <v>Menestras</v>
      </c>
      <c r="C5700" s="10" t="s">
        <v>29</v>
      </c>
      <c r="D5700" s="12">
        <f>'Volúmenes DIstribuidos '!D3446</f>
        <v>11.12</v>
      </c>
      <c r="E5700" s="12">
        <f>SUMIF('Parametros Inventario'!$A:$A,B5700,'Parametros Inventario'!$B:$B)+SUMIFS(D$2:D5700,B$2:B5700,B5700,C$2:C5700,"ENTRADA")-SUMIFS(D$2:D5700,B$2:B5700,B5700,C$2:C5700,"SALIDA")</f>
        <v>26790.197999999978</v>
      </c>
    </row>
    <row r="5701" spans="1:5" x14ac:dyDescent="0.3">
      <c r="A5701" s="9">
        <f>'Volúmenes DIstribuidos '!B3447</f>
        <v>46056</v>
      </c>
      <c r="B5701" s="10" t="str">
        <f>IF(OR('Volúmenes DIstribuidos '!C3447="Azúcar",'Volúmenes DIstribuidos '!C3447="azúcar"),"Azúcar o dulce",IF('Volúmenes DIstribuidos '!C3447="Aceite","Aceite o grasas",IF('Volúmenes DIstribuidos '!C3447="Avena","Otros almidones",'Volúmenes DIstribuidos '!C3447)))</f>
        <v>Vegetales y hojas</v>
      </c>
      <c r="C5701" s="10" t="s">
        <v>29</v>
      </c>
      <c r="D5701" s="12">
        <f>'Volúmenes DIstribuidos '!D3447</f>
        <v>59.02</v>
      </c>
      <c r="E5701" s="12">
        <f>SUMIF('Parametros Inventario'!$A:$A,B5701,'Parametros Inventario'!$B:$B)+SUMIFS(D$2:D5701,B$2:B5701,B5701,C$2:C5701,"ENTRADA")-SUMIFS(D$2:D5701,B$2:B5701,B5701,C$2:C5701,"SALIDA")</f>
        <v>28224.159999999974</v>
      </c>
    </row>
    <row r="5702" spans="1:5" x14ac:dyDescent="0.3">
      <c r="A5702" s="9">
        <f>'Volúmenes DIstribuidos '!B3447</f>
        <v>46056</v>
      </c>
      <c r="B5702" s="10" t="str">
        <f>IF(OR('Volúmenes DIstribuidos '!C3448="Azúcar",'Volúmenes DIstribuidos '!C3448="azúcar"),"Azúcar o dulce",IF('Volúmenes DIstribuidos '!C3448="Aceite","Aceite o grasas",IF('Volúmenes DIstribuidos '!C3448="Avena","Otros almidones",'Volúmenes DIstribuidos '!C3448)))</f>
        <v>Carnes blancas</v>
      </c>
      <c r="C5702" s="10" t="s">
        <v>29</v>
      </c>
      <c r="D5702" s="12">
        <f>'Volúmenes DIstribuidos '!D3448</f>
        <v>134.80000000000001</v>
      </c>
      <c r="E5702" s="12">
        <f>SUMIF('Parametros Inventario'!$A:$A,B5702,'Parametros Inventario'!$B:$B)+SUMIFS(D$2:D5702,B$2:B5702,B5702,C$2:C5702,"ENTRADA")-SUMIFS(D$2:D5702,B$2:B5702,B5702,C$2:C5702,"SALIDA")</f>
        <v>26937.198999999979</v>
      </c>
    </row>
    <row r="5703" spans="1:5" x14ac:dyDescent="0.3">
      <c r="A5703" s="9">
        <f>'Volúmenes DIstribuidos '!B3447</f>
        <v>46056</v>
      </c>
      <c r="B5703" s="10" t="str">
        <f>IF(OR('Volúmenes DIstribuidos '!C3449="Azúcar",'Volúmenes DIstribuidos '!C3449="azúcar"),"Azúcar o dulce",IF('Volúmenes DIstribuidos '!C3449="Aceite","Aceite o grasas",IF('Volúmenes DIstribuidos '!C3449="Avena","Otros almidones",'Volúmenes DIstribuidos '!C3449)))</f>
        <v>Fideo</v>
      </c>
      <c r="C5703" s="10" t="s">
        <v>29</v>
      </c>
      <c r="D5703" s="12">
        <f>'Volúmenes DIstribuidos '!D3449</f>
        <v>64.13</v>
      </c>
      <c r="E5703" s="12">
        <f>SUMIF('Parametros Inventario'!$A:$A,B5703,'Parametros Inventario'!$B:$B)+SUMIFS(D$2:D5703,B$2:B5703,B5703,C$2:C5703,"ENTRADA")-SUMIFS(D$2:D5703,B$2:B5703,B5703,C$2:C5703,"SALIDA")</f>
        <v>30007.842000000011</v>
      </c>
    </row>
    <row r="5704" spans="1:5" x14ac:dyDescent="0.3">
      <c r="A5704" s="9">
        <f>'Volúmenes DIstribuidos '!B3447</f>
        <v>46056</v>
      </c>
      <c r="B5704" s="10" t="str">
        <f>IF(OR('Volúmenes DIstribuidos '!C3450="Azúcar",'Volúmenes DIstribuidos '!C3450="azúcar"),"Azúcar o dulce",IF('Volúmenes DIstribuidos '!C3450="Aceite","Aceite o grasas",IF('Volúmenes DIstribuidos '!C3450="Avena","Otros almidones",'Volúmenes DIstribuidos '!C3450)))</f>
        <v>Azúcar o dulce</v>
      </c>
      <c r="C5704" s="10" t="s">
        <v>29</v>
      </c>
      <c r="D5704" s="12">
        <f>'Volúmenes DIstribuidos '!D3450</f>
        <v>15.898</v>
      </c>
      <c r="E5704" s="12">
        <f>SUMIF('Parametros Inventario'!$A:$A,B5704,'Parametros Inventario'!$B:$B)+SUMIFS(D$2:D5704,B$2:B5704,B5704,C$2:C5704,"ENTRADA")-SUMIFS(D$2:D5704,B$2:B5704,B5704,C$2:C5704,"SALIDA")</f>
        <v>26077.375999999982</v>
      </c>
    </row>
    <row r="5705" spans="1:5" x14ac:dyDescent="0.3">
      <c r="A5705" s="9">
        <f>'Volúmenes DIstribuidos '!B3447</f>
        <v>46056</v>
      </c>
      <c r="B5705" s="10" t="str">
        <f>IF(OR('Volúmenes DIstribuidos '!C3451="Azúcar",'Volúmenes DIstribuidos '!C3451="azúcar"),"Azúcar o dulce",IF('Volúmenes DIstribuidos '!C3451="Aceite","Aceite o grasas",IF('Volúmenes DIstribuidos '!C3451="Avena","Otros almidones",'Volúmenes DIstribuidos '!C3451)))</f>
        <v>Menestras</v>
      </c>
      <c r="C5705" s="10" t="s">
        <v>29</v>
      </c>
      <c r="D5705" s="12">
        <f>'Volúmenes DIstribuidos '!D3451</f>
        <v>16.489999999999998</v>
      </c>
      <c r="E5705" s="12">
        <f>SUMIF('Parametros Inventario'!$A:$A,B5705,'Parametros Inventario'!$B:$B)+SUMIFS(D$2:D5705,B$2:B5705,B5705,C$2:C5705,"ENTRADA")-SUMIFS(D$2:D5705,B$2:B5705,B5705,C$2:C5705,"SALIDA")</f>
        <v>26773.707999999977</v>
      </c>
    </row>
    <row r="5706" spans="1:5" x14ac:dyDescent="0.3">
      <c r="A5706" s="9">
        <f>'Volúmenes DIstribuidos '!B3447</f>
        <v>46056</v>
      </c>
      <c r="B5706" s="10" t="str">
        <f>IF(OR('Volúmenes DIstribuidos '!C3452="Azúcar",'Volúmenes DIstribuidos '!C3452="azúcar"),"Azúcar o dulce",IF('Volúmenes DIstribuidos '!C3452="Aceite","Aceite o grasas",IF('Volúmenes DIstribuidos '!C3452="Avena","Otros almidones",'Volúmenes DIstribuidos '!C3452)))</f>
        <v>Azúcar o dulce</v>
      </c>
      <c r="C5706" s="10" t="s">
        <v>29</v>
      </c>
      <c r="D5706" s="12">
        <f>'Volúmenes DIstribuidos '!D3452</f>
        <v>10.85</v>
      </c>
      <c r="E5706" s="12">
        <f>SUMIF('Parametros Inventario'!$A:$A,B5706,'Parametros Inventario'!$B:$B)+SUMIFS(D$2:D5706,B$2:B5706,B5706,C$2:C5706,"ENTRADA")-SUMIFS(D$2:D5706,B$2:B5706,B5706,C$2:C5706,"SALIDA")</f>
        <v>26066.525999999983</v>
      </c>
    </row>
    <row r="5707" spans="1:5" x14ac:dyDescent="0.3">
      <c r="A5707" s="9">
        <f>'Volúmenes DIstribuidos '!B3453</f>
        <v>46059</v>
      </c>
      <c r="B5707" s="10" t="str">
        <f>IF(OR('Volúmenes DIstribuidos '!C3453="Azúcar",'Volúmenes DIstribuidos '!C3453="azúcar"),"Azúcar o dulce",IF('Volúmenes DIstribuidos '!C3453="Aceite","Aceite o grasas",IF('Volúmenes DIstribuidos '!C3453="Avena","Otros almidones",'Volúmenes DIstribuidos '!C3453)))</f>
        <v>Carnes blancas</v>
      </c>
      <c r="C5707" s="10" t="s">
        <v>29</v>
      </c>
      <c r="D5707" s="12">
        <f>'Volúmenes DIstribuidos '!D3453</f>
        <v>8.4550000000000001</v>
      </c>
      <c r="E5707" s="12">
        <f>SUMIF('Parametros Inventario'!$A:$A,B5707,'Parametros Inventario'!$B:$B)+SUMIFS(D$2:D5707,B$2:B5707,B5707,C$2:C5707,"ENTRADA")-SUMIFS(D$2:D5707,B$2:B5707,B5707,C$2:C5707,"SALIDA")</f>
        <v>26928.743999999981</v>
      </c>
    </row>
    <row r="5708" spans="1:5" x14ac:dyDescent="0.3">
      <c r="A5708" s="9">
        <f>'Volúmenes DIstribuidos '!B3453</f>
        <v>46059</v>
      </c>
      <c r="B5708" s="10" t="str">
        <f>IF(OR('Volúmenes DIstribuidos '!C3454="Azúcar",'Volúmenes DIstribuidos '!C3454="azúcar"),"Azúcar o dulce",IF('Volúmenes DIstribuidos '!C3454="Aceite","Aceite o grasas",IF('Volúmenes DIstribuidos '!C3454="Avena","Otros almidones",'Volúmenes DIstribuidos '!C3454)))</f>
        <v>Otros almidones</v>
      </c>
      <c r="C5708" s="10" t="s">
        <v>29</v>
      </c>
      <c r="D5708" s="12">
        <f>'Volúmenes DIstribuidos '!D3454</f>
        <v>6.79</v>
      </c>
      <c r="E5708" s="12">
        <f>SUMIF('Parametros Inventario'!$A:$A,B5708,'Parametros Inventario'!$B:$B)+SUMIFS(D$2:D5708,B$2:B5708,B5708,C$2:C5708,"ENTRADA")-SUMIFS(D$2:D5708,B$2:B5708,B5708,C$2:C5708,"SALIDA")</f>
        <v>30008.186000000012</v>
      </c>
    </row>
    <row r="5709" spans="1:5" x14ac:dyDescent="0.3">
      <c r="A5709" s="9">
        <f>'Volúmenes DIstribuidos '!B3453</f>
        <v>46059</v>
      </c>
      <c r="B5709" s="10" t="str">
        <f>IF(OR('Volúmenes DIstribuidos '!C3455="Azúcar",'Volúmenes DIstribuidos '!C3455="azúcar"),"Azúcar o dulce",IF('Volúmenes DIstribuidos '!C3455="Aceite","Aceite o grasas",IF('Volúmenes DIstribuidos '!C3455="Avena","Otros almidones",'Volúmenes DIstribuidos '!C3455)))</f>
        <v>Salsas</v>
      </c>
      <c r="C5709" s="10" t="s">
        <v>29</v>
      </c>
      <c r="D5709" s="12">
        <f>'Volúmenes DIstribuidos '!D3455</f>
        <v>4.07</v>
      </c>
      <c r="E5709" s="12">
        <f>SUMIF('Parametros Inventario'!$A:$A,B5709,'Parametros Inventario'!$B:$B)+SUMIFS(D$2:D5709,B$2:B5709,B5709,C$2:C5709,"ENTRADA")-SUMIFS(D$2:D5709,B$2:B5709,B5709,C$2:C5709,"SALIDA")</f>
        <v>26844.742999999973</v>
      </c>
    </row>
    <row r="5710" spans="1:5" x14ac:dyDescent="0.3">
      <c r="A5710" s="9">
        <f>'Volúmenes DIstribuidos '!B3453</f>
        <v>46059</v>
      </c>
      <c r="B5710" s="10" t="str">
        <f>IF(OR('Volúmenes DIstribuidos '!C3456="Azúcar",'Volúmenes DIstribuidos '!C3456="azúcar"),"Azúcar o dulce",IF('Volúmenes DIstribuidos '!C3456="Aceite","Aceite o grasas",IF('Volúmenes DIstribuidos '!C3456="Avena","Otros almidones",'Volúmenes DIstribuidos '!C3456)))</f>
        <v>Carnes rojas</v>
      </c>
      <c r="C5710" s="10" t="s">
        <v>29</v>
      </c>
      <c r="D5710" s="12">
        <f>'Volúmenes DIstribuidos '!D3456</f>
        <v>20.724</v>
      </c>
      <c r="E5710" s="12">
        <f>SUMIF('Parametros Inventario'!$A:$A,B5710,'Parametros Inventario'!$B:$B)+SUMIFS(D$2:D5710,B$2:B5710,B5710,C$2:C5710,"ENTRADA")-SUMIFS(D$2:D5710,B$2:B5710,B5710,C$2:C5710,"SALIDA")</f>
        <v>26467.85</v>
      </c>
    </row>
    <row r="5711" spans="1:5" x14ac:dyDescent="0.3">
      <c r="A5711" s="9">
        <f>'Volúmenes DIstribuidos '!B3453</f>
        <v>46059</v>
      </c>
      <c r="B5711" s="10" t="str">
        <f>IF(OR('Volúmenes DIstribuidos '!C3457="Azúcar",'Volúmenes DIstribuidos '!C3457="azúcar"),"Azúcar o dulce",IF('Volúmenes DIstribuidos '!C3457="Aceite","Aceite o grasas",IF('Volúmenes DIstribuidos '!C3457="Avena","Otros almidones",'Volúmenes DIstribuidos '!C3457)))</f>
        <v>Carnes rojas</v>
      </c>
      <c r="C5711" s="10" t="s">
        <v>29</v>
      </c>
      <c r="D5711" s="12">
        <f>'Volúmenes DIstribuidos '!D3457</f>
        <v>15.6</v>
      </c>
      <c r="E5711" s="12">
        <f>SUMIF('Parametros Inventario'!$A:$A,B5711,'Parametros Inventario'!$B:$B)+SUMIFS(D$2:D5711,B$2:B5711,B5711,C$2:C5711,"ENTRADA")-SUMIFS(D$2:D5711,B$2:B5711,B5711,C$2:C5711,"SALIDA")</f>
        <v>26452.25</v>
      </c>
    </row>
    <row r="5712" spans="1:5" x14ac:dyDescent="0.3">
      <c r="A5712" s="9">
        <f>'Volúmenes DIstribuidos '!B3453</f>
        <v>46059</v>
      </c>
      <c r="B5712" s="10" t="str">
        <f>IF(OR('Volúmenes DIstribuidos '!C3458="Azúcar",'Volúmenes DIstribuidos '!C3458="azúcar"),"Azúcar o dulce",IF('Volúmenes DIstribuidos '!C3458="Aceite","Aceite o grasas",IF('Volúmenes DIstribuidos '!C3458="Avena","Otros almidones",'Volúmenes DIstribuidos '!C3458)))</f>
        <v>Carnes blancas</v>
      </c>
      <c r="C5712" s="10" t="s">
        <v>29</v>
      </c>
      <c r="D5712" s="12">
        <f>'Volúmenes DIstribuidos '!D3458</f>
        <v>20.67</v>
      </c>
      <c r="E5712" s="12">
        <f>SUMIF('Parametros Inventario'!$A:$A,B5712,'Parametros Inventario'!$B:$B)+SUMIFS(D$2:D5712,B$2:B5712,B5712,C$2:C5712,"ENTRADA")-SUMIFS(D$2:D5712,B$2:B5712,B5712,C$2:C5712,"SALIDA")</f>
        <v>26908.073999999979</v>
      </c>
    </row>
    <row r="5713" spans="1:5" x14ac:dyDescent="0.3">
      <c r="A5713" s="9">
        <f>'Volúmenes DIstribuidos '!B3459</f>
        <v>46063</v>
      </c>
      <c r="B5713" s="10" t="str">
        <f>IF(OR('Volúmenes DIstribuidos '!C3459="Azúcar",'Volúmenes DIstribuidos '!C3459="azúcar"),"Azúcar o dulce",IF('Volúmenes DIstribuidos '!C3459="Aceite","Aceite o grasas",IF('Volúmenes DIstribuidos '!C3459="Avena","Otros almidones",'Volúmenes DIstribuidos '!C3459)))</f>
        <v>Menestras</v>
      </c>
      <c r="C5713" s="10" t="s">
        <v>29</v>
      </c>
      <c r="D5713" s="12">
        <f>'Volúmenes DIstribuidos '!D3459</f>
        <v>9.8699999999999992</v>
      </c>
      <c r="E5713" s="12">
        <f>SUMIF('Parametros Inventario'!$A:$A,B5713,'Parametros Inventario'!$B:$B)+SUMIFS(D$2:D5713,B$2:B5713,B5713,C$2:C5713,"ENTRADA")-SUMIFS(D$2:D5713,B$2:B5713,B5713,C$2:C5713,"SALIDA")</f>
        <v>26763.837999999978</v>
      </c>
    </row>
    <row r="5714" spans="1:5" x14ac:dyDescent="0.3">
      <c r="A5714" s="9">
        <f>'Volúmenes DIstribuidos '!B3459</f>
        <v>46063</v>
      </c>
      <c r="B5714" s="10" t="str">
        <f>IF(OR('Volúmenes DIstribuidos '!C3460="Azúcar",'Volúmenes DIstribuidos '!C3460="azúcar"),"Azúcar o dulce",IF('Volúmenes DIstribuidos '!C3460="Aceite","Aceite o grasas",IF('Volúmenes DIstribuidos '!C3460="Avena","Otros almidones",'Volúmenes DIstribuidos '!C3460)))</f>
        <v>Vegetales y hojas</v>
      </c>
      <c r="C5714" s="10" t="s">
        <v>29</v>
      </c>
      <c r="D5714" s="12">
        <f>'Volúmenes DIstribuidos '!D3460</f>
        <v>38.573999999999998</v>
      </c>
      <c r="E5714" s="12">
        <f>SUMIF('Parametros Inventario'!$A:$A,B5714,'Parametros Inventario'!$B:$B)+SUMIFS(D$2:D5714,B$2:B5714,B5714,C$2:C5714,"ENTRADA")-SUMIFS(D$2:D5714,B$2:B5714,B5714,C$2:C5714,"SALIDA")</f>
        <v>28185.585999999974</v>
      </c>
    </row>
    <row r="5715" spans="1:5" x14ac:dyDescent="0.3">
      <c r="A5715" s="9">
        <f>'Volúmenes DIstribuidos '!B3459</f>
        <v>46063</v>
      </c>
      <c r="B5715" s="10" t="str">
        <f>IF(OR('Volúmenes DIstribuidos '!C3461="Azúcar",'Volúmenes DIstribuidos '!C3461="azúcar"),"Azúcar o dulce",IF('Volúmenes DIstribuidos '!C3461="Aceite","Aceite o grasas",IF('Volúmenes DIstribuidos '!C3461="Avena","Otros almidones",'Volúmenes DIstribuidos '!C3461)))</f>
        <v>Fideo</v>
      </c>
      <c r="C5715" s="10" t="s">
        <v>29</v>
      </c>
      <c r="D5715" s="12">
        <f>'Volúmenes DIstribuidos '!D3461</f>
        <v>23.96</v>
      </c>
      <c r="E5715" s="12">
        <f>SUMIF('Parametros Inventario'!$A:$A,B5715,'Parametros Inventario'!$B:$B)+SUMIFS(D$2:D5715,B$2:B5715,B5715,C$2:C5715,"ENTRADA")-SUMIFS(D$2:D5715,B$2:B5715,B5715,C$2:C5715,"SALIDA")</f>
        <v>29983.882000000012</v>
      </c>
    </row>
    <row r="5716" spans="1:5" x14ac:dyDescent="0.3">
      <c r="A5716" s="9">
        <f>'Volúmenes DIstribuidos '!B3459</f>
        <v>46063</v>
      </c>
      <c r="B5716" s="10" t="str">
        <f>IF(OR('Volúmenes DIstribuidos '!C3462="Azúcar",'Volúmenes DIstribuidos '!C3462="azúcar"),"Azúcar o dulce",IF('Volúmenes DIstribuidos '!C3462="Aceite","Aceite o grasas",IF('Volúmenes DIstribuidos '!C3462="Avena","Otros almidones",'Volúmenes DIstribuidos '!C3462)))</f>
        <v>Otros almidones</v>
      </c>
      <c r="C5716" s="10" t="s">
        <v>29</v>
      </c>
      <c r="D5716" s="12">
        <f>'Volúmenes DIstribuidos '!D3462</f>
        <v>8.8800000000000008</v>
      </c>
      <c r="E5716" s="12">
        <f>SUMIF('Parametros Inventario'!$A:$A,B5716,'Parametros Inventario'!$B:$B)+SUMIFS(D$2:D5716,B$2:B5716,B5716,C$2:C5716,"ENTRADA")-SUMIFS(D$2:D5716,B$2:B5716,B5716,C$2:C5716,"SALIDA")</f>
        <v>29999.306000000011</v>
      </c>
    </row>
    <row r="5717" spans="1:5" x14ac:dyDescent="0.3">
      <c r="A5717" s="9">
        <f>'Volúmenes DIstribuidos '!B3459</f>
        <v>46063</v>
      </c>
      <c r="B5717" s="10" t="str">
        <f>IF(OR('Volúmenes DIstribuidos '!C3463="Azúcar",'Volúmenes DIstribuidos '!C3463="azúcar"),"Azúcar o dulce",IF('Volúmenes DIstribuidos '!C3463="Aceite","Aceite o grasas",IF('Volúmenes DIstribuidos '!C3463="Avena","Otros almidones",'Volúmenes DIstribuidos '!C3463)))</f>
        <v>Carnes blancas</v>
      </c>
      <c r="C5717" s="10" t="s">
        <v>29</v>
      </c>
      <c r="D5717" s="12">
        <f>'Volúmenes DIstribuidos '!D3463</f>
        <v>6.47</v>
      </c>
      <c r="E5717" s="12">
        <f>SUMIF('Parametros Inventario'!$A:$A,B5717,'Parametros Inventario'!$B:$B)+SUMIFS(D$2:D5717,B$2:B5717,B5717,C$2:C5717,"ENTRADA")-SUMIFS(D$2:D5717,B$2:B5717,B5717,C$2:C5717,"SALIDA")</f>
        <v>26901.603999999981</v>
      </c>
    </row>
    <row r="5718" spans="1:5" x14ac:dyDescent="0.3">
      <c r="A5718" s="9">
        <f>'Volúmenes DIstribuidos '!B3459</f>
        <v>46063</v>
      </c>
      <c r="B5718" s="10" t="str">
        <f>IF(OR('Volúmenes DIstribuidos '!C3464="Azúcar",'Volúmenes DIstribuidos '!C3464="azúcar"),"Azúcar o dulce",IF('Volúmenes DIstribuidos '!C3464="Aceite","Aceite o grasas",IF('Volúmenes DIstribuidos '!C3464="Avena","Otros almidones",'Volúmenes DIstribuidos '!C3464)))</f>
        <v>Menestras</v>
      </c>
      <c r="C5718" s="10" t="s">
        <v>29</v>
      </c>
      <c r="D5718" s="12">
        <f>'Volúmenes DIstribuidos '!D3464</f>
        <v>98</v>
      </c>
      <c r="E5718" s="12">
        <f>SUMIF('Parametros Inventario'!$A:$A,B5718,'Parametros Inventario'!$B:$B)+SUMIFS(D$2:D5718,B$2:B5718,B5718,C$2:C5718,"ENTRADA")-SUMIFS(D$2:D5718,B$2:B5718,B5718,C$2:C5718,"SALIDA")</f>
        <v>26665.837999999978</v>
      </c>
    </row>
    <row r="5719" spans="1:5" x14ac:dyDescent="0.3">
      <c r="A5719" s="9">
        <v>46066</v>
      </c>
      <c r="B5719" s="10" t="s">
        <v>13</v>
      </c>
      <c r="C5719" s="10" t="s">
        <v>28</v>
      </c>
      <c r="D5719" s="12">
        <v>147.6</v>
      </c>
      <c r="E5719" s="12">
        <f>SUMIF('Parametros Inventario'!$A:$A,B5719,'Parametros Inventario'!$B:$B)+SUMIFS(D$2:D5719,B$2:B5719,B5719,C$2:C5719,"ENTRADA")-SUMIFS(D$2:D5719,B$2:B5719,B5719,C$2:C5719,"SALIDA")</f>
        <v>26214.125999999982</v>
      </c>
    </row>
    <row r="5720" spans="1:5" x14ac:dyDescent="0.3">
      <c r="A5720" s="9">
        <v>46066</v>
      </c>
      <c r="B5720" s="10" t="s">
        <v>15</v>
      </c>
      <c r="C5720" s="10" t="s">
        <v>28</v>
      </c>
      <c r="D5720" s="12">
        <v>232.03</v>
      </c>
      <c r="E5720" s="12">
        <f>SUMIF('Parametros Inventario'!$A:$A,B5720,'Parametros Inventario'!$B:$B)+SUMIFS(D$2:D5720,B$2:B5720,B5720,C$2:C5720,"ENTRADA")-SUMIFS(D$2:D5720,B$2:B5720,B5720,C$2:C5720,"SALIDA")</f>
        <v>30231.33600000001</v>
      </c>
    </row>
    <row r="5721" spans="1:5" x14ac:dyDescent="0.3">
      <c r="A5721" s="9">
        <v>46066</v>
      </c>
      <c r="B5721" s="10" t="s">
        <v>11</v>
      </c>
      <c r="C5721" s="10" t="s">
        <v>28</v>
      </c>
      <c r="D5721" s="12">
        <v>150.78</v>
      </c>
      <c r="E5721" s="12">
        <f>SUMIF('Parametros Inventario'!$A:$A,B5721,'Parametros Inventario'!$B:$B)+SUMIFS(D$2:D5721,B$2:B5721,B5721,C$2:C5721,"ENTRADA")-SUMIFS(D$2:D5721,B$2:B5721,B5721,C$2:C5721,"SALIDA")</f>
        <v>30134.662000000011</v>
      </c>
    </row>
    <row r="5722" spans="1:5" x14ac:dyDescent="0.3">
      <c r="A5722" s="9">
        <v>46066</v>
      </c>
      <c r="B5722" s="10" t="s">
        <v>9</v>
      </c>
      <c r="C5722" s="10" t="s">
        <v>28</v>
      </c>
      <c r="D5722" s="12">
        <v>129.53</v>
      </c>
      <c r="E5722" s="12">
        <f>SUMIF('Parametros Inventario'!$A:$A,B5722,'Parametros Inventario'!$B:$B)+SUMIFS(D$2:D5722,B$2:B5722,B5722,C$2:C5722,"ENTRADA")-SUMIFS(D$2:D5722,B$2:B5722,B5722,C$2:C5722,"SALIDA")</f>
        <v>26289.887000000006</v>
      </c>
    </row>
    <row r="5723" spans="1:5" x14ac:dyDescent="0.3">
      <c r="A5723" s="9">
        <v>46066</v>
      </c>
      <c r="B5723" s="10" t="s">
        <v>14</v>
      </c>
      <c r="C5723" s="10" t="s">
        <v>28</v>
      </c>
      <c r="D5723" s="12">
        <v>89.61</v>
      </c>
      <c r="E5723" s="12">
        <f>SUMIF('Parametros Inventario'!$A:$A,B5723,'Parametros Inventario'!$B:$B)+SUMIFS(D$2:D5723,B$2:B5723,B5723,C$2:C5723,"ENTRADA")-SUMIFS(D$2:D5723,B$2:B5723,B5723,C$2:C5723,"SALIDA")</f>
        <v>26755.447999999978</v>
      </c>
    </row>
    <row r="5724" spans="1:5" x14ac:dyDescent="0.3">
      <c r="A5724" s="9">
        <v>46066</v>
      </c>
      <c r="B5724" s="10" t="s">
        <v>12</v>
      </c>
      <c r="C5724" s="10" t="s">
        <v>28</v>
      </c>
      <c r="D5724" s="12">
        <v>107.74</v>
      </c>
      <c r="E5724" s="12">
        <f>SUMIF('Parametros Inventario'!$A:$A,B5724,'Parametros Inventario'!$B:$B)+SUMIFS(D$2:D5724,B$2:B5724,B5724,C$2:C5724,"ENTRADA")-SUMIFS(D$2:D5724,B$2:B5724,B5724,C$2:C5724,"SALIDA")</f>
        <v>26559.989999999998</v>
      </c>
    </row>
    <row r="5725" spans="1:5" x14ac:dyDescent="0.3">
      <c r="A5725" s="9">
        <v>46066</v>
      </c>
      <c r="B5725" s="10" t="s">
        <v>16</v>
      </c>
      <c r="C5725" s="10" t="s">
        <v>28</v>
      </c>
      <c r="D5725" s="12">
        <v>227.51</v>
      </c>
      <c r="E5725" s="12">
        <f>SUMIF('Parametros Inventario'!$A:$A,B5725,'Parametros Inventario'!$B:$B)+SUMIFS(D$2:D5725,B$2:B5725,B5725,C$2:C5725,"ENTRADA")-SUMIFS(D$2:D5725,B$2:B5725,B5725,C$2:C5725,"SALIDA")</f>
        <v>27129.113999999983</v>
      </c>
    </row>
    <row r="5726" spans="1:5" x14ac:dyDescent="0.3">
      <c r="A5726" s="9">
        <v>46066</v>
      </c>
      <c r="B5726" s="10" t="s">
        <v>17</v>
      </c>
      <c r="C5726" s="10" t="s">
        <v>28</v>
      </c>
      <c r="D5726" s="12">
        <v>81.58</v>
      </c>
      <c r="E5726" s="12">
        <f>SUMIF('Parametros Inventario'!$A:$A,B5726,'Parametros Inventario'!$B:$B)+SUMIFS(D$2:D5726,B$2:B5726,B5726,C$2:C5726,"ENTRADA")-SUMIFS(D$2:D5726,B$2:B5726,B5726,C$2:C5726,"SALIDA")</f>
        <v>26965.559000000005</v>
      </c>
    </row>
    <row r="5727" spans="1:5" x14ac:dyDescent="0.3">
      <c r="A5727" s="9">
        <v>46066</v>
      </c>
      <c r="B5727" s="10" t="s">
        <v>18</v>
      </c>
      <c r="C5727" s="10" t="s">
        <v>28</v>
      </c>
      <c r="D5727" s="12">
        <v>79.59</v>
      </c>
      <c r="E5727" s="12">
        <f>SUMIF('Parametros Inventario'!$A:$A,B5727,'Parametros Inventario'!$B:$B)+SUMIFS(D$2:D5727,B$2:B5727,B5727,C$2:C5727,"ENTRADA")-SUMIFS(D$2:D5727,B$2:B5727,B5727,C$2:C5727,"SALIDA")</f>
        <v>26924.33299999997</v>
      </c>
    </row>
    <row r="5728" spans="1:5" x14ac:dyDescent="0.3">
      <c r="A5728" s="9">
        <v>46066</v>
      </c>
      <c r="B5728" s="10" t="s">
        <v>10</v>
      </c>
      <c r="C5728" s="10" t="s">
        <v>28</v>
      </c>
      <c r="D5728" s="12">
        <v>194.23</v>
      </c>
      <c r="E5728" s="12">
        <f>SUMIF('Parametros Inventario'!$A:$A,B5728,'Parametros Inventario'!$B:$B)+SUMIFS(D$2:D5728,B$2:B5728,B5728,C$2:C5728,"ENTRADA")-SUMIFS(D$2:D5728,B$2:B5728,B5728,C$2:C5728,"SALIDA")</f>
        <v>28379.815999999977</v>
      </c>
    </row>
    <row r="5729" spans="1:5" x14ac:dyDescent="0.3">
      <c r="A5729" s="9">
        <v>46066</v>
      </c>
      <c r="B5729" s="10" t="s">
        <v>8</v>
      </c>
      <c r="C5729" s="10" t="s">
        <v>28</v>
      </c>
      <c r="D5729" s="12">
        <v>148</v>
      </c>
      <c r="E5729" s="12">
        <f>SUMIF('Parametros Inventario'!$A:$A,B5729,'Parametros Inventario'!$B:$B)+SUMIFS(D$2:D5729,B$2:B5729,B5729,C$2:C5729,"ENTRADA")-SUMIFS(D$2:D5729,B$2:B5729,B5729,C$2:C5729,"SALIDA")</f>
        <v>27374.413000000008</v>
      </c>
    </row>
    <row r="5730" spans="1:5" x14ac:dyDescent="0.3">
      <c r="A5730" s="9">
        <v>46066</v>
      </c>
      <c r="B5730" s="10" t="s">
        <v>13</v>
      </c>
      <c r="C5730" s="10" t="s">
        <v>28</v>
      </c>
      <c r="D5730" s="12">
        <v>240.54</v>
      </c>
      <c r="E5730" s="12">
        <f>SUMIF('Parametros Inventario'!$A:$A,B5730,'Parametros Inventario'!$B:$B)+SUMIFS(D$2:D5730,B$2:B5730,B5730,C$2:C5730,"ENTRADA")-SUMIFS(D$2:D5730,B$2:B5730,B5730,C$2:C5730,"SALIDA")</f>
        <v>26454.665999999983</v>
      </c>
    </row>
    <row r="5731" spans="1:5" x14ac:dyDescent="0.3">
      <c r="A5731" s="9">
        <f>'Volúmenes DIstribuidos '!B3465</f>
        <v>46066</v>
      </c>
      <c r="B5731" s="10" t="str">
        <f>IF(OR('Volúmenes DIstribuidos '!C3465="Azúcar",'Volúmenes DIstribuidos '!C3465="azúcar"),"Azúcar o dulce",IF('Volúmenes DIstribuidos '!C3465="Aceite","Aceite o grasas",IF('Volúmenes DIstribuidos '!C3465="Avena","Otros almidones",'Volúmenes DIstribuidos '!C3465)))</f>
        <v>Fideo</v>
      </c>
      <c r="C5731" s="10" t="s">
        <v>29</v>
      </c>
      <c r="D5731" s="12">
        <f>'Volúmenes DIstribuidos '!D3465</f>
        <v>49</v>
      </c>
      <c r="E5731" s="12">
        <f>SUMIF('Parametros Inventario'!$A:$A,B5731,'Parametros Inventario'!$B:$B)+SUMIFS(D$2:D5731,B$2:B5731,B5731,C$2:C5731,"ENTRADA")-SUMIFS(D$2:D5731,B$2:B5731,B5731,C$2:C5731,"SALIDA")</f>
        <v>30085.662000000011</v>
      </c>
    </row>
    <row r="5732" spans="1:5" x14ac:dyDescent="0.3">
      <c r="A5732" s="9">
        <f>'Volúmenes DIstribuidos '!B3465</f>
        <v>46066</v>
      </c>
      <c r="B5732" s="10" t="str">
        <f>IF(OR('Volúmenes DIstribuidos '!C3466="Azúcar",'Volúmenes DIstribuidos '!C3466="azúcar"),"Azúcar o dulce",IF('Volúmenes DIstribuidos '!C3466="Aceite","Aceite o grasas",IF('Volúmenes DIstribuidos '!C3466="Avena","Otros almidones",'Volúmenes DIstribuidos '!C3466)))</f>
        <v>Fideo</v>
      </c>
      <c r="C5732" s="10" t="s">
        <v>29</v>
      </c>
      <c r="D5732" s="12">
        <f>'Volúmenes DIstribuidos '!D3466</f>
        <v>44</v>
      </c>
      <c r="E5732" s="12">
        <f>SUMIF('Parametros Inventario'!$A:$A,B5732,'Parametros Inventario'!$B:$B)+SUMIFS(D$2:D5732,B$2:B5732,B5732,C$2:C5732,"ENTRADA")-SUMIFS(D$2:D5732,B$2:B5732,B5732,C$2:C5732,"SALIDA")</f>
        <v>30041.662000000011</v>
      </c>
    </row>
    <row r="5733" spans="1:5" x14ac:dyDescent="0.3">
      <c r="A5733" s="9">
        <f>'Volúmenes DIstribuidos '!B3465</f>
        <v>46066</v>
      </c>
      <c r="B5733" s="10" t="str">
        <f>IF(OR('Volúmenes DIstribuidos '!C3467="Azúcar",'Volúmenes DIstribuidos '!C3467="azúcar"),"Azúcar o dulce",IF('Volúmenes DIstribuidos '!C3467="Aceite","Aceite o grasas",IF('Volúmenes DIstribuidos '!C3467="Avena","Otros almidones",'Volúmenes DIstribuidos '!C3467)))</f>
        <v>Fideo</v>
      </c>
      <c r="C5733" s="10" t="s">
        <v>29</v>
      </c>
      <c r="D5733" s="12">
        <f>'Volúmenes DIstribuidos '!D3467</f>
        <v>38</v>
      </c>
      <c r="E5733" s="12">
        <f>SUMIF('Parametros Inventario'!$A:$A,B5733,'Parametros Inventario'!$B:$B)+SUMIFS(D$2:D5733,B$2:B5733,B5733,C$2:C5733,"ENTRADA")-SUMIFS(D$2:D5733,B$2:B5733,B5733,C$2:C5733,"SALIDA")</f>
        <v>30003.662000000011</v>
      </c>
    </row>
    <row r="5734" spans="1:5" x14ac:dyDescent="0.3">
      <c r="A5734" s="9">
        <f>'Volúmenes DIstribuidos '!B3465</f>
        <v>46066</v>
      </c>
      <c r="B5734" s="10" t="str">
        <f>IF(OR('Volúmenes DIstribuidos '!C3468="Azúcar",'Volúmenes DIstribuidos '!C3468="azúcar"),"Azúcar o dulce",IF('Volúmenes DIstribuidos '!C3468="Aceite","Aceite o grasas",IF('Volúmenes DIstribuidos '!C3468="Avena","Otros almidones",'Volúmenes DIstribuidos '!C3468)))</f>
        <v>Otros almidones</v>
      </c>
      <c r="C5734" s="10" t="s">
        <v>29</v>
      </c>
      <c r="D5734" s="12">
        <f>'Volúmenes DIstribuidos '!D3468</f>
        <v>14.5</v>
      </c>
      <c r="E5734" s="12">
        <f>SUMIF('Parametros Inventario'!$A:$A,B5734,'Parametros Inventario'!$B:$B)+SUMIFS(D$2:D5734,B$2:B5734,B5734,C$2:C5734,"ENTRADA")-SUMIFS(D$2:D5734,B$2:B5734,B5734,C$2:C5734,"SALIDA")</f>
        <v>30216.83600000001</v>
      </c>
    </row>
    <row r="5735" spans="1:5" x14ac:dyDescent="0.3">
      <c r="A5735" s="9">
        <f>'Volúmenes DIstribuidos '!B3465</f>
        <v>46066</v>
      </c>
      <c r="B5735" s="10" t="str">
        <f>IF(OR('Volúmenes DIstribuidos '!C3469="Azúcar",'Volúmenes DIstribuidos '!C3469="azúcar"),"Azúcar o dulce",IF('Volúmenes DIstribuidos '!C3469="Aceite","Aceite o grasas",IF('Volúmenes DIstribuidos '!C3469="Avena","Otros almidones",'Volúmenes DIstribuidos '!C3469)))</f>
        <v>Otros almidones</v>
      </c>
      <c r="C5735" s="10" t="s">
        <v>29</v>
      </c>
      <c r="D5735" s="12">
        <f>'Volúmenes DIstribuidos '!D3469</f>
        <v>20.5</v>
      </c>
      <c r="E5735" s="12">
        <f>SUMIF('Parametros Inventario'!$A:$A,B5735,'Parametros Inventario'!$B:$B)+SUMIFS(D$2:D5735,B$2:B5735,B5735,C$2:C5735,"ENTRADA")-SUMIFS(D$2:D5735,B$2:B5735,B5735,C$2:C5735,"SALIDA")</f>
        <v>30196.33600000001</v>
      </c>
    </row>
    <row r="5736" spans="1:5" x14ac:dyDescent="0.3">
      <c r="A5736" s="9">
        <f>'Volúmenes DIstribuidos '!B3465</f>
        <v>46066</v>
      </c>
      <c r="B5736" s="10" t="str">
        <f>IF(OR('Volúmenes DIstribuidos '!C3470="Azúcar",'Volúmenes DIstribuidos '!C3470="azúcar"),"Azúcar o dulce",IF('Volúmenes DIstribuidos '!C3470="Aceite","Aceite o grasas",IF('Volúmenes DIstribuidos '!C3470="Avena","Otros almidones",'Volúmenes DIstribuidos '!C3470)))</f>
        <v>Otros almidones</v>
      </c>
      <c r="C5736" s="10" t="s">
        <v>29</v>
      </c>
      <c r="D5736" s="12">
        <f>'Volúmenes DIstribuidos '!D3470</f>
        <v>35</v>
      </c>
      <c r="E5736" s="12">
        <f>SUMIF('Parametros Inventario'!$A:$A,B5736,'Parametros Inventario'!$B:$B)+SUMIFS(D$2:D5736,B$2:B5736,B5736,C$2:C5736,"ENTRADA")-SUMIFS(D$2:D5736,B$2:B5736,B5736,C$2:C5736,"SALIDA")</f>
        <v>30161.33600000001</v>
      </c>
    </row>
    <row r="5737" spans="1:5" x14ac:dyDescent="0.3">
      <c r="A5737" s="9">
        <f>'Volúmenes DIstribuidos '!B3471</f>
        <v>46070</v>
      </c>
      <c r="B5737" s="10" t="str">
        <f>IF(OR('Volúmenes DIstribuidos '!C3471="Azúcar",'Volúmenes DIstribuidos '!C3471="azúcar"),"Azúcar o dulce",IF('Volúmenes DIstribuidos '!C3471="Aceite","Aceite o grasas",IF('Volúmenes DIstribuidos '!C3471="Avena","Otros almidones",'Volúmenes DIstribuidos '!C3471)))</f>
        <v>Otros almidones</v>
      </c>
      <c r="C5737" s="10" t="s">
        <v>29</v>
      </c>
      <c r="D5737" s="12">
        <f>'Volúmenes DIstribuidos '!D3471</f>
        <v>25</v>
      </c>
      <c r="E5737" s="12">
        <f>SUMIF('Parametros Inventario'!$A:$A,B5737,'Parametros Inventario'!$B:$B)+SUMIFS(D$2:D5737,B$2:B5737,B5737,C$2:C5737,"ENTRADA")-SUMIFS(D$2:D5737,B$2:B5737,B5737,C$2:C5737,"SALIDA")</f>
        <v>30136.33600000001</v>
      </c>
    </row>
    <row r="5738" spans="1:5" x14ac:dyDescent="0.3">
      <c r="A5738" s="9">
        <f>'Volúmenes DIstribuidos '!B3471</f>
        <v>46070</v>
      </c>
      <c r="B5738" s="10" t="str">
        <f>IF(OR('Volúmenes DIstribuidos '!C3472="Azúcar",'Volúmenes DIstribuidos '!C3472="azúcar"),"Azúcar o dulce",IF('Volúmenes DIstribuidos '!C3472="Aceite","Aceite o grasas",IF('Volúmenes DIstribuidos '!C3472="Avena","Otros almidones",'Volúmenes DIstribuidos '!C3472)))</f>
        <v>Azúcar o dulce</v>
      </c>
      <c r="C5738" s="10" t="s">
        <v>29</v>
      </c>
      <c r="D5738" s="12">
        <f>'Volúmenes DIstribuidos '!D3472</f>
        <v>52.08</v>
      </c>
      <c r="E5738" s="12">
        <f>SUMIF('Parametros Inventario'!$A:$A,B5738,'Parametros Inventario'!$B:$B)+SUMIFS(D$2:D5738,B$2:B5738,B5738,C$2:C5738,"ENTRADA")-SUMIFS(D$2:D5738,B$2:B5738,B5738,C$2:C5738,"SALIDA")</f>
        <v>26402.585999999981</v>
      </c>
    </row>
    <row r="5739" spans="1:5" x14ac:dyDescent="0.3">
      <c r="A5739" s="9">
        <f>'Volúmenes DIstribuidos '!B3471</f>
        <v>46070</v>
      </c>
      <c r="B5739" s="10" t="str">
        <f>IF(OR('Volúmenes DIstribuidos '!C3473="Azúcar",'Volúmenes DIstribuidos '!C3473="azúcar"),"Azúcar o dulce",IF('Volúmenes DIstribuidos '!C3473="Aceite","Aceite o grasas",IF('Volúmenes DIstribuidos '!C3473="Avena","Otros almidones",'Volúmenes DIstribuidos '!C3473)))</f>
        <v>Azúcar o dulce</v>
      </c>
      <c r="C5739" s="10" t="s">
        <v>29</v>
      </c>
      <c r="D5739" s="12">
        <f>'Volúmenes DIstribuidos '!D3473</f>
        <v>35</v>
      </c>
      <c r="E5739" s="12">
        <f>SUMIF('Parametros Inventario'!$A:$A,B5739,'Parametros Inventario'!$B:$B)+SUMIFS(D$2:D5739,B$2:B5739,B5739,C$2:C5739,"ENTRADA")-SUMIFS(D$2:D5739,B$2:B5739,B5739,C$2:C5739,"SALIDA")</f>
        <v>26367.585999999981</v>
      </c>
    </row>
    <row r="5740" spans="1:5" x14ac:dyDescent="0.3">
      <c r="A5740" s="9">
        <f>'Volúmenes DIstribuidos '!B3471</f>
        <v>46070</v>
      </c>
      <c r="B5740" s="10" t="str">
        <f>IF(OR('Volúmenes DIstribuidos '!C3474="Azúcar",'Volúmenes DIstribuidos '!C3474="azúcar"),"Azúcar o dulce",IF('Volúmenes DIstribuidos '!C3474="Aceite","Aceite o grasas",IF('Volúmenes DIstribuidos '!C3474="Avena","Otros almidones",'Volúmenes DIstribuidos '!C3474)))</f>
        <v>Azúcar o dulce</v>
      </c>
      <c r="C5740" s="10" t="s">
        <v>29</v>
      </c>
      <c r="D5740" s="12">
        <f>'Volúmenes DIstribuidos '!D3474</f>
        <v>17</v>
      </c>
      <c r="E5740" s="12">
        <f>SUMIF('Parametros Inventario'!$A:$A,B5740,'Parametros Inventario'!$B:$B)+SUMIFS(D$2:D5740,B$2:B5740,B5740,C$2:C5740,"ENTRADA")-SUMIFS(D$2:D5740,B$2:B5740,B5740,C$2:C5740,"SALIDA")</f>
        <v>26350.585999999981</v>
      </c>
    </row>
    <row r="5741" spans="1:5" x14ac:dyDescent="0.3">
      <c r="A5741" s="9">
        <f>'Volúmenes DIstribuidos '!B3471</f>
        <v>46070</v>
      </c>
      <c r="B5741" s="10" t="str">
        <f>IF(OR('Volúmenes DIstribuidos '!C3475="Azúcar",'Volúmenes DIstribuidos '!C3475="azúcar"),"Azúcar o dulce",IF('Volúmenes DIstribuidos '!C3475="Aceite","Aceite o grasas",IF('Volúmenes DIstribuidos '!C3475="Avena","Otros almidones",'Volúmenes DIstribuidos '!C3475)))</f>
        <v>Otros almidones</v>
      </c>
      <c r="C5741" s="10" t="s">
        <v>29</v>
      </c>
      <c r="D5741" s="12">
        <f>'Volúmenes DIstribuidos '!D3475</f>
        <v>43</v>
      </c>
      <c r="E5741" s="12">
        <f>SUMIF('Parametros Inventario'!$A:$A,B5741,'Parametros Inventario'!$B:$B)+SUMIFS(D$2:D5741,B$2:B5741,B5741,C$2:C5741,"ENTRADA")-SUMIFS(D$2:D5741,B$2:B5741,B5741,C$2:C5741,"SALIDA")</f>
        <v>30093.33600000001</v>
      </c>
    </row>
    <row r="5742" spans="1:5" x14ac:dyDescent="0.3">
      <c r="A5742" s="9">
        <f>'Volúmenes DIstribuidos '!B3471</f>
        <v>46070</v>
      </c>
      <c r="B5742" s="10" t="str">
        <f>IF(OR('Volúmenes DIstribuidos '!C3476="Azúcar",'Volúmenes DIstribuidos '!C3476="azúcar"),"Azúcar o dulce",IF('Volúmenes DIstribuidos '!C3476="Aceite","Aceite o grasas",IF('Volúmenes DIstribuidos '!C3476="Avena","Otros almidones",'Volúmenes DIstribuidos '!C3476)))</f>
        <v>Azúcar o dulce</v>
      </c>
      <c r="C5742" s="10" t="s">
        <v>29</v>
      </c>
      <c r="D5742" s="12">
        <f>'Volúmenes DIstribuidos '!D3476</f>
        <v>37</v>
      </c>
      <c r="E5742" s="12">
        <f>SUMIF('Parametros Inventario'!$A:$A,B5742,'Parametros Inventario'!$B:$B)+SUMIFS(D$2:D5742,B$2:B5742,B5742,C$2:C5742,"ENTRADA")-SUMIFS(D$2:D5742,B$2:B5742,B5742,C$2:C5742,"SALIDA")</f>
        <v>26313.585999999981</v>
      </c>
    </row>
    <row r="5743" spans="1:5" x14ac:dyDescent="0.3">
      <c r="A5743" s="9">
        <v>46073</v>
      </c>
      <c r="B5743" s="10" t="s">
        <v>15</v>
      </c>
      <c r="C5743" s="10" t="s">
        <v>28</v>
      </c>
      <c r="D5743" s="12">
        <v>279.17</v>
      </c>
      <c r="E5743" s="12">
        <f>SUMIF('Parametros Inventario'!$A:$A,B5743,'Parametros Inventario'!$B:$B)+SUMIFS(D$2:D5743,B$2:B5743,B5743,C$2:C5743,"ENTRADA")-SUMIFS(D$2:D5743,B$2:B5743,B5743,C$2:C5743,"SALIDA")</f>
        <v>30372.506000000008</v>
      </c>
    </row>
    <row r="5744" spans="1:5" x14ac:dyDescent="0.3">
      <c r="A5744" s="9">
        <v>46073</v>
      </c>
      <c r="B5744" s="10" t="s">
        <v>11</v>
      </c>
      <c r="C5744" s="10" t="s">
        <v>28</v>
      </c>
      <c r="D5744" s="12">
        <v>259.33</v>
      </c>
      <c r="E5744" s="12">
        <f>SUMIF('Parametros Inventario'!$A:$A,B5744,'Parametros Inventario'!$B:$B)+SUMIFS(D$2:D5744,B$2:B5744,B5744,C$2:C5744,"ENTRADA")-SUMIFS(D$2:D5744,B$2:B5744,B5744,C$2:C5744,"SALIDA")</f>
        <v>30262.992000000013</v>
      </c>
    </row>
    <row r="5745" spans="1:5" x14ac:dyDescent="0.3">
      <c r="A5745" s="9">
        <v>46073</v>
      </c>
      <c r="B5745" s="10" t="s">
        <v>9</v>
      </c>
      <c r="C5745" s="10" t="s">
        <v>28</v>
      </c>
      <c r="D5745" s="12">
        <v>89.76</v>
      </c>
      <c r="E5745" s="12">
        <f>SUMIF('Parametros Inventario'!$A:$A,B5745,'Parametros Inventario'!$B:$B)+SUMIFS(D$2:D5745,B$2:B5745,B5745,C$2:C5745,"ENTRADA")-SUMIFS(D$2:D5745,B$2:B5745,B5745,C$2:C5745,"SALIDA")</f>
        <v>26379.647000000008</v>
      </c>
    </row>
    <row r="5746" spans="1:5" x14ac:dyDescent="0.3">
      <c r="A5746" s="9">
        <v>46073</v>
      </c>
      <c r="B5746" s="10" t="s">
        <v>14</v>
      </c>
      <c r="C5746" s="10" t="s">
        <v>28</v>
      </c>
      <c r="D5746" s="12">
        <v>130.6</v>
      </c>
      <c r="E5746" s="12">
        <f>SUMIF('Parametros Inventario'!$A:$A,B5746,'Parametros Inventario'!$B:$B)+SUMIFS(D$2:D5746,B$2:B5746,B5746,C$2:C5746,"ENTRADA")-SUMIFS(D$2:D5746,B$2:B5746,B5746,C$2:C5746,"SALIDA")</f>
        <v>26886.047999999977</v>
      </c>
    </row>
    <row r="5747" spans="1:5" x14ac:dyDescent="0.3">
      <c r="A5747" s="9">
        <v>46073</v>
      </c>
      <c r="B5747" s="10" t="s">
        <v>12</v>
      </c>
      <c r="C5747" s="10" t="s">
        <v>28</v>
      </c>
      <c r="D5747" s="12">
        <v>73.31</v>
      </c>
      <c r="E5747" s="12">
        <f>SUMIF('Parametros Inventario'!$A:$A,B5747,'Parametros Inventario'!$B:$B)+SUMIFS(D$2:D5747,B$2:B5747,B5747,C$2:C5747,"ENTRADA")-SUMIFS(D$2:D5747,B$2:B5747,B5747,C$2:C5747,"SALIDA")</f>
        <v>26633.299999999996</v>
      </c>
    </row>
    <row r="5748" spans="1:5" x14ac:dyDescent="0.3">
      <c r="A5748" s="9">
        <v>46073</v>
      </c>
      <c r="B5748" s="10" t="s">
        <v>16</v>
      </c>
      <c r="C5748" s="10" t="s">
        <v>28</v>
      </c>
      <c r="D5748" s="12">
        <v>56.41</v>
      </c>
      <c r="E5748" s="12">
        <f>SUMIF('Parametros Inventario'!$A:$A,B5748,'Parametros Inventario'!$B:$B)+SUMIFS(D$2:D5748,B$2:B5748,B5748,C$2:C5748,"ENTRADA")-SUMIFS(D$2:D5748,B$2:B5748,B5748,C$2:C5748,"SALIDA")</f>
        <v>27185.523999999987</v>
      </c>
    </row>
    <row r="5749" spans="1:5" x14ac:dyDescent="0.3">
      <c r="A5749" s="9">
        <v>46073</v>
      </c>
      <c r="B5749" s="10" t="s">
        <v>17</v>
      </c>
      <c r="C5749" s="10" t="s">
        <v>28</v>
      </c>
      <c r="D5749" s="12">
        <v>52.88</v>
      </c>
      <c r="E5749" s="12">
        <f>SUMIF('Parametros Inventario'!$A:$A,B5749,'Parametros Inventario'!$B:$B)+SUMIFS(D$2:D5749,B$2:B5749,B5749,C$2:C5749,"ENTRADA")-SUMIFS(D$2:D5749,B$2:B5749,B5749,C$2:C5749,"SALIDA")</f>
        <v>27018.439000000002</v>
      </c>
    </row>
    <row r="5750" spans="1:5" x14ac:dyDescent="0.3">
      <c r="A5750" s="9">
        <v>46073</v>
      </c>
      <c r="B5750" s="10" t="s">
        <v>18</v>
      </c>
      <c r="C5750" s="10" t="s">
        <v>28</v>
      </c>
      <c r="D5750" s="12">
        <v>242.51</v>
      </c>
      <c r="E5750" s="12">
        <f>SUMIF('Parametros Inventario'!$A:$A,B5750,'Parametros Inventario'!$B:$B)+SUMIFS(D$2:D5750,B$2:B5750,B5750,C$2:C5750,"ENTRADA")-SUMIFS(D$2:D5750,B$2:B5750,B5750,C$2:C5750,"SALIDA")</f>
        <v>27166.842999999972</v>
      </c>
    </row>
    <row r="5751" spans="1:5" x14ac:dyDescent="0.3">
      <c r="A5751" s="9">
        <v>46073</v>
      </c>
      <c r="B5751" s="10" t="s">
        <v>10</v>
      </c>
      <c r="C5751" s="10" t="s">
        <v>28</v>
      </c>
      <c r="D5751" s="12">
        <v>88.26</v>
      </c>
      <c r="E5751" s="12">
        <f>SUMIF('Parametros Inventario'!$A:$A,B5751,'Parametros Inventario'!$B:$B)+SUMIFS(D$2:D5751,B$2:B5751,B5751,C$2:C5751,"ENTRADA")-SUMIFS(D$2:D5751,B$2:B5751,B5751,C$2:C5751,"SALIDA")</f>
        <v>28468.075999999979</v>
      </c>
    </row>
    <row r="5752" spans="1:5" x14ac:dyDescent="0.3">
      <c r="A5752" s="9">
        <v>46073</v>
      </c>
      <c r="B5752" s="10" t="s">
        <v>8</v>
      </c>
      <c r="C5752" s="10" t="s">
        <v>28</v>
      </c>
      <c r="D5752" s="12">
        <v>204.52</v>
      </c>
      <c r="E5752" s="12">
        <f>SUMIF('Parametros Inventario'!$A:$A,B5752,'Parametros Inventario'!$B:$B)+SUMIFS(D$2:D5752,B$2:B5752,B5752,C$2:C5752,"ENTRADA")-SUMIFS(D$2:D5752,B$2:B5752,B5752,C$2:C5752,"SALIDA")</f>
        <v>27578.933000000005</v>
      </c>
    </row>
    <row r="5753" spans="1:5" x14ac:dyDescent="0.3">
      <c r="A5753" s="9">
        <v>46073</v>
      </c>
      <c r="B5753" s="10" t="s">
        <v>13</v>
      </c>
      <c r="C5753" s="10" t="s">
        <v>28</v>
      </c>
      <c r="D5753" s="12">
        <v>185.92</v>
      </c>
      <c r="E5753" s="12">
        <f>SUMIF('Parametros Inventario'!$A:$A,B5753,'Parametros Inventario'!$B:$B)+SUMIFS(D$2:D5753,B$2:B5753,B5753,C$2:C5753,"ENTRADA")-SUMIFS(D$2:D5753,B$2:B5753,B5753,C$2:C5753,"SALIDA")</f>
        <v>26499.505999999979</v>
      </c>
    </row>
    <row r="5754" spans="1:5" x14ac:dyDescent="0.3">
      <c r="A5754" s="9">
        <v>46073</v>
      </c>
      <c r="B5754" s="10" t="s">
        <v>15</v>
      </c>
      <c r="C5754" s="10" t="s">
        <v>28</v>
      </c>
      <c r="D5754" s="12">
        <v>293.10000000000002</v>
      </c>
      <c r="E5754" s="12">
        <f>SUMIF('Parametros Inventario'!$A:$A,B5754,'Parametros Inventario'!$B:$B)+SUMIFS(D$2:D5754,B$2:B5754,B5754,C$2:C5754,"ENTRADA")-SUMIFS(D$2:D5754,B$2:B5754,B5754,C$2:C5754,"SALIDA")</f>
        <v>30665.606000000007</v>
      </c>
    </row>
    <row r="5755" spans="1:5" x14ac:dyDescent="0.3">
      <c r="A5755" s="9">
        <f>'Volúmenes DIstribuidos '!B3477</f>
        <v>46073</v>
      </c>
      <c r="B5755" s="10" t="str">
        <f>IF(OR('Volúmenes DIstribuidos '!C3477="Azúcar",'Volúmenes DIstribuidos '!C3477="azúcar"),"Azúcar o dulce",IF('Volúmenes DIstribuidos '!C3477="Aceite","Aceite o grasas",IF('Volúmenes DIstribuidos '!C3477="Avena","Otros almidones",'Volúmenes DIstribuidos '!C3477)))</f>
        <v>Otros almidones</v>
      </c>
      <c r="C5755" s="10" t="s">
        <v>29</v>
      </c>
      <c r="D5755" s="12">
        <f>'Volúmenes DIstribuidos '!D3477</f>
        <v>37</v>
      </c>
      <c r="E5755" s="12">
        <f>SUMIF('Parametros Inventario'!$A:$A,B5755,'Parametros Inventario'!$B:$B)+SUMIFS(D$2:D5755,B$2:B5755,B5755,C$2:C5755,"ENTRADA")-SUMIFS(D$2:D5755,B$2:B5755,B5755,C$2:C5755,"SALIDA")</f>
        <v>30628.606000000007</v>
      </c>
    </row>
    <row r="5756" spans="1:5" x14ac:dyDescent="0.3">
      <c r="A5756" s="9">
        <f>'Volúmenes DIstribuidos '!B3477</f>
        <v>46073</v>
      </c>
      <c r="B5756" s="10" t="str">
        <f>IF(OR('Volúmenes DIstribuidos '!C3478="Azúcar",'Volúmenes DIstribuidos '!C3478="azúcar"),"Azúcar o dulce",IF('Volúmenes DIstribuidos '!C3478="Aceite","Aceite o grasas",IF('Volúmenes DIstribuidos '!C3478="Avena","Otros almidones",'Volúmenes DIstribuidos '!C3478)))</f>
        <v>Azúcar o dulce</v>
      </c>
      <c r="C5756" s="10" t="s">
        <v>29</v>
      </c>
      <c r="D5756" s="12">
        <f>'Volúmenes DIstribuidos '!D3478</f>
        <v>39</v>
      </c>
      <c r="E5756" s="12">
        <f>SUMIF('Parametros Inventario'!$A:$A,B5756,'Parametros Inventario'!$B:$B)+SUMIFS(D$2:D5756,B$2:B5756,B5756,C$2:C5756,"ENTRADA")-SUMIFS(D$2:D5756,B$2:B5756,B5756,C$2:C5756,"SALIDA")</f>
        <v>26460.505999999979</v>
      </c>
    </row>
    <row r="5757" spans="1:5" x14ac:dyDescent="0.3">
      <c r="A5757" s="9">
        <f>'Volúmenes DIstribuidos '!B3477</f>
        <v>46073</v>
      </c>
      <c r="B5757" s="10" t="str">
        <f>IF(OR('Volúmenes DIstribuidos '!C3479="Azúcar",'Volúmenes DIstribuidos '!C3479="azúcar"),"Azúcar o dulce",IF('Volúmenes DIstribuidos '!C3479="Aceite","Aceite o grasas",IF('Volúmenes DIstribuidos '!C3479="Avena","Otros almidones",'Volúmenes DIstribuidos '!C3479)))</f>
        <v>Azúcar o dulce</v>
      </c>
      <c r="C5757" s="10" t="s">
        <v>29</v>
      </c>
      <c r="D5757" s="12">
        <f>'Volúmenes DIstribuidos '!D3479</f>
        <v>24</v>
      </c>
      <c r="E5757" s="12">
        <f>SUMIF('Parametros Inventario'!$A:$A,B5757,'Parametros Inventario'!$B:$B)+SUMIFS(D$2:D5757,B$2:B5757,B5757,C$2:C5757,"ENTRADA")-SUMIFS(D$2:D5757,B$2:B5757,B5757,C$2:C5757,"SALIDA")</f>
        <v>26436.505999999979</v>
      </c>
    </row>
    <row r="5758" spans="1:5" x14ac:dyDescent="0.3">
      <c r="A5758" s="9">
        <f>'Volúmenes DIstribuidos '!B3477</f>
        <v>46073</v>
      </c>
      <c r="B5758" s="10" t="str">
        <f>IF(OR('Volúmenes DIstribuidos '!C3480="Azúcar",'Volúmenes DIstribuidos '!C3480="azúcar"),"Azúcar o dulce",IF('Volúmenes DIstribuidos '!C3480="Aceite","Aceite o grasas",IF('Volúmenes DIstribuidos '!C3480="Avena","Otros almidones",'Volúmenes DIstribuidos '!C3480)))</f>
        <v>Azúcar o dulce</v>
      </c>
      <c r="C5758" s="10" t="s">
        <v>29</v>
      </c>
      <c r="D5758" s="12">
        <f>'Volúmenes DIstribuidos '!D3480</f>
        <v>30</v>
      </c>
      <c r="E5758" s="12">
        <f>SUMIF('Parametros Inventario'!$A:$A,B5758,'Parametros Inventario'!$B:$B)+SUMIFS(D$2:D5758,B$2:B5758,B5758,C$2:C5758,"ENTRADA")-SUMIFS(D$2:D5758,B$2:B5758,B5758,C$2:C5758,"SALIDA")</f>
        <v>26406.505999999979</v>
      </c>
    </row>
    <row r="5759" spans="1:5" x14ac:dyDescent="0.3">
      <c r="A5759" s="9">
        <f>'Volúmenes DIstribuidos '!B3477</f>
        <v>46073</v>
      </c>
      <c r="B5759" s="10" t="str">
        <f>IF(OR('Volúmenes DIstribuidos '!C3481="Azúcar",'Volúmenes DIstribuidos '!C3481="azúcar"),"Azúcar o dulce",IF('Volúmenes DIstribuidos '!C3481="Aceite","Aceite o grasas",IF('Volúmenes DIstribuidos '!C3481="Avena","Otros almidones",'Volúmenes DIstribuidos '!C3481)))</f>
        <v>Azúcar o dulce</v>
      </c>
      <c r="C5759" s="10" t="s">
        <v>29</v>
      </c>
      <c r="D5759" s="12">
        <f>'Volúmenes DIstribuidos '!D3481</f>
        <v>30</v>
      </c>
      <c r="E5759" s="12">
        <f>SUMIF('Parametros Inventario'!$A:$A,B5759,'Parametros Inventario'!$B:$B)+SUMIFS(D$2:D5759,B$2:B5759,B5759,C$2:C5759,"ENTRADA")-SUMIFS(D$2:D5759,B$2:B5759,B5759,C$2:C5759,"SALIDA")</f>
        <v>26376.505999999979</v>
      </c>
    </row>
    <row r="5760" spans="1:5" x14ac:dyDescent="0.3">
      <c r="A5760" s="9">
        <f>'Volúmenes DIstribuidos '!B3477</f>
        <v>46073</v>
      </c>
      <c r="B5760" s="10" t="str">
        <f>IF(OR('Volúmenes DIstribuidos '!C3482="Azúcar",'Volúmenes DIstribuidos '!C3482="azúcar"),"Azúcar o dulce",IF('Volúmenes DIstribuidos '!C3482="Aceite","Aceite o grasas",IF('Volúmenes DIstribuidos '!C3482="Avena","Otros almidones",'Volúmenes DIstribuidos '!C3482)))</f>
        <v>Azúcar o dulce</v>
      </c>
      <c r="C5760" s="10" t="s">
        <v>29</v>
      </c>
      <c r="D5760" s="12">
        <f>'Volúmenes DIstribuidos '!D3482</f>
        <v>35</v>
      </c>
      <c r="E5760" s="12">
        <f>SUMIF('Parametros Inventario'!$A:$A,B5760,'Parametros Inventario'!$B:$B)+SUMIFS(D$2:D5760,B$2:B5760,B5760,C$2:C5760,"ENTRADA")-SUMIFS(D$2:D5760,B$2:B5760,B5760,C$2:C5760,"SALIDA")</f>
        <v>26341.505999999979</v>
      </c>
    </row>
    <row r="5761" spans="1:5" x14ac:dyDescent="0.3">
      <c r="A5761" s="9">
        <f>'Volúmenes DIstribuidos '!B3483</f>
        <v>46077</v>
      </c>
      <c r="B5761" s="10" t="str">
        <f>IF(OR('Volúmenes DIstribuidos '!C3483="Azúcar",'Volúmenes DIstribuidos '!C3483="azúcar"),"Azúcar o dulce",IF('Volúmenes DIstribuidos '!C3483="Aceite","Aceite o grasas",IF('Volúmenes DIstribuidos '!C3483="Avena","Otros almidones",'Volúmenes DIstribuidos '!C3483)))</f>
        <v>Azúcar o dulce</v>
      </c>
      <c r="C5761" s="10" t="s">
        <v>29</v>
      </c>
      <c r="D5761" s="12">
        <f>'Volúmenes DIstribuidos '!D3483</f>
        <v>8</v>
      </c>
      <c r="E5761" s="12">
        <f>SUMIF('Parametros Inventario'!$A:$A,B5761,'Parametros Inventario'!$B:$B)+SUMIFS(D$2:D5761,B$2:B5761,B5761,C$2:C5761,"ENTRADA")-SUMIFS(D$2:D5761,B$2:B5761,B5761,C$2:C5761,"SALIDA")</f>
        <v>26333.505999999979</v>
      </c>
    </row>
    <row r="5762" spans="1:5" x14ac:dyDescent="0.3">
      <c r="A5762" s="9">
        <f>'Volúmenes DIstribuidos '!B3483</f>
        <v>46077</v>
      </c>
      <c r="B5762" s="10" t="str">
        <f>IF(OR('Volúmenes DIstribuidos '!C3484="Azúcar",'Volúmenes DIstribuidos '!C3484="azúcar"),"Azúcar o dulce",IF('Volúmenes DIstribuidos '!C3484="Aceite","Aceite o grasas",IF('Volúmenes DIstribuidos '!C3484="Avena","Otros almidones",'Volúmenes DIstribuidos '!C3484)))</f>
        <v>Aceite o grasas</v>
      </c>
      <c r="C5762" s="10" t="s">
        <v>29</v>
      </c>
      <c r="D5762" s="12">
        <f>'Volúmenes DIstribuidos '!D3484</f>
        <v>36</v>
      </c>
      <c r="E5762" s="12">
        <f>SUMIF('Parametros Inventario'!$A:$A,B5762,'Parametros Inventario'!$B:$B)+SUMIFS(D$2:D5762,B$2:B5762,B5762,C$2:C5762,"ENTRADA")-SUMIFS(D$2:D5762,B$2:B5762,B5762,C$2:C5762,"SALIDA")</f>
        <v>27542.933000000005</v>
      </c>
    </row>
    <row r="5763" spans="1:5" x14ac:dyDescent="0.3">
      <c r="A5763" s="9">
        <f>'Volúmenes DIstribuidos '!B3483</f>
        <v>46077</v>
      </c>
      <c r="B5763" s="10" t="str">
        <f>IF(OR('Volúmenes DIstribuidos '!C3485="Azúcar",'Volúmenes DIstribuidos '!C3485="azúcar"),"Azúcar o dulce",IF('Volúmenes DIstribuidos '!C3485="Aceite","Aceite o grasas",IF('Volúmenes DIstribuidos '!C3485="Avena","Otros almidones",'Volúmenes DIstribuidos '!C3485)))</f>
        <v>Azúcar o dulce</v>
      </c>
      <c r="C5763" s="10" t="s">
        <v>29</v>
      </c>
      <c r="D5763" s="12">
        <f>'Volúmenes DIstribuidos '!D3485</f>
        <v>14</v>
      </c>
      <c r="E5763" s="12">
        <f>SUMIF('Parametros Inventario'!$A:$A,B5763,'Parametros Inventario'!$B:$B)+SUMIFS(D$2:D5763,B$2:B5763,B5763,C$2:C5763,"ENTRADA")-SUMIFS(D$2:D5763,B$2:B5763,B5763,C$2:C5763,"SALIDA")</f>
        <v>26319.505999999979</v>
      </c>
    </row>
    <row r="5764" spans="1:5" x14ac:dyDescent="0.3">
      <c r="A5764" s="9">
        <f>'Volúmenes DIstribuidos '!B3483</f>
        <v>46077</v>
      </c>
      <c r="B5764" s="10" t="str">
        <f>IF(OR('Volúmenes DIstribuidos '!C3486="Azúcar",'Volúmenes DIstribuidos '!C3486="azúcar"),"Azúcar o dulce",IF('Volúmenes DIstribuidos '!C3486="Aceite","Aceite o grasas",IF('Volúmenes DIstribuidos '!C3486="Avena","Otros almidones",'Volúmenes DIstribuidos '!C3486)))</f>
        <v>Otros almidones</v>
      </c>
      <c r="C5764" s="10" t="s">
        <v>29</v>
      </c>
      <c r="D5764" s="12">
        <f>'Volúmenes DIstribuidos '!D3486</f>
        <v>64</v>
      </c>
      <c r="E5764" s="12">
        <f>SUMIF('Parametros Inventario'!$A:$A,B5764,'Parametros Inventario'!$B:$B)+SUMIFS(D$2:D5764,B$2:B5764,B5764,C$2:C5764,"ENTRADA")-SUMIFS(D$2:D5764,B$2:B5764,B5764,C$2:C5764,"SALIDA")</f>
        <v>30564.606000000007</v>
      </c>
    </row>
    <row r="5765" spans="1:5" x14ac:dyDescent="0.3">
      <c r="A5765" s="9">
        <f>'Volúmenes DIstribuidos '!B3483</f>
        <v>46077</v>
      </c>
      <c r="B5765" s="10" t="str">
        <f>IF(OR('Volúmenes DIstribuidos '!C3487="Azúcar",'Volúmenes DIstribuidos '!C3487="azúcar"),"Azúcar o dulce",IF('Volúmenes DIstribuidos '!C3487="Aceite","Aceite o grasas",IF('Volúmenes DIstribuidos '!C3487="Avena","Otros almidones",'Volúmenes DIstribuidos '!C3487)))</f>
        <v>Azúcar o dulce</v>
      </c>
      <c r="C5765" s="10" t="s">
        <v>29</v>
      </c>
      <c r="D5765" s="12">
        <f>'Volúmenes DIstribuidos '!D3487</f>
        <v>68</v>
      </c>
      <c r="E5765" s="12">
        <f>SUMIF('Parametros Inventario'!$A:$A,B5765,'Parametros Inventario'!$B:$B)+SUMIFS(D$2:D5765,B$2:B5765,B5765,C$2:C5765,"ENTRADA")-SUMIFS(D$2:D5765,B$2:B5765,B5765,C$2:C5765,"SALIDA")</f>
        <v>26251.505999999979</v>
      </c>
    </row>
    <row r="5766" spans="1:5" x14ac:dyDescent="0.3">
      <c r="A5766" s="9">
        <f>'Volúmenes DIstribuidos '!B3483</f>
        <v>46077</v>
      </c>
      <c r="B5766" s="10" t="str">
        <f>IF(OR('Volúmenes DIstribuidos '!C3488="Azúcar",'Volúmenes DIstribuidos '!C3488="azúcar"),"Azúcar o dulce",IF('Volúmenes DIstribuidos '!C3488="Aceite","Aceite o grasas",IF('Volúmenes DIstribuidos '!C3488="Avena","Otros almidones",'Volúmenes DIstribuidos '!C3488)))</f>
        <v>Azúcar o dulce</v>
      </c>
      <c r="C5766" s="10" t="s">
        <v>29</v>
      </c>
      <c r="D5766" s="12">
        <f>'Volúmenes DIstribuidos '!D3488</f>
        <v>52</v>
      </c>
      <c r="E5766" s="12">
        <f>SUMIF('Parametros Inventario'!$A:$A,B5766,'Parametros Inventario'!$B:$B)+SUMIFS(D$2:D5766,B$2:B5766,B5766,C$2:C5766,"ENTRADA")-SUMIFS(D$2:D5766,B$2:B5766,B5766,C$2:C5766,"SALIDA")</f>
        <v>26199.505999999979</v>
      </c>
    </row>
    <row r="5767" spans="1:5" x14ac:dyDescent="0.3">
      <c r="A5767" s="9">
        <v>46080</v>
      </c>
      <c r="B5767" s="10" t="s">
        <v>11</v>
      </c>
      <c r="C5767" s="10" t="s">
        <v>28</v>
      </c>
      <c r="D5767" s="12">
        <v>192.95</v>
      </c>
      <c r="E5767" s="12">
        <f>SUMIF('Parametros Inventario'!$A:$A,B5767,'Parametros Inventario'!$B:$B)+SUMIFS(D$2:D5767,B$2:B5767,B5767,C$2:C5767,"ENTRADA")-SUMIFS(D$2:D5767,B$2:B5767,B5767,C$2:C5767,"SALIDA")</f>
        <v>30455.94200000001</v>
      </c>
    </row>
    <row r="5768" spans="1:5" x14ac:dyDescent="0.3">
      <c r="A5768" s="9">
        <v>46080</v>
      </c>
      <c r="B5768" s="10" t="s">
        <v>9</v>
      </c>
      <c r="C5768" s="10" t="s">
        <v>28</v>
      </c>
      <c r="D5768" s="12">
        <v>56.32</v>
      </c>
      <c r="E5768" s="12">
        <f>SUMIF('Parametros Inventario'!$A:$A,B5768,'Parametros Inventario'!$B:$B)+SUMIFS(D$2:D5768,B$2:B5768,B5768,C$2:C5768,"ENTRADA")-SUMIFS(D$2:D5768,B$2:B5768,B5768,C$2:C5768,"SALIDA")</f>
        <v>26435.967000000008</v>
      </c>
    </row>
    <row r="5769" spans="1:5" x14ac:dyDescent="0.3">
      <c r="A5769" s="9">
        <v>46080</v>
      </c>
      <c r="B5769" s="10" t="s">
        <v>14</v>
      </c>
      <c r="C5769" s="10" t="s">
        <v>28</v>
      </c>
      <c r="D5769" s="12">
        <v>233.54</v>
      </c>
      <c r="E5769" s="12">
        <f>SUMIF('Parametros Inventario'!$A:$A,B5769,'Parametros Inventario'!$B:$B)+SUMIFS(D$2:D5769,B$2:B5769,B5769,C$2:C5769,"ENTRADA")-SUMIFS(D$2:D5769,B$2:B5769,B5769,C$2:C5769,"SALIDA")</f>
        <v>27119.587999999978</v>
      </c>
    </row>
    <row r="5770" spans="1:5" x14ac:dyDescent="0.3">
      <c r="A5770" s="9">
        <v>46080</v>
      </c>
      <c r="B5770" s="10" t="s">
        <v>12</v>
      </c>
      <c r="C5770" s="10" t="s">
        <v>28</v>
      </c>
      <c r="D5770" s="12">
        <v>295.85000000000002</v>
      </c>
      <c r="E5770" s="12">
        <f>SUMIF('Parametros Inventario'!$A:$A,B5770,'Parametros Inventario'!$B:$B)+SUMIFS(D$2:D5770,B$2:B5770,B5770,C$2:C5770,"ENTRADA")-SUMIFS(D$2:D5770,B$2:B5770,B5770,C$2:C5770,"SALIDA")</f>
        <v>26929.149999999994</v>
      </c>
    </row>
    <row r="5771" spans="1:5" x14ac:dyDescent="0.3">
      <c r="A5771" s="9">
        <v>46080</v>
      </c>
      <c r="B5771" s="10" t="s">
        <v>16</v>
      </c>
      <c r="C5771" s="10" t="s">
        <v>28</v>
      </c>
      <c r="D5771" s="12">
        <v>208.62</v>
      </c>
      <c r="E5771" s="12">
        <f>SUMIF('Parametros Inventario'!$A:$A,B5771,'Parametros Inventario'!$B:$B)+SUMIFS(D$2:D5771,B$2:B5771,B5771,C$2:C5771,"ENTRADA")-SUMIFS(D$2:D5771,B$2:B5771,B5771,C$2:C5771,"SALIDA")</f>
        <v>27394.143999999989</v>
      </c>
    </row>
    <row r="5772" spans="1:5" x14ac:dyDescent="0.3">
      <c r="A5772" s="9">
        <v>46080</v>
      </c>
      <c r="B5772" s="10" t="s">
        <v>17</v>
      </c>
      <c r="C5772" s="10" t="s">
        <v>28</v>
      </c>
      <c r="D5772" s="12">
        <v>244.4</v>
      </c>
      <c r="E5772" s="12">
        <f>SUMIF('Parametros Inventario'!$A:$A,B5772,'Parametros Inventario'!$B:$B)+SUMIFS(D$2:D5772,B$2:B5772,B5772,C$2:C5772,"ENTRADA")-SUMIFS(D$2:D5772,B$2:B5772,B5772,C$2:C5772,"SALIDA")</f>
        <v>27262.839000000004</v>
      </c>
    </row>
    <row r="5773" spans="1:5" x14ac:dyDescent="0.3">
      <c r="A5773" s="9">
        <v>46080</v>
      </c>
      <c r="B5773" s="10" t="s">
        <v>18</v>
      </c>
      <c r="C5773" s="10" t="s">
        <v>28</v>
      </c>
      <c r="D5773" s="12">
        <v>96.64</v>
      </c>
      <c r="E5773" s="12">
        <f>SUMIF('Parametros Inventario'!$A:$A,B5773,'Parametros Inventario'!$B:$B)+SUMIFS(D$2:D5773,B$2:B5773,B5773,C$2:C5773,"ENTRADA")-SUMIFS(D$2:D5773,B$2:B5773,B5773,C$2:C5773,"SALIDA")</f>
        <v>27263.482999999971</v>
      </c>
    </row>
    <row r="5774" spans="1:5" x14ac:dyDescent="0.3">
      <c r="A5774" s="9">
        <v>46080</v>
      </c>
      <c r="B5774" s="10" t="s">
        <v>10</v>
      </c>
      <c r="C5774" s="10" t="s">
        <v>28</v>
      </c>
      <c r="D5774" s="12">
        <v>213.13</v>
      </c>
      <c r="E5774" s="12">
        <f>SUMIF('Parametros Inventario'!$A:$A,B5774,'Parametros Inventario'!$B:$B)+SUMIFS(D$2:D5774,B$2:B5774,B5774,C$2:C5774,"ENTRADA")-SUMIFS(D$2:D5774,B$2:B5774,B5774,C$2:C5774,"SALIDA")</f>
        <v>28681.205999999976</v>
      </c>
    </row>
    <row r="5775" spans="1:5" x14ac:dyDescent="0.3">
      <c r="A5775" s="9">
        <v>46080</v>
      </c>
      <c r="B5775" s="10" t="s">
        <v>8</v>
      </c>
      <c r="C5775" s="10" t="s">
        <v>28</v>
      </c>
      <c r="D5775" s="12">
        <v>105.44</v>
      </c>
      <c r="E5775" s="12">
        <f>SUMIF('Parametros Inventario'!$A:$A,B5775,'Parametros Inventario'!$B:$B)+SUMIFS(D$2:D5775,B$2:B5775,B5775,C$2:C5775,"ENTRADA")-SUMIFS(D$2:D5775,B$2:B5775,B5775,C$2:C5775,"SALIDA")</f>
        <v>27648.373000000007</v>
      </c>
    </row>
    <row r="5776" spans="1:5" x14ac:dyDescent="0.3">
      <c r="A5776" s="9">
        <v>46080</v>
      </c>
      <c r="B5776" s="10" t="s">
        <v>13</v>
      </c>
      <c r="C5776" s="10" t="s">
        <v>28</v>
      </c>
      <c r="D5776" s="12">
        <v>98.46</v>
      </c>
      <c r="E5776" s="12">
        <f>SUMIF('Parametros Inventario'!$A:$A,B5776,'Parametros Inventario'!$B:$B)+SUMIFS(D$2:D5776,B$2:B5776,B5776,C$2:C5776,"ENTRADA")-SUMIFS(D$2:D5776,B$2:B5776,B5776,C$2:C5776,"SALIDA")</f>
        <v>26297.965999999979</v>
      </c>
    </row>
    <row r="5777" spans="1:5" x14ac:dyDescent="0.3">
      <c r="A5777" s="9">
        <v>46080</v>
      </c>
      <c r="B5777" s="10" t="s">
        <v>15</v>
      </c>
      <c r="C5777" s="10" t="s">
        <v>28</v>
      </c>
      <c r="D5777" s="12">
        <v>260.11</v>
      </c>
      <c r="E5777" s="12">
        <f>SUMIF('Parametros Inventario'!$A:$A,B5777,'Parametros Inventario'!$B:$B)+SUMIFS(D$2:D5777,B$2:B5777,B5777,C$2:C5777,"ENTRADA")-SUMIFS(D$2:D5777,B$2:B5777,B5777,C$2:C5777,"SALIDA")</f>
        <v>30824.716000000008</v>
      </c>
    </row>
    <row r="5778" spans="1:5" x14ac:dyDescent="0.3">
      <c r="A5778" s="9">
        <v>46080</v>
      </c>
      <c r="B5778" s="10" t="s">
        <v>11</v>
      </c>
      <c r="C5778" s="10" t="s">
        <v>28</v>
      </c>
      <c r="D5778" s="12">
        <v>231.58</v>
      </c>
      <c r="E5778" s="12">
        <f>SUMIF('Parametros Inventario'!$A:$A,B5778,'Parametros Inventario'!$B:$B)+SUMIFS(D$2:D5778,B$2:B5778,B5778,C$2:C5778,"ENTRADA")-SUMIFS(D$2:D5778,B$2:B5778,B5778,C$2:C5778,"SALIDA")</f>
        <v>30687.522000000012</v>
      </c>
    </row>
    <row r="5779" spans="1:5" x14ac:dyDescent="0.3">
      <c r="A5779" s="9">
        <v>46094</v>
      </c>
      <c r="B5779" s="10" t="s">
        <v>9</v>
      </c>
      <c r="C5779" s="10" t="s">
        <v>28</v>
      </c>
      <c r="D5779" s="12">
        <v>251.77</v>
      </c>
      <c r="E5779" s="12">
        <f>SUMIF('Parametros Inventario'!$A:$A,B5779,'Parametros Inventario'!$B:$B)+SUMIFS(D$2:D5779,B$2:B5779,B5779,C$2:C5779,"ENTRADA")-SUMIFS(D$2:D5779,B$2:B5779,B5779,C$2:C5779,"SALIDA")</f>
        <v>26687.737000000005</v>
      </c>
    </row>
    <row r="5780" spans="1:5" x14ac:dyDescent="0.3">
      <c r="A5780" s="9">
        <v>46094</v>
      </c>
      <c r="B5780" s="10" t="s">
        <v>14</v>
      </c>
      <c r="C5780" s="10" t="s">
        <v>28</v>
      </c>
      <c r="D5780" s="12">
        <v>144.53</v>
      </c>
      <c r="E5780" s="12">
        <f>SUMIF('Parametros Inventario'!$A:$A,B5780,'Parametros Inventario'!$B:$B)+SUMIFS(D$2:D5780,B$2:B5780,B5780,C$2:C5780,"ENTRADA")-SUMIFS(D$2:D5780,B$2:B5780,B5780,C$2:C5780,"SALIDA")</f>
        <v>27264.117999999977</v>
      </c>
    </row>
    <row r="5781" spans="1:5" x14ac:dyDescent="0.3">
      <c r="A5781" s="9">
        <v>46094</v>
      </c>
      <c r="B5781" s="10" t="s">
        <v>12</v>
      </c>
      <c r="C5781" s="10" t="s">
        <v>28</v>
      </c>
      <c r="D5781" s="12">
        <v>115.12</v>
      </c>
      <c r="E5781" s="12">
        <f>SUMIF('Parametros Inventario'!$A:$A,B5781,'Parametros Inventario'!$B:$B)+SUMIFS(D$2:D5781,B$2:B5781,B5781,C$2:C5781,"ENTRADA")-SUMIFS(D$2:D5781,B$2:B5781,B5781,C$2:C5781,"SALIDA")</f>
        <v>27044.269999999997</v>
      </c>
    </row>
    <row r="5782" spans="1:5" x14ac:dyDescent="0.3">
      <c r="A5782" s="9">
        <v>46094</v>
      </c>
      <c r="B5782" s="10" t="s">
        <v>16</v>
      </c>
      <c r="C5782" s="10" t="s">
        <v>28</v>
      </c>
      <c r="D5782" s="12">
        <v>62.94</v>
      </c>
      <c r="E5782" s="12">
        <f>SUMIF('Parametros Inventario'!$A:$A,B5782,'Parametros Inventario'!$B:$B)+SUMIFS(D$2:D5782,B$2:B5782,B5782,C$2:C5782,"ENTRADA")-SUMIFS(D$2:D5782,B$2:B5782,B5782,C$2:C5782,"SALIDA")</f>
        <v>27457.083999999992</v>
      </c>
    </row>
    <row r="5783" spans="1:5" x14ac:dyDescent="0.3">
      <c r="A5783" s="9">
        <v>46094</v>
      </c>
      <c r="B5783" s="10" t="s">
        <v>17</v>
      </c>
      <c r="C5783" s="10" t="s">
        <v>28</v>
      </c>
      <c r="D5783" s="12">
        <v>70.739999999999995</v>
      </c>
      <c r="E5783" s="12">
        <f>SUMIF('Parametros Inventario'!$A:$A,B5783,'Parametros Inventario'!$B:$B)+SUMIFS(D$2:D5783,B$2:B5783,B5783,C$2:C5783,"ENTRADA")-SUMIFS(D$2:D5783,B$2:B5783,B5783,C$2:C5783,"SALIDA")</f>
        <v>27333.579000000002</v>
      </c>
    </row>
    <row r="5784" spans="1:5" x14ac:dyDescent="0.3">
      <c r="A5784" s="9">
        <v>46094</v>
      </c>
      <c r="B5784" s="10" t="s">
        <v>18</v>
      </c>
      <c r="C5784" s="10" t="s">
        <v>28</v>
      </c>
      <c r="D5784" s="12">
        <v>85.94</v>
      </c>
      <c r="E5784" s="12">
        <f>SUMIF('Parametros Inventario'!$A:$A,B5784,'Parametros Inventario'!$B:$B)+SUMIFS(D$2:D5784,B$2:B5784,B5784,C$2:C5784,"ENTRADA")-SUMIFS(D$2:D5784,B$2:B5784,B5784,C$2:C5784,"SALIDA")</f>
        <v>27349.422999999973</v>
      </c>
    </row>
    <row r="5785" spans="1:5" x14ac:dyDescent="0.3">
      <c r="A5785" s="9">
        <v>46094</v>
      </c>
      <c r="B5785" s="10" t="s">
        <v>10</v>
      </c>
      <c r="C5785" s="10" t="s">
        <v>28</v>
      </c>
      <c r="D5785" s="12">
        <v>55.79</v>
      </c>
      <c r="E5785" s="12">
        <f>SUMIF('Parametros Inventario'!$A:$A,B5785,'Parametros Inventario'!$B:$B)+SUMIFS(D$2:D5785,B$2:B5785,B5785,C$2:C5785,"ENTRADA")-SUMIFS(D$2:D5785,B$2:B5785,B5785,C$2:C5785,"SALIDA")</f>
        <v>28736.995999999977</v>
      </c>
    </row>
    <row r="5786" spans="1:5" x14ac:dyDescent="0.3">
      <c r="A5786" s="9">
        <v>46094</v>
      </c>
      <c r="B5786" s="10" t="s">
        <v>8</v>
      </c>
      <c r="C5786" s="10" t="s">
        <v>28</v>
      </c>
      <c r="D5786" s="12">
        <v>296.2</v>
      </c>
      <c r="E5786" s="12">
        <f>SUMIF('Parametros Inventario'!$A:$A,B5786,'Parametros Inventario'!$B:$B)+SUMIFS(D$2:D5786,B$2:B5786,B5786,C$2:C5786,"ENTRADA")-SUMIFS(D$2:D5786,B$2:B5786,B5786,C$2:C5786,"SALIDA")</f>
        <v>27944.573000000004</v>
      </c>
    </row>
    <row r="5787" spans="1:5" x14ac:dyDescent="0.3">
      <c r="A5787" s="9">
        <v>46094</v>
      </c>
      <c r="B5787" s="10" t="s">
        <v>13</v>
      </c>
      <c r="C5787" s="10" t="s">
        <v>28</v>
      </c>
      <c r="D5787" s="12">
        <v>266.73</v>
      </c>
      <c r="E5787" s="12">
        <f>SUMIF('Parametros Inventario'!$A:$A,B5787,'Parametros Inventario'!$B:$B)+SUMIFS(D$2:D5787,B$2:B5787,B5787,C$2:C5787,"ENTRADA")-SUMIFS(D$2:D5787,B$2:B5787,B5787,C$2:C5787,"SALIDA")</f>
        <v>26564.695999999982</v>
      </c>
    </row>
    <row r="5788" spans="1:5" x14ac:dyDescent="0.3">
      <c r="A5788" s="9">
        <v>46094</v>
      </c>
      <c r="B5788" s="10" t="s">
        <v>15</v>
      </c>
      <c r="C5788" s="10" t="s">
        <v>28</v>
      </c>
      <c r="D5788" s="12">
        <v>77.73</v>
      </c>
      <c r="E5788" s="12">
        <f>SUMIF('Parametros Inventario'!$A:$A,B5788,'Parametros Inventario'!$B:$B)+SUMIFS(D$2:D5788,B$2:B5788,B5788,C$2:C5788,"ENTRADA")-SUMIFS(D$2:D5788,B$2:B5788,B5788,C$2:C5788,"SALIDA")</f>
        <v>30902.446000000011</v>
      </c>
    </row>
    <row r="5789" spans="1:5" x14ac:dyDescent="0.3">
      <c r="A5789" s="9">
        <v>46094</v>
      </c>
      <c r="B5789" s="10" t="s">
        <v>11</v>
      </c>
      <c r="C5789" s="10" t="s">
        <v>28</v>
      </c>
      <c r="D5789" s="12">
        <v>281.8</v>
      </c>
      <c r="E5789" s="12">
        <f>SUMIF('Parametros Inventario'!$A:$A,B5789,'Parametros Inventario'!$B:$B)+SUMIFS(D$2:D5789,B$2:B5789,B5789,C$2:C5789,"ENTRADA")-SUMIFS(D$2:D5789,B$2:B5789,B5789,C$2:C5789,"SALIDA")</f>
        <v>30969.322000000015</v>
      </c>
    </row>
    <row r="5790" spans="1:5" x14ac:dyDescent="0.3">
      <c r="A5790" s="9">
        <v>46094</v>
      </c>
      <c r="B5790" s="10" t="s">
        <v>9</v>
      </c>
      <c r="C5790" s="10" t="s">
        <v>28</v>
      </c>
      <c r="D5790" s="12">
        <v>80.67</v>
      </c>
      <c r="E5790" s="12">
        <f>SUMIF('Parametros Inventario'!$A:$A,B5790,'Parametros Inventario'!$B:$B)+SUMIFS(D$2:D5790,B$2:B5790,B5790,C$2:C5790,"ENTRADA")-SUMIFS(D$2:D5790,B$2:B5790,B5790,C$2:C5790,"SALIDA")</f>
        <v>26768.407000000003</v>
      </c>
    </row>
    <row r="5791" spans="1:5" x14ac:dyDescent="0.3">
      <c r="A5791" s="9">
        <v>46101</v>
      </c>
      <c r="B5791" s="10" t="s">
        <v>14</v>
      </c>
      <c r="C5791" s="10" t="s">
        <v>28</v>
      </c>
      <c r="D5791" s="12">
        <v>85.46</v>
      </c>
      <c r="E5791" s="12">
        <f>SUMIF('Parametros Inventario'!$A:$A,B5791,'Parametros Inventario'!$B:$B)+SUMIFS(D$2:D5791,B$2:B5791,B5791,C$2:C5791,"ENTRADA")-SUMIFS(D$2:D5791,B$2:B5791,B5791,C$2:C5791,"SALIDA")</f>
        <v>27349.577999999976</v>
      </c>
    </row>
    <row r="5792" spans="1:5" x14ac:dyDescent="0.3">
      <c r="A5792" s="9">
        <v>46101</v>
      </c>
      <c r="B5792" s="10" t="s">
        <v>12</v>
      </c>
      <c r="C5792" s="10" t="s">
        <v>28</v>
      </c>
      <c r="D5792" s="12">
        <v>115.5</v>
      </c>
      <c r="E5792" s="12">
        <f>SUMIF('Parametros Inventario'!$A:$A,B5792,'Parametros Inventario'!$B:$B)+SUMIFS(D$2:D5792,B$2:B5792,B5792,C$2:C5792,"ENTRADA")-SUMIFS(D$2:D5792,B$2:B5792,B5792,C$2:C5792,"SALIDA")</f>
        <v>27159.769999999997</v>
      </c>
    </row>
    <row r="5793" spans="1:5" x14ac:dyDescent="0.3">
      <c r="A5793" s="9">
        <v>46101</v>
      </c>
      <c r="B5793" s="10" t="s">
        <v>16</v>
      </c>
      <c r="C5793" s="10" t="s">
        <v>28</v>
      </c>
      <c r="D5793" s="12">
        <v>95.16</v>
      </c>
      <c r="E5793" s="12">
        <f>SUMIF('Parametros Inventario'!$A:$A,B5793,'Parametros Inventario'!$B:$B)+SUMIFS(D$2:D5793,B$2:B5793,B5793,C$2:C5793,"ENTRADA")-SUMIFS(D$2:D5793,B$2:B5793,B5793,C$2:C5793,"SALIDA")</f>
        <v>27552.243999999995</v>
      </c>
    </row>
    <row r="5794" spans="1:5" x14ac:dyDescent="0.3">
      <c r="A5794" s="9">
        <v>46101</v>
      </c>
      <c r="B5794" s="10" t="s">
        <v>17</v>
      </c>
      <c r="C5794" s="10" t="s">
        <v>28</v>
      </c>
      <c r="D5794" s="12">
        <v>69.349999999999994</v>
      </c>
      <c r="E5794" s="12">
        <f>SUMIF('Parametros Inventario'!$A:$A,B5794,'Parametros Inventario'!$B:$B)+SUMIFS(D$2:D5794,B$2:B5794,B5794,C$2:C5794,"ENTRADA")-SUMIFS(D$2:D5794,B$2:B5794,B5794,C$2:C5794,"SALIDA")</f>
        <v>27402.929</v>
      </c>
    </row>
    <row r="5795" spans="1:5" x14ac:dyDescent="0.3">
      <c r="A5795" s="9">
        <v>46101</v>
      </c>
      <c r="B5795" s="10" t="s">
        <v>18</v>
      </c>
      <c r="C5795" s="10" t="s">
        <v>28</v>
      </c>
      <c r="D5795" s="12">
        <v>261.16000000000003</v>
      </c>
      <c r="E5795" s="12">
        <f>SUMIF('Parametros Inventario'!$A:$A,B5795,'Parametros Inventario'!$B:$B)+SUMIFS(D$2:D5795,B$2:B5795,B5795,C$2:C5795,"ENTRADA")-SUMIFS(D$2:D5795,B$2:B5795,B5795,C$2:C5795,"SALIDA")</f>
        <v>27610.582999999977</v>
      </c>
    </row>
    <row r="5796" spans="1:5" x14ac:dyDescent="0.3">
      <c r="A5796" s="9">
        <v>46101</v>
      </c>
      <c r="B5796" s="10" t="s">
        <v>10</v>
      </c>
      <c r="C5796" s="10" t="s">
        <v>28</v>
      </c>
      <c r="D5796" s="12">
        <v>278.18</v>
      </c>
      <c r="E5796" s="12">
        <f>SUMIF('Parametros Inventario'!$A:$A,B5796,'Parametros Inventario'!$B:$B)+SUMIFS(D$2:D5796,B$2:B5796,B5796,C$2:C5796,"ENTRADA")-SUMIFS(D$2:D5796,B$2:B5796,B5796,C$2:C5796,"SALIDA")</f>
        <v>29015.175999999978</v>
      </c>
    </row>
    <row r="5797" spans="1:5" x14ac:dyDescent="0.3">
      <c r="A5797" s="9">
        <v>46101</v>
      </c>
      <c r="B5797" s="10" t="s">
        <v>8</v>
      </c>
      <c r="C5797" s="10" t="s">
        <v>28</v>
      </c>
      <c r="D5797" s="12">
        <v>101.99</v>
      </c>
      <c r="E5797" s="12">
        <f>SUMIF('Parametros Inventario'!$A:$A,B5797,'Parametros Inventario'!$B:$B)+SUMIFS(D$2:D5797,B$2:B5797,B5797,C$2:C5797,"ENTRADA")-SUMIFS(D$2:D5797,B$2:B5797,B5797,C$2:C5797,"SALIDA")</f>
        <v>28046.563000000002</v>
      </c>
    </row>
    <row r="5798" spans="1:5" x14ac:dyDescent="0.3">
      <c r="A5798" s="9">
        <v>46101</v>
      </c>
      <c r="B5798" s="10" t="s">
        <v>13</v>
      </c>
      <c r="C5798" s="10" t="s">
        <v>28</v>
      </c>
      <c r="D5798" s="12">
        <v>75.17</v>
      </c>
      <c r="E5798" s="12">
        <f>SUMIF('Parametros Inventario'!$A:$A,B5798,'Parametros Inventario'!$B:$B)+SUMIFS(D$2:D5798,B$2:B5798,B5798,C$2:C5798,"ENTRADA")-SUMIFS(D$2:D5798,B$2:B5798,B5798,C$2:C5798,"SALIDA")</f>
        <v>26639.86599999998</v>
      </c>
    </row>
    <row r="5799" spans="1:5" x14ac:dyDescent="0.3">
      <c r="A5799" s="9">
        <v>46101</v>
      </c>
      <c r="B5799" s="10" t="s">
        <v>15</v>
      </c>
      <c r="C5799" s="10" t="s">
        <v>28</v>
      </c>
      <c r="D5799" s="12">
        <v>248.86</v>
      </c>
      <c r="E5799" s="12">
        <f>SUMIF('Parametros Inventario'!$A:$A,B5799,'Parametros Inventario'!$B:$B)+SUMIFS(D$2:D5799,B$2:B5799,B5799,C$2:C5799,"ENTRADA")-SUMIFS(D$2:D5799,B$2:B5799,B5799,C$2:C5799,"SALIDA")</f>
        <v>31151.306000000011</v>
      </c>
    </row>
    <row r="5800" spans="1:5" x14ac:dyDescent="0.3">
      <c r="A5800" s="9">
        <v>46101</v>
      </c>
      <c r="B5800" s="10" t="s">
        <v>11</v>
      </c>
      <c r="C5800" s="10" t="s">
        <v>28</v>
      </c>
      <c r="D5800" s="12">
        <v>153.44</v>
      </c>
      <c r="E5800" s="12">
        <f>SUMIF('Parametros Inventario'!$A:$A,B5800,'Parametros Inventario'!$B:$B)+SUMIFS(D$2:D5800,B$2:B5800,B5800,C$2:C5800,"ENTRADA")-SUMIFS(D$2:D5800,B$2:B5800,B5800,C$2:C5800,"SALIDA")</f>
        <v>31122.762000000017</v>
      </c>
    </row>
    <row r="5801" spans="1:5" x14ac:dyDescent="0.3">
      <c r="A5801" s="9">
        <v>46101</v>
      </c>
      <c r="B5801" s="10" t="s">
        <v>9</v>
      </c>
      <c r="C5801" s="10" t="s">
        <v>28</v>
      </c>
      <c r="D5801" s="12">
        <v>171.63</v>
      </c>
      <c r="E5801" s="12">
        <f>SUMIF('Parametros Inventario'!$A:$A,B5801,'Parametros Inventario'!$B:$B)+SUMIFS(D$2:D5801,B$2:B5801,B5801,C$2:C5801,"ENTRADA")-SUMIFS(D$2:D5801,B$2:B5801,B5801,C$2:C5801,"SALIDA")</f>
        <v>26940.037</v>
      </c>
    </row>
    <row r="5802" spans="1:5" x14ac:dyDescent="0.3">
      <c r="A5802" s="9">
        <v>46101</v>
      </c>
      <c r="B5802" s="10" t="s">
        <v>14</v>
      </c>
      <c r="C5802" s="10" t="s">
        <v>28</v>
      </c>
      <c r="D5802" s="12">
        <v>206.42</v>
      </c>
      <c r="E5802" s="12">
        <f>SUMIF('Parametros Inventario'!$A:$A,B5802,'Parametros Inventario'!$B:$B)+SUMIFS(D$2:D5802,B$2:B5802,B5802,C$2:C5802,"ENTRADA")-SUMIFS(D$2:D5802,B$2:B5802,B5802,C$2:C5802,"SALIDA")</f>
        <v>27555.997999999974</v>
      </c>
    </row>
    <row r="5803" spans="1:5" x14ac:dyDescent="0.3">
      <c r="A5803" s="9">
        <v>46108</v>
      </c>
      <c r="B5803" s="10" t="s">
        <v>12</v>
      </c>
      <c r="C5803" s="10" t="s">
        <v>28</v>
      </c>
      <c r="D5803" s="12">
        <v>102.57</v>
      </c>
      <c r="E5803" s="12">
        <f>SUMIF('Parametros Inventario'!$A:$A,B5803,'Parametros Inventario'!$B:$B)+SUMIFS(D$2:D5803,B$2:B5803,B5803,C$2:C5803,"ENTRADA")-SUMIFS(D$2:D5803,B$2:B5803,B5803,C$2:C5803,"SALIDA")</f>
        <v>27262.339999999997</v>
      </c>
    </row>
    <row r="5804" spans="1:5" x14ac:dyDescent="0.3">
      <c r="A5804" s="9">
        <v>46108</v>
      </c>
      <c r="B5804" s="10" t="s">
        <v>16</v>
      </c>
      <c r="C5804" s="10" t="s">
        <v>28</v>
      </c>
      <c r="D5804" s="12">
        <v>154.97999999999999</v>
      </c>
      <c r="E5804" s="12">
        <f>SUMIF('Parametros Inventario'!$A:$A,B5804,'Parametros Inventario'!$B:$B)+SUMIFS(D$2:D5804,B$2:B5804,B5804,C$2:C5804,"ENTRADA")-SUMIFS(D$2:D5804,B$2:B5804,B5804,C$2:C5804,"SALIDA")</f>
        <v>27707.223999999998</v>
      </c>
    </row>
    <row r="5805" spans="1:5" x14ac:dyDescent="0.3">
      <c r="A5805" s="9">
        <v>46108</v>
      </c>
      <c r="B5805" s="10" t="s">
        <v>17</v>
      </c>
      <c r="C5805" s="10" t="s">
        <v>28</v>
      </c>
      <c r="D5805" s="12">
        <v>272.43</v>
      </c>
      <c r="E5805" s="12">
        <f>SUMIF('Parametros Inventario'!$A:$A,B5805,'Parametros Inventario'!$B:$B)+SUMIFS(D$2:D5805,B$2:B5805,B5805,C$2:C5805,"ENTRADA")-SUMIFS(D$2:D5805,B$2:B5805,B5805,C$2:C5805,"SALIDA")</f>
        <v>27675.359</v>
      </c>
    </row>
    <row r="5806" spans="1:5" x14ac:dyDescent="0.3">
      <c r="A5806" s="9">
        <v>46108</v>
      </c>
      <c r="B5806" s="10" t="s">
        <v>18</v>
      </c>
      <c r="C5806" s="10" t="s">
        <v>28</v>
      </c>
      <c r="D5806" s="12">
        <v>208.39</v>
      </c>
      <c r="E5806" s="12">
        <f>SUMIF('Parametros Inventario'!$A:$A,B5806,'Parametros Inventario'!$B:$B)+SUMIFS(D$2:D5806,B$2:B5806,B5806,C$2:C5806,"ENTRADA")-SUMIFS(D$2:D5806,B$2:B5806,B5806,C$2:C5806,"SALIDA")</f>
        <v>27818.972999999976</v>
      </c>
    </row>
    <row r="5807" spans="1:5" x14ac:dyDescent="0.3">
      <c r="A5807" s="9">
        <v>46108</v>
      </c>
      <c r="B5807" s="10" t="s">
        <v>10</v>
      </c>
      <c r="C5807" s="10" t="s">
        <v>28</v>
      </c>
      <c r="D5807" s="12">
        <v>162.72</v>
      </c>
      <c r="E5807" s="12">
        <f>SUMIF('Parametros Inventario'!$A:$A,B5807,'Parametros Inventario'!$B:$B)+SUMIFS(D$2:D5807,B$2:B5807,B5807,C$2:C5807,"ENTRADA")-SUMIFS(D$2:D5807,B$2:B5807,B5807,C$2:C5807,"SALIDA")</f>
        <v>29177.895999999979</v>
      </c>
    </row>
    <row r="5808" spans="1:5" x14ac:dyDescent="0.3">
      <c r="A5808" s="9">
        <v>46108</v>
      </c>
      <c r="B5808" s="10" t="s">
        <v>8</v>
      </c>
      <c r="C5808" s="10" t="s">
        <v>28</v>
      </c>
      <c r="D5808" s="12">
        <v>90.28</v>
      </c>
      <c r="E5808" s="12">
        <f>SUMIF('Parametros Inventario'!$A:$A,B5808,'Parametros Inventario'!$B:$B)+SUMIFS(D$2:D5808,B$2:B5808,B5808,C$2:C5808,"ENTRADA")-SUMIFS(D$2:D5808,B$2:B5808,B5808,C$2:C5808,"SALIDA")</f>
        <v>28136.843000000001</v>
      </c>
    </row>
  </sheetData>
  <autoFilter ref="A1:E5808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"/>
  <sheetViews>
    <sheetView tabSelected="1" zoomScaleNormal="100" workbookViewId="0">
      <selection activeCell="E21" sqref="E21"/>
    </sheetView>
  </sheetViews>
  <sheetFormatPr baseColWidth="10" defaultColWidth="8.88671875" defaultRowHeight="14.4" x14ac:dyDescent="0.3"/>
  <cols>
    <col min="1" max="1" width="24" customWidth="1"/>
    <col min="2" max="2" width="18" customWidth="1"/>
  </cols>
  <sheetData>
    <row r="1" spans="1:2" x14ac:dyDescent="0.3">
      <c r="A1" s="11" t="s">
        <v>30</v>
      </c>
      <c r="B1" s="11" t="s">
        <v>31</v>
      </c>
    </row>
    <row r="2" spans="1:2" x14ac:dyDescent="0.3">
      <c r="A2" t="s">
        <v>13</v>
      </c>
      <c r="B2">
        <v>1957</v>
      </c>
    </row>
    <row r="3" spans="1:2" x14ac:dyDescent="0.3">
      <c r="A3" t="s">
        <v>15</v>
      </c>
      <c r="B3">
        <v>1371</v>
      </c>
    </row>
    <row r="4" spans="1:2" x14ac:dyDescent="0.3">
      <c r="A4" t="s">
        <v>11</v>
      </c>
      <c r="B4">
        <v>1343</v>
      </c>
    </row>
    <row r="5" spans="1:2" x14ac:dyDescent="0.3">
      <c r="A5" t="s">
        <v>9</v>
      </c>
      <c r="B5">
        <v>667</v>
      </c>
    </row>
    <row r="6" spans="1:2" x14ac:dyDescent="0.3">
      <c r="A6" t="s">
        <v>14</v>
      </c>
      <c r="B6">
        <v>688</v>
      </c>
    </row>
    <row r="7" spans="1:2" x14ac:dyDescent="0.3">
      <c r="A7" t="s">
        <v>12</v>
      </c>
      <c r="B7">
        <v>627</v>
      </c>
    </row>
    <row r="8" spans="1:2" x14ac:dyDescent="0.3">
      <c r="A8" t="s">
        <v>16</v>
      </c>
      <c r="B8">
        <v>1370</v>
      </c>
    </row>
    <row r="9" spans="1:2" x14ac:dyDescent="0.3">
      <c r="A9" t="s">
        <v>17</v>
      </c>
      <c r="B9">
        <v>766</v>
      </c>
    </row>
    <row r="10" spans="1:2" x14ac:dyDescent="0.3">
      <c r="A10" t="s">
        <v>18</v>
      </c>
      <c r="B10">
        <v>1475</v>
      </c>
    </row>
    <row r="11" spans="1:2" x14ac:dyDescent="0.3">
      <c r="A11" t="s">
        <v>10</v>
      </c>
      <c r="B11">
        <v>939</v>
      </c>
    </row>
    <row r="12" spans="1:2" x14ac:dyDescent="0.3">
      <c r="A12" t="s">
        <v>8</v>
      </c>
      <c r="B12">
        <v>1413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Volúmenes DIstribuidos </vt:lpstr>
      <vt:lpstr>Inventario</vt:lpstr>
      <vt:lpstr>Parametros Inventario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caritas</dc:creator>
  <cp:lastModifiedBy>Brayan Malaver</cp:lastModifiedBy>
  <cp:lastPrinted>2023-04-03T14:53:23Z</cp:lastPrinted>
  <dcterms:created xsi:type="dcterms:W3CDTF">2023-01-10T22:34:19Z</dcterms:created>
  <dcterms:modified xsi:type="dcterms:W3CDTF">2026-06-10T01:41:48Z</dcterms:modified>
</cp:coreProperties>
</file>